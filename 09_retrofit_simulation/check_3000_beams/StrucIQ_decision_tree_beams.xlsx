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esults" sheetId="2" state="visible" r:id="rId4"/>
    <sheet name="Tree rules" sheetId="3" state="visible" r:id="rId5"/>
    <sheet name="Training beams" sheetId="4" state="visible" r:id="rId6"/>
    <sheet name="Test beams" sheetId="5" state="visible" r:id="rId7"/>
  </sheets>
  <definedNames>
    <definedName function="false" hidden="true" localSheetId="4" name="_xlnm._FilterDatabase" vbProcedure="false">'Test beams'!$A$3:$T$903</definedName>
    <definedName function="false" hidden="true" localSheetId="3" name="_xlnm._FilterDatabase" vbProcedure="false">'Training beams'!$A$3:$T$2103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<sst xmlns="http://schemas.openxmlformats.org/spreadsheetml/2006/main" count="6136" uniqueCount="95">
  <si>
    <t xml:space="preserve">Decision tree: training beams and test beams</t>
  </si>
  <si>
    <t xml:space="preserve">What this workbook is</t>
  </si>
  <si>
    <t xml:space="preserve">The 3000 beams of the retrofit simulation (slide 11), split as the decision tree saw them: 2100 training beams (70%) and 900 test beams (30%). The tree learned its rules from the training beams only. The test beams were never shown to it; its predictions for them are compared with the answer the IS 456 checks gave.</t>
  </si>
  <si>
    <t xml:space="preserve">How the split was made</t>
  </si>
  <si>
    <t xml:space="preserve">Random, stratified by scheme (each scheme has the same share in both sets), random seed 7 (Python: scikit-learn train_test_split, test_size 0.3). Same split as 09_retrofit_simulation/retrofit_tree.py.</t>
  </si>
  <si>
    <t xml:space="preserve">Correct answer (column "Scheme by IS 456 checks")</t>
  </si>
  <si>
    <t xml:space="preserve">From retrofit_sim.py: the least intrusive scheme that makes the beam comply with IS 456 cl 38.1 (flexure), cl 40 (shear), cl 23.2 (deflection) and Annex F (crack width). Order: monitor, seal cracks, polymer laminate, steel plate, concrete jacket. Steel plate and concrete jacket are one class for the tree ("Steel plate or jacket", only 126 of 3000 beams).</t>
  </si>
  <si>
    <t xml:space="preserve">Tree prediction (column "Tree prediction")</t>
  </si>
  <si>
    <t xml:space="preserve">An Excel formula: the tree's seven rules (sheet Tree rules) written as nested IF statements on the beam's own numbers. Excel predicts every beam itself; nothing is pasted from Python.</t>
  </si>
  <si>
    <t xml:space="preserve">Sheet: Training beams</t>
  </si>
  <si>
    <t xml:space="preserve">2100 beams the tree learned from.</t>
  </si>
  <si>
    <t xml:space="preserve">Sheet: Test beams</t>
  </si>
  <si>
    <t xml:space="preserve">900 beams the tree never saw. Accuracy on these is the number on slide 11.</t>
  </si>
  <si>
    <t xml:space="preserve">Sheet: Tree rules</t>
  </si>
  <si>
    <t xml:space="preserve">The seven split values found by the tree (green: carried from Python), and the tree drawn as rules.</t>
  </si>
  <si>
    <t xml:space="preserve">Sheet: Results</t>
  </si>
  <si>
    <t xml:space="preserve">Accuracy, confusion tables and catch rate of plate or jacket beams, all computed by Excel formulas from the two beam sheets.</t>
  </si>
  <si>
    <t xml:space="preserve">Inputs the tree could use</t>
  </si>
  <si>
    <t xml:space="preserve">Stiffness left (twin, lower 95% bound), crack width / IS 456 limit, moment demand / capacity, deflection / span/250 limit, live load factor (change of use), span / effective depth, steel ratio, design utilisation, dead load fraction. It chose to split on five of them.</t>
  </si>
  <si>
    <t xml:space="preserve">Colour code</t>
  </si>
  <si>
    <t xml:space="preserve">Blue text = data from the simulation (do not edit). Black text = Excel formulas. Green text = split values carried from the Python tree. Yellow cells = headline results.</t>
  </si>
  <si>
    <t xml:space="preserve">Source files</t>
  </si>
  <si>
    <t xml:space="preserve">09_retrofit_simulation: retrofit_sim.py, retrofit_sim.csv, retrofit_tree.py, retrofit_tree.txt, build_tree_xl.py (this workbook).</t>
  </si>
  <si>
    <t xml:space="preserve">How well the tree does (all values computed by Excel from the two beam sheets)</t>
  </si>
  <si>
    <t xml:space="preserve">Test beams (900, never seen by the tree): the result on slide 11</t>
  </si>
  <si>
    <t xml:space="preserve">Beams</t>
  </si>
  <si>
    <t xml:space="preserve">Correct</t>
  </si>
  <si>
    <t xml:space="preserve">Accuracy</t>
  </si>
  <si>
    <t xml:space="preserve">Confusion table: rows = scheme by IS 456 checks, columns = tree prediction</t>
  </si>
  <si>
    <t xml:space="preserve">Monitor</t>
  </si>
  <si>
    <t xml:space="preserve">Seal cracks</t>
  </si>
  <si>
    <t xml:space="preserve">Polymer laminate</t>
  </si>
  <si>
    <t xml:space="preserve">Steel plate or jacket</t>
  </si>
  <si>
    <t xml:space="preserve">Total</t>
  </si>
  <si>
    <t xml:space="preserve">Caught (share of this scheme predicted correctly)</t>
  </si>
  <si>
    <t xml:space="preserve">Balanced accuracy (mean of the four catch rates)</t>
  </si>
  <si>
    <t xml:space="preserve">Plate or jacket beams caught</t>
  </si>
  <si>
    <t xml:space="preserve">Training beams (2100, used to learn the rules)</t>
  </si>
  <si>
    <t xml:space="preserve">Test and training accuracy are close (about 90% and 91%), so the tree has not memorised the training beams.</t>
  </si>
  <si>
    <t xml:space="preserve">Most errors are on the safe side: polymer-laminate beams sent to plate or jacket (a stronger scheme than needed).</t>
  </si>
  <si>
    <t xml:space="preserve">Split values found by the decision tree (depth 3, at least 20 beams per end point, classes weighted)</t>
  </si>
  <si>
    <t xml:space="preserve">Cell name</t>
  </si>
  <si>
    <t xml:space="preserve">Quantity</t>
  </si>
  <si>
    <t xml:space="preserve">Split value</t>
  </si>
  <si>
    <t xml:space="preserve">Where in the tree</t>
  </si>
  <si>
    <t xml:space="preserve">S1</t>
  </si>
  <si>
    <t xml:space="preserve">Moment demand / capacity</t>
  </si>
  <si>
    <t xml:space="preserve">First split</t>
  </si>
  <si>
    <t xml:space="preserve">S2</t>
  </si>
  <si>
    <t xml:space="preserve">Crack width / IS 456 limit</t>
  </si>
  <si>
    <t xml:space="preserve">Demand / capacity at most the first split</t>
  </si>
  <si>
    <t xml:space="preserve">S3</t>
  </si>
  <si>
    <t xml:space="preserve">Deflection / span/250 limit</t>
  </si>
  <si>
    <t xml:space="preserve">Cracks within the limit</t>
  </si>
  <si>
    <t xml:space="preserve">S4</t>
  </si>
  <si>
    <t xml:space="preserve">Cracks over the limit</t>
  </si>
  <si>
    <t xml:space="preserve">S5</t>
  </si>
  <si>
    <t xml:space="preserve">Demand / capacity above the first split</t>
  </si>
  <si>
    <t xml:space="preserve">S6</t>
  </si>
  <si>
    <t xml:space="preserve">Stiffness left (twin, lower bound)</t>
  </si>
  <si>
    <t xml:space="preserve">Demand / capacity up to the second split</t>
  </si>
  <si>
    <t xml:space="preserve">S7</t>
  </si>
  <si>
    <t xml:space="preserve">Span / effective depth</t>
  </si>
  <si>
    <t xml:space="preserve">Demand / capacity above the second split</t>
  </si>
  <si>
    <t xml:space="preserve">The tree as rules</t>
  </si>
  <si>
    <t xml:space="preserve">If moment demand / capacity &lt;= S1 (about 1.00, the beam is strong enough):</t>
  </si>
  <si>
    <t xml:space="preserve">    if crack width / limit &lt;= S2 (about 1.00): monitor if deflection / limit &lt;= S3 (about 0.96), otherwise polymer laminate;</t>
  </si>
  <si>
    <t xml:space="preserve">    if crack width / limit &gt; S2: seal cracks if deflection / limit &lt;= S4 (about 0.99), otherwise polymer laminate.</t>
  </si>
  <si>
    <t xml:space="preserve">If moment demand / capacity &gt; S1 (more strength needed):</t>
  </si>
  <si>
    <t xml:space="preserve">    if demand / capacity &lt;= S5 (about 1.29): steel plate or jacket if the twin's stiffness left &lt;= S6 (about 0.30), otherwise polymer laminate;</t>
  </si>
  <si>
    <t xml:space="preserve">    if demand / capacity &gt; S5: steel plate or jacket if span / effective depth &lt;= S7 (about 13.0), otherwise polymer laminate.</t>
  </si>
  <si>
    <t xml:space="preserve">Split values are shown rounded; the formulas use the full values in column C.</t>
  </si>
  <si>
    <t xml:space="preserve">Training beams: the 2100 beams the tree learned its rules from</t>
  </si>
  <si>
    <t xml:space="preserve">Beam no.</t>
  </si>
  <si>
    <t xml:space="preserve">Span (m)</t>
  </si>
  <si>
    <t xml:space="preserve">Width b (mm)</t>
  </si>
  <si>
    <t xml:space="preserve">Depth D (mm)</t>
  </si>
  <si>
    <t xml:space="preserve">Concrete grade fck (MPa)</t>
  </si>
  <si>
    <t xml:space="preserve">Steel ratio (%)</t>
  </si>
  <si>
    <t xml:space="preserve">Exposure (IS 456 Table 3)</t>
  </si>
  <si>
    <t xml:space="preserve">Crack limit (mm)</t>
  </si>
  <si>
    <t xml:space="preserve">Live load factor (change of use)</t>
  </si>
  <si>
    <t xml:space="preserve">Design utilisation</t>
  </si>
  <si>
    <t xml:space="preserve">Dead load fraction</t>
  </si>
  <si>
    <t xml:space="preserve">Crack width / limit</t>
  </si>
  <si>
    <t xml:space="preserve">Scheme by IS 456 checks</t>
  </si>
  <si>
    <t xml:space="preserve">Class used by the tree</t>
  </si>
  <si>
    <t xml:space="preserve">Tree prediction</t>
  </si>
  <si>
    <t xml:space="preserve">Correct?</t>
  </si>
  <si>
    <t xml:space="preserve">Moderate, cracking not harmful</t>
  </si>
  <si>
    <t xml:space="preserve">Severe</t>
  </si>
  <si>
    <t xml:space="preserve">Exposed to weather or moisture</t>
  </si>
  <si>
    <t xml:space="preserve">Steel plate</t>
  </si>
  <si>
    <t xml:space="preserve">Concrete jacket</t>
  </si>
  <si>
    <t xml:space="preserve">Test beams: the 900 beams the tree never saw while learning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</si>
</sst>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000"/>
    <numFmt numFmtId="167" formatCode="0"/>
    <numFmt numFmtId="168" formatCode="0.00"/>
    <numFmt numFmtId="169" formatCode="0.0"/>
    <numFmt numFmtId="170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1" t="s">
        <v>0</v>
      </c>
    </row>
    <row r="3" customFormat="false" ht="39.55" hidden="false" customHeight="false" outlineLevel="0" collapsed="false">
      <c r="A3" s="2" t="s">
        <v>1</v>
      </c>
      <c r="B3" s="3" t="s">
        <v>2</v>
      </c>
    </row>
    <row r="4" customFormat="false" ht="26.85" hidden="false" customHeight="false" outlineLevel="0" collapsed="false">
      <c r="A4" s="2" t="s">
        <v>3</v>
      </c>
      <c r="B4" s="3" t="s">
        <v>4</v>
      </c>
    </row>
    <row r="5" customFormat="false" ht="39.55" hidden="false" customHeight="false" outlineLevel="0" collapsed="false">
      <c r="A5" s="2" t="s">
        <v>5</v>
      </c>
      <c r="B5" s="3" t="s">
        <v>6</v>
      </c>
    </row>
    <row r="6" customFormat="false" ht="26.8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26.85" hidden="false" customHeight="false" outlineLevel="0" collapsed="false">
      <c r="A11" s="2" t="s">
        <v>17</v>
      </c>
      <c r="B11" s="3" t="s">
        <v>18</v>
      </c>
    </row>
    <row r="12" customFormat="false" ht="26.8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4" t="s">
        <v>23</v>
      </c>
    </row>
    <row r="3" customFormat="false" ht="15" hidden="false" customHeight="false" outlineLevel="0" collapsed="false">
      <c r="A3" s="4" t="s">
        <v>24</v>
      </c>
    </row>
    <row r="4" customFormat="false" ht="15" hidden="false" customHeight="false" outlineLevel="0" collapsed="false">
      <c r="A4" s="5" t="s">
        <v>25</v>
      </c>
      <c r="B4" s="5" t="n">
        <f aca="false">COUNTA('Test beams'!$A$4:$A$903)</f>
        <v>900</v>
      </c>
    </row>
    <row r="5" customFormat="false" ht="15" hidden="false" customHeight="false" outlineLevel="0" collapsed="false">
      <c r="A5" s="5" t="s">
        <v>26</v>
      </c>
      <c r="B5" s="5" t="n">
        <f aca="false">COUNTIF('Test beams'!$T$4:$T$903,"Yes")</f>
        <v>806</v>
      </c>
    </row>
    <row r="6" customFormat="false" ht="15" hidden="false" customHeight="false" outlineLevel="0" collapsed="false">
      <c r="A6" s="4" t="s">
        <v>27</v>
      </c>
      <c r="B6" s="6" t="n">
        <f aca="false">B5/B4</f>
        <v>0.895555555555556</v>
      </c>
    </row>
    <row r="8" customFormat="false" ht="15" hidden="false" customHeight="false" outlineLevel="0" collapsed="false">
      <c r="A8" s="7" t="s">
        <v>28</v>
      </c>
    </row>
    <row r="9" customFormat="false" ht="39.55" hidden="false" customHeight="false" outlineLevel="0" collapsed="false">
      <c r="B9" s="8" t="s">
        <v>29</v>
      </c>
      <c r="C9" s="8" t="s">
        <v>30</v>
      </c>
      <c r="D9" s="8" t="s">
        <v>31</v>
      </c>
      <c r="E9" s="8" t="s">
        <v>32</v>
      </c>
      <c r="F9" s="9" t="s">
        <v>33</v>
      </c>
      <c r="G9" s="10" t="s">
        <v>34</v>
      </c>
    </row>
    <row r="10" customFormat="false" ht="15" hidden="false" customHeight="false" outlineLevel="0" collapsed="false">
      <c r="A10" s="4" t="s">
        <v>29</v>
      </c>
      <c r="B10" s="5" t="n">
        <f aca="false">COUNTIFS('Test beams'!$R$4:$R$903,"Monitor",'Test beams'!$S$4:$S$903,"Monitor")</f>
        <v>295</v>
      </c>
      <c r="C10" s="5" t="n">
        <f aca="false">COUNTIFS('Test beams'!$R$4:$R$903,"Monitor",'Test beams'!$S$4:$S$903,"Seal cracks")</f>
        <v>0</v>
      </c>
      <c r="D10" s="5" t="n">
        <f aca="false">COUNTIFS('Test beams'!$R$4:$R$903,"Monitor",'Test beams'!$S$4:$S$903,"Polymer laminate")</f>
        <v>3</v>
      </c>
      <c r="E10" s="5" t="n">
        <f aca="false">COUNTIFS('Test beams'!$R$4:$R$903,"Monitor",'Test beams'!$S$4:$S$903,"Steel plate or jacket")</f>
        <v>0</v>
      </c>
      <c r="F10" s="5" t="n">
        <f aca="false">SUM(B10:E10)</f>
        <v>298</v>
      </c>
      <c r="G10" s="11" t="n">
        <f aca="false">IF(F10=0,0,B10/F10)</f>
        <v>0.98993288590604</v>
      </c>
    </row>
    <row r="11" customFormat="false" ht="15" hidden="false" customHeight="false" outlineLevel="0" collapsed="false">
      <c r="A11" s="4" t="s">
        <v>30</v>
      </c>
      <c r="B11" s="5" t="n">
        <f aca="false">COUNTIFS('Test beams'!$R$4:$R$903,"Seal cracks",'Test beams'!$S$4:$S$903,"Monitor")</f>
        <v>0</v>
      </c>
      <c r="C11" s="5" t="n">
        <f aca="false">COUNTIFS('Test beams'!$R$4:$R$903,"Seal cracks",'Test beams'!$S$4:$S$903,"Seal cracks")</f>
        <v>134</v>
      </c>
      <c r="D11" s="5" t="n">
        <f aca="false">COUNTIFS('Test beams'!$R$4:$R$903,"Seal cracks",'Test beams'!$S$4:$S$903,"Polymer laminate")</f>
        <v>0</v>
      </c>
      <c r="E11" s="5" t="n">
        <f aca="false">COUNTIFS('Test beams'!$R$4:$R$903,"Seal cracks",'Test beams'!$S$4:$S$903,"Steel plate or jacket")</f>
        <v>0</v>
      </c>
      <c r="F11" s="5" t="n">
        <f aca="false">SUM(B11:E11)</f>
        <v>134</v>
      </c>
      <c r="G11" s="11" t="n">
        <f aca="false">IF(F11=0,0,C11/F11)</f>
        <v>1</v>
      </c>
    </row>
    <row r="12" customFormat="false" ht="15" hidden="false" customHeight="false" outlineLevel="0" collapsed="false">
      <c r="A12" s="4" t="s">
        <v>31</v>
      </c>
      <c r="B12" s="5" t="n">
        <f aca="false">COUNTIFS('Test beams'!$R$4:$R$903,"Polymer laminate",'Test beams'!$S$4:$S$903,"Monitor")</f>
        <v>2</v>
      </c>
      <c r="C12" s="5" t="n">
        <f aca="false">COUNTIFS('Test beams'!$R$4:$R$903,"Polymer laminate",'Test beams'!$S$4:$S$903,"Seal cracks")</f>
        <v>3</v>
      </c>
      <c r="D12" s="5" t="n">
        <f aca="false">COUNTIFS('Test beams'!$R$4:$R$903,"Polymer laminate",'Test beams'!$S$4:$S$903,"Polymer laminate")</f>
        <v>343</v>
      </c>
      <c r="E12" s="5" t="n">
        <f aca="false">COUNTIFS('Test beams'!$R$4:$R$903,"Polymer laminate",'Test beams'!$S$4:$S$903,"Steel plate or jacket")</f>
        <v>82</v>
      </c>
      <c r="F12" s="5" t="n">
        <f aca="false">SUM(B12:E12)</f>
        <v>430</v>
      </c>
      <c r="G12" s="11" t="n">
        <f aca="false">IF(F12=0,0,D12/F12)</f>
        <v>0.797674418604651</v>
      </c>
    </row>
    <row r="13" customFormat="false" ht="15" hidden="false" customHeight="false" outlineLevel="0" collapsed="false">
      <c r="A13" s="4" t="s">
        <v>32</v>
      </c>
      <c r="B13" s="5" t="n">
        <f aca="false">COUNTIFS('Test beams'!$R$4:$R$903,"Steel plate or jacket",'Test beams'!$S$4:$S$903,"Monitor")</f>
        <v>0</v>
      </c>
      <c r="C13" s="5" t="n">
        <f aca="false">COUNTIFS('Test beams'!$R$4:$R$903,"Steel plate or jacket",'Test beams'!$S$4:$S$903,"Seal cracks")</f>
        <v>0</v>
      </c>
      <c r="D13" s="5" t="n">
        <f aca="false">COUNTIFS('Test beams'!$R$4:$R$903,"Steel plate or jacket",'Test beams'!$S$4:$S$903,"Polymer laminate")</f>
        <v>4</v>
      </c>
      <c r="E13" s="5" t="n">
        <f aca="false">COUNTIFS('Test beams'!$R$4:$R$903,"Steel plate or jacket",'Test beams'!$S$4:$S$903,"Steel plate or jacket")</f>
        <v>34</v>
      </c>
      <c r="F13" s="5" t="n">
        <f aca="false">SUM(B13:E13)</f>
        <v>38</v>
      </c>
      <c r="G13" s="11" t="n">
        <f aca="false">IF(F13=0,0,E13/F13)</f>
        <v>0.894736842105263</v>
      </c>
    </row>
    <row r="14" customFormat="false" ht="15" hidden="false" customHeight="false" outlineLevel="0" collapsed="false">
      <c r="A14" s="4" t="s">
        <v>35</v>
      </c>
      <c r="G14" s="6" t="n">
        <f aca="false">AVERAGE(G10:G13)</f>
        <v>0.920586036653989</v>
      </c>
    </row>
    <row r="15" customFormat="false" ht="15" hidden="false" customHeight="false" outlineLevel="0" collapsed="false">
      <c r="A15" s="4" t="s">
        <v>36</v>
      </c>
      <c r="G15" s="12" t="str">
        <f aca="false">E13&amp;" of "&amp;F13</f>
        <v>34 of 38</v>
      </c>
    </row>
    <row r="17" customFormat="false" ht="15" hidden="false" customHeight="false" outlineLevel="0" collapsed="false">
      <c r="A17" s="4" t="s">
        <v>37</v>
      </c>
    </row>
    <row r="18" customFormat="false" ht="15" hidden="false" customHeight="false" outlineLevel="0" collapsed="false">
      <c r="A18" s="5" t="s">
        <v>25</v>
      </c>
      <c r="B18" s="5" t="n">
        <f aca="false">COUNTA('Training beams'!$A$4:$A$2103)</f>
        <v>2100</v>
      </c>
    </row>
    <row r="19" customFormat="false" ht="15" hidden="false" customHeight="false" outlineLevel="0" collapsed="false">
      <c r="A19" s="5" t="s">
        <v>26</v>
      </c>
      <c r="B19" s="5" t="n">
        <f aca="false">COUNTIF('Training beams'!$T$4:$T$2103,"Yes")</f>
        <v>1903</v>
      </c>
    </row>
    <row r="20" customFormat="false" ht="15" hidden="false" customHeight="false" outlineLevel="0" collapsed="false">
      <c r="A20" s="4" t="s">
        <v>27</v>
      </c>
      <c r="B20" s="6" t="n">
        <f aca="false">B19/B18</f>
        <v>0.906190476190476</v>
      </c>
    </row>
    <row r="22" customFormat="false" ht="15" hidden="false" customHeight="false" outlineLevel="0" collapsed="false">
      <c r="A22" s="7" t="s">
        <v>28</v>
      </c>
    </row>
    <row r="23" customFormat="false" ht="39.55" hidden="false" customHeight="false" outlineLevel="0" collapsed="false">
      <c r="B23" s="8" t="s">
        <v>29</v>
      </c>
      <c r="C23" s="8" t="s">
        <v>30</v>
      </c>
      <c r="D23" s="8" t="s">
        <v>31</v>
      </c>
      <c r="E23" s="8" t="s">
        <v>32</v>
      </c>
      <c r="F23" s="9" t="s">
        <v>33</v>
      </c>
      <c r="G23" s="10" t="s">
        <v>34</v>
      </c>
    </row>
    <row r="24" customFormat="false" ht="15" hidden="false" customHeight="false" outlineLevel="0" collapsed="false">
      <c r="A24" s="4" t="s">
        <v>29</v>
      </c>
      <c r="B24" s="5" t="n">
        <f aca="false">COUNTIFS('Training beams'!$R$4:$R$2103,"Monitor",'Training beams'!$S$4:$S$2103,"Monitor")</f>
        <v>695</v>
      </c>
      <c r="C24" s="5" t="n">
        <f aca="false">COUNTIFS('Training beams'!$R$4:$R$2103,"Monitor",'Training beams'!$S$4:$S$2103,"Seal cracks")</f>
        <v>0</v>
      </c>
      <c r="D24" s="5" t="n">
        <f aca="false">COUNTIFS('Training beams'!$R$4:$R$2103,"Monitor",'Training beams'!$S$4:$S$2103,"Polymer laminate")</f>
        <v>0</v>
      </c>
      <c r="E24" s="5" t="n">
        <f aca="false">COUNTIFS('Training beams'!$R$4:$R$2103,"Monitor",'Training beams'!$S$4:$S$2103,"Steel plate or jacket")</f>
        <v>0</v>
      </c>
      <c r="F24" s="5" t="n">
        <f aca="false">SUM(B24:E24)</f>
        <v>695</v>
      </c>
      <c r="G24" s="11" t="n">
        <f aca="false">IF(F24=0,0,B24/F24)</f>
        <v>1</v>
      </c>
    </row>
    <row r="25" customFormat="false" ht="15" hidden="false" customHeight="false" outlineLevel="0" collapsed="false">
      <c r="A25" s="4" t="s">
        <v>30</v>
      </c>
      <c r="B25" s="5" t="n">
        <f aca="false">COUNTIFS('Training beams'!$R$4:$R$2103,"Seal cracks",'Training beams'!$S$4:$S$2103,"Monitor")</f>
        <v>0</v>
      </c>
      <c r="C25" s="5" t="n">
        <f aca="false">COUNTIFS('Training beams'!$R$4:$R$2103,"Seal cracks",'Training beams'!$S$4:$S$2103,"Seal cracks")</f>
        <v>312</v>
      </c>
      <c r="D25" s="5" t="n">
        <f aca="false">COUNTIFS('Training beams'!$R$4:$R$2103,"Seal cracks",'Training beams'!$S$4:$S$2103,"Polymer laminate")</f>
        <v>0</v>
      </c>
      <c r="E25" s="5" t="n">
        <f aca="false">COUNTIFS('Training beams'!$R$4:$R$2103,"Seal cracks",'Training beams'!$S$4:$S$2103,"Steel plate or jacket")</f>
        <v>0</v>
      </c>
      <c r="F25" s="5" t="n">
        <f aca="false">SUM(B25:E25)</f>
        <v>312</v>
      </c>
      <c r="G25" s="11" t="n">
        <f aca="false">IF(F25=0,0,C25/F25)</f>
        <v>1</v>
      </c>
    </row>
    <row r="26" customFormat="false" ht="15" hidden="false" customHeight="false" outlineLevel="0" collapsed="false">
      <c r="A26" s="4" t="s">
        <v>31</v>
      </c>
      <c r="B26" s="5" t="n">
        <f aca="false">COUNTIFS('Training beams'!$R$4:$R$2103,"Polymer laminate",'Training beams'!$S$4:$S$2103,"Monitor")</f>
        <v>2</v>
      </c>
      <c r="C26" s="5" t="n">
        <f aca="false">COUNTIFS('Training beams'!$R$4:$R$2103,"Polymer laminate",'Training beams'!$S$4:$S$2103,"Seal cracks")</f>
        <v>4</v>
      </c>
      <c r="D26" s="5" t="n">
        <f aca="false">COUNTIFS('Training beams'!$R$4:$R$2103,"Polymer laminate",'Training beams'!$S$4:$S$2103,"Polymer laminate")</f>
        <v>812</v>
      </c>
      <c r="E26" s="5" t="n">
        <f aca="false">COUNTIFS('Training beams'!$R$4:$R$2103,"Polymer laminate",'Training beams'!$S$4:$S$2103,"Steel plate or jacket")</f>
        <v>187</v>
      </c>
      <c r="F26" s="5" t="n">
        <f aca="false">SUM(B26:E26)</f>
        <v>1005</v>
      </c>
      <c r="G26" s="11" t="n">
        <f aca="false">IF(F26=0,0,D26/F26)</f>
        <v>0.807960199004975</v>
      </c>
    </row>
    <row r="27" customFormat="false" ht="15" hidden="false" customHeight="false" outlineLevel="0" collapsed="false">
      <c r="A27" s="4" t="s">
        <v>32</v>
      </c>
      <c r="B27" s="5" t="n">
        <f aca="false">COUNTIFS('Training beams'!$R$4:$R$2103,"Steel plate or jacket",'Training beams'!$S$4:$S$2103,"Monitor")</f>
        <v>0</v>
      </c>
      <c r="C27" s="5" t="n">
        <f aca="false">COUNTIFS('Training beams'!$R$4:$R$2103,"Steel plate or jacket",'Training beams'!$S$4:$S$2103,"Seal cracks")</f>
        <v>0</v>
      </c>
      <c r="D27" s="5" t="n">
        <f aca="false">COUNTIFS('Training beams'!$R$4:$R$2103,"Steel plate or jacket",'Training beams'!$S$4:$S$2103,"Polymer laminate")</f>
        <v>4</v>
      </c>
      <c r="E27" s="5" t="n">
        <f aca="false">COUNTIFS('Training beams'!$R$4:$R$2103,"Steel plate or jacket",'Training beams'!$S$4:$S$2103,"Steel plate or jacket")</f>
        <v>84</v>
      </c>
      <c r="F27" s="5" t="n">
        <f aca="false">SUM(B27:E27)</f>
        <v>88</v>
      </c>
      <c r="G27" s="11" t="n">
        <f aca="false">IF(F27=0,0,E27/F27)</f>
        <v>0.954545454545455</v>
      </c>
    </row>
    <row r="28" customFormat="false" ht="15" hidden="false" customHeight="false" outlineLevel="0" collapsed="false">
      <c r="A28" s="4" t="s">
        <v>35</v>
      </c>
      <c r="G28" s="6" t="n">
        <f aca="false">AVERAGE(G24:G27)</f>
        <v>0.940626413387607</v>
      </c>
    </row>
    <row r="29" customFormat="false" ht="15" hidden="false" customHeight="false" outlineLevel="0" collapsed="false">
      <c r="A29" s="4" t="s">
        <v>36</v>
      </c>
      <c r="G29" s="12" t="str">
        <f aca="false">E27&amp;" of "&amp;F27</f>
        <v>84 of 88</v>
      </c>
    </row>
    <row r="31" customFormat="false" ht="15" hidden="false" customHeight="false" outlineLevel="0" collapsed="false">
      <c r="A31" s="7" t="s">
        <v>38</v>
      </c>
    </row>
    <row r="32" customFormat="false" ht="15" hidden="false" customHeight="false" outlineLevel="0" collapsed="false">
      <c r="A32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4" t="s">
        <v>40</v>
      </c>
    </row>
    <row r="3" customFormat="false" ht="15" hidden="false" customHeight="false" outlineLevel="0" collapsed="false">
      <c r="A3" s="9" t="s">
        <v>41</v>
      </c>
      <c r="B3" s="9" t="s">
        <v>42</v>
      </c>
      <c r="C3" s="9" t="s">
        <v>43</v>
      </c>
      <c r="D3" s="9" t="s">
        <v>44</v>
      </c>
    </row>
    <row r="4" customFormat="false" ht="15" hidden="false" customHeight="false" outlineLevel="0" collapsed="false">
      <c r="A4" s="4" t="s">
        <v>45</v>
      </c>
      <c r="B4" s="5" t="s">
        <v>46</v>
      </c>
      <c r="C4" s="13" t="n">
        <v>1.000896692276</v>
      </c>
      <c r="D4" s="5" t="s">
        <v>47</v>
      </c>
    </row>
    <row r="5" customFormat="false" ht="15" hidden="false" customHeight="false" outlineLevel="0" collapsed="false">
      <c r="A5" s="4" t="s">
        <v>48</v>
      </c>
      <c r="B5" s="5" t="s">
        <v>49</v>
      </c>
      <c r="C5" s="13" t="n">
        <v>1.00102978944778</v>
      </c>
      <c r="D5" s="5" t="s">
        <v>50</v>
      </c>
    </row>
    <row r="6" customFormat="false" ht="15" hidden="false" customHeight="false" outlineLevel="0" collapsed="false">
      <c r="A6" s="4" t="s">
        <v>51</v>
      </c>
      <c r="B6" s="5" t="s">
        <v>52</v>
      </c>
      <c r="C6" s="13" t="n">
        <v>0.960237562656403</v>
      </c>
      <c r="D6" s="5" t="s">
        <v>53</v>
      </c>
    </row>
    <row r="7" customFormat="false" ht="15" hidden="false" customHeight="false" outlineLevel="0" collapsed="false">
      <c r="A7" s="4" t="s">
        <v>54</v>
      </c>
      <c r="B7" s="5" t="s">
        <v>52</v>
      </c>
      <c r="C7" s="13" t="n">
        <v>0.988722264766693</v>
      </c>
      <c r="D7" s="5" t="s">
        <v>55</v>
      </c>
    </row>
    <row r="8" customFormat="false" ht="15" hidden="false" customHeight="false" outlineLevel="0" collapsed="false">
      <c r="A8" s="4" t="s">
        <v>56</v>
      </c>
      <c r="B8" s="5" t="s">
        <v>46</v>
      </c>
      <c r="C8" s="13" t="n">
        <v>1.29426491260529</v>
      </c>
      <c r="D8" s="5" t="s">
        <v>57</v>
      </c>
    </row>
    <row r="9" customFormat="false" ht="15" hidden="false" customHeight="false" outlineLevel="0" collapsed="false">
      <c r="A9" s="4" t="s">
        <v>58</v>
      </c>
      <c r="B9" s="5" t="s">
        <v>59</v>
      </c>
      <c r="C9" s="13" t="n">
        <v>0.295337378978729</v>
      </c>
      <c r="D9" s="5" t="s">
        <v>60</v>
      </c>
    </row>
    <row r="10" customFormat="false" ht="15" hidden="false" customHeight="false" outlineLevel="0" collapsed="false">
      <c r="A10" s="4" t="s">
        <v>61</v>
      </c>
      <c r="B10" s="5" t="s">
        <v>62</v>
      </c>
      <c r="C10" s="13" t="n">
        <v>13.006471157074</v>
      </c>
      <c r="D10" s="5" t="s">
        <v>63</v>
      </c>
    </row>
    <row r="13" customFormat="false" ht="15" hidden="false" customHeight="false" outlineLevel="0" collapsed="false">
      <c r="A13" s="4" t="s">
        <v>64</v>
      </c>
    </row>
    <row r="14" customFormat="false" ht="15" hidden="false" customHeight="false" outlineLevel="0" collapsed="false">
      <c r="A14" s="5" t="s">
        <v>65</v>
      </c>
    </row>
    <row r="15" customFormat="false" ht="15" hidden="false" customHeight="false" outlineLevel="0" collapsed="false">
      <c r="A15" s="5" t="s">
        <v>66</v>
      </c>
    </row>
    <row r="16" customFormat="false" ht="15" hidden="false" customHeight="false" outlineLevel="0" collapsed="false">
      <c r="A16" s="5" t="s">
        <v>67</v>
      </c>
    </row>
    <row r="17" customFormat="false" ht="15" hidden="false" customHeight="false" outlineLevel="0" collapsed="false">
      <c r="A17" s="5" t="s">
        <v>68</v>
      </c>
    </row>
    <row r="18" customFormat="false" ht="15" hidden="false" customHeight="false" outlineLevel="0" collapsed="false">
      <c r="A18" s="5" t="s">
        <v>69</v>
      </c>
    </row>
    <row r="19" customFormat="false" ht="15" hidden="false" customHeight="false" outlineLevel="0" collapsed="false">
      <c r="A19" s="5" t="s">
        <v>70</v>
      </c>
    </row>
    <row r="21" customFormat="false" ht="15" hidden="false" customHeight="false" outlineLevel="0" collapsed="false">
      <c r="A21" s="7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2" min="10" style="0" width="11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18"/>
    <col collapsed="false" customWidth="true" hidden="false" outlineLevel="0" max="19" min="18" style="0" width="20"/>
    <col collapsed="false" customWidth="true" hidden="false" outlineLevel="0" max="20" min="20" style="0" width="9"/>
  </cols>
  <sheetData>
    <row r="1" customFormat="false" ht="15" hidden="false" customHeight="false" outlineLevel="0" collapsed="false">
      <c r="A1" s="4" t="s">
        <v>72</v>
      </c>
    </row>
    <row r="3" customFormat="false" ht="48" hidden="false" customHeight="true" outlineLevel="0" collapsed="false">
      <c r="A3" s="14" t="s">
        <v>73</v>
      </c>
      <c r="B3" s="14" t="s">
        <v>74</v>
      </c>
      <c r="C3" s="14" t="s">
        <v>75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80</v>
      </c>
      <c r="I3" s="14" t="s">
        <v>81</v>
      </c>
      <c r="J3" s="14" t="s">
        <v>82</v>
      </c>
      <c r="K3" s="14" t="s">
        <v>83</v>
      </c>
      <c r="L3" s="14" t="s">
        <v>62</v>
      </c>
      <c r="M3" s="14" t="s">
        <v>59</v>
      </c>
      <c r="N3" s="14" t="s">
        <v>84</v>
      </c>
      <c r="O3" s="14" t="s">
        <v>46</v>
      </c>
      <c r="P3" s="14" t="s">
        <v>52</v>
      </c>
      <c r="Q3" s="14" t="s">
        <v>85</v>
      </c>
      <c r="R3" s="14" t="s">
        <v>86</v>
      </c>
      <c r="S3" s="14" t="s">
        <v>87</v>
      </c>
      <c r="T3" s="14" t="s">
        <v>88</v>
      </c>
    </row>
    <row r="4" customFormat="false" ht="15" hidden="false" customHeight="false" outlineLevel="0" collapsed="false">
      <c r="A4" s="15" t="n">
        <v>0</v>
      </c>
      <c r="B4" s="16" t="n">
        <v>4.48854728210431</v>
      </c>
      <c r="C4" s="15" t="n">
        <v>300</v>
      </c>
      <c r="D4" s="15" t="n">
        <v>375</v>
      </c>
      <c r="E4" s="15" t="n">
        <v>20</v>
      </c>
      <c r="F4" s="16" t="n">
        <v>0.569472988566126</v>
      </c>
      <c r="G4" s="17" t="s">
        <v>89</v>
      </c>
      <c r="H4" s="18" t="n">
        <v>0.3</v>
      </c>
      <c r="I4" s="18" t="n">
        <v>1.5</v>
      </c>
      <c r="J4" s="19" t="n">
        <v>0.940647362016046</v>
      </c>
      <c r="K4" s="19" t="n">
        <v>0.522870833085232</v>
      </c>
      <c r="L4" s="16" t="n">
        <v>13.5605658069617</v>
      </c>
      <c r="M4" s="19" t="n">
        <v>0.349453597407505</v>
      </c>
      <c r="N4" s="19" t="n">
        <v>0.820438511329481</v>
      </c>
      <c r="O4" s="19" t="n">
        <v>1.16505250811569</v>
      </c>
      <c r="P4" s="19" t="n">
        <v>1.02181403854125</v>
      </c>
      <c r="Q4" s="17" t="s">
        <v>31</v>
      </c>
      <c r="R4" s="5" t="str">
        <f aca="false">IF(OR(Q4="Steel plate",Q4="Concrete jacket"),"Steel plate or jacket",Q4)</f>
        <v>Polymer laminate</v>
      </c>
      <c r="S4" s="5" t="str">
        <f aca="false">IF(O4&lt;='Tree rules'!$C$4,IF(N4&lt;='Tree rules'!$C$5,IF(P4&lt;='Tree rules'!$C$6,"Monitor","Polymer laminate"),IF(P4&lt;='Tree rules'!$C$7,"Seal cracks","Polymer laminate")),IF(O4&lt;='Tree rules'!$C$8,IF(M4&lt;='Tree rules'!$C$9,"Steel plate or jacket","Polymer laminate"),IF(L4&lt;='Tree rules'!$C$10,"Steel plate or jacket","Polymer laminate")))</f>
        <v>Polymer laminate</v>
      </c>
      <c r="T4" s="5" t="str">
        <f aca="false">IF(S4=R4,"Yes","No")</f>
        <v>Yes</v>
      </c>
    </row>
    <row r="5" customFormat="false" ht="15" hidden="false" customHeight="false" outlineLevel="0" collapsed="false">
      <c r="A5" s="15" t="n">
        <v>2</v>
      </c>
      <c r="B5" s="16" t="n">
        <v>3.39186452461093</v>
      </c>
      <c r="C5" s="15" t="n">
        <v>300</v>
      </c>
      <c r="D5" s="15" t="n">
        <v>325</v>
      </c>
      <c r="E5" s="15" t="n">
        <v>30</v>
      </c>
      <c r="F5" s="16" t="n">
        <v>0.799387443661525</v>
      </c>
      <c r="G5" s="17" t="s">
        <v>90</v>
      </c>
      <c r="H5" s="18" t="n">
        <v>0.1</v>
      </c>
      <c r="I5" s="18" t="n">
        <v>1</v>
      </c>
      <c r="J5" s="19" t="n">
        <v>0.932706348747207</v>
      </c>
      <c r="K5" s="19" t="n">
        <v>0.46567081461192</v>
      </c>
      <c r="L5" s="16" t="n">
        <v>12.9460478038585</v>
      </c>
      <c r="M5" s="19" t="n">
        <v>0.265495381492993</v>
      </c>
      <c r="N5" s="19" t="n">
        <v>3.72008160152855</v>
      </c>
      <c r="O5" s="19" t="n">
        <v>0.932706348747207</v>
      </c>
      <c r="P5" s="19" t="n">
        <v>0.951890708554937</v>
      </c>
      <c r="Q5" s="17" t="s">
        <v>30</v>
      </c>
      <c r="R5" s="5" t="str">
        <f aca="false">IF(OR(Q5="Steel plate",Q5="Concrete jacket"),"Steel plate or jacket",Q5)</f>
        <v>Seal cracks</v>
      </c>
      <c r="S5" s="5" t="str">
        <f aca="false">IF(O5&lt;='Tree rules'!$C$4,IF(N5&lt;='Tree rules'!$C$5,IF(P5&lt;='Tree rules'!$C$6,"Monitor","Polymer laminate"),IF(P5&lt;='Tree rules'!$C$7,"Seal cracks","Polymer laminate")),IF(O5&lt;='Tree rules'!$C$8,IF(M5&lt;='Tree rules'!$C$9,"Steel plate or jacket","Polymer laminate"),IF(L5&lt;='Tree rules'!$C$10,"Steel plate or jacket","Polymer laminate")))</f>
        <v>Seal cracks</v>
      </c>
      <c r="T5" s="5" t="str">
        <f aca="false">IF(S5=R5,"Yes","No")</f>
        <v>Yes</v>
      </c>
    </row>
    <row r="6" customFormat="false" ht="15" hidden="false" customHeight="false" outlineLevel="0" collapsed="false">
      <c r="A6" s="15" t="n">
        <v>3</v>
      </c>
      <c r="B6" s="16" t="n">
        <v>4.40880118368376</v>
      </c>
      <c r="C6" s="15" t="n">
        <v>230</v>
      </c>
      <c r="D6" s="15" t="n">
        <v>400</v>
      </c>
      <c r="E6" s="15" t="n">
        <v>25</v>
      </c>
      <c r="F6" s="16" t="n">
        <v>0.776085141697083</v>
      </c>
      <c r="G6" s="17" t="s">
        <v>91</v>
      </c>
      <c r="H6" s="18" t="n">
        <v>0.2</v>
      </c>
      <c r="I6" s="18" t="n">
        <v>1.5</v>
      </c>
      <c r="J6" s="19" t="n">
        <v>0.914134681381201</v>
      </c>
      <c r="K6" s="19" t="n">
        <v>0.523234040547489</v>
      </c>
      <c r="L6" s="16" t="n">
        <v>12.525003362738</v>
      </c>
      <c r="M6" s="19" t="n">
        <v>0.374519720297214</v>
      </c>
      <c r="N6" s="19" t="n">
        <v>1.65877826532966</v>
      </c>
      <c r="O6" s="19" t="n">
        <v>1.13204883059996</v>
      </c>
      <c r="P6" s="19" t="n">
        <v>1.01961851198377</v>
      </c>
      <c r="Q6" s="17" t="s">
        <v>31</v>
      </c>
      <c r="R6" s="5" t="str">
        <f aca="false">IF(OR(Q6="Steel plate",Q6="Concrete jacket"),"Steel plate or jacket",Q6)</f>
        <v>Polymer laminate</v>
      </c>
      <c r="S6" s="5" t="str">
        <f aca="false">IF(O6&lt;='Tree rules'!$C$4,IF(N6&lt;='Tree rules'!$C$5,IF(P6&lt;='Tree rules'!$C$6,"Monitor","Polymer laminate"),IF(P6&lt;='Tree rules'!$C$7,"Seal cracks","Polymer laminate")),IF(O6&lt;='Tree rules'!$C$8,IF(M6&lt;='Tree rules'!$C$9,"Steel plate or jacket","Polymer laminate"),IF(L6&lt;='Tree rules'!$C$10,"Steel plate or jacket","Polymer laminate")))</f>
        <v>Polymer laminate</v>
      </c>
      <c r="T6" s="5" t="str">
        <f aca="false">IF(S6=R6,"Yes","No")</f>
        <v>Yes</v>
      </c>
    </row>
    <row r="7" customFormat="false" ht="15" hidden="false" customHeight="false" outlineLevel="0" collapsed="false">
      <c r="A7" s="15" t="n">
        <v>5</v>
      </c>
      <c r="B7" s="16" t="n">
        <v>4.67848541805726</v>
      </c>
      <c r="C7" s="15" t="n">
        <v>300</v>
      </c>
      <c r="D7" s="15" t="n">
        <v>475</v>
      </c>
      <c r="E7" s="15" t="n">
        <v>30</v>
      </c>
      <c r="F7" s="16" t="n">
        <v>0.781126378514945</v>
      </c>
      <c r="G7" s="17" t="s">
        <v>89</v>
      </c>
      <c r="H7" s="18" t="n">
        <v>0.3</v>
      </c>
      <c r="I7" s="18" t="n">
        <v>1</v>
      </c>
      <c r="J7" s="19" t="n">
        <v>0.934967370577205</v>
      </c>
      <c r="K7" s="19" t="n">
        <v>0.497958243077699</v>
      </c>
      <c r="L7" s="16" t="n">
        <v>10.9055604150519</v>
      </c>
      <c r="M7" s="19" t="n">
        <v>0.605055299963266</v>
      </c>
      <c r="N7" s="19" t="n">
        <v>0.621138211027381</v>
      </c>
      <c r="O7" s="19" t="n">
        <v>0.934967370577205</v>
      </c>
      <c r="P7" s="19" t="n">
        <v>0.51764299238782</v>
      </c>
      <c r="Q7" s="17" t="s">
        <v>29</v>
      </c>
      <c r="R7" s="5" t="str">
        <f aca="false">IF(OR(Q7="Steel plate",Q7="Concrete jacket"),"Steel plate or jacket",Q7)</f>
        <v>Monitor</v>
      </c>
      <c r="S7" s="5" t="str">
        <f aca="false">IF(O7&lt;='Tree rules'!$C$4,IF(N7&lt;='Tree rules'!$C$5,IF(P7&lt;='Tree rules'!$C$6,"Monitor","Polymer laminate"),IF(P7&lt;='Tree rules'!$C$7,"Seal cracks","Polymer laminate")),IF(O7&lt;='Tree rules'!$C$8,IF(M7&lt;='Tree rules'!$C$9,"Steel plate or jacket","Polymer laminate"),IF(L7&lt;='Tree rules'!$C$10,"Steel plate or jacket","Polymer laminate")))</f>
        <v>Monitor</v>
      </c>
      <c r="T7" s="5" t="str">
        <f aca="false">IF(S7=R7,"Yes","No")</f>
        <v>Yes</v>
      </c>
    </row>
    <row r="8" customFormat="false" ht="15" hidden="false" customHeight="false" outlineLevel="0" collapsed="false">
      <c r="A8" s="15" t="n">
        <v>7</v>
      </c>
      <c r="B8" s="16" t="n">
        <v>4.09002965023134</v>
      </c>
      <c r="C8" s="15" t="n">
        <v>300</v>
      </c>
      <c r="D8" s="15" t="n">
        <v>375</v>
      </c>
      <c r="E8" s="15" t="n">
        <v>25</v>
      </c>
      <c r="F8" s="16" t="n">
        <v>0.611130485804701</v>
      </c>
      <c r="G8" s="17" t="s">
        <v>89</v>
      </c>
      <c r="H8" s="18" t="n">
        <v>0.3</v>
      </c>
      <c r="I8" s="18" t="n">
        <v>1</v>
      </c>
      <c r="J8" s="19" t="n">
        <v>0.94940231029286</v>
      </c>
      <c r="K8" s="19" t="n">
        <v>0.479119640067134</v>
      </c>
      <c r="L8" s="16" t="n">
        <v>12.431701064533</v>
      </c>
      <c r="M8" s="19" t="n">
        <v>0.699386389254967</v>
      </c>
      <c r="N8" s="19" t="n">
        <v>0.755351520994779</v>
      </c>
      <c r="O8" s="19" t="n">
        <v>0.94940231029286</v>
      </c>
      <c r="P8" s="19" t="n">
        <v>0.411964569919492</v>
      </c>
      <c r="Q8" s="17" t="s">
        <v>29</v>
      </c>
      <c r="R8" s="5" t="str">
        <f aca="false">IF(OR(Q8="Steel plate",Q8="Concrete jacket"),"Steel plate or jacket",Q8)</f>
        <v>Monitor</v>
      </c>
      <c r="S8" s="5" t="str">
        <f aca="false">IF(O8&lt;='Tree rules'!$C$4,IF(N8&lt;='Tree rules'!$C$5,IF(P8&lt;='Tree rules'!$C$6,"Monitor","Polymer laminate"),IF(P8&lt;='Tree rules'!$C$7,"Seal cracks","Polymer laminate")),IF(O8&lt;='Tree rules'!$C$8,IF(M8&lt;='Tree rules'!$C$9,"Steel plate or jacket","Polymer laminate"),IF(L8&lt;='Tree rules'!$C$10,"Steel plate or jacket","Polymer laminate")))</f>
        <v>Monitor</v>
      </c>
      <c r="T8" s="5" t="str">
        <f aca="false">IF(S8=R8,"Yes","No")</f>
        <v>Yes</v>
      </c>
    </row>
    <row r="9" customFormat="false" ht="15" hidden="false" customHeight="false" outlineLevel="0" collapsed="false">
      <c r="A9" s="15" t="n">
        <v>8</v>
      </c>
      <c r="B9" s="16" t="n">
        <v>3.03077834667644</v>
      </c>
      <c r="C9" s="15" t="n">
        <v>230</v>
      </c>
      <c r="D9" s="15" t="n">
        <v>300</v>
      </c>
      <c r="E9" s="15" t="n">
        <v>30</v>
      </c>
      <c r="F9" s="16" t="n">
        <v>1.0324987837885</v>
      </c>
      <c r="G9" s="17" t="s">
        <v>91</v>
      </c>
      <c r="H9" s="18" t="n">
        <v>0.2</v>
      </c>
      <c r="I9" s="18" t="n">
        <v>2</v>
      </c>
      <c r="J9" s="19" t="n">
        <v>0.884806827417998</v>
      </c>
      <c r="K9" s="19" t="n">
        <v>0.482773420178365</v>
      </c>
      <c r="L9" s="16" t="n">
        <v>11.9321982152616</v>
      </c>
      <c r="M9" s="19" t="n">
        <v>0.475905888403278</v>
      </c>
      <c r="N9" s="19" t="n">
        <v>1.55531827226145</v>
      </c>
      <c r="O9" s="19" t="n">
        <v>1.34245243656624</v>
      </c>
      <c r="P9" s="19" t="n">
        <v>0.871723231989631</v>
      </c>
      <c r="Q9" s="17" t="s">
        <v>31</v>
      </c>
      <c r="R9" s="5" t="str">
        <f aca="false">IF(OR(Q9="Steel plate",Q9="Concrete jacket"),"Steel plate or jacket",Q9)</f>
        <v>Polymer laminate</v>
      </c>
      <c r="S9" s="5" t="str">
        <f aca="false">IF(O9&lt;='Tree rules'!$C$4,IF(N9&lt;='Tree rules'!$C$5,IF(P9&lt;='Tree rules'!$C$6,"Monitor","Polymer laminate"),IF(P9&lt;='Tree rules'!$C$7,"Seal cracks","Polymer laminate")),IF(O9&lt;='Tree rules'!$C$8,IF(M9&lt;='Tree rules'!$C$9,"Steel plate or jacket","Polymer laminate"),IF(L9&lt;='Tree rules'!$C$10,"Steel plate or jacket","Polymer laminate")))</f>
        <v>Steel plate or jacket</v>
      </c>
      <c r="T9" s="5" t="str">
        <f aca="false">IF(S9=R9,"Yes","No")</f>
        <v>No</v>
      </c>
    </row>
    <row r="10" customFormat="false" ht="15" hidden="false" customHeight="false" outlineLevel="0" collapsed="false">
      <c r="A10" s="15" t="n">
        <v>9</v>
      </c>
      <c r="B10" s="16" t="n">
        <v>6.5003302798446</v>
      </c>
      <c r="C10" s="15" t="n">
        <v>230</v>
      </c>
      <c r="D10" s="15" t="n">
        <v>575</v>
      </c>
      <c r="E10" s="15" t="n">
        <v>25</v>
      </c>
      <c r="F10" s="16" t="n">
        <v>0.777557789024782</v>
      </c>
      <c r="G10" s="17" t="s">
        <v>89</v>
      </c>
      <c r="H10" s="18" t="n">
        <v>0.3</v>
      </c>
      <c r="I10" s="18" t="n">
        <v>1.5</v>
      </c>
      <c r="J10" s="19" t="n">
        <v>0.879186533142369</v>
      </c>
      <c r="K10" s="19" t="n">
        <v>0.588753312979513</v>
      </c>
      <c r="L10" s="16" t="n">
        <v>12.334592561375</v>
      </c>
      <c r="M10" s="19" t="n">
        <v>0.945517841915076</v>
      </c>
      <c r="N10" s="19" t="n">
        <v>0.692506583475471</v>
      </c>
      <c r="O10" s="19" t="n">
        <v>1.05996780765628</v>
      </c>
      <c r="P10" s="19" t="n">
        <v>0.475725490010803</v>
      </c>
      <c r="Q10" s="17" t="s">
        <v>31</v>
      </c>
      <c r="R10" s="5" t="str">
        <f aca="false">IF(OR(Q10="Steel plate",Q10="Concrete jacket"),"Steel plate or jacket",Q10)</f>
        <v>Polymer laminate</v>
      </c>
      <c r="S10" s="5" t="str">
        <f aca="false">IF(O10&lt;='Tree rules'!$C$4,IF(N10&lt;='Tree rules'!$C$5,IF(P10&lt;='Tree rules'!$C$6,"Monitor","Polymer laminate"),IF(P10&lt;='Tree rules'!$C$7,"Seal cracks","Polymer laminate")),IF(O10&lt;='Tree rules'!$C$8,IF(M10&lt;='Tree rules'!$C$9,"Steel plate or jacket","Polymer laminate"),IF(L10&lt;='Tree rules'!$C$10,"Steel plate or jacket","Polymer laminate")))</f>
        <v>Polymer laminate</v>
      </c>
      <c r="T10" s="5" t="str">
        <f aca="false">IF(S10=R10,"Yes","No")</f>
        <v>Yes</v>
      </c>
    </row>
    <row r="11" customFormat="false" ht="15" hidden="false" customHeight="false" outlineLevel="0" collapsed="false">
      <c r="A11" s="15" t="n">
        <v>10</v>
      </c>
      <c r="B11" s="16" t="n">
        <v>7.21206143301724</v>
      </c>
      <c r="C11" s="15" t="n">
        <v>230</v>
      </c>
      <c r="D11" s="15" t="n">
        <v>625</v>
      </c>
      <c r="E11" s="15" t="n">
        <v>30</v>
      </c>
      <c r="F11" s="16" t="n">
        <v>0.710178431223674</v>
      </c>
      <c r="G11" s="17" t="s">
        <v>91</v>
      </c>
      <c r="H11" s="18" t="n">
        <v>0.2</v>
      </c>
      <c r="I11" s="18" t="n">
        <v>1</v>
      </c>
      <c r="J11" s="19" t="n">
        <v>0.870034315921298</v>
      </c>
      <c r="K11" s="19" t="n">
        <v>0.504478229031434</v>
      </c>
      <c r="L11" s="16" t="n">
        <v>12.4992399185741</v>
      </c>
      <c r="M11" s="19" t="n">
        <v>0.946338278611708</v>
      </c>
      <c r="N11" s="19" t="n">
        <v>0.829733777214264</v>
      </c>
      <c r="O11" s="19" t="n">
        <v>0.870034315921298</v>
      </c>
      <c r="P11" s="19" t="n">
        <v>0.370195301455922</v>
      </c>
      <c r="Q11" s="17" t="s">
        <v>29</v>
      </c>
      <c r="R11" s="5" t="str">
        <f aca="false">IF(OR(Q11="Steel plate",Q11="Concrete jacket"),"Steel plate or jacket",Q11)</f>
        <v>Monitor</v>
      </c>
      <c r="S11" s="5" t="str">
        <f aca="false">IF(O11&lt;='Tree rules'!$C$4,IF(N11&lt;='Tree rules'!$C$5,IF(P11&lt;='Tree rules'!$C$6,"Monitor","Polymer laminate"),IF(P11&lt;='Tree rules'!$C$7,"Seal cracks","Polymer laminate")),IF(O11&lt;='Tree rules'!$C$8,IF(M11&lt;='Tree rules'!$C$9,"Steel plate or jacket","Polymer laminate"),IF(L11&lt;='Tree rules'!$C$10,"Steel plate or jacket","Polymer laminate")))</f>
        <v>Monitor</v>
      </c>
      <c r="T11" s="5" t="str">
        <f aca="false">IF(S11=R11,"Yes","No")</f>
        <v>Yes</v>
      </c>
    </row>
    <row r="12" customFormat="false" ht="15" hidden="false" customHeight="false" outlineLevel="0" collapsed="false">
      <c r="A12" s="15" t="n">
        <v>11</v>
      </c>
      <c r="B12" s="16" t="n">
        <v>4.15253683888422</v>
      </c>
      <c r="C12" s="15" t="n">
        <v>230</v>
      </c>
      <c r="D12" s="15" t="n">
        <v>375</v>
      </c>
      <c r="E12" s="15" t="n">
        <v>20</v>
      </c>
      <c r="F12" s="16" t="n">
        <v>0.594232683721175</v>
      </c>
      <c r="G12" s="17" t="s">
        <v>89</v>
      </c>
      <c r="H12" s="18" t="n">
        <v>0.3</v>
      </c>
      <c r="I12" s="18" t="n">
        <v>2</v>
      </c>
      <c r="J12" s="19" t="n">
        <v>0.993526324922576</v>
      </c>
      <c r="K12" s="19" t="n">
        <v>0.403249152910511</v>
      </c>
      <c r="L12" s="16" t="n">
        <v>12.5454285162665</v>
      </c>
      <c r="M12" s="19" t="n">
        <v>0.817260131624857</v>
      </c>
      <c r="N12" s="19" t="n">
        <v>1.02534113421001</v>
      </c>
      <c r="O12" s="19" t="n">
        <v>1.58641400092583</v>
      </c>
      <c r="P12" s="19" t="n">
        <v>0.494790031946625</v>
      </c>
      <c r="Q12" s="17" t="s">
        <v>31</v>
      </c>
      <c r="R12" s="5" t="str">
        <f aca="false">IF(OR(Q12="Steel plate",Q12="Concrete jacket"),"Steel plate or jacket",Q12)</f>
        <v>Polymer laminate</v>
      </c>
      <c r="S12" s="5" t="str">
        <f aca="false">IF(O12&lt;='Tree rules'!$C$4,IF(N12&lt;='Tree rules'!$C$5,IF(P12&lt;='Tree rules'!$C$6,"Monitor","Polymer laminate"),IF(P12&lt;='Tree rules'!$C$7,"Seal cracks","Polymer laminate")),IF(O12&lt;='Tree rules'!$C$8,IF(M12&lt;='Tree rules'!$C$9,"Steel plate or jacket","Polymer laminate"),IF(L12&lt;='Tree rules'!$C$10,"Steel plate or jacket","Polymer laminate")))</f>
        <v>Steel plate or jacket</v>
      </c>
      <c r="T12" s="5" t="str">
        <f aca="false">IF(S12=R12,"Yes","No")</f>
        <v>No</v>
      </c>
    </row>
    <row r="13" customFormat="false" ht="15" hidden="false" customHeight="false" outlineLevel="0" collapsed="false">
      <c r="A13" s="15" t="n">
        <v>12</v>
      </c>
      <c r="B13" s="16" t="n">
        <v>7.12506733902789</v>
      </c>
      <c r="C13" s="15" t="n">
        <v>230</v>
      </c>
      <c r="D13" s="15" t="n">
        <v>600</v>
      </c>
      <c r="E13" s="15" t="n">
        <v>30</v>
      </c>
      <c r="F13" s="16" t="n">
        <v>0.63117855856144</v>
      </c>
      <c r="G13" s="17" t="s">
        <v>89</v>
      </c>
      <c r="H13" s="18" t="n">
        <v>0.3</v>
      </c>
      <c r="I13" s="18" t="n">
        <v>2</v>
      </c>
      <c r="J13" s="19" t="n">
        <v>0.980681136173262</v>
      </c>
      <c r="K13" s="19" t="n">
        <v>0.466625156483096</v>
      </c>
      <c r="L13" s="16" t="n">
        <v>12.8611323809168</v>
      </c>
      <c r="M13" s="19" t="n">
        <v>0.781128193654373</v>
      </c>
      <c r="N13" s="19" t="n">
        <v>0.954485229460802</v>
      </c>
      <c r="O13" s="19" t="n">
        <v>1.50375178371966</v>
      </c>
      <c r="P13" s="19" t="n">
        <v>0.558793842547834</v>
      </c>
      <c r="Q13" s="17" t="s">
        <v>92</v>
      </c>
      <c r="R13" s="5" t="str">
        <f aca="false">IF(OR(Q13="Steel plate",Q13="Concrete jacket"),"Steel plate or jacket",Q13)</f>
        <v>Steel plate or jacket</v>
      </c>
      <c r="S13" s="5" t="str">
        <f aca="false">IF(O13&lt;='Tree rules'!$C$4,IF(N13&lt;='Tree rules'!$C$5,IF(P13&lt;='Tree rules'!$C$6,"Monitor","Polymer laminate"),IF(P13&lt;='Tree rules'!$C$7,"Seal cracks","Polymer laminate")),IF(O13&lt;='Tree rules'!$C$8,IF(M13&lt;='Tree rules'!$C$9,"Steel plate or jacket","Polymer laminate"),IF(L13&lt;='Tree rules'!$C$10,"Steel plate or jacket","Polymer laminate")))</f>
        <v>Steel plate or jacket</v>
      </c>
      <c r="T13" s="5" t="str">
        <f aca="false">IF(S13=R13,"Yes","No")</f>
        <v>Yes</v>
      </c>
    </row>
    <row r="14" customFormat="false" ht="15" hidden="false" customHeight="false" outlineLevel="0" collapsed="false">
      <c r="A14" s="15" t="n">
        <v>14</v>
      </c>
      <c r="B14" s="16" t="n">
        <v>4.91683025133168</v>
      </c>
      <c r="C14" s="15" t="n">
        <v>300</v>
      </c>
      <c r="D14" s="15" t="n">
        <v>500</v>
      </c>
      <c r="E14" s="15" t="n">
        <v>30</v>
      </c>
      <c r="F14" s="16" t="n">
        <v>0.926723496634157</v>
      </c>
      <c r="G14" s="17" t="s">
        <v>89</v>
      </c>
      <c r="H14" s="18" t="n">
        <v>0.3</v>
      </c>
      <c r="I14" s="18" t="n">
        <v>1.5</v>
      </c>
      <c r="J14" s="19" t="n">
        <v>0.887579761393618</v>
      </c>
      <c r="K14" s="19" t="n">
        <v>0.499873359774634</v>
      </c>
      <c r="L14" s="16" t="n">
        <v>10.8779430339197</v>
      </c>
      <c r="M14" s="19" t="n">
        <v>0.388301181212661</v>
      </c>
      <c r="N14" s="19" t="n">
        <v>0.818495564792022</v>
      </c>
      <c r="O14" s="19" t="n">
        <v>1.10953090339253</v>
      </c>
      <c r="P14" s="19" t="n">
        <v>0.958033562005819</v>
      </c>
      <c r="Q14" s="17" t="s">
        <v>31</v>
      </c>
      <c r="R14" s="5" t="str">
        <f aca="false">IF(OR(Q14="Steel plate",Q14="Concrete jacket"),"Steel plate or jacket",Q14)</f>
        <v>Polymer laminate</v>
      </c>
      <c r="S14" s="5" t="str">
        <f aca="false">IF(O14&lt;='Tree rules'!$C$4,IF(N14&lt;='Tree rules'!$C$5,IF(P14&lt;='Tree rules'!$C$6,"Monitor","Polymer laminate"),IF(P14&lt;='Tree rules'!$C$7,"Seal cracks","Polymer laminate")),IF(O14&lt;='Tree rules'!$C$8,IF(M14&lt;='Tree rules'!$C$9,"Steel plate or jacket","Polymer laminate"),IF(L14&lt;='Tree rules'!$C$10,"Steel plate or jacket","Polymer laminate")))</f>
        <v>Polymer laminate</v>
      </c>
      <c r="T14" s="5" t="str">
        <f aca="false">IF(S14=R14,"Yes","No")</f>
        <v>Yes</v>
      </c>
    </row>
    <row r="15" customFormat="false" ht="15" hidden="false" customHeight="false" outlineLevel="0" collapsed="false">
      <c r="A15" s="15" t="n">
        <v>15</v>
      </c>
      <c r="B15" s="16" t="n">
        <v>3.10596242983615</v>
      </c>
      <c r="C15" s="15" t="n">
        <v>300</v>
      </c>
      <c r="D15" s="15" t="n">
        <v>300</v>
      </c>
      <c r="E15" s="15" t="n">
        <v>25</v>
      </c>
      <c r="F15" s="16" t="n">
        <v>0.883572933822129</v>
      </c>
      <c r="G15" s="17" t="s">
        <v>89</v>
      </c>
      <c r="H15" s="18" t="n">
        <v>0.3</v>
      </c>
      <c r="I15" s="18" t="n">
        <v>1</v>
      </c>
      <c r="J15" s="19" t="n">
        <v>0.882965443559093</v>
      </c>
      <c r="K15" s="19" t="n">
        <v>0.649795199182957</v>
      </c>
      <c r="L15" s="16" t="n">
        <v>12.1326657415475</v>
      </c>
      <c r="M15" s="19" t="n">
        <v>0.417573881611104</v>
      </c>
      <c r="N15" s="19" t="n">
        <v>0.608350430109951</v>
      </c>
      <c r="O15" s="19" t="n">
        <v>0.882965443559093</v>
      </c>
      <c r="P15" s="19" t="n">
        <v>0.860477637657232</v>
      </c>
      <c r="Q15" s="17" t="s">
        <v>29</v>
      </c>
      <c r="R15" s="5" t="str">
        <f aca="false">IF(OR(Q15="Steel plate",Q15="Concrete jacket"),"Steel plate or jacket",Q15)</f>
        <v>Monitor</v>
      </c>
      <c r="S15" s="5" t="str">
        <f aca="false">IF(O15&lt;='Tree rules'!$C$4,IF(N15&lt;='Tree rules'!$C$5,IF(P15&lt;='Tree rules'!$C$6,"Monitor","Polymer laminate"),IF(P15&lt;='Tree rules'!$C$7,"Seal cracks","Polymer laminate")),IF(O15&lt;='Tree rules'!$C$8,IF(M15&lt;='Tree rules'!$C$9,"Steel plate or jacket","Polymer laminate"),IF(L15&lt;='Tree rules'!$C$10,"Steel plate or jacket","Polymer laminate")))</f>
        <v>Monitor</v>
      </c>
      <c r="T15" s="5" t="str">
        <f aca="false">IF(S15=R15,"Yes","No")</f>
        <v>Yes</v>
      </c>
    </row>
    <row r="16" customFormat="false" ht="15" hidden="false" customHeight="false" outlineLevel="0" collapsed="false">
      <c r="A16" s="15" t="n">
        <v>17</v>
      </c>
      <c r="B16" s="16" t="n">
        <v>7.75535090127829</v>
      </c>
      <c r="C16" s="15" t="n">
        <v>230</v>
      </c>
      <c r="D16" s="15" t="n">
        <v>675</v>
      </c>
      <c r="E16" s="15" t="n">
        <v>30</v>
      </c>
      <c r="F16" s="16" t="n">
        <v>0.555918794027087</v>
      </c>
      <c r="G16" s="17" t="s">
        <v>89</v>
      </c>
      <c r="H16" s="18" t="n">
        <v>0.3</v>
      </c>
      <c r="I16" s="18" t="n">
        <v>1.5</v>
      </c>
      <c r="J16" s="19" t="n">
        <v>0.859162936796536</v>
      </c>
      <c r="K16" s="19" t="n">
        <v>0.612536255294947</v>
      </c>
      <c r="L16" s="16" t="n">
        <v>12.3296516713486</v>
      </c>
      <c r="M16" s="19" t="n">
        <v>0.729167103170885</v>
      </c>
      <c r="N16" s="19" t="n">
        <v>0.621278325690325</v>
      </c>
      <c r="O16" s="19" t="n">
        <v>1.02561018119803</v>
      </c>
      <c r="P16" s="19" t="n">
        <v>0.447510459132192</v>
      </c>
      <c r="Q16" s="17" t="s">
        <v>31</v>
      </c>
      <c r="R16" s="5" t="str">
        <f aca="false">IF(OR(Q16="Steel plate",Q16="Concrete jacket"),"Steel plate or jacket",Q16)</f>
        <v>Polymer laminate</v>
      </c>
      <c r="S16" s="5" t="str">
        <f aca="false">IF(O16&lt;='Tree rules'!$C$4,IF(N16&lt;='Tree rules'!$C$5,IF(P16&lt;='Tree rules'!$C$6,"Monitor","Polymer laminate"),IF(P16&lt;='Tree rules'!$C$7,"Seal cracks","Polymer laminate")),IF(O16&lt;='Tree rules'!$C$8,IF(M16&lt;='Tree rules'!$C$9,"Steel plate or jacket","Polymer laminate"),IF(L16&lt;='Tree rules'!$C$10,"Steel plate or jacket","Polymer laminate")))</f>
        <v>Polymer laminate</v>
      </c>
      <c r="T16" s="5" t="str">
        <f aca="false">IF(S16=R16,"Yes","No")</f>
        <v>Yes</v>
      </c>
    </row>
    <row r="17" customFormat="false" ht="15" hidden="false" customHeight="false" outlineLevel="0" collapsed="false">
      <c r="A17" s="15" t="n">
        <v>20</v>
      </c>
      <c r="B17" s="16" t="n">
        <v>4.15906284493565</v>
      </c>
      <c r="C17" s="15" t="n">
        <v>300</v>
      </c>
      <c r="D17" s="15" t="n">
        <v>375</v>
      </c>
      <c r="E17" s="15" t="n">
        <v>25</v>
      </c>
      <c r="F17" s="16" t="n">
        <v>0.611130485804701</v>
      </c>
      <c r="G17" s="17" t="s">
        <v>91</v>
      </c>
      <c r="H17" s="18" t="n">
        <v>0.2</v>
      </c>
      <c r="I17" s="18" t="n">
        <v>1</v>
      </c>
      <c r="J17" s="19" t="n">
        <v>0.955337236216723</v>
      </c>
      <c r="K17" s="19" t="n">
        <v>0.544154892020162</v>
      </c>
      <c r="L17" s="16" t="n">
        <v>12.6415284040597</v>
      </c>
      <c r="M17" s="19" t="n">
        <v>0.939462682947555</v>
      </c>
      <c r="N17" s="19" t="n">
        <v>1.06677829888503</v>
      </c>
      <c r="O17" s="19" t="n">
        <v>0.955337236216723</v>
      </c>
      <c r="P17" s="19" t="n">
        <v>0.341248532904524</v>
      </c>
      <c r="Q17" s="17" t="s">
        <v>30</v>
      </c>
      <c r="R17" s="5" t="str">
        <f aca="false">IF(OR(Q17="Steel plate",Q17="Concrete jacket"),"Steel plate or jacket",Q17)</f>
        <v>Seal cracks</v>
      </c>
      <c r="S17" s="5" t="str">
        <f aca="false">IF(O17&lt;='Tree rules'!$C$4,IF(N17&lt;='Tree rules'!$C$5,IF(P17&lt;='Tree rules'!$C$6,"Monitor","Polymer laminate"),IF(P17&lt;='Tree rules'!$C$7,"Seal cracks","Polymer laminate")),IF(O17&lt;='Tree rules'!$C$8,IF(M17&lt;='Tree rules'!$C$9,"Steel plate or jacket","Polymer laminate"),IF(L17&lt;='Tree rules'!$C$10,"Steel plate or jacket","Polymer laminate")))</f>
        <v>Seal cracks</v>
      </c>
      <c r="T17" s="5" t="str">
        <f aca="false">IF(S17=R17,"Yes","No")</f>
        <v>Yes</v>
      </c>
    </row>
    <row r="18" customFormat="false" ht="15" hidden="false" customHeight="false" outlineLevel="0" collapsed="false">
      <c r="A18" s="15" t="n">
        <v>21</v>
      </c>
      <c r="B18" s="16" t="n">
        <v>4.14624467110065</v>
      </c>
      <c r="C18" s="15" t="n">
        <v>230</v>
      </c>
      <c r="D18" s="15" t="n">
        <v>375</v>
      </c>
      <c r="E18" s="15" t="n">
        <v>25</v>
      </c>
      <c r="F18" s="16" t="n">
        <v>0.594232683721175</v>
      </c>
      <c r="G18" s="17" t="s">
        <v>89</v>
      </c>
      <c r="H18" s="18" t="n">
        <v>0.3</v>
      </c>
      <c r="I18" s="18" t="n">
        <v>1</v>
      </c>
      <c r="J18" s="19" t="n">
        <v>0.998468994732792</v>
      </c>
      <c r="K18" s="19" t="n">
        <v>0.575281685354725</v>
      </c>
      <c r="L18" s="16" t="n">
        <v>12.5264189459234</v>
      </c>
      <c r="M18" s="19" t="n">
        <v>0.93702248088593</v>
      </c>
      <c r="N18" s="19" t="n">
        <v>0.594301611940242</v>
      </c>
      <c r="O18" s="19" t="n">
        <v>0.998468994732792</v>
      </c>
      <c r="P18" s="19" t="n">
        <v>0.351980846633099</v>
      </c>
      <c r="Q18" s="17" t="s">
        <v>29</v>
      </c>
      <c r="R18" s="5" t="str">
        <f aca="false">IF(OR(Q18="Steel plate",Q18="Concrete jacket"),"Steel plate or jacket",Q18)</f>
        <v>Monitor</v>
      </c>
      <c r="S18" s="5" t="str">
        <f aca="false">IF(O18&lt;='Tree rules'!$C$4,IF(N18&lt;='Tree rules'!$C$5,IF(P18&lt;='Tree rules'!$C$6,"Monitor","Polymer laminate"),IF(P18&lt;='Tree rules'!$C$7,"Seal cracks","Polymer laminate")),IF(O18&lt;='Tree rules'!$C$8,IF(M18&lt;='Tree rules'!$C$9,"Steel plate or jacket","Polymer laminate"),IF(L18&lt;='Tree rules'!$C$10,"Steel plate or jacket","Polymer laminate")))</f>
        <v>Monitor</v>
      </c>
      <c r="T18" s="5" t="str">
        <f aca="false">IF(S18=R18,"Yes","No")</f>
        <v>Yes</v>
      </c>
    </row>
    <row r="19" customFormat="false" ht="15" hidden="false" customHeight="false" outlineLevel="0" collapsed="false">
      <c r="A19" s="15" t="n">
        <v>25</v>
      </c>
      <c r="B19" s="16" t="n">
        <v>3.27715398588279</v>
      </c>
      <c r="C19" s="15" t="n">
        <v>300</v>
      </c>
      <c r="D19" s="15" t="n">
        <v>300</v>
      </c>
      <c r="E19" s="15" t="n">
        <v>25</v>
      </c>
      <c r="F19" s="16" t="n">
        <v>0.589048622548086</v>
      </c>
      <c r="G19" s="17" t="s">
        <v>89</v>
      </c>
      <c r="H19" s="18" t="n">
        <v>0.3</v>
      </c>
      <c r="I19" s="18" t="n">
        <v>1</v>
      </c>
      <c r="J19" s="19" t="n">
        <v>0.924409876802569</v>
      </c>
      <c r="K19" s="19" t="n">
        <v>0.631090450343168</v>
      </c>
      <c r="L19" s="16" t="n">
        <v>12.8013827573546</v>
      </c>
      <c r="M19" s="19" t="n">
        <v>0.739018231815111</v>
      </c>
      <c r="N19" s="19" t="n">
        <v>0.634655538262196</v>
      </c>
      <c r="O19" s="19" t="n">
        <v>0.924409876802569</v>
      </c>
      <c r="P19" s="19" t="n">
        <v>0.391864954469656</v>
      </c>
      <c r="Q19" s="17" t="s">
        <v>29</v>
      </c>
      <c r="R19" s="5" t="str">
        <f aca="false">IF(OR(Q19="Steel plate",Q19="Concrete jacket"),"Steel plate or jacket",Q19)</f>
        <v>Monitor</v>
      </c>
      <c r="S19" s="5" t="str">
        <f aca="false">IF(O19&lt;='Tree rules'!$C$4,IF(N19&lt;='Tree rules'!$C$5,IF(P19&lt;='Tree rules'!$C$6,"Monitor","Polymer laminate"),IF(P19&lt;='Tree rules'!$C$7,"Seal cracks","Polymer laminate")),IF(O19&lt;='Tree rules'!$C$8,IF(M19&lt;='Tree rules'!$C$9,"Steel plate or jacket","Polymer laminate"),IF(L19&lt;='Tree rules'!$C$10,"Steel plate or jacket","Polymer laminate")))</f>
        <v>Monitor</v>
      </c>
      <c r="T19" s="5" t="str">
        <f aca="false">IF(S19=R19,"Yes","No")</f>
        <v>Yes</v>
      </c>
    </row>
    <row r="20" customFormat="false" ht="15" hidden="false" customHeight="false" outlineLevel="0" collapsed="false">
      <c r="A20" s="15" t="n">
        <v>26</v>
      </c>
      <c r="B20" s="16" t="n">
        <v>3.40187386907558</v>
      </c>
      <c r="C20" s="15" t="n">
        <v>300</v>
      </c>
      <c r="D20" s="15" t="n">
        <v>325</v>
      </c>
      <c r="E20" s="15" t="n">
        <v>30</v>
      </c>
      <c r="F20" s="16" t="n">
        <v>0.804963242200943</v>
      </c>
      <c r="G20" s="17" t="s">
        <v>91</v>
      </c>
      <c r="H20" s="18" t="n">
        <v>0.2</v>
      </c>
      <c r="I20" s="18" t="n">
        <v>2</v>
      </c>
      <c r="J20" s="19" t="n">
        <v>0.928502328861877</v>
      </c>
      <c r="K20" s="19" t="n">
        <v>0.552372518205226</v>
      </c>
      <c r="L20" s="16" t="n">
        <v>12.1063127013366</v>
      </c>
      <c r="M20" s="19" t="n">
        <v>0.740693165585133</v>
      </c>
      <c r="N20" s="19" t="n">
        <v>1.3402057194698</v>
      </c>
      <c r="O20" s="19" t="n">
        <v>1.3441254881709</v>
      </c>
      <c r="P20" s="19" t="n">
        <v>0.543345886592018</v>
      </c>
      <c r="Q20" s="17" t="s">
        <v>31</v>
      </c>
      <c r="R20" s="5" t="str">
        <f aca="false">IF(OR(Q20="Steel plate",Q20="Concrete jacket"),"Steel plate or jacket",Q20)</f>
        <v>Polymer laminate</v>
      </c>
      <c r="S20" s="5" t="str">
        <f aca="false">IF(O20&lt;='Tree rules'!$C$4,IF(N20&lt;='Tree rules'!$C$5,IF(P20&lt;='Tree rules'!$C$6,"Monitor","Polymer laminate"),IF(P20&lt;='Tree rules'!$C$7,"Seal cracks","Polymer laminate")),IF(O20&lt;='Tree rules'!$C$8,IF(M20&lt;='Tree rules'!$C$9,"Steel plate or jacket","Polymer laminate"),IF(L20&lt;='Tree rules'!$C$10,"Steel plate or jacket","Polymer laminate")))</f>
        <v>Steel plate or jacket</v>
      </c>
      <c r="T20" s="5" t="str">
        <f aca="false">IF(S20=R20,"Yes","No")</f>
        <v>No</v>
      </c>
    </row>
    <row r="21" customFormat="false" ht="15" hidden="false" customHeight="false" outlineLevel="0" collapsed="false">
      <c r="A21" s="15" t="n">
        <v>27</v>
      </c>
      <c r="B21" s="16" t="n">
        <v>6.51871366590462</v>
      </c>
      <c r="C21" s="15" t="n">
        <v>230</v>
      </c>
      <c r="D21" s="15" t="n">
        <v>625</v>
      </c>
      <c r="E21" s="15" t="n">
        <v>20</v>
      </c>
      <c r="F21" s="16" t="n">
        <v>0.710178431223674</v>
      </c>
      <c r="G21" s="17" t="s">
        <v>91</v>
      </c>
      <c r="H21" s="18" t="n">
        <v>0.2</v>
      </c>
      <c r="I21" s="18" t="n">
        <v>1</v>
      </c>
      <c r="J21" s="19" t="n">
        <v>0.865757591992156</v>
      </c>
      <c r="K21" s="19" t="n">
        <v>0.421150765988352</v>
      </c>
      <c r="L21" s="16" t="n">
        <v>11.2975973412558</v>
      </c>
      <c r="M21" s="19" t="n">
        <v>0.506801912981853</v>
      </c>
      <c r="N21" s="19" t="n">
        <v>0.893487488436037</v>
      </c>
      <c r="O21" s="19" t="n">
        <v>0.865757591992156</v>
      </c>
      <c r="P21" s="19" t="n">
        <v>0.610053285480471</v>
      </c>
      <c r="Q21" s="17" t="s">
        <v>29</v>
      </c>
      <c r="R21" s="5" t="str">
        <f aca="false">IF(OR(Q21="Steel plate",Q21="Concrete jacket"),"Steel plate or jacket",Q21)</f>
        <v>Monitor</v>
      </c>
      <c r="S21" s="5" t="str">
        <f aca="false">IF(O21&lt;='Tree rules'!$C$4,IF(N21&lt;='Tree rules'!$C$5,IF(P21&lt;='Tree rules'!$C$6,"Monitor","Polymer laminate"),IF(P21&lt;='Tree rules'!$C$7,"Seal cracks","Polymer laminate")),IF(O21&lt;='Tree rules'!$C$8,IF(M21&lt;='Tree rules'!$C$9,"Steel plate or jacket","Polymer laminate"),IF(L21&lt;='Tree rules'!$C$10,"Steel plate or jacket","Polymer laminate")))</f>
        <v>Monitor</v>
      </c>
      <c r="T21" s="5" t="str">
        <f aca="false">IF(S21=R21,"Yes","No")</f>
        <v>Yes</v>
      </c>
    </row>
    <row r="22" customFormat="false" ht="15" hidden="false" customHeight="false" outlineLevel="0" collapsed="false">
      <c r="A22" s="15" t="n">
        <v>28</v>
      </c>
      <c r="B22" s="16" t="n">
        <v>5.29987387347186</v>
      </c>
      <c r="C22" s="15" t="n">
        <v>300</v>
      </c>
      <c r="D22" s="15" t="n">
        <v>450</v>
      </c>
      <c r="E22" s="15" t="n">
        <v>30</v>
      </c>
      <c r="F22" s="16" t="n">
        <v>0.557129731671096</v>
      </c>
      <c r="G22" s="17" t="s">
        <v>89</v>
      </c>
      <c r="H22" s="18" t="n">
        <v>0.3</v>
      </c>
      <c r="I22" s="18" t="n">
        <v>1.5</v>
      </c>
      <c r="J22" s="19" t="n">
        <v>0.961683879614063</v>
      </c>
      <c r="K22" s="19" t="n">
        <v>0.478175417831349</v>
      </c>
      <c r="L22" s="16" t="n">
        <v>13.053876535645</v>
      </c>
      <c r="M22" s="19" t="n">
        <v>0.645274356022232</v>
      </c>
      <c r="N22" s="19" t="n">
        <v>0.767826359526515</v>
      </c>
      <c r="O22" s="19" t="n">
        <v>1.21259902394303</v>
      </c>
      <c r="P22" s="19" t="n">
        <v>0.50116901871929</v>
      </c>
      <c r="Q22" s="17" t="s">
        <v>31</v>
      </c>
      <c r="R22" s="5" t="str">
        <f aca="false">IF(OR(Q22="Steel plate",Q22="Concrete jacket"),"Steel plate or jacket",Q22)</f>
        <v>Polymer laminate</v>
      </c>
      <c r="S22" s="5" t="str">
        <f aca="false">IF(O22&lt;='Tree rules'!$C$4,IF(N22&lt;='Tree rules'!$C$5,IF(P22&lt;='Tree rules'!$C$6,"Monitor","Polymer laminate"),IF(P22&lt;='Tree rules'!$C$7,"Seal cracks","Polymer laminate")),IF(O22&lt;='Tree rules'!$C$8,IF(M22&lt;='Tree rules'!$C$9,"Steel plate or jacket","Polymer laminate"),IF(L22&lt;='Tree rules'!$C$10,"Steel plate or jacket","Polymer laminate")))</f>
        <v>Polymer laminate</v>
      </c>
      <c r="T22" s="5" t="str">
        <f aca="false">IF(S22=R22,"Yes","No")</f>
        <v>Yes</v>
      </c>
    </row>
    <row r="23" customFormat="false" ht="15" hidden="false" customHeight="false" outlineLevel="0" collapsed="false">
      <c r="A23" s="15" t="n">
        <v>29</v>
      </c>
      <c r="B23" s="16" t="n">
        <v>3.36761668977724</v>
      </c>
      <c r="C23" s="15" t="n">
        <v>230</v>
      </c>
      <c r="D23" s="15" t="n">
        <v>300</v>
      </c>
      <c r="E23" s="15" t="n">
        <v>20</v>
      </c>
      <c r="F23" s="16" t="n">
        <v>0.731533308458238</v>
      </c>
      <c r="G23" s="17" t="s">
        <v>90</v>
      </c>
      <c r="H23" s="18" t="n">
        <v>0.1</v>
      </c>
      <c r="I23" s="18" t="n">
        <v>1.5</v>
      </c>
      <c r="J23" s="19" t="n">
        <v>0.894629103454699</v>
      </c>
      <c r="K23" s="19" t="n">
        <v>0.411213331641959</v>
      </c>
      <c r="L23" s="16" t="n">
        <v>14.0904464007416</v>
      </c>
      <c r="M23" s="19" t="n">
        <v>0.510338797004769</v>
      </c>
      <c r="N23" s="19" t="n">
        <v>3.76981465214412</v>
      </c>
      <c r="O23" s="19" t="n">
        <v>1.15800194807432</v>
      </c>
      <c r="P23" s="19" t="n">
        <v>0.603733775465701</v>
      </c>
      <c r="Q23" s="17" t="s">
        <v>31</v>
      </c>
      <c r="R23" s="5" t="str">
        <f aca="false">IF(OR(Q23="Steel plate",Q23="Concrete jacket"),"Steel plate or jacket",Q23)</f>
        <v>Polymer laminate</v>
      </c>
      <c r="S23" s="5" t="str">
        <f aca="false">IF(O23&lt;='Tree rules'!$C$4,IF(N23&lt;='Tree rules'!$C$5,IF(P23&lt;='Tree rules'!$C$6,"Monitor","Polymer laminate"),IF(P23&lt;='Tree rules'!$C$7,"Seal cracks","Polymer laminate")),IF(O23&lt;='Tree rules'!$C$8,IF(M23&lt;='Tree rules'!$C$9,"Steel plate or jacket","Polymer laminate"),IF(L23&lt;='Tree rules'!$C$10,"Steel plate or jacket","Polymer laminate")))</f>
        <v>Polymer laminate</v>
      </c>
      <c r="T23" s="5" t="str">
        <f aca="false">IF(S23=R23,"Yes","No")</f>
        <v>Yes</v>
      </c>
    </row>
    <row r="24" customFormat="false" ht="15" hidden="false" customHeight="false" outlineLevel="0" collapsed="false">
      <c r="A24" s="15" t="n">
        <v>30</v>
      </c>
      <c r="B24" s="16" t="n">
        <v>6.55129800082454</v>
      </c>
      <c r="C24" s="15" t="n">
        <v>300</v>
      </c>
      <c r="D24" s="15" t="n">
        <v>600</v>
      </c>
      <c r="E24" s="15" t="n">
        <v>20</v>
      </c>
      <c r="F24" s="16" t="n">
        <v>0.758838805214926</v>
      </c>
      <c r="G24" s="17" t="s">
        <v>89</v>
      </c>
      <c r="H24" s="18" t="n">
        <v>0.3</v>
      </c>
      <c r="I24" s="18" t="n">
        <v>1.5</v>
      </c>
      <c r="J24" s="19" t="n">
        <v>0.892666902026537</v>
      </c>
      <c r="K24" s="19" t="n">
        <v>0.509480779543212</v>
      </c>
      <c r="L24" s="16" t="n">
        <v>11.8682934797546</v>
      </c>
      <c r="M24" s="19" t="n">
        <v>0.415657470624334</v>
      </c>
      <c r="N24" s="19" t="n">
        <v>0.780343421703632</v>
      </c>
      <c r="O24" s="19" t="n">
        <v>1.11160203848135</v>
      </c>
      <c r="P24" s="19" t="n">
        <v>0.997973856561018</v>
      </c>
      <c r="Q24" s="17" t="s">
        <v>31</v>
      </c>
      <c r="R24" s="5" t="str">
        <f aca="false">IF(OR(Q24="Steel plate",Q24="Concrete jacket"),"Steel plate or jacket",Q24)</f>
        <v>Polymer laminate</v>
      </c>
      <c r="S24" s="5" t="str">
        <f aca="false">IF(O24&lt;='Tree rules'!$C$4,IF(N24&lt;='Tree rules'!$C$5,IF(P24&lt;='Tree rules'!$C$6,"Monitor","Polymer laminate"),IF(P24&lt;='Tree rules'!$C$7,"Seal cracks","Polymer laminate")),IF(O24&lt;='Tree rules'!$C$8,IF(M24&lt;='Tree rules'!$C$9,"Steel plate or jacket","Polymer laminate"),IF(L24&lt;='Tree rules'!$C$10,"Steel plate or jacket","Polymer laminate")))</f>
        <v>Polymer laminate</v>
      </c>
      <c r="T24" s="5" t="str">
        <f aca="false">IF(S24=R24,"Yes","No")</f>
        <v>Yes</v>
      </c>
    </row>
    <row r="25" customFormat="false" ht="15" hidden="false" customHeight="false" outlineLevel="0" collapsed="false">
      <c r="A25" s="15" t="n">
        <v>32</v>
      </c>
      <c r="B25" s="16" t="n">
        <v>4.16140458287698</v>
      </c>
      <c r="C25" s="15" t="n">
        <v>230</v>
      </c>
      <c r="D25" s="15" t="n">
        <v>400</v>
      </c>
      <c r="E25" s="15" t="n">
        <v>30</v>
      </c>
      <c r="F25" s="16" t="n">
        <v>0.776085141697083</v>
      </c>
      <c r="G25" s="17" t="s">
        <v>89</v>
      </c>
      <c r="H25" s="18" t="n">
        <v>0.3</v>
      </c>
      <c r="I25" s="18" t="n">
        <v>2</v>
      </c>
      <c r="J25" s="19" t="n">
        <v>0.918620746466913</v>
      </c>
      <c r="K25" s="19" t="n">
        <v>0.485493035691624</v>
      </c>
      <c r="L25" s="16" t="n">
        <v>11.822172110446</v>
      </c>
      <c r="M25" s="19" t="n">
        <v>0.932240413396644</v>
      </c>
      <c r="N25" s="19" t="n">
        <v>1.27223390235238</v>
      </c>
      <c r="O25" s="19" t="n">
        <v>1.3912575180823</v>
      </c>
      <c r="P25" s="19" t="n">
        <v>0.42811533192308</v>
      </c>
      <c r="Q25" s="17" t="s">
        <v>31</v>
      </c>
      <c r="R25" s="5" t="str">
        <f aca="false">IF(OR(Q25="Steel plate",Q25="Concrete jacket"),"Steel plate or jacket",Q25)</f>
        <v>Polymer laminate</v>
      </c>
      <c r="S25" s="5" t="str">
        <f aca="false">IF(O25&lt;='Tree rules'!$C$4,IF(N25&lt;='Tree rules'!$C$5,IF(P25&lt;='Tree rules'!$C$6,"Monitor","Polymer laminate"),IF(P25&lt;='Tree rules'!$C$7,"Seal cracks","Polymer laminate")),IF(O25&lt;='Tree rules'!$C$8,IF(M25&lt;='Tree rules'!$C$9,"Steel plate or jacket","Polymer laminate"),IF(L25&lt;='Tree rules'!$C$10,"Steel plate or jacket","Polymer laminate")))</f>
        <v>Steel plate or jacket</v>
      </c>
      <c r="T25" s="5" t="str">
        <f aca="false">IF(S25=R25,"Yes","No")</f>
        <v>No</v>
      </c>
    </row>
    <row r="26" customFormat="false" ht="15" hidden="false" customHeight="false" outlineLevel="0" collapsed="false">
      <c r="A26" s="15" t="n">
        <v>36</v>
      </c>
      <c r="B26" s="16" t="n">
        <v>3.76833944410696</v>
      </c>
      <c r="C26" s="15" t="n">
        <v>300</v>
      </c>
      <c r="D26" s="15" t="n">
        <v>375</v>
      </c>
      <c r="E26" s="15" t="n">
        <v>25</v>
      </c>
      <c r="F26" s="16" t="n">
        <v>0.814840647739602</v>
      </c>
      <c r="G26" s="17" t="s">
        <v>89</v>
      </c>
      <c r="H26" s="18" t="n">
        <v>0.3</v>
      </c>
      <c r="I26" s="18" t="n">
        <v>2</v>
      </c>
      <c r="J26" s="19" t="n">
        <v>0.942981277312785</v>
      </c>
      <c r="K26" s="19" t="n">
        <v>0.511408893339835</v>
      </c>
      <c r="L26" s="16" t="n">
        <v>11.4539192829999</v>
      </c>
      <c r="M26" s="19" t="n">
        <v>0.915548555424515</v>
      </c>
      <c r="N26" s="19" t="n">
        <v>0.989303035382554</v>
      </c>
      <c r="O26" s="19" t="n">
        <v>1.40371354315485</v>
      </c>
      <c r="P26" s="19" t="n">
        <v>0.477208483622554</v>
      </c>
      <c r="Q26" s="17" t="s">
        <v>31</v>
      </c>
      <c r="R26" s="5" t="str">
        <f aca="false">IF(OR(Q26="Steel plate",Q26="Concrete jacket"),"Steel plate or jacket",Q26)</f>
        <v>Polymer laminate</v>
      </c>
      <c r="S26" s="5" t="str">
        <f aca="false">IF(O26&lt;='Tree rules'!$C$4,IF(N26&lt;='Tree rules'!$C$5,IF(P26&lt;='Tree rules'!$C$6,"Monitor","Polymer laminate"),IF(P26&lt;='Tree rules'!$C$7,"Seal cracks","Polymer laminate")),IF(O26&lt;='Tree rules'!$C$8,IF(M26&lt;='Tree rules'!$C$9,"Steel plate or jacket","Polymer laminate"),IF(L26&lt;='Tree rules'!$C$10,"Steel plate or jacket","Polymer laminate")))</f>
        <v>Steel plate or jacket</v>
      </c>
      <c r="T26" s="5" t="str">
        <f aca="false">IF(S26=R26,"Yes","No")</f>
        <v>No</v>
      </c>
    </row>
    <row r="27" customFormat="false" ht="15" hidden="false" customHeight="false" outlineLevel="0" collapsed="false">
      <c r="A27" s="15" t="n">
        <v>38</v>
      </c>
      <c r="B27" s="16" t="n">
        <v>3.22200814456235</v>
      </c>
      <c r="C27" s="15" t="n">
        <v>300</v>
      </c>
      <c r="D27" s="15" t="n">
        <v>300</v>
      </c>
      <c r="E27" s="15" t="n">
        <v>25</v>
      </c>
      <c r="F27" s="16" t="n">
        <v>0.791582400904515</v>
      </c>
      <c r="G27" s="17" t="s">
        <v>89</v>
      </c>
      <c r="H27" s="18" t="n">
        <v>0.3</v>
      </c>
      <c r="I27" s="18" t="n">
        <v>1.5</v>
      </c>
      <c r="J27" s="19" t="n">
        <v>0.960953983094261</v>
      </c>
      <c r="K27" s="19" t="n">
        <v>0.496490416988448</v>
      </c>
      <c r="L27" s="16" t="n">
        <v>12.6850714352848</v>
      </c>
      <c r="M27" s="19" t="n">
        <v>0.89485118276952</v>
      </c>
      <c r="N27" s="19" t="n">
        <v>0.962972892340907</v>
      </c>
      <c r="O27" s="19" t="n">
        <v>1.2028787527548</v>
      </c>
      <c r="P27" s="19" t="n">
        <v>0.434217405009066</v>
      </c>
      <c r="Q27" s="17" t="s">
        <v>31</v>
      </c>
      <c r="R27" s="5" t="str">
        <f aca="false">IF(OR(Q27="Steel plate",Q27="Concrete jacket"),"Steel plate or jacket",Q27)</f>
        <v>Polymer laminate</v>
      </c>
      <c r="S27" s="5" t="str">
        <f aca="false">IF(O27&lt;='Tree rules'!$C$4,IF(N27&lt;='Tree rules'!$C$5,IF(P27&lt;='Tree rules'!$C$6,"Monitor","Polymer laminate"),IF(P27&lt;='Tree rules'!$C$7,"Seal cracks","Polymer laminate")),IF(O27&lt;='Tree rules'!$C$8,IF(M27&lt;='Tree rules'!$C$9,"Steel plate or jacket","Polymer laminate"),IF(L27&lt;='Tree rules'!$C$10,"Steel plate or jacket","Polymer laminate")))</f>
        <v>Polymer laminate</v>
      </c>
      <c r="T27" s="5" t="str">
        <f aca="false">IF(S27=R27,"Yes","No")</f>
        <v>Yes</v>
      </c>
    </row>
    <row r="28" customFormat="false" ht="15" hidden="false" customHeight="false" outlineLevel="0" collapsed="false">
      <c r="A28" s="15" t="n">
        <v>40</v>
      </c>
      <c r="B28" s="16" t="n">
        <v>3.01594627748421</v>
      </c>
      <c r="C28" s="15" t="n">
        <v>300</v>
      </c>
      <c r="D28" s="15" t="n">
        <v>300</v>
      </c>
      <c r="E28" s="15" t="n">
        <v>20</v>
      </c>
      <c r="F28" s="16" t="n">
        <v>0.736310778185108</v>
      </c>
      <c r="G28" s="17" t="s">
        <v>89</v>
      </c>
      <c r="H28" s="18" t="n">
        <v>0.3</v>
      </c>
      <c r="I28" s="18" t="n">
        <v>1</v>
      </c>
      <c r="J28" s="19" t="n">
        <v>0.870403296480034</v>
      </c>
      <c r="K28" s="19" t="n">
        <v>0.543351174346161</v>
      </c>
      <c r="L28" s="16" t="n">
        <v>11.7810401464227</v>
      </c>
      <c r="M28" s="19" t="n">
        <v>0.799026365795326</v>
      </c>
      <c r="N28" s="19" t="n">
        <v>0.5548876235537</v>
      </c>
      <c r="O28" s="19" t="n">
        <v>0.870403296480033</v>
      </c>
      <c r="P28" s="19" t="n">
        <v>0.388345691255806</v>
      </c>
      <c r="Q28" s="17" t="s">
        <v>29</v>
      </c>
      <c r="R28" s="5" t="str">
        <f aca="false">IF(OR(Q28="Steel plate",Q28="Concrete jacket"),"Steel plate or jacket",Q28)</f>
        <v>Monitor</v>
      </c>
      <c r="S28" s="5" t="str">
        <f aca="false">IF(O28&lt;='Tree rules'!$C$4,IF(N28&lt;='Tree rules'!$C$5,IF(P28&lt;='Tree rules'!$C$6,"Monitor","Polymer laminate"),IF(P28&lt;='Tree rules'!$C$7,"Seal cracks","Polymer laminate")),IF(O28&lt;='Tree rules'!$C$8,IF(M28&lt;='Tree rules'!$C$9,"Steel plate or jacket","Polymer laminate"),IF(L28&lt;='Tree rules'!$C$10,"Steel plate or jacket","Polymer laminate")))</f>
        <v>Monitor</v>
      </c>
      <c r="T28" s="5" t="str">
        <f aca="false">IF(S28=R28,"Yes","No")</f>
        <v>Yes</v>
      </c>
    </row>
    <row r="29" customFormat="false" ht="15" hidden="false" customHeight="false" outlineLevel="0" collapsed="false">
      <c r="A29" s="15" t="n">
        <v>41</v>
      </c>
      <c r="B29" s="16" t="n">
        <v>4.86655044443322</v>
      </c>
      <c r="C29" s="15" t="n">
        <v>300</v>
      </c>
      <c r="D29" s="15" t="n">
        <v>425</v>
      </c>
      <c r="E29" s="15" t="n">
        <v>30</v>
      </c>
      <c r="F29" s="16" t="n">
        <v>0.707341881547042</v>
      </c>
      <c r="G29" s="17" t="s">
        <v>91</v>
      </c>
      <c r="H29" s="18" t="n">
        <v>0.2</v>
      </c>
      <c r="I29" s="18" t="n">
        <v>2</v>
      </c>
      <c r="J29" s="19" t="n">
        <v>0.874036798104806</v>
      </c>
      <c r="K29" s="19" t="n">
        <v>0.634849733845757</v>
      </c>
      <c r="L29" s="16" t="n">
        <v>12.8405024919082</v>
      </c>
      <c r="M29" s="19" t="n">
        <v>0.46770103589143</v>
      </c>
      <c r="N29" s="19" t="n">
        <v>1.33673406760777</v>
      </c>
      <c r="O29" s="19" t="n">
        <v>1.19319156756138</v>
      </c>
      <c r="P29" s="19" t="n">
        <v>0.837039416086733</v>
      </c>
      <c r="Q29" s="17" t="s">
        <v>31</v>
      </c>
      <c r="R29" s="5" t="str">
        <f aca="false">IF(OR(Q29="Steel plate",Q29="Concrete jacket"),"Steel plate or jacket",Q29)</f>
        <v>Polymer laminate</v>
      </c>
      <c r="S29" s="5" t="str">
        <f aca="false">IF(O29&lt;='Tree rules'!$C$4,IF(N29&lt;='Tree rules'!$C$5,IF(P29&lt;='Tree rules'!$C$6,"Monitor","Polymer laminate"),IF(P29&lt;='Tree rules'!$C$7,"Seal cracks","Polymer laminate")),IF(O29&lt;='Tree rules'!$C$8,IF(M29&lt;='Tree rules'!$C$9,"Steel plate or jacket","Polymer laminate"),IF(L29&lt;='Tree rules'!$C$10,"Steel plate or jacket","Polymer laminate")))</f>
        <v>Polymer laminate</v>
      </c>
      <c r="T29" s="5" t="str">
        <f aca="false">IF(S29=R29,"Yes","No")</f>
        <v>Yes</v>
      </c>
    </row>
    <row r="30" customFormat="false" ht="15" hidden="false" customHeight="false" outlineLevel="0" collapsed="false">
      <c r="A30" s="15" t="n">
        <v>42</v>
      </c>
      <c r="B30" s="16" t="n">
        <v>3.11891241147751</v>
      </c>
      <c r="C30" s="15" t="n">
        <v>230</v>
      </c>
      <c r="D30" s="15" t="n">
        <v>300</v>
      </c>
      <c r="E30" s="15" t="n">
        <v>30</v>
      </c>
      <c r="F30" s="16" t="n">
        <v>1.0324987837885</v>
      </c>
      <c r="G30" s="17" t="s">
        <v>89</v>
      </c>
      <c r="H30" s="18" t="n">
        <v>0.3</v>
      </c>
      <c r="I30" s="18" t="n">
        <v>1</v>
      </c>
      <c r="J30" s="19" t="n">
        <v>0.855709487180182</v>
      </c>
      <c r="K30" s="19" t="n">
        <v>0.477195360184188</v>
      </c>
      <c r="L30" s="16" t="n">
        <v>12.2791827223524</v>
      </c>
      <c r="M30" s="19" t="n">
        <v>0.843479840209045</v>
      </c>
      <c r="N30" s="19" t="n">
        <v>0.609831096847998</v>
      </c>
      <c r="O30" s="19" t="n">
        <v>0.855709487180182</v>
      </c>
      <c r="P30" s="19" t="n">
        <v>0.407588274531174</v>
      </c>
      <c r="Q30" s="17" t="s">
        <v>29</v>
      </c>
      <c r="R30" s="5" t="str">
        <f aca="false">IF(OR(Q30="Steel plate",Q30="Concrete jacket"),"Steel plate or jacket",Q30)</f>
        <v>Monitor</v>
      </c>
      <c r="S30" s="5" t="str">
        <f aca="false">IF(O30&lt;='Tree rules'!$C$4,IF(N30&lt;='Tree rules'!$C$5,IF(P30&lt;='Tree rules'!$C$6,"Monitor","Polymer laminate"),IF(P30&lt;='Tree rules'!$C$7,"Seal cracks","Polymer laminate")),IF(O30&lt;='Tree rules'!$C$8,IF(M30&lt;='Tree rules'!$C$9,"Steel plate or jacket","Polymer laminate"),IF(L30&lt;='Tree rules'!$C$10,"Steel plate or jacket","Polymer laminate")))</f>
        <v>Monitor</v>
      </c>
      <c r="T30" s="5" t="str">
        <f aca="false">IF(S30=R30,"Yes","No")</f>
        <v>Yes</v>
      </c>
    </row>
    <row r="31" customFormat="false" ht="15" hidden="false" customHeight="false" outlineLevel="0" collapsed="false">
      <c r="A31" s="15" t="n">
        <v>43</v>
      </c>
      <c r="B31" s="16" t="n">
        <v>5.94992507107329</v>
      </c>
      <c r="C31" s="15" t="n">
        <v>300</v>
      </c>
      <c r="D31" s="15" t="n">
        <v>525</v>
      </c>
      <c r="E31" s="15" t="n">
        <v>25</v>
      </c>
      <c r="F31" s="16" t="n">
        <v>0.55967134260194</v>
      </c>
      <c r="G31" s="17" t="s">
        <v>89</v>
      </c>
      <c r="H31" s="18" t="n">
        <v>0.3</v>
      </c>
      <c r="I31" s="18" t="n">
        <v>1</v>
      </c>
      <c r="J31" s="19" t="n">
        <v>0.955561480101413</v>
      </c>
      <c r="K31" s="19" t="n">
        <v>0.600600111874781</v>
      </c>
      <c r="L31" s="16" t="n">
        <v>12.4215554719693</v>
      </c>
      <c r="M31" s="19" t="n">
        <v>0.45772557853846</v>
      </c>
      <c r="N31" s="19" t="n">
        <v>0.689779426467811</v>
      </c>
      <c r="O31" s="19" t="n">
        <v>0.955561480101413</v>
      </c>
      <c r="P31" s="19" t="n">
        <v>0.701870434944805</v>
      </c>
      <c r="Q31" s="17" t="s">
        <v>29</v>
      </c>
      <c r="R31" s="5" t="str">
        <f aca="false">IF(OR(Q31="Steel plate",Q31="Concrete jacket"),"Steel plate or jacket",Q31)</f>
        <v>Monitor</v>
      </c>
      <c r="S31" s="5" t="str">
        <f aca="false">IF(O31&lt;='Tree rules'!$C$4,IF(N31&lt;='Tree rules'!$C$5,IF(P31&lt;='Tree rules'!$C$6,"Monitor","Polymer laminate"),IF(P31&lt;='Tree rules'!$C$7,"Seal cracks","Polymer laminate")),IF(O31&lt;='Tree rules'!$C$8,IF(M31&lt;='Tree rules'!$C$9,"Steel plate or jacket","Polymer laminate"),IF(L31&lt;='Tree rules'!$C$10,"Steel plate or jacket","Polymer laminate")))</f>
        <v>Monitor</v>
      </c>
      <c r="T31" s="5" t="str">
        <f aca="false">IF(S31=R31,"Yes","No")</f>
        <v>Yes</v>
      </c>
    </row>
    <row r="32" customFormat="false" ht="15" hidden="false" customHeight="false" outlineLevel="0" collapsed="false">
      <c r="A32" s="15" t="n">
        <v>44</v>
      </c>
      <c r="B32" s="16" t="n">
        <v>4.7591498182385</v>
      </c>
      <c r="C32" s="15" t="n">
        <v>230</v>
      </c>
      <c r="D32" s="15" t="n">
        <v>450</v>
      </c>
      <c r="E32" s="15" t="n">
        <v>25</v>
      </c>
      <c r="F32" s="16" t="n">
        <v>0.649145274956135</v>
      </c>
      <c r="G32" s="17" t="s">
        <v>89</v>
      </c>
      <c r="H32" s="18" t="n">
        <v>0.3</v>
      </c>
      <c r="I32" s="18" t="n">
        <v>2</v>
      </c>
      <c r="J32" s="19" t="n">
        <v>0.993832051078865</v>
      </c>
      <c r="K32" s="19" t="n">
        <v>0.605777095389395</v>
      </c>
      <c r="L32" s="16" t="n">
        <v>11.7800738075211</v>
      </c>
      <c r="M32" s="19" t="n">
        <v>0.460663954153893</v>
      </c>
      <c r="N32" s="19" t="n">
        <v>1.03142037245775</v>
      </c>
      <c r="O32" s="19" t="n">
        <v>1.38562340895029</v>
      </c>
      <c r="P32" s="19" t="n">
        <v>0.880634108904893</v>
      </c>
      <c r="Q32" s="17" t="s">
        <v>31</v>
      </c>
      <c r="R32" s="5" t="str">
        <f aca="false">IF(OR(Q32="Steel plate",Q32="Concrete jacket"),"Steel plate or jacket",Q32)</f>
        <v>Polymer laminate</v>
      </c>
      <c r="S32" s="5" t="str">
        <f aca="false">IF(O32&lt;='Tree rules'!$C$4,IF(N32&lt;='Tree rules'!$C$5,IF(P32&lt;='Tree rules'!$C$6,"Monitor","Polymer laminate"),IF(P32&lt;='Tree rules'!$C$7,"Seal cracks","Polymer laminate")),IF(O32&lt;='Tree rules'!$C$8,IF(M32&lt;='Tree rules'!$C$9,"Steel plate or jacket","Polymer laminate"),IF(L32&lt;='Tree rules'!$C$10,"Steel plate or jacket","Polymer laminate")))</f>
        <v>Steel plate or jacket</v>
      </c>
      <c r="T32" s="5" t="str">
        <f aca="false">IF(S32=R32,"Yes","No")</f>
        <v>No</v>
      </c>
    </row>
    <row r="33" customFormat="false" ht="15" hidden="false" customHeight="false" outlineLevel="0" collapsed="false">
      <c r="A33" s="15" t="n">
        <v>45</v>
      </c>
      <c r="B33" s="16" t="n">
        <v>6.07758352320818</v>
      </c>
      <c r="C33" s="15" t="n">
        <v>230</v>
      </c>
      <c r="D33" s="15" t="n">
        <v>550</v>
      </c>
      <c r="E33" s="15" t="n">
        <v>30</v>
      </c>
      <c r="F33" s="16" t="n">
        <v>0.693795479053647</v>
      </c>
      <c r="G33" s="17" t="s">
        <v>91</v>
      </c>
      <c r="H33" s="18" t="n">
        <v>0.2</v>
      </c>
      <c r="I33" s="18" t="n">
        <v>1.5</v>
      </c>
      <c r="J33" s="19" t="n">
        <v>0.907640121717473</v>
      </c>
      <c r="K33" s="19" t="n">
        <v>0.400438942938874</v>
      </c>
      <c r="L33" s="16" t="n">
        <v>12.0586974666829</v>
      </c>
      <c r="M33" s="19" t="n">
        <v>0.44441741565486</v>
      </c>
      <c r="N33" s="19" t="n">
        <v>1.18267270501931</v>
      </c>
      <c r="O33" s="19" t="n">
        <v>1.17973295712148</v>
      </c>
      <c r="P33" s="19" t="n">
        <v>0.748339645465302</v>
      </c>
      <c r="Q33" s="17" t="s">
        <v>31</v>
      </c>
      <c r="R33" s="5" t="str">
        <f aca="false">IF(OR(Q33="Steel plate",Q33="Concrete jacket"),"Steel plate or jacket",Q33)</f>
        <v>Polymer laminate</v>
      </c>
      <c r="S33" s="5" t="str">
        <f aca="false">IF(O33&lt;='Tree rules'!$C$4,IF(N33&lt;='Tree rules'!$C$5,IF(P33&lt;='Tree rules'!$C$6,"Monitor","Polymer laminate"),IF(P33&lt;='Tree rules'!$C$7,"Seal cracks","Polymer laminate")),IF(O33&lt;='Tree rules'!$C$8,IF(M33&lt;='Tree rules'!$C$9,"Steel plate or jacket","Polymer laminate"),IF(L33&lt;='Tree rules'!$C$10,"Steel plate or jacket","Polymer laminate")))</f>
        <v>Polymer laminate</v>
      </c>
      <c r="T33" s="5" t="str">
        <f aca="false">IF(S33=R33,"Yes","No")</f>
        <v>Yes</v>
      </c>
    </row>
    <row r="34" customFormat="false" ht="15" hidden="false" customHeight="false" outlineLevel="0" collapsed="false">
      <c r="A34" s="15" t="n">
        <v>46</v>
      </c>
      <c r="B34" s="16" t="n">
        <v>3.73099992061095</v>
      </c>
      <c r="C34" s="15" t="n">
        <v>300</v>
      </c>
      <c r="D34" s="15" t="n">
        <v>300</v>
      </c>
      <c r="E34" s="15" t="n">
        <v>30</v>
      </c>
      <c r="F34" s="16" t="n">
        <v>0.736310778185108</v>
      </c>
      <c r="G34" s="17" t="s">
        <v>91</v>
      </c>
      <c r="H34" s="18" t="n">
        <v>0.2</v>
      </c>
      <c r="I34" s="18" t="n">
        <v>1</v>
      </c>
      <c r="J34" s="19" t="n">
        <v>0.900856084655624</v>
      </c>
      <c r="K34" s="19" t="n">
        <v>0.574048628869214</v>
      </c>
      <c r="L34" s="16" t="n">
        <v>14.5742184398865</v>
      </c>
      <c r="M34" s="19" t="n">
        <v>0.445829142639081</v>
      </c>
      <c r="N34" s="19" t="n">
        <v>0.96449612037971</v>
      </c>
      <c r="O34" s="19" t="n">
        <v>0.900856084655624</v>
      </c>
      <c r="P34" s="19" t="n">
        <v>0.756951708962373</v>
      </c>
      <c r="Q34" s="17" t="s">
        <v>29</v>
      </c>
      <c r="R34" s="5" t="str">
        <f aca="false">IF(OR(Q34="Steel plate",Q34="Concrete jacket"),"Steel plate or jacket",Q34)</f>
        <v>Monitor</v>
      </c>
      <c r="S34" s="5" t="str">
        <f aca="false">IF(O34&lt;='Tree rules'!$C$4,IF(N34&lt;='Tree rules'!$C$5,IF(P34&lt;='Tree rules'!$C$6,"Monitor","Polymer laminate"),IF(P34&lt;='Tree rules'!$C$7,"Seal cracks","Polymer laminate")),IF(O34&lt;='Tree rules'!$C$8,IF(M34&lt;='Tree rules'!$C$9,"Steel plate or jacket","Polymer laminate"),IF(L34&lt;='Tree rules'!$C$10,"Steel plate or jacket","Polymer laminate")))</f>
        <v>Monitor</v>
      </c>
      <c r="T34" s="5" t="str">
        <f aca="false">IF(S34=R34,"Yes","No")</f>
        <v>Yes</v>
      </c>
    </row>
    <row r="35" customFormat="false" ht="15" hidden="false" customHeight="false" outlineLevel="0" collapsed="false">
      <c r="A35" s="15" t="n">
        <v>48</v>
      </c>
      <c r="B35" s="16" t="n">
        <v>3.21261020119261</v>
      </c>
      <c r="C35" s="15" t="n">
        <v>300</v>
      </c>
      <c r="D35" s="15" t="n">
        <v>325</v>
      </c>
      <c r="E35" s="15" t="n">
        <v>20</v>
      </c>
      <c r="F35" s="16" t="n">
        <v>0.67080270183412</v>
      </c>
      <c r="G35" s="17" t="s">
        <v>89</v>
      </c>
      <c r="H35" s="18" t="n">
        <v>0.3</v>
      </c>
      <c r="I35" s="18" t="n">
        <v>1</v>
      </c>
      <c r="J35" s="19" t="n">
        <v>0.963067393176902</v>
      </c>
      <c r="K35" s="19" t="n">
        <v>0.46043889403864</v>
      </c>
      <c r="L35" s="16" t="n">
        <v>11.4327765166997</v>
      </c>
      <c r="M35" s="19" t="n">
        <v>0.515110652745506</v>
      </c>
      <c r="N35" s="19" t="n">
        <v>0.658420459681548</v>
      </c>
      <c r="O35" s="19" t="n">
        <v>0.963067393176902</v>
      </c>
      <c r="P35" s="19" t="n">
        <v>0.555840307561298</v>
      </c>
      <c r="Q35" s="17" t="s">
        <v>29</v>
      </c>
      <c r="R35" s="5" t="str">
        <f aca="false">IF(OR(Q35="Steel plate",Q35="Concrete jacket"),"Steel plate or jacket",Q35)</f>
        <v>Monitor</v>
      </c>
      <c r="S35" s="5" t="str">
        <f aca="false">IF(O35&lt;='Tree rules'!$C$4,IF(N35&lt;='Tree rules'!$C$5,IF(P35&lt;='Tree rules'!$C$6,"Monitor","Polymer laminate"),IF(P35&lt;='Tree rules'!$C$7,"Seal cracks","Polymer laminate")),IF(O35&lt;='Tree rules'!$C$8,IF(M35&lt;='Tree rules'!$C$9,"Steel plate or jacket","Polymer laminate"),IF(L35&lt;='Tree rules'!$C$10,"Steel plate or jacket","Polymer laminate")))</f>
        <v>Monitor</v>
      </c>
      <c r="T35" s="5" t="str">
        <f aca="false">IF(S35=R35,"Yes","No")</f>
        <v>Yes</v>
      </c>
    </row>
    <row r="36" customFormat="false" ht="15" hidden="false" customHeight="false" outlineLevel="0" collapsed="false">
      <c r="A36" s="15" t="n">
        <v>49</v>
      </c>
      <c r="B36" s="16" t="n">
        <v>7.44903224759339</v>
      </c>
      <c r="C36" s="15" t="n">
        <v>300</v>
      </c>
      <c r="D36" s="15" t="n">
        <v>750</v>
      </c>
      <c r="E36" s="15" t="n">
        <v>30</v>
      </c>
      <c r="F36" s="16" t="n">
        <v>0.571198664289053</v>
      </c>
      <c r="G36" s="17" t="s">
        <v>89</v>
      </c>
      <c r="H36" s="18" t="n">
        <v>0.3</v>
      </c>
      <c r="I36" s="18" t="n">
        <v>1</v>
      </c>
      <c r="J36" s="19" t="n">
        <v>0.969424886831054</v>
      </c>
      <c r="K36" s="19" t="n">
        <v>0.502714459217188</v>
      </c>
      <c r="L36" s="16" t="n">
        <v>10.5810117153315</v>
      </c>
      <c r="M36" s="19" t="n">
        <v>0.937804384416692</v>
      </c>
      <c r="N36" s="19" t="n">
        <v>0.536204125723452</v>
      </c>
      <c r="O36" s="19" t="n">
        <v>0.969424886831054</v>
      </c>
      <c r="P36" s="19" t="n">
        <v>0.305281133640957</v>
      </c>
      <c r="Q36" s="17" t="s">
        <v>29</v>
      </c>
      <c r="R36" s="5" t="str">
        <f aca="false">IF(OR(Q36="Steel plate",Q36="Concrete jacket"),"Steel plate or jacket",Q36)</f>
        <v>Monitor</v>
      </c>
      <c r="S36" s="5" t="str">
        <f aca="false">IF(O36&lt;='Tree rules'!$C$4,IF(N36&lt;='Tree rules'!$C$5,IF(P36&lt;='Tree rules'!$C$6,"Monitor","Polymer laminate"),IF(P36&lt;='Tree rules'!$C$7,"Seal cracks","Polymer laminate")),IF(O36&lt;='Tree rules'!$C$8,IF(M36&lt;='Tree rules'!$C$9,"Steel plate or jacket","Polymer laminate"),IF(L36&lt;='Tree rules'!$C$10,"Steel plate or jacket","Polymer laminate")))</f>
        <v>Monitor</v>
      </c>
      <c r="T36" s="5" t="str">
        <f aca="false">IF(S36=R36,"Yes","No")</f>
        <v>Yes</v>
      </c>
    </row>
    <row r="37" customFormat="false" ht="15" hidden="false" customHeight="false" outlineLevel="0" collapsed="false">
      <c r="A37" s="15" t="n">
        <v>51</v>
      </c>
      <c r="B37" s="16" t="n">
        <v>6.11778567728079</v>
      </c>
      <c r="C37" s="15" t="n">
        <v>300</v>
      </c>
      <c r="D37" s="15" t="n">
        <v>525</v>
      </c>
      <c r="E37" s="15" t="n">
        <v>30</v>
      </c>
      <c r="F37" s="16" t="n">
        <v>0.577764166177433</v>
      </c>
      <c r="G37" s="17" t="s">
        <v>90</v>
      </c>
      <c r="H37" s="18" t="n">
        <v>0.1</v>
      </c>
      <c r="I37" s="18" t="n">
        <v>1</v>
      </c>
      <c r="J37" s="19" t="n">
        <v>0.997985876408609</v>
      </c>
      <c r="K37" s="19" t="n">
        <v>0.541422898980866</v>
      </c>
      <c r="L37" s="16" t="n">
        <v>13.1848829251741</v>
      </c>
      <c r="M37" s="19" t="n">
        <v>0.456438492901831</v>
      </c>
      <c r="N37" s="19" t="n">
        <v>2.76953028242564</v>
      </c>
      <c r="O37" s="19" t="n">
        <v>0.997985876408609</v>
      </c>
      <c r="P37" s="19" t="n">
        <v>0.653850629200948</v>
      </c>
      <c r="Q37" s="17" t="s">
        <v>30</v>
      </c>
      <c r="R37" s="5" t="str">
        <f aca="false">IF(OR(Q37="Steel plate",Q37="Concrete jacket"),"Steel plate or jacket",Q37)</f>
        <v>Seal cracks</v>
      </c>
      <c r="S37" s="5" t="str">
        <f aca="false">IF(O37&lt;='Tree rules'!$C$4,IF(N37&lt;='Tree rules'!$C$5,IF(P37&lt;='Tree rules'!$C$6,"Monitor","Polymer laminate"),IF(P37&lt;='Tree rules'!$C$7,"Seal cracks","Polymer laminate")),IF(O37&lt;='Tree rules'!$C$8,IF(M37&lt;='Tree rules'!$C$9,"Steel plate or jacket","Polymer laminate"),IF(L37&lt;='Tree rules'!$C$10,"Steel plate or jacket","Polymer laminate")))</f>
        <v>Seal cracks</v>
      </c>
      <c r="T37" s="5" t="str">
        <f aca="false">IF(S37=R37,"Yes","No")</f>
        <v>Yes</v>
      </c>
    </row>
    <row r="38" customFormat="false" ht="15" hidden="false" customHeight="false" outlineLevel="0" collapsed="false">
      <c r="A38" s="15" t="n">
        <v>53</v>
      </c>
      <c r="B38" s="16" t="n">
        <v>6.18871453529475</v>
      </c>
      <c r="C38" s="15" t="n">
        <v>230</v>
      </c>
      <c r="D38" s="15" t="n">
        <v>550</v>
      </c>
      <c r="E38" s="15" t="n">
        <v>30</v>
      </c>
      <c r="F38" s="16" t="n">
        <v>0.693795479053647</v>
      </c>
      <c r="G38" s="17" t="s">
        <v>89</v>
      </c>
      <c r="H38" s="18" t="n">
        <v>0.3</v>
      </c>
      <c r="I38" s="18" t="n">
        <v>1</v>
      </c>
      <c r="J38" s="19" t="n">
        <v>0.958135519216136</v>
      </c>
      <c r="K38" s="19" t="n">
        <v>0.593405241600597</v>
      </c>
      <c r="L38" s="16" t="n">
        <v>12.2791955065372</v>
      </c>
      <c r="M38" s="19" t="n">
        <v>0.735404633037864</v>
      </c>
      <c r="N38" s="19" t="n">
        <v>0.596402182011284</v>
      </c>
      <c r="O38" s="19" t="n">
        <v>0.958135519216136</v>
      </c>
      <c r="P38" s="19" t="n">
        <v>0.506650866206999</v>
      </c>
      <c r="Q38" s="17" t="s">
        <v>29</v>
      </c>
      <c r="R38" s="5" t="str">
        <f aca="false">IF(OR(Q38="Steel plate",Q38="Concrete jacket"),"Steel plate or jacket",Q38)</f>
        <v>Monitor</v>
      </c>
      <c r="S38" s="5" t="str">
        <f aca="false">IF(O38&lt;='Tree rules'!$C$4,IF(N38&lt;='Tree rules'!$C$5,IF(P38&lt;='Tree rules'!$C$6,"Monitor","Polymer laminate"),IF(P38&lt;='Tree rules'!$C$7,"Seal cracks","Polymer laminate")),IF(O38&lt;='Tree rules'!$C$8,IF(M38&lt;='Tree rules'!$C$9,"Steel plate or jacket","Polymer laminate"),IF(L38&lt;='Tree rules'!$C$10,"Steel plate or jacket","Polymer laminate")))</f>
        <v>Monitor</v>
      </c>
      <c r="T38" s="5" t="str">
        <f aca="false">IF(S38=R38,"Yes","No")</f>
        <v>Yes</v>
      </c>
    </row>
    <row r="39" customFormat="false" ht="15" hidden="false" customHeight="false" outlineLevel="0" collapsed="false">
      <c r="A39" s="15" t="n">
        <v>54</v>
      </c>
      <c r="B39" s="16" t="n">
        <v>5.43232533722661</v>
      </c>
      <c r="C39" s="15" t="n">
        <v>300</v>
      </c>
      <c r="D39" s="15" t="n">
        <v>475</v>
      </c>
      <c r="E39" s="15" t="n">
        <v>25</v>
      </c>
      <c r="F39" s="16" t="n">
        <v>0.647542447116737</v>
      </c>
      <c r="G39" s="17" t="s">
        <v>90</v>
      </c>
      <c r="H39" s="18" t="n">
        <v>0.1</v>
      </c>
      <c r="I39" s="18" t="n">
        <v>1.5</v>
      </c>
      <c r="J39" s="19" t="n">
        <v>0.890149927533364</v>
      </c>
      <c r="K39" s="19" t="n">
        <v>0.478208858511094</v>
      </c>
      <c r="L39" s="16" t="n">
        <v>13.1215587855715</v>
      </c>
      <c r="M39" s="19" t="n">
        <v>0.307746604016765</v>
      </c>
      <c r="N39" s="19" t="n">
        <v>3.25683603926615</v>
      </c>
      <c r="O39" s="19" t="n">
        <v>1.12238610092531</v>
      </c>
      <c r="P39" s="19" t="n">
        <v>1.03202184937312</v>
      </c>
      <c r="Q39" s="17" t="s">
        <v>31</v>
      </c>
      <c r="R39" s="5" t="str">
        <f aca="false">IF(OR(Q39="Steel plate",Q39="Concrete jacket"),"Steel plate or jacket",Q39)</f>
        <v>Polymer laminate</v>
      </c>
      <c r="S39" s="5" t="str">
        <f aca="false">IF(O39&lt;='Tree rules'!$C$4,IF(N39&lt;='Tree rules'!$C$5,IF(P39&lt;='Tree rules'!$C$6,"Monitor","Polymer laminate"),IF(P39&lt;='Tree rules'!$C$7,"Seal cracks","Polymer laminate")),IF(O39&lt;='Tree rules'!$C$8,IF(M39&lt;='Tree rules'!$C$9,"Steel plate or jacket","Polymer laminate"),IF(L39&lt;='Tree rules'!$C$10,"Steel plate or jacket","Polymer laminate")))</f>
        <v>Polymer laminate</v>
      </c>
      <c r="T39" s="5" t="str">
        <f aca="false">IF(S39=R39,"Yes","No")</f>
        <v>Yes</v>
      </c>
    </row>
    <row r="40" customFormat="false" ht="15" hidden="false" customHeight="false" outlineLevel="0" collapsed="false">
      <c r="A40" s="15" t="n">
        <v>55</v>
      </c>
      <c r="B40" s="16" t="n">
        <v>3.76677696483165</v>
      </c>
      <c r="C40" s="15" t="n">
        <v>230</v>
      </c>
      <c r="D40" s="15" t="n">
        <v>300</v>
      </c>
      <c r="E40" s="15" t="n">
        <v>25</v>
      </c>
      <c r="F40" s="16" t="n">
        <v>0.688332522525665</v>
      </c>
      <c r="G40" s="17" t="s">
        <v>91</v>
      </c>
      <c r="H40" s="18" t="n">
        <v>0.2</v>
      </c>
      <c r="I40" s="18" t="n">
        <v>2</v>
      </c>
      <c r="J40" s="19" t="n">
        <v>0.914280999871776</v>
      </c>
      <c r="K40" s="19" t="n">
        <v>0.440951047119036</v>
      </c>
      <c r="L40" s="16" t="n">
        <v>14.8298305702033</v>
      </c>
      <c r="M40" s="19" t="n">
        <v>0.532801387058094</v>
      </c>
      <c r="N40" s="19" t="n">
        <v>2.04084779831398</v>
      </c>
      <c r="O40" s="19" t="n">
        <v>1.42540883548905</v>
      </c>
      <c r="P40" s="19" t="n">
        <v>0.751390174748015</v>
      </c>
      <c r="Q40" s="17" t="s">
        <v>31</v>
      </c>
      <c r="R40" s="5" t="str">
        <f aca="false">IF(OR(Q40="Steel plate",Q40="Concrete jacket"),"Steel plate or jacket",Q40)</f>
        <v>Polymer laminate</v>
      </c>
      <c r="S40" s="5" t="str">
        <f aca="false">IF(O40&lt;='Tree rules'!$C$4,IF(N40&lt;='Tree rules'!$C$5,IF(P40&lt;='Tree rules'!$C$6,"Monitor","Polymer laminate"),IF(P40&lt;='Tree rules'!$C$7,"Seal cracks","Polymer laminate")),IF(O40&lt;='Tree rules'!$C$8,IF(M40&lt;='Tree rules'!$C$9,"Steel plate or jacket","Polymer laminate"),IF(L40&lt;='Tree rules'!$C$10,"Steel plate or jacket","Polymer laminate")))</f>
        <v>Polymer laminate</v>
      </c>
      <c r="T40" s="5" t="str">
        <f aca="false">IF(S40=R40,"Yes","No")</f>
        <v>Yes</v>
      </c>
    </row>
    <row r="41" customFormat="false" ht="15" hidden="false" customHeight="false" outlineLevel="0" collapsed="false">
      <c r="A41" s="15" t="n">
        <v>57</v>
      </c>
      <c r="B41" s="16" t="n">
        <v>6.73141623731315</v>
      </c>
      <c r="C41" s="15" t="n">
        <v>300</v>
      </c>
      <c r="D41" s="15" t="n">
        <v>650</v>
      </c>
      <c r="E41" s="15" t="n">
        <v>20</v>
      </c>
      <c r="F41" s="16" t="n">
        <v>0.554806649640582</v>
      </c>
      <c r="G41" s="17" t="s">
        <v>91</v>
      </c>
      <c r="H41" s="18" t="n">
        <v>0.2</v>
      </c>
      <c r="I41" s="18" t="n">
        <v>1</v>
      </c>
      <c r="J41" s="19" t="n">
        <v>0.926006645550822</v>
      </c>
      <c r="K41" s="19" t="n">
        <v>0.534976273023264</v>
      </c>
      <c r="L41" s="16" t="n">
        <v>11.1447288697238</v>
      </c>
      <c r="M41" s="19" t="n">
        <v>0.527273991314905</v>
      </c>
      <c r="N41" s="19" t="n">
        <v>0.882751546409108</v>
      </c>
      <c r="O41" s="19" t="n">
        <v>0.926006645550822</v>
      </c>
      <c r="P41" s="19" t="n">
        <v>0.572934647955932</v>
      </c>
      <c r="Q41" s="17" t="s">
        <v>29</v>
      </c>
      <c r="R41" s="5" t="str">
        <f aca="false">IF(OR(Q41="Steel plate",Q41="Concrete jacket"),"Steel plate or jacket",Q41)</f>
        <v>Monitor</v>
      </c>
      <c r="S41" s="5" t="str">
        <f aca="false">IF(O41&lt;='Tree rules'!$C$4,IF(N41&lt;='Tree rules'!$C$5,IF(P41&lt;='Tree rules'!$C$6,"Monitor","Polymer laminate"),IF(P41&lt;='Tree rules'!$C$7,"Seal cracks","Polymer laminate")),IF(O41&lt;='Tree rules'!$C$8,IF(M41&lt;='Tree rules'!$C$9,"Steel plate or jacket","Polymer laminate"),IF(L41&lt;='Tree rules'!$C$10,"Steel plate or jacket","Polymer laminate")))</f>
        <v>Monitor</v>
      </c>
      <c r="T41" s="5" t="str">
        <f aca="false">IF(S41=R41,"Yes","No")</f>
        <v>Yes</v>
      </c>
    </row>
    <row r="42" customFormat="false" ht="15" hidden="false" customHeight="false" outlineLevel="0" collapsed="false">
      <c r="A42" s="15" t="n">
        <v>58</v>
      </c>
      <c r="B42" s="16" t="n">
        <v>3.17221321926496</v>
      </c>
      <c r="C42" s="15" t="n">
        <v>300</v>
      </c>
      <c r="D42" s="15" t="n">
        <v>300</v>
      </c>
      <c r="E42" s="15" t="n">
        <v>25</v>
      </c>
      <c r="F42" s="16" t="n">
        <v>0.736310778185108</v>
      </c>
      <c r="G42" s="17" t="s">
        <v>89</v>
      </c>
      <c r="H42" s="18" t="n">
        <v>0.3</v>
      </c>
      <c r="I42" s="18" t="n">
        <v>1</v>
      </c>
      <c r="J42" s="19" t="n">
        <v>0.993309471300197</v>
      </c>
      <c r="K42" s="19" t="n">
        <v>0.501819163020986</v>
      </c>
      <c r="L42" s="16" t="n">
        <v>12.3914578877538</v>
      </c>
      <c r="M42" s="19" t="n">
        <v>0.64043533582851</v>
      </c>
      <c r="N42" s="19" t="n">
        <v>0.677121601322979</v>
      </c>
      <c r="O42" s="19" t="n">
        <v>0.993309471300197</v>
      </c>
      <c r="P42" s="19" t="n">
        <v>0.506377916091834</v>
      </c>
      <c r="Q42" s="17" t="s">
        <v>29</v>
      </c>
      <c r="R42" s="5" t="str">
        <f aca="false">IF(OR(Q42="Steel plate",Q42="Concrete jacket"),"Steel plate or jacket",Q42)</f>
        <v>Monitor</v>
      </c>
      <c r="S42" s="5" t="str">
        <f aca="false">IF(O42&lt;='Tree rules'!$C$4,IF(N42&lt;='Tree rules'!$C$5,IF(P42&lt;='Tree rules'!$C$6,"Monitor","Polymer laminate"),IF(P42&lt;='Tree rules'!$C$7,"Seal cracks","Polymer laminate")),IF(O42&lt;='Tree rules'!$C$8,IF(M42&lt;='Tree rules'!$C$9,"Steel plate or jacket","Polymer laminate"),IF(L42&lt;='Tree rules'!$C$10,"Steel plate or jacket","Polymer laminate")))</f>
        <v>Monitor</v>
      </c>
      <c r="T42" s="5" t="str">
        <f aca="false">IF(S42=R42,"Yes","No")</f>
        <v>Yes</v>
      </c>
    </row>
    <row r="43" customFormat="false" ht="15" hidden="false" customHeight="false" outlineLevel="0" collapsed="false">
      <c r="A43" s="15" t="n">
        <v>59</v>
      </c>
      <c r="B43" s="16" t="n">
        <v>5.72764574033366</v>
      </c>
      <c r="C43" s="15" t="n">
        <v>300</v>
      </c>
      <c r="D43" s="15" t="n">
        <v>575</v>
      </c>
      <c r="E43" s="15" t="n">
        <v>20</v>
      </c>
      <c r="F43" s="16" t="n">
        <v>0.633465437396808</v>
      </c>
      <c r="G43" s="17" t="s">
        <v>89</v>
      </c>
      <c r="H43" s="18" t="n">
        <v>0.3</v>
      </c>
      <c r="I43" s="18" t="n">
        <v>1.5</v>
      </c>
      <c r="J43" s="19" t="n">
        <v>0.910987767435561</v>
      </c>
      <c r="K43" s="19" t="n">
        <v>0.521494532971982</v>
      </c>
      <c r="L43" s="16" t="n">
        <v>10.8273076376818</v>
      </c>
      <c r="M43" s="19" t="n">
        <v>0.940881320704714</v>
      </c>
      <c r="N43" s="19" t="n">
        <v>0.669067080236438</v>
      </c>
      <c r="O43" s="19" t="n">
        <v>1.12894408099234</v>
      </c>
      <c r="P43" s="19" t="n">
        <v>0.387259596405463</v>
      </c>
      <c r="Q43" s="17" t="s">
        <v>31</v>
      </c>
      <c r="R43" s="5" t="str">
        <f aca="false">IF(OR(Q43="Steel plate",Q43="Concrete jacket"),"Steel plate or jacket",Q43)</f>
        <v>Polymer laminate</v>
      </c>
      <c r="S43" s="5" t="str">
        <f aca="false">IF(O43&lt;='Tree rules'!$C$4,IF(N43&lt;='Tree rules'!$C$5,IF(P43&lt;='Tree rules'!$C$6,"Monitor","Polymer laminate"),IF(P43&lt;='Tree rules'!$C$7,"Seal cracks","Polymer laminate")),IF(O43&lt;='Tree rules'!$C$8,IF(M43&lt;='Tree rules'!$C$9,"Steel plate or jacket","Polymer laminate"),IF(L43&lt;='Tree rules'!$C$10,"Steel plate or jacket","Polymer laminate")))</f>
        <v>Polymer laminate</v>
      </c>
      <c r="T43" s="5" t="str">
        <f aca="false">IF(S43=R43,"Yes","No")</f>
        <v>Yes</v>
      </c>
    </row>
    <row r="44" customFormat="false" ht="15" hidden="false" customHeight="false" outlineLevel="0" collapsed="false">
      <c r="A44" s="15" t="n">
        <v>60</v>
      </c>
      <c r="B44" s="16" t="n">
        <v>3.34616015463326</v>
      </c>
      <c r="C44" s="15" t="n">
        <v>300</v>
      </c>
      <c r="D44" s="15" t="n">
        <v>300</v>
      </c>
      <c r="E44" s="15" t="n">
        <v>30</v>
      </c>
      <c r="F44" s="16" t="n">
        <v>0.883572933822129</v>
      </c>
      <c r="G44" s="17" t="s">
        <v>89</v>
      </c>
      <c r="H44" s="18" t="n">
        <v>0.3</v>
      </c>
      <c r="I44" s="18" t="n">
        <v>1</v>
      </c>
      <c r="J44" s="19" t="n">
        <v>0.867791929292046</v>
      </c>
      <c r="K44" s="19" t="n">
        <v>0.494511838805139</v>
      </c>
      <c r="L44" s="16" t="n">
        <v>13.0709381040362</v>
      </c>
      <c r="M44" s="19" t="n">
        <v>0.949892687618087</v>
      </c>
      <c r="N44" s="19" t="n">
        <v>0.539383957970075</v>
      </c>
      <c r="O44" s="19" t="n">
        <v>0.867791929292046</v>
      </c>
      <c r="P44" s="19" t="n">
        <v>0.36536387558125</v>
      </c>
      <c r="Q44" s="17" t="s">
        <v>29</v>
      </c>
      <c r="R44" s="5" t="str">
        <f aca="false">IF(OR(Q44="Steel plate",Q44="Concrete jacket"),"Steel plate or jacket",Q44)</f>
        <v>Monitor</v>
      </c>
      <c r="S44" s="5" t="str">
        <f aca="false">IF(O44&lt;='Tree rules'!$C$4,IF(N44&lt;='Tree rules'!$C$5,IF(P44&lt;='Tree rules'!$C$6,"Monitor","Polymer laminate"),IF(P44&lt;='Tree rules'!$C$7,"Seal cracks","Polymer laminate")),IF(O44&lt;='Tree rules'!$C$8,IF(M44&lt;='Tree rules'!$C$9,"Steel plate or jacket","Polymer laminate"),IF(L44&lt;='Tree rules'!$C$10,"Steel plate or jacket","Polymer laminate")))</f>
        <v>Monitor</v>
      </c>
      <c r="T44" s="5" t="str">
        <f aca="false">IF(S44=R44,"Yes","No")</f>
        <v>Yes</v>
      </c>
    </row>
    <row r="45" customFormat="false" ht="15" hidden="false" customHeight="false" outlineLevel="0" collapsed="false">
      <c r="A45" s="15" t="n">
        <v>62</v>
      </c>
      <c r="B45" s="16" t="n">
        <v>3.28869772606395</v>
      </c>
      <c r="C45" s="15" t="n">
        <v>300</v>
      </c>
      <c r="D45" s="15" t="n">
        <v>325</v>
      </c>
      <c r="E45" s="15" t="n">
        <v>30</v>
      </c>
      <c r="F45" s="16" t="n">
        <v>0.756099314943392</v>
      </c>
      <c r="G45" s="17" t="s">
        <v>89</v>
      </c>
      <c r="H45" s="18" t="n">
        <v>0.3</v>
      </c>
      <c r="I45" s="18" t="n">
        <v>2</v>
      </c>
      <c r="J45" s="19" t="n">
        <v>0.932527378382122</v>
      </c>
      <c r="K45" s="19" t="n">
        <v>0.510009800123059</v>
      </c>
      <c r="L45" s="16" t="n">
        <v>11.8725549677399</v>
      </c>
      <c r="M45" s="19" t="n">
        <v>0.911547042923171</v>
      </c>
      <c r="N45" s="19" t="n">
        <v>1.49775407658379</v>
      </c>
      <c r="O45" s="19" t="n">
        <v>1.3894566549063</v>
      </c>
      <c r="P45" s="19" t="n">
        <v>0.401882814689034</v>
      </c>
      <c r="Q45" s="17" t="s">
        <v>31</v>
      </c>
      <c r="R45" s="5" t="str">
        <f aca="false">IF(OR(Q45="Steel plate",Q45="Concrete jacket"),"Steel plate or jacket",Q45)</f>
        <v>Polymer laminate</v>
      </c>
      <c r="S45" s="5" t="str">
        <f aca="false">IF(O45&lt;='Tree rules'!$C$4,IF(N45&lt;='Tree rules'!$C$5,IF(P45&lt;='Tree rules'!$C$6,"Monitor","Polymer laminate"),IF(P45&lt;='Tree rules'!$C$7,"Seal cracks","Polymer laminate")),IF(O45&lt;='Tree rules'!$C$8,IF(M45&lt;='Tree rules'!$C$9,"Steel plate or jacket","Polymer laminate"),IF(L45&lt;='Tree rules'!$C$10,"Steel plate or jacket","Polymer laminate")))</f>
        <v>Steel plate or jacket</v>
      </c>
      <c r="T45" s="5" t="str">
        <f aca="false">IF(S45=R45,"Yes","No")</f>
        <v>No</v>
      </c>
    </row>
    <row r="46" customFormat="false" ht="15" hidden="false" customHeight="false" outlineLevel="0" collapsed="false">
      <c r="A46" s="15" t="n">
        <v>63</v>
      </c>
      <c r="B46" s="16" t="n">
        <v>3.42085721217542</v>
      </c>
      <c r="C46" s="15" t="n">
        <v>300</v>
      </c>
      <c r="D46" s="15" t="n">
        <v>325</v>
      </c>
      <c r="E46" s="15" t="n">
        <v>25</v>
      </c>
      <c r="F46" s="16" t="n">
        <v>0.756099314943392</v>
      </c>
      <c r="G46" s="17" t="s">
        <v>89</v>
      </c>
      <c r="H46" s="18" t="n">
        <v>0.3</v>
      </c>
      <c r="I46" s="18" t="n">
        <v>2</v>
      </c>
      <c r="J46" s="19" t="n">
        <v>0.917122408328006</v>
      </c>
      <c r="K46" s="19" t="n">
        <v>0.616555460767526</v>
      </c>
      <c r="L46" s="16" t="n">
        <v>12.349665025904</v>
      </c>
      <c r="M46" s="19" t="n">
        <v>0.533487966159909</v>
      </c>
      <c r="N46" s="19" t="n">
        <v>1.42242924467956</v>
      </c>
      <c r="O46" s="19" t="n">
        <v>1.26878798760912</v>
      </c>
      <c r="P46" s="19" t="n">
        <v>0.732526325867077</v>
      </c>
      <c r="Q46" s="17" t="s">
        <v>31</v>
      </c>
      <c r="R46" s="5" t="str">
        <f aca="false">IF(OR(Q46="Steel plate",Q46="Concrete jacket"),"Steel plate or jacket",Q46)</f>
        <v>Polymer laminate</v>
      </c>
      <c r="S46" s="5" t="str">
        <f aca="false">IF(O46&lt;='Tree rules'!$C$4,IF(N46&lt;='Tree rules'!$C$5,IF(P46&lt;='Tree rules'!$C$6,"Monitor","Polymer laminate"),IF(P46&lt;='Tree rules'!$C$7,"Seal cracks","Polymer laminate")),IF(O46&lt;='Tree rules'!$C$8,IF(M46&lt;='Tree rules'!$C$9,"Steel plate or jacket","Polymer laminate"),IF(L46&lt;='Tree rules'!$C$10,"Steel plate or jacket","Polymer laminate")))</f>
        <v>Polymer laminate</v>
      </c>
      <c r="T46" s="5" t="str">
        <f aca="false">IF(S46=R46,"Yes","No")</f>
        <v>Yes</v>
      </c>
    </row>
    <row r="47" customFormat="false" ht="15" hidden="false" customHeight="false" outlineLevel="0" collapsed="false">
      <c r="A47" s="15" t="n">
        <v>64</v>
      </c>
      <c r="B47" s="16" t="n">
        <v>4.08597514312527</v>
      </c>
      <c r="C47" s="15" t="n">
        <v>300</v>
      </c>
      <c r="D47" s="15" t="n">
        <v>375</v>
      </c>
      <c r="E47" s="15" t="n">
        <v>25</v>
      </c>
      <c r="F47" s="16" t="n">
        <v>0.671280481536281</v>
      </c>
      <c r="G47" s="17" t="s">
        <v>90</v>
      </c>
      <c r="H47" s="18" t="n">
        <v>0.1</v>
      </c>
      <c r="I47" s="18" t="n">
        <v>1</v>
      </c>
      <c r="J47" s="19" t="n">
        <v>0.878116218157447</v>
      </c>
      <c r="K47" s="19" t="n">
        <v>0.581132283009566</v>
      </c>
      <c r="L47" s="16" t="n">
        <v>13.0960741766836</v>
      </c>
      <c r="M47" s="19" t="n">
        <v>0.291371394661196</v>
      </c>
      <c r="N47" s="19" t="n">
        <v>3.45132496042856</v>
      </c>
      <c r="O47" s="19" t="n">
        <v>0.878116218157447</v>
      </c>
      <c r="P47" s="19" t="n">
        <v>0.921706229875409</v>
      </c>
      <c r="Q47" s="17" t="s">
        <v>30</v>
      </c>
      <c r="R47" s="5" t="str">
        <f aca="false">IF(OR(Q47="Steel plate",Q47="Concrete jacket"),"Steel plate or jacket",Q47)</f>
        <v>Seal cracks</v>
      </c>
      <c r="S47" s="5" t="str">
        <f aca="false">IF(O47&lt;='Tree rules'!$C$4,IF(N47&lt;='Tree rules'!$C$5,IF(P47&lt;='Tree rules'!$C$6,"Monitor","Polymer laminate"),IF(P47&lt;='Tree rules'!$C$7,"Seal cracks","Polymer laminate")),IF(O47&lt;='Tree rules'!$C$8,IF(M47&lt;='Tree rules'!$C$9,"Steel plate or jacket","Polymer laminate"),IF(L47&lt;='Tree rules'!$C$10,"Steel plate or jacket","Polymer laminate")))</f>
        <v>Seal cracks</v>
      </c>
      <c r="T47" s="5" t="str">
        <f aca="false">IF(S47=R47,"Yes","No")</f>
        <v>Yes</v>
      </c>
    </row>
    <row r="48" customFormat="false" ht="15" hidden="false" customHeight="false" outlineLevel="0" collapsed="false">
      <c r="A48" s="15" t="n">
        <v>65</v>
      </c>
      <c r="B48" s="16" t="n">
        <v>7.07437884502246</v>
      </c>
      <c r="C48" s="15" t="n">
        <v>230</v>
      </c>
      <c r="D48" s="15" t="n">
        <v>700</v>
      </c>
      <c r="E48" s="15" t="n">
        <v>30</v>
      </c>
      <c r="F48" s="16" t="n">
        <v>0.628486127018497</v>
      </c>
      <c r="G48" s="17" t="s">
        <v>89</v>
      </c>
      <c r="H48" s="18" t="n">
        <v>0.3</v>
      </c>
      <c r="I48" s="18" t="n">
        <v>1</v>
      </c>
      <c r="J48" s="19" t="n">
        <v>0.864066469461035</v>
      </c>
      <c r="K48" s="19" t="n">
        <v>0.579766973310079</v>
      </c>
      <c r="L48" s="16" t="n">
        <v>10.8502743021817</v>
      </c>
      <c r="M48" s="19" t="n">
        <v>0.917902121807493</v>
      </c>
      <c r="N48" s="19" t="n">
        <v>0.54016516191592</v>
      </c>
      <c r="O48" s="19" t="n">
        <v>0.864066469461035</v>
      </c>
      <c r="P48" s="19" t="n">
        <v>0.321993324431473</v>
      </c>
      <c r="Q48" s="17" t="s">
        <v>29</v>
      </c>
      <c r="R48" s="5" t="str">
        <f aca="false">IF(OR(Q48="Steel plate",Q48="Concrete jacket"),"Steel plate or jacket",Q48)</f>
        <v>Monitor</v>
      </c>
      <c r="S48" s="5" t="str">
        <f aca="false">IF(O48&lt;='Tree rules'!$C$4,IF(N48&lt;='Tree rules'!$C$5,IF(P48&lt;='Tree rules'!$C$6,"Monitor","Polymer laminate"),IF(P48&lt;='Tree rules'!$C$7,"Seal cracks","Polymer laminate")),IF(O48&lt;='Tree rules'!$C$8,IF(M48&lt;='Tree rules'!$C$9,"Steel plate or jacket","Polymer laminate"),IF(L48&lt;='Tree rules'!$C$10,"Steel plate or jacket","Polymer laminate")))</f>
        <v>Monitor</v>
      </c>
      <c r="T48" s="5" t="str">
        <f aca="false">IF(S48=R48,"Yes","No")</f>
        <v>Yes</v>
      </c>
    </row>
    <row r="49" customFormat="false" ht="15" hidden="false" customHeight="false" outlineLevel="0" collapsed="false">
      <c r="A49" s="15" t="n">
        <v>67</v>
      </c>
      <c r="B49" s="16" t="n">
        <v>3.07221862993939</v>
      </c>
      <c r="C49" s="15" t="n">
        <v>300</v>
      </c>
      <c r="D49" s="15" t="n">
        <v>300</v>
      </c>
      <c r="E49" s="15" t="n">
        <v>25</v>
      </c>
      <c r="F49" s="16" t="n">
        <v>0.831109167616348</v>
      </c>
      <c r="G49" s="17" t="s">
        <v>89</v>
      </c>
      <c r="H49" s="18" t="n">
        <v>0.3</v>
      </c>
      <c r="I49" s="18" t="n">
        <v>1</v>
      </c>
      <c r="J49" s="19" t="n">
        <v>0.97920134554986</v>
      </c>
      <c r="K49" s="19" t="n">
        <v>0.537578336088756</v>
      </c>
      <c r="L49" s="16" t="n">
        <v>12.1913437696008</v>
      </c>
      <c r="M49" s="19" t="n">
        <v>0.29376571684304</v>
      </c>
      <c r="N49" s="19" t="n">
        <v>1.11946798975948</v>
      </c>
      <c r="O49" s="19" t="n">
        <v>0.97920134554986</v>
      </c>
      <c r="P49" s="19" t="n">
        <v>1.11531375912791</v>
      </c>
      <c r="Q49" s="17" t="s">
        <v>31</v>
      </c>
      <c r="R49" s="5" t="str">
        <f aca="false">IF(OR(Q49="Steel plate",Q49="Concrete jacket"),"Steel plate or jacket",Q49)</f>
        <v>Polymer laminate</v>
      </c>
      <c r="S49" s="5" t="str">
        <f aca="false">IF(O49&lt;='Tree rules'!$C$4,IF(N49&lt;='Tree rules'!$C$5,IF(P49&lt;='Tree rules'!$C$6,"Monitor","Polymer laminate"),IF(P49&lt;='Tree rules'!$C$7,"Seal cracks","Polymer laminate")),IF(O49&lt;='Tree rules'!$C$8,IF(M49&lt;='Tree rules'!$C$9,"Steel plate or jacket","Polymer laminate"),IF(L49&lt;='Tree rules'!$C$10,"Steel plate or jacket","Polymer laminate")))</f>
        <v>Polymer laminate</v>
      </c>
      <c r="T49" s="5" t="str">
        <f aca="false">IF(S49=R49,"Yes","No")</f>
        <v>Yes</v>
      </c>
    </row>
    <row r="50" customFormat="false" ht="15" hidden="false" customHeight="false" outlineLevel="0" collapsed="false">
      <c r="A50" s="15" t="n">
        <v>68</v>
      </c>
      <c r="B50" s="16" t="n">
        <v>6.64837339873578</v>
      </c>
      <c r="C50" s="15" t="n">
        <v>300</v>
      </c>
      <c r="D50" s="15" t="n">
        <v>625</v>
      </c>
      <c r="E50" s="15" t="n">
        <v>20</v>
      </c>
      <c r="F50" s="16" t="n">
        <v>0.694514438099298</v>
      </c>
      <c r="G50" s="17" t="s">
        <v>91</v>
      </c>
      <c r="H50" s="18" t="n">
        <v>0.2</v>
      </c>
      <c r="I50" s="18" t="n">
        <v>1</v>
      </c>
      <c r="J50" s="19" t="n">
        <v>0.909194682255491</v>
      </c>
      <c r="K50" s="19" t="n">
        <v>0.636348275250121</v>
      </c>
      <c r="L50" s="16" t="n">
        <v>11.4825101877993</v>
      </c>
      <c r="M50" s="19" t="n">
        <v>0.891720193313725</v>
      </c>
      <c r="N50" s="19" t="n">
        <v>0.754803609086564</v>
      </c>
      <c r="O50" s="19" t="n">
        <v>0.909194682255491</v>
      </c>
      <c r="P50" s="19" t="n">
        <v>0.456597315023039</v>
      </c>
      <c r="Q50" s="17" t="s">
        <v>29</v>
      </c>
      <c r="R50" s="5" t="str">
        <f aca="false">IF(OR(Q50="Steel plate",Q50="Concrete jacket"),"Steel plate or jacket",Q50)</f>
        <v>Monitor</v>
      </c>
      <c r="S50" s="5" t="str">
        <f aca="false">IF(O50&lt;='Tree rules'!$C$4,IF(N50&lt;='Tree rules'!$C$5,IF(P50&lt;='Tree rules'!$C$6,"Monitor","Polymer laminate"),IF(P50&lt;='Tree rules'!$C$7,"Seal cracks","Polymer laminate")),IF(O50&lt;='Tree rules'!$C$8,IF(M50&lt;='Tree rules'!$C$9,"Steel plate or jacket","Polymer laminate"),IF(L50&lt;='Tree rules'!$C$10,"Steel plate or jacket","Polymer laminate")))</f>
        <v>Monitor</v>
      </c>
      <c r="T50" s="5" t="str">
        <f aca="false">IF(S50=R50,"Yes","No")</f>
        <v>Yes</v>
      </c>
    </row>
    <row r="51" customFormat="false" ht="15" hidden="false" customHeight="false" outlineLevel="0" collapsed="false">
      <c r="A51" s="15" t="n">
        <v>69</v>
      </c>
      <c r="B51" s="16" t="n">
        <v>3.32923329887508</v>
      </c>
      <c r="C51" s="15" t="n">
        <v>300</v>
      </c>
      <c r="D51" s="15" t="n">
        <v>300</v>
      </c>
      <c r="E51" s="15" t="n">
        <v>25</v>
      </c>
      <c r="F51" s="16" t="n">
        <v>0.791582400904515</v>
      </c>
      <c r="G51" s="17" t="s">
        <v>89</v>
      </c>
      <c r="H51" s="18" t="n">
        <v>0.3</v>
      </c>
      <c r="I51" s="18" t="n">
        <v>2</v>
      </c>
      <c r="J51" s="19" t="n">
        <v>0.862031964152645</v>
      </c>
      <c r="K51" s="19" t="n">
        <v>0.487410602268273</v>
      </c>
      <c r="L51" s="16" t="n">
        <v>13.1072177121066</v>
      </c>
      <c r="M51" s="19" t="n">
        <v>0.288204371327545</v>
      </c>
      <c r="N51" s="19" t="n">
        <v>1.15547270544347</v>
      </c>
      <c r="O51" s="19" t="n">
        <v>1.30390040948315</v>
      </c>
      <c r="P51" s="19" t="n">
        <v>1.29557840508898</v>
      </c>
      <c r="Q51" s="17" t="s">
        <v>31</v>
      </c>
      <c r="R51" s="5" t="str">
        <f aca="false">IF(OR(Q51="Steel plate",Q51="Concrete jacket"),"Steel plate or jacket",Q51)</f>
        <v>Polymer laminate</v>
      </c>
      <c r="S51" s="5" t="str">
        <f aca="false">IF(O51&lt;='Tree rules'!$C$4,IF(N51&lt;='Tree rules'!$C$5,IF(P51&lt;='Tree rules'!$C$6,"Monitor","Polymer laminate"),IF(P51&lt;='Tree rules'!$C$7,"Seal cracks","Polymer laminate")),IF(O51&lt;='Tree rules'!$C$8,IF(M51&lt;='Tree rules'!$C$9,"Steel plate or jacket","Polymer laminate"),IF(L51&lt;='Tree rules'!$C$10,"Steel plate or jacket","Polymer laminate")))</f>
        <v>Polymer laminate</v>
      </c>
      <c r="T51" s="5" t="str">
        <f aca="false">IF(S51=R51,"Yes","No")</f>
        <v>Yes</v>
      </c>
    </row>
    <row r="52" customFormat="false" ht="15" hidden="false" customHeight="false" outlineLevel="0" collapsed="false">
      <c r="A52" s="15" t="n">
        <v>70</v>
      </c>
      <c r="B52" s="16" t="n">
        <v>5.63925704019501</v>
      </c>
      <c r="C52" s="15" t="n">
        <v>300</v>
      </c>
      <c r="D52" s="15" t="n">
        <v>475</v>
      </c>
      <c r="E52" s="15" t="n">
        <v>30</v>
      </c>
      <c r="F52" s="16" t="n">
        <v>0.762522488735387</v>
      </c>
      <c r="G52" s="17" t="s">
        <v>90</v>
      </c>
      <c r="H52" s="18" t="n">
        <v>0.1</v>
      </c>
      <c r="I52" s="18" t="n">
        <v>1</v>
      </c>
      <c r="J52" s="19" t="n">
        <v>0.906988853201919</v>
      </c>
      <c r="K52" s="19" t="n">
        <v>0.591825980666298</v>
      </c>
      <c r="L52" s="16" t="n">
        <v>13.687517087852</v>
      </c>
      <c r="M52" s="19" t="n">
        <v>0.259576433088168</v>
      </c>
      <c r="N52" s="19" t="n">
        <v>2.89064041230974</v>
      </c>
      <c r="O52" s="19" t="n">
        <v>0.906988853201919</v>
      </c>
      <c r="P52" s="19" t="n">
        <v>1.31753867789612</v>
      </c>
      <c r="Q52" s="17" t="s">
        <v>31</v>
      </c>
      <c r="R52" s="5" t="str">
        <f aca="false">IF(OR(Q52="Steel plate",Q52="Concrete jacket"),"Steel plate or jacket",Q52)</f>
        <v>Polymer laminate</v>
      </c>
      <c r="S52" s="5" t="str">
        <f aca="false">IF(O52&lt;='Tree rules'!$C$4,IF(N52&lt;='Tree rules'!$C$5,IF(P52&lt;='Tree rules'!$C$6,"Monitor","Polymer laminate"),IF(P52&lt;='Tree rules'!$C$7,"Seal cracks","Polymer laminate")),IF(O52&lt;='Tree rules'!$C$8,IF(M52&lt;='Tree rules'!$C$9,"Steel plate or jacket","Polymer laminate"),IF(L52&lt;='Tree rules'!$C$10,"Steel plate or jacket","Polymer laminate")))</f>
        <v>Polymer laminate</v>
      </c>
      <c r="T52" s="5" t="str">
        <f aca="false">IF(S52=R52,"Yes","No")</f>
        <v>Yes</v>
      </c>
    </row>
    <row r="53" customFormat="false" ht="15" hidden="false" customHeight="false" outlineLevel="0" collapsed="false">
      <c r="A53" s="15" t="n">
        <v>71</v>
      </c>
      <c r="B53" s="16" t="n">
        <v>4.73046815639036</v>
      </c>
      <c r="C53" s="15" t="n">
        <v>230</v>
      </c>
      <c r="D53" s="15" t="n">
        <v>450</v>
      </c>
      <c r="E53" s="15" t="n">
        <v>30</v>
      </c>
      <c r="F53" s="16" t="n">
        <v>1.01933570849766</v>
      </c>
      <c r="G53" s="17" t="s">
        <v>91</v>
      </c>
      <c r="H53" s="18" t="n">
        <v>0.2</v>
      </c>
      <c r="I53" s="18" t="n">
        <v>1</v>
      </c>
      <c r="J53" s="19" t="n">
        <v>0.852016338611628</v>
      </c>
      <c r="K53" s="19" t="n">
        <v>0.485068744025002</v>
      </c>
      <c r="L53" s="16" t="n">
        <v>11.7673337223641</v>
      </c>
      <c r="M53" s="19" t="n">
        <v>0.797534023359656</v>
      </c>
      <c r="N53" s="19" t="n">
        <v>0.879003197184403</v>
      </c>
      <c r="O53" s="19" t="n">
        <v>0.852016338611628</v>
      </c>
      <c r="P53" s="19" t="n">
        <v>0.473350906364646</v>
      </c>
      <c r="Q53" s="17" t="s">
        <v>29</v>
      </c>
      <c r="R53" s="5" t="str">
        <f aca="false">IF(OR(Q53="Steel plate",Q53="Concrete jacket"),"Steel plate or jacket",Q53)</f>
        <v>Monitor</v>
      </c>
      <c r="S53" s="5" t="str">
        <f aca="false">IF(O53&lt;='Tree rules'!$C$4,IF(N53&lt;='Tree rules'!$C$5,IF(P53&lt;='Tree rules'!$C$6,"Monitor","Polymer laminate"),IF(P53&lt;='Tree rules'!$C$7,"Seal cracks","Polymer laminate")),IF(O53&lt;='Tree rules'!$C$8,IF(M53&lt;='Tree rules'!$C$9,"Steel plate or jacket","Polymer laminate"),IF(L53&lt;='Tree rules'!$C$10,"Steel plate or jacket","Polymer laminate")))</f>
        <v>Monitor</v>
      </c>
      <c r="T53" s="5" t="str">
        <f aca="false">IF(S53=R53,"Yes","No")</f>
        <v>Yes</v>
      </c>
    </row>
    <row r="54" customFormat="false" ht="15" hidden="false" customHeight="false" outlineLevel="0" collapsed="false">
      <c r="A54" s="15" t="n">
        <v>72</v>
      </c>
      <c r="B54" s="16" t="n">
        <v>4.10678354973917</v>
      </c>
      <c r="C54" s="15" t="n">
        <v>300</v>
      </c>
      <c r="D54" s="15" t="n">
        <v>350</v>
      </c>
      <c r="E54" s="15" t="n">
        <v>20</v>
      </c>
      <c r="F54" s="16" t="n">
        <v>0.693508312050727</v>
      </c>
      <c r="G54" s="17" t="s">
        <v>91</v>
      </c>
      <c r="H54" s="18" t="n">
        <v>0.2</v>
      </c>
      <c r="I54" s="18" t="n">
        <v>2</v>
      </c>
      <c r="J54" s="19" t="n">
        <v>0.893834146982514</v>
      </c>
      <c r="K54" s="19" t="n">
        <v>0.627317718516132</v>
      </c>
      <c r="L54" s="16" t="n">
        <v>13.5986210256264</v>
      </c>
      <c r="M54" s="19" t="n">
        <v>0.526890655076604</v>
      </c>
      <c r="N54" s="19" t="n">
        <v>2.05603792603548</v>
      </c>
      <c r="O54" s="19" t="n">
        <v>1.22695029614814</v>
      </c>
      <c r="P54" s="19" t="n">
        <v>0.831216564197134</v>
      </c>
      <c r="Q54" s="17" t="s">
        <v>31</v>
      </c>
      <c r="R54" s="5" t="str">
        <f aca="false">IF(OR(Q54="Steel plate",Q54="Concrete jacket"),"Steel plate or jacket",Q54)</f>
        <v>Polymer laminate</v>
      </c>
      <c r="S54" s="5" t="str">
        <f aca="false">IF(O54&lt;='Tree rules'!$C$4,IF(N54&lt;='Tree rules'!$C$5,IF(P54&lt;='Tree rules'!$C$6,"Monitor","Polymer laminate"),IF(P54&lt;='Tree rules'!$C$7,"Seal cracks","Polymer laminate")),IF(O54&lt;='Tree rules'!$C$8,IF(M54&lt;='Tree rules'!$C$9,"Steel plate or jacket","Polymer laminate"),IF(L54&lt;='Tree rules'!$C$10,"Steel plate or jacket","Polymer laminate")))</f>
        <v>Polymer laminate</v>
      </c>
      <c r="T54" s="5" t="str">
        <f aca="false">IF(S54=R54,"Yes","No")</f>
        <v>Yes</v>
      </c>
    </row>
    <row r="55" customFormat="false" ht="15" hidden="false" customHeight="false" outlineLevel="0" collapsed="false">
      <c r="A55" s="15" t="n">
        <v>73</v>
      </c>
      <c r="B55" s="16" t="n">
        <v>3.36856983562285</v>
      </c>
      <c r="C55" s="15" t="n">
        <v>300</v>
      </c>
      <c r="D55" s="15" t="n">
        <v>325</v>
      </c>
      <c r="E55" s="15" t="n">
        <v>25</v>
      </c>
      <c r="F55" s="16" t="n">
        <v>0.756099314943392</v>
      </c>
      <c r="G55" s="17" t="s">
        <v>91</v>
      </c>
      <c r="H55" s="18" t="n">
        <v>0.2</v>
      </c>
      <c r="I55" s="18" t="n">
        <v>1</v>
      </c>
      <c r="J55" s="19" t="n">
        <v>0.944494859899016</v>
      </c>
      <c r="K55" s="19" t="n">
        <v>0.443719384853953</v>
      </c>
      <c r="L55" s="16" t="n">
        <v>12.1609019336565</v>
      </c>
      <c r="M55" s="19" t="n">
        <v>0.949772623427256</v>
      </c>
      <c r="N55" s="19" t="n">
        <v>1.42041611150164</v>
      </c>
      <c r="O55" s="19" t="n">
        <v>0.944494859899016</v>
      </c>
      <c r="P55" s="19" t="n">
        <v>0.327647070428439</v>
      </c>
      <c r="Q55" s="17" t="s">
        <v>30</v>
      </c>
      <c r="R55" s="5" t="str">
        <f aca="false">IF(OR(Q55="Steel plate",Q55="Concrete jacket"),"Steel plate or jacket",Q55)</f>
        <v>Seal cracks</v>
      </c>
      <c r="S55" s="5" t="str">
        <f aca="false">IF(O55&lt;='Tree rules'!$C$4,IF(N55&lt;='Tree rules'!$C$5,IF(P55&lt;='Tree rules'!$C$6,"Monitor","Polymer laminate"),IF(P55&lt;='Tree rules'!$C$7,"Seal cracks","Polymer laminate")),IF(O55&lt;='Tree rules'!$C$8,IF(M55&lt;='Tree rules'!$C$9,"Steel plate or jacket","Polymer laminate"),IF(L55&lt;='Tree rules'!$C$10,"Steel plate or jacket","Polymer laminate")))</f>
        <v>Seal cracks</v>
      </c>
      <c r="T55" s="5" t="str">
        <f aca="false">IF(S55=R55,"Yes","No")</f>
        <v>Yes</v>
      </c>
    </row>
    <row r="56" customFormat="false" ht="15" hidden="false" customHeight="false" outlineLevel="0" collapsed="false">
      <c r="A56" s="15" t="n">
        <v>74</v>
      </c>
      <c r="B56" s="16" t="n">
        <v>6.09857061291913</v>
      </c>
      <c r="C56" s="15" t="n">
        <v>230</v>
      </c>
      <c r="D56" s="15" t="n">
        <v>600</v>
      </c>
      <c r="E56" s="15" t="n">
        <v>20</v>
      </c>
      <c r="F56" s="16" t="n">
        <v>0.63117855856144</v>
      </c>
      <c r="G56" s="17" t="s">
        <v>91</v>
      </c>
      <c r="H56" s="18" t="n">
        <v>0.2</v>
      </c>
      <c r="I56" s="18" t="n">
        <v>2</v>
      </c>
      <c r="J56" s="19" t="n">
        <v>0.91422743326895</v>
      </c>
      <c r="K56" s="19" t="n">
        <v>0.608985182125238</v>
      </c>
      <c r="L56" s="16" t="n">
        <v>11.0082502038251</v>
      </c>
      <c r="M56" s="19" t="n">
        <v>0.38619536844099</v>
      </c>
      <c r="N56" s="19" t="n">
        <v>1.2519931607379</v>
      </c>
      <c r="O56" s="19" t="n">
        <v>1.27170390658472</v>
      </c>
      <c r="P56" s="19" t="n">
        <v>1.02473977743398</v>
      </c>
      <c r="Q56" s="17" t="s">
        <v>31</v>
      </c>
      <c r="R56" s="5" t="str">
        <f aca="false">IF(OR(Q56="Steel plate",Q56="Concrete jacket"),"Steel plate or jacket",Q56)</f>
        <v>Polymer laminate</v>
      </c>
      <c r="S56" s="5" t="str">
        <f aca="false">IF(O56&lt;='Tree rules'!$C$4,IF(N56&lt;='Tree rules'!$C$5,IF(P56&lt;='Tree rules'!$C$6,"Monitor","Polymer laminate"),IF(P56&lt;='Tree rules'!$C$7,"Seal cracks","Polymer laminate")),IF(O56&lt;='Tree rules'!$C$8,IF(M56&lt;='Tree rules'!$C$9,"Steel plate or jacket","Polymer laminate"),IF(L56&lt;='Tree rules'!$C$10,"Steel plate or jacket","Polymer laminate")))</f>
        <v>Polymer laminate</v>
      </c>
      <c r="T56" s="5" t="str">
        <f aca="false">IF(S56=R56,"Yes","No")</f>
        <v>Yes</v>
      </c>
    </row>
    <row r="57" customFormat="false" ht="15" hidden="false" customHeight="false" outlineLevel="0" collapsed="false">
      <c r="A57" s="15" t="n">
        <v>75</v>
      </c>
      <c r="B57" s="16" t="n">
        <v>3.27007765914711</v>
      </c>
      <c r="C57" s="15" t="n">
        <v>230</v>
      </c>
      <c r="D57" s="15" t="n">
        <v>325</v>
      </c>
      <c r="E57" s="15" t="n">
        <v>25</v>
      </c>
      <c r="F57" s="16" t="n">
        <v>0.939980971621069</v>
      </c>
      <c r="G57" s="17" t="s">
        <v>89</v>
      </c>
      <c r="H57" s="18" t="n">
        <v>0.3</v>
      </c>
      <c r="I57" s="18" t="n">
        <v>1</v>
      </c>
      <c r="J57" s="19" t="n">
        <v>0.922665313677458</v>
      </c>
      <c r="K57" s="19" t="n">
        <v>0.478512755863973</v>
      </c>
      <c r="L57" s="16" t="n">
        <v>11.7207084557244</v>
      </c>
      <c r="M57" s="19" t="n">
        <v>0.522533805563252</v>
      </c>
      <c r="N57" s="19" t="n">
        <v>0.687632788906756</v>
      </c>
      <c r="O57" s="19" t="n">
        <v>0.922665313677458</v>
      </c>
      <c r="P57" s="19" t="n">
        <v>0.655037131429001</v>
      </c>
      <c r="Q57" s="17" t="s">
        <v>29</v>
      </c>
      <c r="R57" s="5" t="str">
        <f aca="false">IF(OR(Q57="Steel plate",Q57="Concrete jacket"),"Steel plate or jacket",Q57)</f>
        <v>Monitor</v>
      </c>
      <c r="S57" s="5" t="str">
        <f aca="false">IF(O57&lt;='Tree rules'!$C$4,IF(N57&lt;='Tree rules'!$C$5,IF(P57&lt;='Tree rules'!$C$6,"Monitor","Polymer laminate"),IF(P57&lt;='Tree rules'!$C$7,"Seal cracks","Polymer laminate")),IF(O57&lt;='Tree rules'!$C$8,IF(M57&lt;='Tree rules'!$C$9,"Steel plate or jacket","Polymer laminate"),IF(L57&lt;='Tree rules'!$C$10,"Steel plate or jacket","Polymer laminate")))</f>
        <v>Monitor</v>
      </c>
      <c r="T57" s="5" t="str">
        <f aca="false">IF(S57=R57,"Yes","No")</f>
        <v>Yes</v>
      </c>
    </row>
    <row r="58" customFormat="false" ht="15" hidden="false" customHeight="false" outlineLevel="0" collapsed="false">
      <c r="A58" s="15" t="n">
        <v>77</v>
      </c>
      <c r="B58" s="16" t="n">
        <v>3.73621876162851</v>
      </c>
      <c r="C58" s="15" t="n">
        <v>300</v>
      </c>
      <c r="D58" s="15" t="n">
        <v>375</v>
      </c>
      <c r="E58" s="15" t="n">
        <v>30</v>
      </c>
      <c r="F58" s="16" t="n">
        <v>0.960731698345503</v>
      </c>
      <c r="G58" s="17" t="s">
        <v>89</v>
      </c>
      <c r="H58" s="18" t="n">
        <v>0.3</v>
      </c>
      <c r="I58" s="18" t="n">
        <v>1</v>
      </c>
      <c r="J58" s="19" t="n">
        <v>0.922381813358312</v>
      </c>
      <c r="K58" s="19" t="n">
        <v>0.489789853792776</v>
      </c>
      <c r="L58" s="16" t="n">
        <v>11.4257454484052</v>
      </c>
      <c r="M58" s="19" t="n">
        <v>0.771992159066319</v>
      </c>
      <c r="N58" s="19" t="n">
        <v>0.744846888261065</v>
      </c>
      <c r="O58" s="19" t="n">
        <v>0.922381813358312</v>
      </c>
      <c r="P58" s="19" t="n">
        <v>0.458723247389715</v>
      </c>
      <c r="Q58" s="17" t="s">
        <v>29</v>
      </c>
      <c r="R58" s="5" t="str">
        <f aca="false">IF(OR(Q58="Steel plate",Q58="Concrete jacket"),"Steel plate or jacket",Q58)</f>
        <v>Monitor</v>
      </c>
      <c r="S58" s="5" t="str">
        <f aca="false">IF(O58&lt;='Tree rules'!$C$4,IF(N58&lt;='Tree rules'!$C$5,IF(P58&lt;='Tree rules'!$C$6,"Monitor","Polymer laminate"),IF(P58&lt;='Tree rules'!$C$7,"Seal cracks","Polymer laminate")),IF(O58&lt;='Tree rules'!$C$8,IF(M58&lt;='Tree rules'!$C$9,"Steel plate or jacket","Polymer laminate"),IF(L58&lt;='Tree rules'!$C$10,"Steel plate or jacket","Polymer laminate")))</f>
        <v>Monitor</v>
      </c>
      <c r="T58" s="5" t="str">
        <f aca="false">IF(S58=R58,"Yes","No")</f>
        <v>Yes</v>
      </c>
    </row>
    <row r="59" customFormat="false" ht="15" hidden="false" customHeight="false" outlineLevel="0" collapsed="false">
      <c r="A59" s="15" t="n">
        <v>78</v>
      </c>
      <c r="B59" s="16" t="n">
        <v>3.36425953900991</v>
      </c>
      <c r="C59" s="15" t="n">
        <v>300</v>
      </c>
      <c r="D59" s="15" t="n">
        <v>300</v>
      </c>
      <c r="E59" s="15" t="n">
        <v>30</v>
      </c>
      <c r="F59" s="16" t="n">
        <v>0.883711013668015</v>
      </c>
      <c r="G59" s="17" t="s">
        <v>90</v>
      </c>
      <c r="H59" s="18" t="n">
        <v>0.1</v>
      </c>
      <c r="I59" s="18" t="n">
        <v>1</v>
      </c>
      <c r="J59" s="19" t="n">
        <v>0.971148310717869</v>
      </c>
      <c r="K59" s="19" t="n">
        <v>0.560115910417736</v>
      </c>
      <c r="L59" s="16" t="n">
        <v>14.1951879283119</v>
      </c>
      <c r="M59" s="19" t="n">
        <v>0.921630183289015</v>
      </c>
      <c r="N59" s="19" t="n">
        <v>3.40014415133664</v>
      </c>
      <c r="O59" s="19" t="n">
        <v>0.971148310717869</v>
      </c>
      <c r="P59" s="19" t="n">
        <v>0.384856765737945</v>
      </c>
      <c r="Q59" s="17" t="s">
        <v>30</v>
      </c>
      <c r="R59" s="5" t="str">
        <f aca="false">IF(OR(Q59="Steel plate",Q59="Concrete jacket"),"Steel plate or jacket",Q59)</f>
        <v>Seal cracks</v>
      </c>
      <c r="S59" s="5" t="str">
        <f aca="false">IF(O59&lt;='Tree rules'!$C$4,IF(N59&lt;='Tree rules'!$C$5,IF(P59&lt;='Tree rules'!$C$6,"Monitor","Polymer laminate"),IF(P59&lt;='Tree rules'!$C$7,"Seal cracks","Polymer laminate")),IF(O59&lt;='Tree rules'!$C$8,IF(M59&lt;='Tree rules'!$C$9,"Steel plate or jacket","Polymer laminate"),IF(L59&lt;='Tree rules'!$C$10,"Steel plate or jacket","Polymer laminate")))</f>
        <v>Seal cracks</v>
      </c>
      <c r="T59" s="5" t="str">
        <f aca="false">IF(S59=R59,"Yes","No")</f>
        <v>Yes</v>
      </c>
    </row>
    <row r="60" customFormat="false" ht="15" hidden="false" customHeight="false" outlineLevel="0" collapsed="false">
      <c r="A60" s="15" t="n">
        <v>79</v>
      </c>
      <c r="B60" s="16" t="n">
        <v>6.04912146093012</v>
      </c>
      <c r="C60" s="15" t="n">
        <v>300</v>
      </c>
      <c r="D60" s="15" t="n">
        <v>575</v>
      </c>
      <c r="E60" s="15" t="n">
        <v>30</v>
      </c>
      <c r="F60" s="16" t="n">
        <v>0.633465437396808</v>
      </c>
      <c r="G60" s="17" t="s">
        <v>89</v>
      </c>
      <c r="H60" s="18" t="n">
        <v>0.3</v>
      </c>
      <c r="I60" s="18" t="n">
        <v>1</v>
      </c>
      <c r="J60" s="19" t="n">
        <v>0.977166954319322</v>
      </c>
      <c r="K60" s="19" t="n">
        <v>0.634971341267346</v>
      </c>
      <c r="L60" s="16" t="n">
        <v>11.4350122134785</v>
      </c>
      <c r="M60" s="19" t="n">
        <v>0.827170260457195</v>
      </c>
      <c r="N60" s="19" t="n">
        <v>0.601686196795154</v>
      </c>
      <c r="O60" s="19" t="n">
        <v>0.977166954319322</v>
      </c>
      <c r="P60" s="19" t="n">
        <v>0.420193951413068</v>
      </c>
      <c r="Q60" s="17" t="s">
        <v>29</v>
      </c>
      <c r="R60" s="5" t="str">
        <f aca="false">IF(OR(Q60="Steel plate",Q60="Concrete jacket"),"Steel plate or jacket",Q60)</f>
        <v>Monitor</v>
      </c>
      <c r="S60" s="5" t="str">
        <f aca="false">IF(O60&lt;='Tree rules'!$C$4,IF(N60&lt;='Tree rules'!$C$5,IF(P60&lt;='Tree rules'!$C$6,"Monitor","Polymer laminate"),IF(P60&lt;='Tree rules'!$C$7,"Seal cracks","Polymer laminate")),IF(O60&lt;='Tree rules'!$C$8,IF(M60&lt;='Tree rules'!$C$9,"Steel plate or jacket","Polymer laminate"),IF(L60&lt;='Tree rules'!$C$10,"Steel plate or jacket","Polymer laminate")))</f>
        <v>Monitor</v>
      </c>
      <c r="T60" s="5" t="str">
        <f aca="false">IF(S60=R60,"Yes","No")</f>
        <v>Yes</v>
      </c>
    </row>
    <row r="61" customFormat="false" ht="15" hidden="false" customHeight="false" outlineLevel="0" collapsed="false">
      <c r="A61" s="15" t="n">
        <v>80</v>
      </c>
      <c r="B61" s="16" t="n">
        <v>4.83266438803481</v>
      </c>
      <c r="C61" s="15" t="n">
        <v>300</v>
      </c>
      <c r="D61" s="15" t="n">
        <v>475</v>
      </c>
      <c r="E61" s="15" t="n">
        <v>20</v>
      </c>
      <c r="F61" s="16" t="n">
        <v>0.735735984447258</v>
      </c>
      <c r="G61" s="17" t="s">
        <v>89</v>
      </c>
      <c r="H61" s="18" t="n">
        <v>0.3</v>
      </c>
      <c r="I61" s="18" t="n">
        <v>2</v>
      </c>
      <c r="J61" s="19" t="n">
        <v>0.852236000487177</v>
      </c>
      <c r="K61" s="19" t="n">
        <v>0.571147209345707</v>
      </c>
      <c r="L61" s="16" t="n">
        <v>11.3177151944609</v>
      </c>
      <c r="M61" s="19" t="n">
        <v>0.782779609271162</v>
      </c>
      <c r="N61" s="19" t="n">
        <v>0.954500350487928</v>
      </c>
      <c r="O61" s="19" t="n">
        <v>1.21771978759216</v>
      </c>
      <c r="P61" s="19" t="n">
        <v>0.52886456599092</v>
      </c>
      <c r="Q61" s="17" t="s">
        <v>31</v>
      </c>
      <c r="R61" s="5" t="str">
        <f aca="false">IF(OR(Q61="Steel plate",Q61="Concrete jacket"),"Steel plate or jacket",Q61)</f>
        <v>Polymer laminate</v>
      </c>
      <c r="S61" s="5" t="str">
        <f aca="false">IF(O61&lt;='Tree rules'!$C$4,IF(N61&lt;='Tree rules'!$C$5,IF(P61&lt;='Tree rules'!$C$6,"Monitor","Polymer laminate"),IF(P61&lt;='Tree rules'!$C$7,"Seal cracks","Polymer laminate")),IF(O61&lt;='Tree rules'!$C$8,IF(M61&lt;='Tree rules'!$C$9,"Steel plate or jacket","Polymer laminate"),IF(L61&lt;='Tree rules'!$C$10,"Steel plate or jacket","Polymer laminate")))</f>
        <v>Polymer laminate</v>
      </c>
      <c r="T61" s="5" t="str">
        <f aca="false">IF(S61=R61,"Yes","No")</f>
        <v>Yes</v>
      </c>
    </row>
    <row r="62" customFormat="false" ht="15" hidden="false" customHeight="false" outlineLevel="0" collapsed="false">
      <c r="A62" s="15" t="n">
        <v>81</v>
      </c>
      <c r="B62" s="16" t="n">
        <v>7.19106932214928</v>
      </c>
      <c r="C62" s="15" t="n">
        <v>230</v>
      </c>
      <c r="D62" s="15" t="n">
        <v>700</v>
      </c>
      <c r="E62" s="15" t="n">
        <v>20</v>
      </c>
      <c r="F62" s="16" t="n">
        <v>0.534668075600975</v>
      </c>
      <c r="G62" s="17" t="s">
        <v>91</v>
      </c>
      <c r="H62" s="18" t="n">
        <v>0.2</v>
      </c>
      <c r="I62" s="18" t="n">
        <v>1.5</v>
      </c>
      <c r="J62" s="19" t="n">
        <v>0.875703850893701</v>
      </c>
      <c r="K62" s="19" t="n">
        <v>0.494219693427827</v>
      </c>
      <c r="L62" s="16" t="n">
        <v>10.9955188412069</v>
      </c>
      <c r="M62" s="19" t="n">
        <v>0.725527274468658</v>
      </c>
      <c r="N62" s="19" t="n">
        <v>0.980498915282355</v>
      </c>
      <c r="O62" s="19" t="n">
        <v>1.09716073197943</v>
      </c>
      <c r="P62" s="19" t="n">
        <v>0.431177190465909</v>
      </c>
      <c r="Q62" s="17" t="s">
        <v>31</v>
      </c>
      <c r="R62" s="5" t="str">
        <f aca="false">IF(OR(Q62="Steel plate",Q62="Concrete jacket"),"Steel plate or jacket",Q62)</f>
        <v>Polymer laminate</v>
      </c>
      <c r="S62" s="5" t="str">
        <f aca="false">IF(O62&lt;='Tree rules'!$C$4,IF(N62&lt;='Tree rules'!$C$5,IF(P62&lt;='Tree rules'!$C$6,"Monitor","Polymer laminate"),IF(P62&lt;='Tree rules'!$C$7,"Seal cracks","Polymer laminate")),IF(O62&lt;='Tree rules'!$C$8,IF(M62&lt;='Tree rules'!$C$9,"Steel plate or jacket","Polymer laminate"),IF(L62&lt;='Tree rules'!$C$10,"Steel plate or jacket","Polymer laminate")))</f>
        <v>Polymer laminate</v>
      </c>
      <c r="T62" s="5" t="str">
        <f aca="false">IF(S62=R62,"Yes","No")</f>
        <v>Yes</v>
      </c>
    </row>
    <row r="63" customFormat="false" ht="15" hidden="false" customHeight="false" outlineLevel="0" collapsed="false">
      <c r="A63" s="15" t="n">
        <v>82</v>
      </c>
      <c r="B63" s="16" t="n">
        <v>3.82246167465216</v>
      </c>
      <c r="C63" s="15" t="n">
        <v>300</v>
      </c>
      <c r="D63" s="15" t="n">
        <v>350</v>
      </c>
      <c r="E63" s="15" t="n">
        <v>20</v>
      </c>
      <c r="F63" s="16" t="n">
        <v>0.61599855952741</v>
      </c>
      <c r="G63" s="17" t="s">
        <v>91</v>
      </c>
      <c r="H63" s="18" t="n">
        <v>0.2</v>
      </c>
      <c r="I63" s="18" t="n">
        <v>1</v>
      </c>
      <c r="J63" s="19" t="n">
        <v>0.976597374245919</v>
      </c>
      <c r="K63" s="19" t="n">
        <v>0.576166153854314</v>
      </c>
      <c r="L63" s="16" t="n">
        <v>12.4917048191247</v>
      </c>
      <c r="M63" s="19" t="n">
        <v>0.927048866084529</v>
      </c>
      <c r="N63" s="19" t="n">
        <v>0.887078678942995</v>
      </c>
      <c r="O63" s="19" t="n">
        <v>0.976597374245919</v>
      </c>
      <c r="P63" s="19" t="n">
        <v>0.380656668577119</v>
      </c>
      <c r="Q63" s="17" t="s">
        <v>29</v>
      </c>
      <c r="R63" s="5" t="str">
        <f aca="false">IF(OR(Q63="Steel plate",Q63="Concrete jacket"),"Steel plate or jacket",Q63)</f>
        <v>Monitor</v>
      </c>
      <c r="S63" s="5" t="str">
        <f aca="false">IF(O63&lt;='Tree rules'!$C$4,IF(N63&lt;='Tree rules'!$C$5,IF(P63&lt;='Tree rules'!$C$6,"Monitor","Polymer laminate"),IF(P63&lt;='Tree rules'!$C$7,"Seal cracks","Polymer laminate")),IF(O63&lt;='Tree rules'!$C$8,IF(M63&lt;='Tree rules'!$C$9,"Steel plate or jacket","Polymer laminate"),IF(L63&lt;='Tree rules'!$C$10,"Steel plate or jacket","Polymer laminate")))</f>
        <v>Monitor</v>
      </c>
      <c r="T63" s="5" t="str">
        <f aca="false">IF(S63=R63,"Yes","No")</f>
        <v>Yes</v>
      </c>
    </row>
    <row r="64" customFormat="false" ht="15" hidden="false" customHeight="false" outlineLevel="0" collapsed="false">
      <c r="A64" s="15" t="n">
        <v>86</v>
      </c>
      <c r="B64" s="16" t="n">
        <v>4.81920497517474</v>
      </c>
      <c r="C64" s="15" t="n">
        <v>300</v>
      </c>
      <c r="D64" s="15" t="n">
        <v>450</v>
      </c>
      <c r="E64" s="15" t="n">
        <v>30</v>
      </c>
      <c r="F64" s="16" t="n">
        <v>0.781490709848207</v>
      </c>
      <c r="G64" s="17" t="s">
        <v>89</v>
      </c>
      <c r="H64" s="18" t="n">
        <v>0.3</v>
      </c>
      <c r="I64" s="18" t="n">
        <v>1</v>
      </c>
      <c r="J64" s="19" t="n">
        <v>0.942607305927468</v>
      </c>
      <c r="K64" s="19" t="n">
        <v>0.55502519892175</v>
      </c>
      <c r="L64" s="16" t="n">
        <v>11.9880720775491</v>
      </c>
      <c r="M64" s="19" t="n">
        <v>0.36349830098084</v>
      </c>
      <c r="N64" s="19" t="n">
        <v>0.818866496075561</v>
      </c>
      <c r="O64" s="19" t="n">
        <v>0.942607305927468</v>
      </c>
      <c r="P64" s="19" t="n">
        <v>0.934485240145483</v>
      </c>
      <c r="Q64" s="17" t="s">
        <v>29</v>
      </c>
      <c r="R64" s="5" t="str">
        <f aca="false">IF(OR(Q64="Steel plate",Q64="Concrete jacket"),"Steel plate or jacket",Q64)</f>
        <v>Monitor</v>
      </c>
      <c r="S64" s="5" t="str">
        <f aca="false">IF(O64&lt;='Tree rules'!$C$4,IF(N64&lt;='Tree rules'!$C$5,IF(P64&lt;='Tree rules'!$C$6,"Monitor","Polymer laminate"),IF(P64&lt;='Tree rules'!$C$7,"Seal cracks","Polymer laminate")),IF(O64&lt;='Tree rules'!$C$8,IF(M64&lt;='Tree rules'!$C$9,"Steel plate or jacket","Polymer laminate"),IF(L64&lt;='Tree rules'!$C$10,"Steel plate or jacket","Polymer laminate")))</f>
        <v>Monitor</v>
      </c>
      <c r="T64" s="5" t="str">
        <f aca="false">IF(S64=R64,"Yes","No")</f>
        <v>Yes</v>
      </c>
    </row>
    <row r="65" customFormat="false" ht="15" hidden="false" customHeight="false" outlineLevel="0" collapsed="false">
      <c r="A65" s="15" t="n">
        <v>87</v>
      </c>
      <c r="B65" s="16" t="n">
        <v>3.49546205698073</v>
      </c>
      <c r="C65" s="15" t="n">
        <v>300</v>
      </c>
      <c r="D65" s="15" t="n">
        <v>350</v>
      </c>
      <c r="E65" s="15" t="n">
        <v>30</v>
      </c>
      <c r="F65" s="16" t="n">
        <v>0.661387927071535</v>
      </c>
      <c r="G65" s="17" t="s">
        <v>91</v>
      </c>
      <c r="H65" s="18" t="n">
        <v>0.2</v>
      </c>
      <c r="I65" s="18" t="n">
        <v>1</v>
      </c>
      <c r="J65" s="19" t="n">
        <v>0.951874231418202</v>
      </c>
      <c r="K65" s="19" t="n">
        <v>0.40917747247883</v>
      </c>
      <c r="L65" s="16" t="n">
        <v>11.4982304505945</v>
      </c>
      <c r="M65" s="19" t="n">
        <v>0.82032755097577</v>
      </c>
      <c r="N65" s="19" t="n">
        <v>1.11993975222186</v>
      </c>
      <c r="O65" s="19" t="n">
        <v>0.951874231418202</v>
      </c>
      <c r="P65" s="19" t="n">
        <v>0.305618892837107</v>
      </c>
      <c r="Q65" s="17" t="s">
        <v>30</v>
      </c>
      <c r="R65" s="5" t="str">
        <f aca="false">IF(OR(Q65="Steel plate",Q65="Concrete jacket"),"Steel plate or jacket",Q65)</f>
        <v>Seal cracks</v>
      </c>
      <c r="S65" s="5" t="str">
        <f aca="false">IF(O65&lt;='Tree rules'!$C$4,IF(N65&lt;='Tree rules'!$C$5,IF(P65&lt;='Tree rules'!$C$6,"Monitor","Polymer laminate"),IF(P65&lt;='Tree rules'!$C$7,"Seal cracks","Polymer laminate")),IF(O65&lt;='Tree rules'!$C$8,IF(M65&lt;='Tree rules'!$C$9,"Steel plate or jacket","Polymer laminate"),IF(L65&lt;='Tree rules'!$C$10,"Steel plate or jacket","Polymer laminate")))</f>
        <v>Seal cracks</v>
      </c>
      <c r="T65" s="5" t="str">
        <f aca="false">IF(S65=R65,"Yes","No")</f>
        <v>Yes</v>
      </c>
    </row>
    <row r="66" customFormat="false" ht="15" hidden="false" customHeight="false" outlineLevel="0" collapsed="false">
      <c r="A66" s="15" t="n">
        <v>91</v>
      </c>
      <c r="B66" s="16" t="n">
        <v>4.69454387074302</v>
      </c>
      <c r="C66" s="15" t="n">
        <v>300</v>
      </c>
      <c r="D66" s="15" t="n">
        <v>375</v>
      </c>
      <c r="E66" s="15" t="n">
        <v>30</v>
      </c>
      <c r="F66" s="16" t="n">
        <v>0.611130485804701</v>
      </c>
      <c r="G66" s="17" t="s">
        <v>89</v>
      </c>
      <c r="H66" s="18" t="n">
        <v>0.3</v>
      </c>
      <c r="I66" s="18" t="n">
        <v>1.5</v>
      </c>
      <c r="J66" s="19" t="n">
        <v>0.966687693986086</v>
      </c>
      <c r="K66" s="19" t="n">
        <v>0.610269434195388</v>
      </c>
      <c r="L66" s="16" t="n">
        <v>14.2691303062098</v>
      </c>
      <c r="M66" s="19" t="n">
        <v>0.904758588249768</v>
      </c>
      <c r="N66" s="19" t="n">
        <v>0.905233239844196</v>
      </c>
      <c r="O66" s="19" t="n">
        <v>1.15506156495286</v>
      </c>
      <c r="P66" s="19" t="n">
        <v>0.431139739161902</v>
      </c>
      <c r="Q66" s="17" t="s">
        <v>31</v>
      </c>
      <c r="R66" s="5" t="str">
        <f aca="false">IF(OR(Q66="Steel plate",Q66="Concrete jacket"),"Steel plate or jacket",Q66)</f>
        <v>Polymer laminate</v>
      </c>
      <c r="S66" s="5" t="str">
        <f aca="false">IF(O66&lt;='Tree rules'!$C$4,IF(N66&lt;='Tree rules'!$C$5,IF(P66&lt;='Tree rules'!$C$6,"Monitor","Polymer laminate"),IF(P66&lt;='Tree rules'!$C$7,"Seal cracks","Polymer laminate")),IF(O66&lt;='Tree rules'!$C$8,IF(M66&lt;='Tree rules'!$C$9,"Steel plate or jacket","Polymer laminate"),IF(L66&lt;='Tree rules'!$C$10,"Steel plate or jacket","Polymer laminate")))</f>
        <v>Polymer laminate</v>
      </c>
      <c r="T66" s="5" t="str">
        <f aca="false">IF(S66=R66,"Yes","No")</f>
        <v>Yes</v>
      </c>
    </row>
    <row r="67" customFormat="false" ht="15" hidden="false" customHeight="false" outlineLevel="0" collapsed="false">
      <c r="A67" s="15" t="n">
        <v>92</v>
      </c>
      <c r="B67" s="16" t="n">
        <v>5.37147316546829</v>
      </c>
      <c r="C67" s="15" t="n">
        <v>300</v>
      </c>
      <c r="D67" s="15" t="n">
        <v>500</v>
      </c>
      <c r="E67" s="15" t="n">
        <v>25</v>
      </c>
      <c r="F67" s="16" t="n">
        <v>0.738112811416104</v>
      </c>
      <c r="G67" s="17" t="s">
        <v>89</v>
      </c>
      <c r="H67" s="18" t="n">
        <v>0.3</v>
      </c>
      <c r="I67" s="18" t="n">
        <v>2</v>
      </c>
      <c r="J67" s="19" t="n">
        <v>0.906619582226371</v>
      </c>
      <c r="K67" s="19" t="n">
        <v>0.550366420014039</v>
      </c>
      <c r="L67" s="16" t="n">
        <v>11.8314386904588</v>
      </c>
      <c r="M67" s="19" t="n">
        <v>0.707253043166011</v>
      </c>
      <c r="N67" s="19" t="n">
        <v>0.85931740766967</v>
      </c>
      <c r="O67" s="19" t="n">
        <v>1.31426619066819</v>
      </c>
      <c r="P67" s="19" t="n">
        <v>0.61580707184146</v>
      </c>
      <c r="Q67" s="17" t="s">
        <v>31</v>
      </c>
      <c r="R67" s="5" t="str">
        <f aca="false">IF(OR(Q67="Steel plate",Q67="Concrete jacket"),"Steel plate or jacket",Q67)</f>
        <v>Polymer laminate</v>
      </c>
      <c r="S67" s="5" t="str">
        <f aca="false">IF(O67&lt;='Tree rules'!$C$4,IF(N67&lt;='Tree rules'!$C$5,IF(P67&lt;='Tree rules'!$C$6,"Monitor","Polymer laminate"),IF(P67&lt;='Tree rules'!$C$7,"Seal cracks","Polymer laminate")),IF(O67&lt;='Tree rules'!$C$8,IF(M67&lt;='Tree rules'!$C$9,"Steel plate or jacket","Polymer laminate"),IF(L67&lt;='Tree rules'!$C$10,"Steel plate or jacket","Polymer laminate")))</f>
        <v>Steel plate or jacket</v>
      </c>
      <c r="T67" s="5" t="str">
        <f aca="false">IF(S67=R67,"Yes","No")</f>
        <v>No</v>
      </c>
    </row>
    <row r="68" customFormat="false" ht="15" hidden="false" customHeight="false" outlineLevel="0" collapsed="false">
      <c r="A68" s="15" t="n">
        <v>93</v>
      </c>
      <c r="B68" s="16" t="n">
        <v>7.9852162346398</v>
      </c>
      <c r="C68" s="15" t="n">
        <v>300</v>
      </c>
      <c r="D68" s="15" t="n">
        <v>750</v>
      </c>
      <c r="E68" s="15" t="n">
        <v>25</v>
      </c>
      <c r="F68" s="16" t="n">
        <v>0.596693761365583</v>
      </c>
      <c r="G68" s="17" t="s">
        <v>91</v>
      </c>
      <c r="H68" s="18" t="n">
        <v>0.2</v>
      </c>
      <c r="I68" s="18" t="n">
        <v>2</v>
      </c>
      <c r="J68" s="19" t="n">
        <v>0.971003440320138</v>
      </c>
      <c r="K68" s="19" t="n">
        <v>0.539880887340083</v>
      </c>
      <c r="L68" s="16" t="n">
        <v>11.3749519011963</v>
      </c>
      <c r="M68" s="19" t="n">
        <v>0.566419770029724</v>
      </c>
      <c r="N68" s="19" t="n">
        <v>1.48966351964244</v>
      </c>
      <c r="O68" s="19" t="n">
        <v>1.41778068166997</v>
      </c>
      <c r="P68" s="19" t="n">
        <v>0.707897469296279</v>
      </c>
      <c r="Q68" s="17" t="s">
        <v>92</v>
      </c>
      <c r="R68" s="5" t="str">
        <f aca="false">IF(OR(Q68="Steel plate",Q68="Concrete jacket"),"Steel plate or jacket",Q68)</f>
        <v>Steel plate or jacket</v>
      </c>
      <c r="S68" s="5" t="str">
        <f aca="false">IF(O68&lt;='Tree rules'!$C$4,IF(N68&lt;='Tree rules'!$C$5,IF(P68&lt;='Tree rules'!$C$6,"Monitor","Polymer laminate"),IF(P68&lt;='Tree rules'!$C$7,"Seal cracks","Polymer laminate")),IF(O68&lt;='Tree rules'!$C$8,IF(M68&lt;='Tree rules'!$C$9,"Steel plate or jacket","Polymer laminate"),IF(L68&lt;='Tree rules'!$C$10,"Steel plate or jacket","Polymer laminate")))</f>
        <v>Steel plate or jacket</v>
      </c>
      <c r="T68" s="5" t="str">
        <f aca="false">IF(S68=R68,"Yes","No")</f>
        <v>Yes</v>
      </c>
    </row>
    <row r="69" customFormat="false" ht="15" hidden="false" customHeight="false" outlineLevel="0" collapsed="false">
      <c r="A69" s="15" t="n">
        <v>95</v>
      </c>
      <c r="B69" s="16" t="n">
        <v>4.49330423241743</v>
      </c>
      <c r="C69" s="15" t="n">
        <v>300</v>
      </c>
      <c r="D69" s="15" t="n">
        <v>425</v>
      </c>
      <c r="E69" s="15" t="n">
        <v>25</v>
      </c>
      <c r="F69" s="16" t="n">
        <v>0.884177351933803</v>
      </c>
      <c r="G69" s="17" t="s">
        <v>91</v>
      </c>
      <c r="H69" s="18" t="n">
        <v>0.2</v>
      </c>
      <c r="I69" s="18" t="n">
        <v>2</v>
      </c>
      <c r="J69" s="19" t="n">
        <v>0.888450252944811</v>
      </c>
      <c r="K69" s="19" t="n">
        <v>0.574201440262029</v>
      </c>
      <c r="L69" s="16" t="n">
        <v>11.8556839905473</v>
      </c>
      <c r="M69" s="19" t="n">
        <v>0.940478858850445</v>
      </c>
      <c r="N69" s="19" t="n">
        <v>1.21517340492254</v>
      </c>
      <c r="O69" s="19" t="n">
        <v>1.26675109104755</v>
      </c>
      <c r="P69" s="19" t="n">
        <v>0.515125310459657</v>
      </c>
      <c r="Q69" s="17" t="s">
        <v>31</v>
      </c>
      <c r="R69" s="5" t="str">
        <f aca="false">IF(OR(Q69="Steel plate",Q69="Concrete jacket"),"Steel plate or jacket",Q69)</f>
        <v>Polymer laminate</v>
      </c>
      <c r="S69" s="5" t="str">
        <f aca="false">IF(O69&lt;='Tree rules'!$C$4,IF(N69&lt;='Tree rules'!$C$5,IF(P69&lt;='Tree rules'!$C$6,"Monitor","Polymer laminate"),IF(P69&lt;='Tree rules'!$C$7,"Seal cracks","Polymer laminate")),IF(O69&lt;='Tree rules'!$C$8,IF(M69&lt;='Tree rules'!$C$9,"Steel plate or jacket","Polymer laminate"),IF(L69&lt;='Tree rules'!$C$10,"Steel plate or jacket","Polymer laminate")))</f>
        <v>Polymer laminate</v>
      </c>
      <c r="T69" s="5" t="str">
        <f aca="false">IF(S69=R69,"Yes","No")</f>
        <v>Yes</v>
      </c>
    </row>
    <row r="70" customFormat="false" ht="15" hidden="false" customHeight="false" outlineLevel="0" collapsed="false">
      <c r="A70" s="15" t="n">
        <v>96</v>
      </c>
      <c r="B70" s="16" t="n">
        <v>3.4944311629615</v>
      </c>
      <c r="C70" s="15" t="n">
        <v>300</v>
      </c>
      <c r="D70" s="15" t="n">
        <v>325</v>
      </c>
      <c r="E70" s="15" t="n">
        <v>25</v>
      </c>
      <c r="F70" s="16" t="n">
        <v>0.67080270183412</v>
      </c>
      <c r="G70" s="17" t="s">
        <v>89</v>
      </c>
      <c r="H70" s="18" t="n">
        <v>0.3</v>
      </c>
      <c r="I70" s="18" t="n">
        <v>1.5</v>
      </c>
      <c r="J70" s="19" t="n">
        <v>0.978003881258748</v>
      </c>
      <c r="K70" s="19" t="n">
        <v>0.490799393651084</v>
      </c>
      <c r="L70" s="16" t="n">
        <v>12.435698088831</v>
      </c>
      <c r="M70" s="19" t="n">
        <v>0.746824828574681</v>
      </c>
      <c r="N70" s="19" t="n">
        <v>0.822433714377891</v>
      </c>
      <c r="O70" s="19" t="n">
        <v>1.22700396593302</v>
      </c>
      <c r="P70" s="19" t="n">
        <v>0.468863859043249</v>
      </c>
      <c r="Q70" s="17" t="s">
        <v>31</v>
      </c>
      <c r="R70" s="5" t="str">
        <f aca="false">IF(OR(Q70="Steel plate",Q70="Concrete jacket"),"Steel plate or jacket",Q70)</f>
        <v>Polymer laminate</v>
      </c>
      <c r="S70" s="5" t="str">
        <f aca="false">IF(O70&lt;='Tree rules'!$C$4,IF(N70&lt;='Tree rules'!$C$5,IF(P70&lt;='Tree rules'!$C$6,"Monitor","Polymer laminate"),IF(P70&lt;='Tree rules'!$C$7,"Seal cracks","Polymer laminate")),IF(O70&lt;='Tree rules'!$C$8,IF(M70&lt;='Tree rules'!$C$9,"Steel plate or jacket","Polymer laminate"),IF(L70&lt;='Tree rules'!$C$10,"Steel plate or jacket","Polymer laminate")))</f>
        <v>Polymer laminate</v>
      </c>
      <c r="T70" s="5" t="str">
        <f aca="false">IF(S70=R70,"Yes","No")</f>
        <v>Yes</v>
      </c>
    </row>
    <row r="71" customFormat="false" ht="15" hidden="false" customHeight="false" outlineLevel="0" collapsed="false">
      <c r="A71" s="15" t="n">
        <v>97</v>
      </c>
      <c r="B71" s="16" t="n">
        <v>6.31308383067694</v>
      </c>
      <c r="C71" s="15" t="n">
        <v>300</v>
      </c>
      <c r="D71" s="15" t="n">
        <v>600</v>
      </c>
      <c r="E71" s="15" t="n">
        <v>25</v>
      </c>
      <c r="F71" s="16" t="n">
        <v>0.604879451954714</v>
      </c>
      <c r="G71" s="17" t="s">
        <v>89</v>
      </c>
      <c r="H71" s="18" t="n">
        <v>0.3</v>
      </c>
      <c r="I71" s="18" t="n">
        <v>1</v>
      </c>
      <c r="J71" s="19" t="n">
        <v>0.927598557214189</v>
      </c>
      <c r="K71" s="19" t="n">
        <v>0.498734232904778</v>
      </c>
      <c r="L71" s="16" t="n">
        <v>11.3954581781172</v>
      </c>
      <c r="M71" s="19" t="n">
        <v>0.874375385996008</v>
      </c>
      <c r="N71" s="19" t="n">
        <v>0.548534025786032</v>
      </c>
      <c r="O71" s="19" t="n">
        <v>0.927598557214189</v>
      </c>
      <c r="P71" s="19" t="n">
        <v>0.35541234142633</v>
      </c>
      <c r="Q71" s="17" t="s">
        <v>29</v>
      </c>
      <c r="R71" s="5" t="str">
        <f aca="false">IF(OR(Q71="Steel plate",Q71="Concrete jacket"),"Steel plate or jacket",Q71)</f>
        <v>Monitor</v>
      </c>
      <c r="S71" s="5" t="str">
        <f aca="false">IF(O71&lt;='Tree rules'!$C$4,IF(N71&lt;='Tree rules'!$C$5,IF(P71&lt;='Tree rules'!$C$6,"Monitor","Polymer laminate"),IF(P71&lt;='Tree rules'!$C$7,"Seal cracks","Polymer laminate")),IF(O71&lt;='Tree rules'!$C$8,IF(M71&lt;='Tree rules'!$C$9,"Steel plate or jacket","Polymer laminate"),IF(L71&lt;='Tree rules'!$C$10,"Steel plate or jacket","Polymer laminate")))</f>
        <v>Monitor</v>
      </c>
      <c r="T71" s="5" t="str">
        <f aca="false">IF(S71=R71,"Yes","No")</f>
        <v>Yes</v>
      </c>
    </row>
    <row r="72" customFormat="false" ht="15" hidden="false" customHeight="false" outlineLevel="0" collapsed="false">
      <c r="A72" s="15" t="n">
        <v>98</v>
      </c>
      <c r="B72" s="16" t="n">
        <v>4.59324912805387</v>
      </c>
      <c r="C72" s="15" t="n">
        <v>300</v>
      </c>
      <c r="D72" s="15" t="n">
        <v>450</v>
      </c>
      <c r="E72" s="15" t="n">
        <v>25</v>
      </c>
      <c r="F72" s="16" t="n">
        <v>0.689158285620383</v>
      </c>
      <c r="G72" s="17" t="s">
        <v>90</v>
      </c>
      <c r="H72" s="18" t="n">
        <v>0.1</v>
      </c>
      <c r="I72" s="18" t="n">
        <v>1.5</v>
      </c>
      <c r="J72" s="19" t="n">
        <v>0.942396074760463</v>
      </c>
      <c r="K72" s="19" t="n">
        <v>0.593349954831699</v>
      </c>
      <c r="L72" s="16" t="n">
        <v>11.8078383754598</v>
      </c>
      <c r="M72" s="19" t="n">
        <v>0.83801315048369</v>
      </c>
      <c r="N72" s="19" t="n">
        <v>2.98184350028171</v>
      </c>
      <c r="O72" s="19" t="n">
        <v>1.13400877794435</v>
      </c>
      <c r="P72" s="19" t="n">
        <v>0.421519645156656</v>
      </c>
      <c r="Q72" s="17" t="s">
        <v>31</v>
      </c>
      <c r="R72" s="5" t="str">
        <f aca="false">IF(OR(Q72="Steel plate",Q72="Concrete jacket"),"Steel plate or jacket",Q72)</f>
        <v>Polymer laminate</v>
      </c>
      <c r="S72" s="5" t="str">
        <f aca="false">IF(O72&lt;='Tree rules'!$C$4,IF(N72&lt;='Tree rules'!$C$5,IF(P72&lt;='Tree rules'!$C$6,"Monitor","Polymer laminate"),IF(P72&lt;='Tree rules'!$C$7,"Seal cracks","Polymer laminate")),IF(O72&lt;='Tree rules'!$C$8,IF(M72&lt;='Tree rules'!$C$9,"Steel plate or jacket","Polymer laminate"),IF(L72&lt;='Tree rules'!$C$10,"Steel plate or jacket","Polymer laminate")))</f>
        <v>Polymer laminate</v>
      </c>
      <c r="T72" s="5" t="str">
        <f aca="false">IF(S72=R72,"Yes","No")</f>
        <v>Yes</v>
      </c>
    </row>
    <row r="73" customFormat="false" ht="15" hidden="false" customHeight="false" outlineLevel="0" collapsed="false">
      <c r="A73" s="15" t="n">
        <v>100</v>
      </c>
      <c r="B73" s="16" t="n">
        <v>3.09015423210017</v>
      </c>
      <c r="C73" s="15" t="n">
        <v>300</v>
      </c>
      <c r="D73" s="15" t="n">
        <v>300</v>
      </c>
      <c r="E73" s="15" t="n">
        <v>30</v>
      </c>
      <c r="F73" s="16" t="n">
        <v>0.736310778185108</v>
      </c>
      <c r="G73" s="17" t="s">
        <v>91</v>
      </c>
      <c r="H73" s="18" t="n">
        <v>0.2</v>
      </c>
      <c r="I73" s="18" t="n">
        <v>1</v>
      </c>
      <c r="J73" s="19" t="n">
        <v>0.886210279901449</v>
      </c>
      <c r="K73" s="19" t="n">
        <v>0.621953760746322</v>
      </c>
      <c r="L73" s="16" t="n">
        <v>12.0709149691413</v>
      </c>
      <c r="M73" s="19" t="n">
        <v>0.866276355485925</v>
      </c>
      <c r="N73" s="19" t="n">
        <v>0.855577692001248</v>
      </c>
      <c r="O73" s="19" t="n">
        <v>0.886210279901449</v>
      </c>
      <c r="P73" s="19" t="n">
        <v>0.350490289295238</v>
      </c>
      <c r="Q73" s="17" t="s">
        <v>29</v>
      </c>
      <c r="R73" s="5" t="str">
        <f aca="false">IF(OR(Q73="Steel plate",Q73="Concrete jacket"),"Steel plate or jacket",Q73)</f>
        <v>Monitor</v>
      </c>
      <c r="S73" s="5" t="str">
        <f aca="false">IF(O73&lt;='Tree rules'!$C$4,IF(N73&lt;='Tree rules'!$C$5,IF(P73&lt;='Tree rules'!$C$6,"Monitor","Polymer laminate"),IF(P73&lt;='Tree rules'!$C$7,"Seal cracks","Polymer laminate")),IF(O73&lt;='Tree rules'!$C$8,IF(M73&lt;='Tree rules'!$C$9,"Steel plate or jacket","Polymer laminate"),IF(L73&lt;='Tree rules'!$C$10,"Steel plate or jacket","Polymer laminate")))</f>
        <v>Monitor</v>
      </c>
      <c r="T73" s="5" t="str">
        <f aca="false">IF(S73=R73,"Yes","No")</f>
        <v>Yes</v>
      </c>
    </row>
    <row r="74" customFormat="false" ht="15" hidden="false" customHeight="false" outlineLevel="0" collapsed="false">
      <c r="A74" s="15" t="n">
        <v>104</v>
      </c>
      <c r="B74" s="16" t="n">
        <v>3.07291126484319</v>
      </c>
      <c r="C74" s="15" t="n">
        <v>300</v>
      </c>
      <c r="D74" s="15" t="n">
        <v>300</v>
      </c>
      <c r="E74" s="15" t="n">
        <v>30</v>
      </c>
      <c r="F74" s="16" t="n">
        <v>0.831109167616348</v>
      </c>
      <c r="G74" s="17" t="s">
        <v>91</v>
      </c>
      <c r="H74" s="18" t="n">
        <v>0.2</v>
      </c>
      <c r="I74" s="18" t="n">
        <v>1.5</v>
      </c>
      <c r="J74" s="19" t="n">
        <v>0.876658189826794</v>
      </c>
      <c r="K74" s="19" t="n">
        <v>0.573664983419908</v>
      </c>
      <c r="L74" s="16" t="n">
        <v>12.1940923208063</v>
      </c>
      <c r="M74" s="19" t="n">
        <v>0.31033630346944</v>
      </c>
      <c r="N74" s="19" t="n">
        <v>1.84351173482006</v>
      </c>
      <c r="O74" s="19" t="n">
        <v>1.06353323177423</v>
      </c>
      <c r="P74" s="19" t="n">
        <v>1.0195061261858</v>
      </c>
      <c r="Q74" s="17" t="s">
        <v>31</v>
      </c>
      <c r="R74" s="5" t="str">
        <f aca="false">IF(OR(Q74="Steel plate",Q74="Concrete jacket"),"Steel plate or jacket",Q74)</f>
        <v>Polymer laminate</v>
      </c>
      <c r="S74" s="5" t="str">
        <f aca="false">IF(O74&lt;='Tree rules'!$C$4,IF(N74&lt;='Tree rules'!$C$5,IF(P74&lt;='Tree rules'!$C$6,"Monitor","Polymer laminate"),IF(P74&lt;='Tree rules'!$C$7,"Seal cracks","Polymer laminate")),IF(O74&lt;='Tree rules'!$C$8,IF(M74&lt;='Tree rules'!$C$9,"Steel plate or jacket","Polymer laminate"),IF(L74&lt;='Tree rules'!$C$10,"Steel plate or jacket","Polymer laminate")))</f>
        <v>Polymer laminate</v>
      </c>
      <c r="T74" s="5" t="str">
        <f aca="false">IF(S74=R74,"Yes","No")</f>
        <v>Yes</v>
      </c>
    </row>
    <row r="75" customFormat="false" ht="15" hidden="false" customHeight="false" outlineLevel="0" collapsed="false">
      <c r="A75" s="15" t="n">
        <v>105</v>
      </c>
      <c r="B75" s="16" t="n">
        <v>5.04070612728767</v>
      </c>
      <c r="C75" s="15" t="n">
        <v>300</v>
      </c>
      <c r="D75" s="15" t="n">
        <v>475</v>
      </c>
      <c r="E75" s="15" t="n">
        <v>25</v>
      </c>
      <c r="F75" s="16" t="n">
        <v>0.524813621945395</v>
      </c>
      <c r="G75" s="17" t="s">
        <v>91</v>
      </c>
      <c r="H75" s="18" t="n">
        <v>0.2</v>
      </c>
      <c r="I75" s="18" t="n">
        <v>1</v>
      </c>
      <c r="J75" s="19" t="n">
        <v>0.895180338469345</v>
      </c>
      <c r="K75" s="19" t="n">
        <v>0.425230839293731</v>
      </c>
      <c r="L75" s="16" t="n">
        <v>11.695373845215</v>
      </c>
      <c r="M75" s="19" t="n">
        <v>0.491077760607637</v>
      </c>
      <c r="N75" s="19" t="n">
        <v>0.849935010315061</v>
      </c>
      <c r="O75" s="19" t="n">
        <v>0.895180338469345</v>
      </c>
      <c r="P75" s="19" t="n">
        <v>0.469603675269464</v>
      </c>
      <c r="Q75" s="17" t="s">
        <v>29</v>
      </c>
      <c r="R75" s="5" t="str">
        <f aca="false">IF(OR(Q75="Steel plate",Q75="Concrete jacket"),"Steel plate or jacket",Q75)</f>
        <v>Monitor</v>
      </c>
      <c r="S75" s="5" t="str">
        <f aca="false">IF(O75&lt;='Tree rules'!$C$4,IF(N75&lt;='Tree rules'!$C$5,IF(P75&lt;='Tree rules'!$C$6,"Monitor","Polymer laminate"),IF(P75&lt;='Tree rules'!$C$7,"Seal cracks","Polymer laminate")),IF(O75&lt;='Tree rules'!$C$8,IF(M75&lt;='Tree rules'!$C$9,"Steel plate or jacket","Polymer laminate"),IF(L75&lt;='Tree rules'!$C$10,"Steel plate or jacket","Polymer laminate")))</f>
        <v>Monitor</v>
      </c>
      <c r="T75" s="5" t="str">
        <f aca="false">IF(S75=R75,"Yes","No")</f>
        <v>Yes</v>
      </c>
    </row>
    <row r="76" customFormat="false" ht="15" hidden="false" customHeight="false" outlineLevel="0" collapsed="false">
      <c r="A76" s="15" t="n">
        <v>110</v>
      </c>
      <c r="B76" s="16" t="n">
        <v>4.00659671381723</v>
      </c>
      <c r="C76" s="15" t="n">
        <v>300</v>
      </c>
      <c r="D76" s="15" t="n">
        <v>350</v>
      </c>
      <c r="E76" s="15" t="n">
        <v>25</v>
      </c>
      <c r="F76" s="16" t="n">
        <v>0.693508312050727</v>
      </c>
      <c r="G76" s="17" t="s">
        <v>89</v>
      </c>
      <c r="H76" s="18" t="n">
        <v>0.3</v>
      </c>
      <c r="I76" s="18" t="n">
        <v>1</v>
      </c>
      <c r="J76" s="19" t="n">
        <v>0.957755188036784</v>
      </c>
      <c r="K76" s="19" t="n">
        <v>0.505528196644601</v>
      </c>
      <c r="L76" s="16" t="n">
        <v>13.2668765358187</v>
      </c>
      <c r="M76" s="19" t="n">
        <v>0.335067063567274</v>
      </c>
      <c r="N76" s="19" t="n">
        <v>1.11918407374647</v>
      </c>
      <c r="O76" s="19" t="n">
        <v>0.957755188036784</v>
      </c>
      <c r="P76" s="19" t="n">
        <v>0.950569735988424</v>
      </c>
      <c r="Q76" s="17" t="s">
        <v>30</v>
      </c>
      <c r="R76" s="5" t="str">
        <f aca="false">IF(OR(Q76="Steel plate",Q76="Concrete jacket"),"Steel plate or jacket",Q76)</f>
        <v>Seal cracks</v>
      </c>
      <c r="S76" s="5" t="str">
        <f aca="false">IF(O76&lt;='Tree rules'!$C$4,IF(N76&lt;='Tree rules'!$C$5,IF(P76&lt;='Tree rules'!$C$6,"Monitor","Polymer laminate"),IF(P76&lt;='Tree rules'!$C$7,"Seal cracks","Polymer laminate")),IF(O76&lt;='Tree rules'!$C$8,IF(M76&lt;='Tree rules'!$C$9,"Steel plate or jacket","Polymer laminate"),IF(L76&lt;='Tree rules'!$C$10,"Steel plate or jacket","Polymer laminate")))</f>
        <v>Seal cracks</v>
      </c>
      <c r="T76" s="5" t="str">
        <f aca="false">IF(S76=R76,"Yes","No")</f>
        <v>Yes</v>
      </c>
    </row>
    <row r="77" customFormat="false" ht="15" hidden="false" customHeight="false" outlineLevel="0" collapsed="false">
      <c r="A77" s="15" t="n">
        <v>111</v>
      </c>
      <c r="B77" s="16" t="n">
        <v>7.56102675788993</v>
      </c>
      <c r="C77" s="15" t="n">
        <v>300</v>
      </c>
      <c r="D77" s="15" t="n">
        <v>725</v>
      </c>
      <c r="E77" s="15" t="n">
        <v>20</v>
      </c>
      <c r="F77" s="16" t="n">
        <v>0.592229542944762</v>
      </c>
      <c r="G77" s="17" t="s">
        <v>89</v>
      </c>
      <c r="H77" s="18" t="n">
        <v>0.3</v>
      </c>
      <c r="I77" s="18" t="n">
        <v>1.5</v>
      </c>
      <c r="J77" s="19" t="n">
        <v>0.880330966006499</v>
      </c>
      <c r="K77" s="19" t="n">
        <v>0.407437284517483</v>
      </c>
      <c r="L77" s="16" t="n">
        <v>11.1355327803975</v>
      </c>
      <c r="M77" s="19" t="n">
        <v>0.645565280918506</v>
      </c>
      <c r="N77" s="19" t="n">
        <v>0.677765316574785</v>
      </c>
      <c r="O77" s="19" t="n">
        <v>1.14115661987658</v>
      </c>
      <c r="P77" s="19" t="n">
        <v>0.508890637708309</v>
      </c>
      <c r="Q77" s="17" t="s">
        <v>31</v>
      </c>
      <c r="R77" s="5" t="str">
        <f aca="false">IF(OR(Q77="Steel plate",Q77="Concrete jacket"),"Steel plate or jacket",Q77)</f>
        <v>Polymer laminate</v>
      </c>
      <c r="S77" s="5" t="str">
        <f aca="false">IF(O77&lt;='Tree rules'!$C$4,IF(N77&lt;='Tree rules'!$C$5,IF(P77&lt;='Tree rules'!$C$6,"Monitor","Polymer laminate"),IF(P77&lt;='Tree rules'!$C$7,"Seal cracks","Polymer laminate")),IF(O77&lt;='Tree rules'!$C$8,IF(M77&lt;='Tree rules'!$C$9,"Steel plate or jacket","Polymer laminate"),IF(L77&lt;='Tree rules'!$C$10,"Steel plate or jacket","Polymer laminate")))</f>
        <v>Polymer laminate</v>
      </c>
      <c r="T77" s="5" t="str">
        <f aca="false">IF(S77=R77,"Yes","No")</f>
        <v>Yes</v>
      </c>
    </row>
    <row r="78" customFormat="false" ht="15" hidden="false" customHeight="false" outlineLevel="0" collapsed="false">
      <c r="A78" s="15" t="n">
        <v>115</v>
      </c>
      <c r="B78" s="16" t="n">
        <v>3.1806852813164</v>
      </c>
      <c r="C78" s="15" t="n">
        <v>230</v>
      </c>
      <c r="D78" s="15" t="n">
        <v>300</v>
      </c>
      <c r="E78" s="15" t="n">
        <v>20</v>
      </c>
      <c r="F78" s="16" t="n">
        <v>0.688332522525665</v>
      </c>
      <c r="G78" s="17" t="s">
        <v>91</v>
      </c>
      <c r="H78" s="18" t="n">
        <v>0.2</v>
      </c>
      <c r="I78" s="18" t="n">
        <v>1.5</v>
      </c>
      <c r="J78" s="19" t="n">
        <v>0.904351989820898</v>
      </c>
      <c r="K78" s="19" t="n">
        <v>0.441537561275648</v>
      </c>
      <c r="L78" s="16" t="n">
        <v>12.5223829973087</v>
      </c>
      <c r="M78" s="19" t="n">
        <v>0.429692007040658</v>
      </c>
      <c r="N78" s="19" t="n">
        <v>1.6538166181955</v>
      </c>
      <c r="O78" s="19" t="n">
        <v>1.1568752986712</v>
      </c>
      <c r="P78" s="19" t="n">
        <v>0.735401208170493</v>
      </c>
      <c r="Q78" s="17" t="s">
        <v>31</v>
      </c>
      <c r="R78" s="5" t="str">
        <f aca="false">IF(OR(Q78="Steel plate",Q78="Concrete jacket"),"Steel plate or jacket",Q78)</f>
        <v>Polymer laminate</v>
      </c>
      <c r="S78" s="5" t="str">
        <f aca="false">IF(O78&lt;='Tree rules'!$C$4,IF(N78&lt;='Tree rules'!$C$5,IF(P78&lt;='Tree rules'!$C$6,"Monitor","Polymer laminate"),IF(P78&lt;='Tree rules'!$C$7,"Seal cracks","Polymer laminate")),IF(O78&lt;='Tree rules'!$C$8,IF(M78&lt;='Tree rules'!$C$9,"Steel plate or jacket","Polymer laminate"),IF(L78&lt;='Tree rules'!$C$10,"Steel plate or jacket","Polymer laminate")))</f>
        <v>Polymer laminate</v>
      </c>
      <c r="T78" s="5" t="str">
        <f aca="false">IF(S78=R78,"Yes","No")</f>
        <v>Yes</v>
      </c>
    </row>
    <row r="79" customFormat="false" ht="15" hidden="false" customHeight="false" outlineLevel="0" collapsed="false">
      <c r="A79" s="15" t="n">
        <v>116</v>
      </c>
      <c r="B79" s="16" t="n">
        <v>3.86668830449141</v>
      </c>
      <c r="C79" s="15" t="n">
        <v>300</v>
      </c>
      <c r="D79" s="15" t="n">
        <v>325</v>
      </c>
      <c r="E79" s="15" t="n">
        <v>25</v>
      </c>
      <c r="F79" s="16" t="n">
        <v>0.756099314943392</v>
      </c>
      <c r="G79" s="17" t="s">
        <v>89</v>
      </c>
      <c r="H79" s="18" t="n">
        <v>0.3</v>
      </c>
      <c r="I79" s="18" t="n">
        <v>2</v>
      </c>
      <c r="J79" s="19" t="n">
        <v>0.864122180770407</v>
      </c>
      <c r="K79" s="19" t="n">
        <v>0.472808463198158</v>
      </c>
      <c r="L79" s="16" t="n">
        <v>13.9591635541206</v>
      </c>
      <c r="M79" s="19" t="n">
        <v>0.359451433684831</v>
      </c>
      <c r="N79" s="19" t="n">
        <v>1.52204371046034</v>
      </c>
      <c r="O79" s="19" t="n">
        <v>1.31968008123532</v>
      </c>
      <c r="P79" s="19" t="n">
        <v>1.09753146921488</v>
      </c>
      <c r="Q79" s="17" t="s">
        <v>31</v>
      </c>
      <c r="R79" s="5" t="str">
        <f aca="false">IF(OR(Q79="Steel plate",Q79="Concrete jacket"),"Steel plate or jacket",Q79)</f>
        <v>Polymer laminate</v>
      </c>
      <c r="S79" s="5" t="str">
        <f aca="false">IF(O79&lt;='Tree rules'!$C$4,IF(N79&lt;='Tree rules'!$C$5,IF(P79&lt;='Tree rules'!$C$6,"Monitor","Polymer laminate"),IF(P79&lt;='Tree rules'!$C$7,"Seal cracks","Polymer laminate")),IF(O79&lt;='Tree rules'!$C$8,IF(M79&lt;='Tree rules'!$C$9,"Steel plate or jacket","Polymer laminate"),IF(L79&lt;='Tree rules'!$C$10,"Steel plate or jacket","Polymer laminate")))</f>
        <v>Polymer laminate</v>
      </c>
      <c r="T79" s="5" t="str">
        <f aca="false">IF(S79=R79,"Yes","No")</f>
        <v>Yes</v>
      </c>
    </row>
    <row r="80" customFormat="false" ht="15" hidden="false" customHeight="false" outlineLevel="0" collapsed="false">
      <c r="A80" s="15" t="n">
        <v>118</v>
      </c>
      <c r="B80" s="16" t="n">
        <v>6.66982611443004</v>
      </c>
      <c r="C80" s="15" t="n">
        <v>300</v>
      </c>
      <c r="D80" s="15" t="n">
        <v>575</v>
      </c>
      <c r="E80" s="15" t="n">
        <v>25</v>
      </c>
      <c r="F80" s="16" t="n">
        <v>0.596127638252333</v>
      </c>
      <c r="G80" s="17" t="s">
        <v>91</v>
      </c>
      <c r="H80" s="18" t="n">
        <v>0.2</v>
      </c>
      <c r="I80" s="18" t="n">
        <v>2</v>
      </c>
      <c r="J80" s="19" t="n">
        <v>0.870121419149115</v>
      </c>
      <c r="K80" s="19" t="n">
        <v>0.607979946251774</v>
      </c>
      <c r="L80" s="16" t="n">
        <v>12.6562165359204</v>
      </c>
      <c r="M80" s="19" t="n">
        <v>0.48566111866633</v>
      </c>
      <c r="N80" s="19" t="n">
        <v>1.52925038384544</v>
      </c>
      <c r="O80" s="19" t="n">
        <v>1.21122646465143</v>
      </c>
      <c r="P80" s="19" t="n">
        <v>0.788794545689543</v>
      </c>
      <c r="Q80" s="17" t="s">
        <v>31</v>
      </c>
      <c r="R80" s="5" t="str">
        <f aca="false">IF(OR(Q80="Steel plate",Q80="Concrete jacket"),"Steel plate or jacket",Q80)</f>
        <v>Polymer laminate</v>
      </c>
      <c r="S80" s="5" t="str">
        <f aca="false">IF(O80&lt;='Tree rules'!$C$4,IF(N80&lt;='Tree rules'!$C$5,IF(P80&lt;='Tree rules'!$C$6,"Monitor","Polymer laminate"),IF(P80&lt;='Tree rules'!$C$7,"Seal cracks","Polymer laminate")),IF(O80&lt;='Tree rules'!$C$8,IF(M80&lt;='Tree rules'!$C$9,"Steel plate or jacket","Polymer laminate"),IF(L80&lt;='Tree rules'!$C$10,"Steel plate or jacket","Polymer laminate")))</f>
        <v>Polymer laminate</v>
      </c>
      <c r="T80" s="5" t="str">
        <f aca="false">IF(S80=R80,"Yes","No")</f>
        <v>Yes</v>
      </c>
    </row>
    <row r="81" customFormat="false" ht="15" hidden="false" customHeight="false" outlineLevel="0" collapsed="false">
      <c r="A81" s="15" t="n">
        <v>119</v>
      </c>
      <c r="B81" s="16" t="n">
        <v>4.01876564668045</v>
      </c>
      <c r="C81" s="15" t="n">
        <v>230</v>
      </c>
      <c r="D81" s="15" t="n">
        <v>350</v>
      </c>
      <c r="E81" s="15" t="n">
        <v>25</v>
      </c>
      <c r="F81" s="16" t="n">
        <v>0.907455678485392</v>
      </c>
      <c r="G81" s="17" t="s">
        <v>90</v>
      </c>
      <c r="H81" s="18" t="n">
        <v>0.1</v>
      </c>
      <c r="I81" s="18" t="n">
        <v>1</v>
      </c>
      <c r="J81" s="19" t="n">
        <v>0.868586033068871</v>
      </c>
      <c r="K81" s="19" t="n">
        <v>0.51858030270721</v>
      </c>
      <c r="L81" s="16" t="n">
        <v>13.9057634833233</v>
      </c>
      <c r="M81" s="19" t="n">
        <v>0.364763491406806</v>
      </c>
      <c r="N81" s="19" t="n">
        <v>2.56724594388273</v>
      </c>
      <c r="O81" s="19" t="n">
        <v>0.868586033068871</v>
      </c>
      <c r="P81" s="19" t="n">
        <v>0.926581044803627</v>
      </c>
      <c r="Q81" s="17" t="s">
        <v>30</v>
      </c>
      <c r="R81" s="5" t="str">
        <f aca="false">IF(OR(Q81="Steel plate",Q81="Concrete jacket"),"Steel plate or jacket",Q81)</f>
        <v>Seal cracks</v>
      </c>
      <c r="S81" s="5" t="str">
        <f aca="false">IF(O81&lt;='Tree rules'!$C$4,IF(N81&lt;='Tree rules'!$C$5,IF(P81&lt;='Tree rules'!$C$6,"Monitor","Polymer laminate"),IF(P81&lt;='Tree rules'!$C$7,"Seal cracks","Polymer laminate")),IF(O81&lt;='Tree rules'!$C$8,IF(M81&lt;='Tree rules'!$C$9,"Steel plate or jacket","Polymer laminate"),IF(L81&lt;='Tree rules'!$C$10,"Steel plate or jacket","Polymer laminate")))</f>
        <v>Seal cracks</v>
      </c>
      <c r="T81" s="5" t="str">
        <f aca="false">IF(S81=R81,"Yes","No")</f>
        <v>Yes</v>
      </c>
    </row>
    <row r="82" customFormat="false" ht="15" hidden="false" customHeight="false" outlineLevel="0" collapsed="false">
      <c r="A82" s="15" t="n">
        <v>120</v>
      </c>
      <c r="B82" s="16" t="n">
        <v>5.8574626069953</v>
      </c>
      <c r="C82" s="15" t="n">
        <v>300</v>
      </c>
      <c r="D82" s="15" t="n">
        <v>575</v>
      </c>
      <c r="E82" s="15" t="n">
        <v>30</v>
      </c>
      <c r="F82" s="16" t="n">
        <v>0.79483685100311</v>
      </c>
      <c r="G82" s="17" t="s">
        <v>91</v>
      </c>
      <c r="H82" s="18" t="n">
        <v>0.2</v>
      </c>
      <c r="I82" s="18" t="n">
        <v>1</v>
      </c>
      <c r="J82" s="19" t="n">
        <v>0.883394703287377</v>
      </c>
      <c r="K82" s="19" t="n">
        <v>0.470116083111631</v>
      </c>
      <c r="L82" s="16" t="n">
        <v>11.1147298045452</v>
      </c>
      <c r="M82" s="19" t="n">
        <v>0.408929783389663</v>
      </c>
      <c r="N82" s="19" t="n">
        <v>0.965677807656701</v>
      </c>
      <c r="O82" s="19" t="n">
        <v>0.883394703287378</v>
      </c>
      <c r="P82" s="19" t="n">
        <v>0.738463711095188</v>
      </c>
      <c r="Q82" s="17" t="s">
        <v>29</v>
      </c>
      <c r="R82" s="5" t="str">
        <f aca="false">IF(OR(Q82="Steel plate",Q82="Concrete jacket"),"Steel plate or jacket",Q82)</f>
        <v>Monitor</v>
      </c>
      <c r="S82" s="5" t="str">
        <f aca="false">IF(O82&lt;='Tree rules'!$C$4,IF(N82&lt;='Tree rules'!$C$5,IF(P82&lt;='Tree rules'!$C$6,"Monitor","Polymer laminate"),IF(P82&lt;='Tree rules'!$C$7,"Seal cracks","Polymer laminate")),IF(O82&lt;='Tree rules'!$C$8,IF(M82&lt;='Tree rules'!$C$9,"Steel plate or jacket","Polymer laminate"),IF(L82&lt;='Tree rules'!$C$10,"Steel plate or jacket","Polymer laminate")))</f>
        <v>Monitor</v>
      </c>
      <c r="T82" s="5" t="str">
        <f aca="false">IF(S82=R82,"Yes","No")</f>
        <v>Yes</v>
      </c>
    </row>
    <row r="83" customFormat="false" ht="15" hidden="false" customHeight="false" outlineLevel="0" collapsed="false">
      <c r="A83" s="15" t="n">
        <v>123</v>
      </c>
      <c r="B83" s="16" t="n">
        <v>3.41756511987205</v>
      </c>
      <c r="C83" s="15" t="n">
        <v>230</v>
      </c>
      <c r="D83" s="15" t="n">
        <v>325</v>
      </c>
      <c r="E83" s="15" t="n">
        <v>30</v>
      </c>
      <c r="F83" s="16" t="n">
        <v>0.699968036696473</v>
      </c>
      <c r="G83" s="17" t="s">
        <v>89</v>
      </c>
      <c r="H83" s="18" t="n">
        <v>0.3</v>
      </c>
      <c r="I83" s="18" t="n">
        <v>1</v>
      </c>
      <c r="J83" s="19" t="n">
        <v>0.955488597070618</v>
      </c>
      <c r="K83" s="19" t="n">
        <v>0.628484668718531</v>
      </c>
      <c r="L83" s="16" t="n">
        <v>12.162153451502</v>
      </c>
      <c r="M83" s="19" t="n">
        <v>0.946235355122117</v>
      </c>
      <c r="N83" s="19" t="n">
        <v>0.59006611786583</v>
      </c>
      <c r="O83" s="19" t="n">
        <v>0.955488597070618</v>
      </c>
      <c r="P83" s="19" t="n">
        <v>0.343626978388835</v>
      </c>
      <c r="Q83" s="17" t="s">
        <v>29</v>
      </c>
      <c r="R83" s="5" t="str">
        <f aca="false">IF(OR(Q83="Steel plate",Q83="Concrete jacket"),"Steel plate or jacket",Q83)</f>
        <v>Monitor</v>
      </c>
      <c r="S83" s="5" t="str">
        <f aca="false">IF(O83&lt;='Tree rules'!$C$4,IF(N83&lt;='Tree rules'!$C$5,IF(P83&lt;='Tree rules'!$C$6,"Monitor","Polymer laminate"),IF(P83&lt;='Tree rules'!$C$7,"Seal cracks","Polymer laminate")),IF(O83&lt;='Tree rules'!$C$8,IF(M83&lt;='Tree rules'!$C$9,"Steel plate or jacket","Polymer laminate"),IF(L83&lt;='Tree rules'!$C$10,"Steel plate or jacket","Polymer laminate")))</f>
        <v>Monitor</v>
      </c>
      <c r="T83" s="5" t="str">
        <f aca="false">IF(S83=R83,"Yes","No")</f>
        <v>Yes</v>
      </c>
    </row>
    <row r="84" customFormat="false" ht="15" hidden="false" customHeight="false" outlineLevel="0" collapsed="false">
      <c r="A84" s="15" t="n">
        <v>124</v>
      </c>
      <c r="B84" s="16" t="n">
        <v>3.56059971436411</v>
      </c>
      <c r="C84" s="15" t="n">
        <v>300</v>
      </c>
      <c r="D84" s="15" t="n">
        <v>300</v>
      </c>
      <c r="E84" s="15" t="n">
        <v>25</v>
      </c>
      <c r="F84" s="16" t="n">
        <v>0.831109167616348</v>
      </c>
      <c r="G84" s="17" t="s">
        <v>89</v>
      </c>
      <c r="H84" s="18" t="n">
        <v>0.3</v>
      </c>
      <c r="I84" s="18" t="n">
        <v>2</v>
      </c>
      <c r="J84" s="19" t="n">
        <v>0.877222718664824</v>
      </c>
      <c r="K84" s="19" t="n">
        <v>0.40617528882588</v>
      </c>
      <c r="L84" s="16" t="n">
        <v>14.1293639458893</v>
      </c>
      <c r="M84" s="19" t="n">
        <v>0.446960980234409</v>
      </c>
      <c r="N84" s="19" t="n">
        <v>1.56866487102845</v>
      </c>
      <c r="O84" s="19" t="n">
        <v>1.39813924621134</v>
      </c>
      <c r="P84" s="19" t="n">
        <v>0.933912007894939</v>
      </c>
      <c r="Q84" s="17" t="s">
        <v>31</v>
      </c>
      <c r="R84" s="5" t="str">
        <f aca="false">IF(OR(Q84="Steel plate",Q84="Concrete jacket"),"Steel plate or jacket",Q84)</f>
        <v>Polymer laminate</v>
      </c>
      <c r="S84" s="5" t="str">
        <f aca="false">IF(O84&lt;='Tree rules'!$C$4,IF(N84&lt;='Tree rules'!$C$5,IF(P84&lt;='Tree rules'!$C$6,"Monitor","Polymer laminate"),IF(P84&lt;='Tree rules'!$C$7,"Seal cracks","Polymer laminate")),IF(O84&lt;='Tree rules'!$C$8,IF(M84&lt;='Tree rules'!$C$9,"Steel plate or jacket","Polymer laminate"),IF(L84&lt;='Tree rules'!$C$10,"Steel plate or jacket","Polymer laminate")))</f>
        <v>Polymer laminate</v>
      </c>
      <c r="T84" s="5" t="str">
        <f aca="false">IF(S84=R84,"Yes","No")</f>
        <v>Yes</v>
      </c>
    </row>
    <row r="85" customFormat="false" ht="15" hidden="false" customHeight="false" outlineLevel="0" collapsed="false">
      <c r="A85" s="15" t="n">
        <v>125</v>
      </c>
      <c r="B85" s="16" t="n">
        <v>5.04006249638661</v>
      </c>
      <c r="C85" s="15" t="n">
        <v>230</v>
      </c>
      <c r="D85" s="15" t="n">
        <v>450</v>
      </c>
      <c r="E85" s="15" t="n">
        <v>25</v>
      </c>
      <c r="F85" s="16" t="n">
        <v>0.649145274956135</v>
      </c>
      <c r="G85" s="17" t="s">
        <v>89</v>
      </c>
      <c r="H85" s="18" t="n">
        <v>0.3</v>
      </c>
      <c r="I85" s="18" t="n">
        <v>2</v>
      </c>
      <c r="J85" s="19" t="n">
        <v>0.953628778578398</v>
      </c>
      <c r="K85" s="19" t="n">
        <v>0.465316909198717</v>
      </c>
      <c r="L85" s="16" t="n">
        <v>12.4754022187787</v>
      </c>
      <c r="M85" s="19" t="n">
        <v>0.400906279917596</v>
      </c>
      <c r="N85" s="19" t="n">
        <v>1.10111430926415</v>
      </c>
      <c r="O85" s="19" t="n">
        <v>1.46351796138575</v>
      </c>
      <c r="P85" s="19" t="n">
        <v>0.988760320821276</v>
      </c>
      <c r="Q85" s="17" t="s">
        <v>31</v>
      </c>
      <c r="R85" s="5" t="str">
        <f aca="false">IF(OR(Q85="Steel plate",Q85="Concrete jacket"),"Steel plate or jacket",Q85)</f>
        <v>Polymer laminate</v>
      </c>
      <c r="S85" s="5" t="str">
        <f aca="false">IF(O85&lt;='Tree rules'!$C$4,IF(N85&lt;='Tree rules'!$C$5,IF(P85&lt;='Tree rules'!$C$6,"Monitor","Polymer laminate"),IF(P85&lt;='Tree rules'!$C$7,"Seal cracks","Polymer laminate")),IF(O85&lt;='Tree rules'!$C$8,IF(M85&lt;='Tree rules'!$C$9,"Steel plate or jacket","Polymer laminate"),IF(L85&lt;='Tree rules'!$C$10,"Steel plate or jacket","Polymer laminate")))</f>
        <v>Steel plate or jacket</v>
      </c>
      <c r="T85" s="5" t="str">
        <f aca="false">IF(S85=R85,"Yes","No")</f>
        <v>No</v>
      </c>
    </row>
    <row r="86" customFormat="false" ht="15" hidden="false" customHeight="false" outlineLevel="0" collapsed="false">
      <c r="A86" s="15" t="n">
        <v>126</v>
      </c>
      <c r="B86" s="16" t="n">
        <v>4.55323701008021</v>
      </c>
      <c r="C86" s="15" t="n">
        <v>300</v>
      </c>
      <c r="D86" s="15" t="n">
        <v>375</v>
      </c>
      <c r="E86" s="15" t="n">
        <v>20</v>
      </c>
      <c r="F86" s="16" t="n">
        <v>0.640487798897002</v>
      </c>
      <c r="G86" s="17" t="s">
        <v>89</v>
      </c>
      <c r="H86" s="18" t="n">
        <v>0.3</v>
      </c>
      <c r="I86" s="18" t="n">
        <v>2</v>
      </c>
      <c r="J86" s="19" t="n">
        <v>0.966616281401226</v>
      </c>
      <c r="K86" s="19" t="n">
        <v>0.403712604118778</v>
      </c>
      <c r="L86" s="16" t="n">
        <v>13.9242722020801</v>
      </c>
      <c r="M86" s="19" t="n">
        <v>0.924554062725466</v>
      </c>
      <c r="N86" s="19" t="n">
        <v>1.65517336112492</v>
      </c>
      <c r="O86" s="19" t="n">
        <v>1.54299738665435</v>
      </c>
      <c r="P86" s="19" t="n">
        <v>0.498987310123757</v>
      </c>
      <c r="Q86" s="17" t="s">
        <v>31</v>
      </c>
      <c r="R86" s="5" t="str">
        <f aca="false">IF(OR(Q86="Steel plate",Q86="Concrete jacket"),"Steel plate or jacket",Q86)</f>
        <v>Polymer laminate</v>
      </c>
      <c r="S86" s="5" t="str">
        <f aca="false">IF(O86&lt;='Tree rules'!$C$4,IF(N86&lt;='Tree rules'!$C$5,IF(P86&lt;='Tree rules'!$C$6,"Monitor","Polymer laminate"),IF(P86&lt;='Tree rules'!$C$7,"Seal cracks","Polymer laminate")),IF(O86&lt;='Tree rules'!$C$8,IF(M86&lt;='Tree rules'!$C$9,"Steel plate or jacket","Polymer laminate"),IF(L86&lt;='Tree rules'!$C$10,"Steel plate or jacket","Polymer laminate")))</f>
        <v>Polymer laminate</v>
      </c>
      <c r="T86" s="5" t="str">
        <f aca="false">IF(S86=R86,"Yes","No")</f>
        <v>Yes</v>
      </c>
    </row>
    <row r="87" customFormat="false" ht="15" hidden="false" customHeight="false" outlineLevel="0" collapsed="false">
      <c r="A87" s="15" t="n">
        <v>127</v>
      </c>
      <c r="B87" s="16" t="n">
        <v>3.3892723335035</v>
      </c>
      <c r="C87" s="15" t="n">
        <v>300</v>
      </c>
      <c r="D87" s="15" t="n">
        <v>300</v>
      </c>
      <c r="E87" s="15" t="n">
        <v>30</v>
      </c>
      <c r="F87" s="16" t="n">
        <v>0.883711013668015</v>
      </c>
      <c r="G87" s="17" t="s">
        <v>90</v>
      </c>
      <c r="H87" s="18" t="n">
        <v>0.1</v>
      </c>
      <c r="I87" s="18" t="n">
        <v>1</v>
      </c>
      <c r="J87" s="19" t="n">
        <v>0.885641910701558</v>
      </c>
      <c r="K87" s="19" t="n">
        <v>0.490137846872332</v>
      </c>
      <c r="L87" s="16" t="n">
        <v>14.3007271455844</v>
      </c>
      <c r="M87" s="19" t="n">
        <v>0.912558975725952</v>
      </c>
      <c r="N87" s="19" t="n">
        <v>3.06342222729317</v>
      </c>
      <c r="O87" s="19" t="n">
        <v>0.885641910701558</v>
      </c>
      <c r="P87" s="19" t="n">
        <v>0.343180459391362</v>
      </c>
      <c r="Q87" s="17" t="s">
        <v>30</v>
      </c>
      <c r="R87" s="5" t="str">
        <f aca="false">IF(OR(Q87="Steel plate",Q87="Concrete jacket"),"Steel plate or jacket",Q87)</f>
        <v>Seal cracks</v>
      </c>
      <c r="S87" s="5" t="str">
        <f aca="false">IF(O87&lt;='Tree rules'!$C$4,IF(N87&lt;='Tree rules'!$C$5,IF(P87&lt;='Tree rules'!$C$6,"Monitor","Polymer laminate"),IF(P87&lt;='Tree rules'!$C$7,"Seal cracks","Polymer laminate")),IF(O87&lt;='Tree rules'!$C$8,IF(M87&lt;='Tree rules'!$C$9,"Steel plate or jacket","Polymer laminate"),IF(L87&lt;='Tree rules'!$C$10,"Steel plate or jacket","Polymer laminate")))</f>
        <v>Seal cracks</v>
      </c>
      <c r="T87" s="5" t="str">
        <f aca="false">IF(S87=R87,"Yes","No")</f>
        <v>Yes</v>
      </c>
    </row>
    <row r="88" customFormat="false" ht="15" hidden="false" customHeight="false" outlineLevel="0" collapsed="false">
      <c r="A88" s="15" t="n">
        <v>129</v>
      </c>
      <c r="B88" s="16" t="n">
        <v>4.15039351364204</v>
      </c>
      <c r="C88" s="15" t="n">
        <v>300</v>
      </c>
      <c r="D88" s="15" t="n">
        <v>325</v>
      </c>
      <c r="E88" s="15" t="n">
        <v>30</v>
      </c>
      <c r="F88" s="16" t="n">
        <v>0.72065207824282</v>
      </c>
      <c r="G88" s="17" t="s">
        <v>91</v>
      </c>
      <c r="H88" s="18" t="n">
        <v>0.2</v>
      </c>
      <c r="I88" s="18" t="n">
        <v>2</v>
      </c>
      <c r="J88" s="19" t="n">
        <v>0.885921966943356</v>
      </c>
      <c r="K88" s="19" t="n">
        <v>0.62325915919217</v>
      </c>
      <c r="L88" s="16" t="n">
        <v>14.8759624144876</v>
      </c>
      <c r="M88" s="19" t="n">
        <v>0.32909085401833</v>
      </c>
      <c r="N88" s="19" t="n">
        <v>1.62607888008382</v>
      </c>
      <c r="O88" s="19" t="n">
        <v>1.21968495365972</v>
      </c>
      <c r="P88" s="19" t="n">
        <v>1.24135090994665</v>
      </c>
      <c r="Q88" s="17" t="s">
        <v>31</v>
      </c>
      <c r="R88" s="5" t="str">
        <f aca="false">IF(OR(Q88="Steel plate",Q88="Concrete jacket"),"Steel plate or jacket",Q88)</f>
        <v>Polymer laminate</v>
      </c>
      <c r="S88" s="5" t="str">
        <f aca="false">IF(O88&lt;='Tree rules'!$C$4,IF(N88&lt;='Tree rules'!$C$5,IF(P88&lt;='Tree rules'!$C$6,"Monitor","Polymer laminate"),IF(P88&lt;='Tree rules'!$C$7,"Seal cracks","Polymer laminate")),IF(O88&lt;='Tree rules'!$C$8,IF(M88&lt;='Tree rules'!$C$9,"Steel plate or jacket","Polymer laminate"),IF(L88&lt;='Tree rules'!$C$10,"Steel plate or jacket","Polymer laminate")))</f>
        <v>Polymer laminate</v>
      </c>
      <c r="T88" s="5" t="str">
        <f aca="false">IF(S88=R88,"Yes","No")</f>
        <v>Yes</v>
      </c>
    </row>
    <row r="89" customFormat="false" ht="15" hidden="false" customHeight="false" outlineLevel="0" collapsed="false">
      <c r="A89" s="15" t="n">
        <v>130</v>
      </c>
      <c r="B89" s="16" t="n">
        <v>4.18044393791123</v>
      </c>
      <c r="C89" s="15" t="n">
        <v>230</v>
      </c>
      <c r="D89" s="15" t="n">
        <v>350</v>
      </c>
      <c r="E89" s="15" t="n">
        <v>20</v>
      </c>
      <c r="F89" s="16" t="n">
        <v>0.64278110559382</v>
      </c>
      <c r="G89" s="17" t="s">
        <v>89</v>
      </c>
      <c r="H89" s="18" t="n">
        <v>0.3</v>
      </c>
      <c r="I89" s="18" t="n">
        <v>1</v>
      </c>
      <c r="J89" s="19" t="n">
        <v>0.941398319143153</v>
      </c>
      <c r="K89" s="19" t="n">
        <v>0.467332065886506</v>
      </c>
      <c r="L89" s="16" t="n">
        <v>13.6615814964419</v>
      </c>
      <c r="M89" s="19" t="n">
        <v>0.618847129209274</v>
      </c>
      <c r="N89" s="19" t="n">
        <v>0.611048987158236</v>
      </c>
      <c r="O89" s="19" t="n">
        <v>0.941398319143153</v>
      </c>
      <c r="P89" s="19" t="n">
        <v>0.546242380269841</v>
      </c>
      <c r="Q89" s="17" t="s">
        <v>29</v>
      </c>
      <c r="R89" s="5" t="str">
        <f aca="false">IF(OR(Q89="Steel plate",Q89="Concrete jacket"),"Steel plate or jacket",Q89)</f>
        <v>Monitor</v>
      </c>
      <c r="S89" s="5" t="str">
        <f aca="false">IF(O89&lt;='Tree rules'!$C$4,IF(N89&lt;='Tree rules'!$C$5,IF(P89&lt;='Tree rules'!$C$6,"Monitor","Polymer laminate"),IF(P89&lt;='Tree rules'!$C$7,"Seal cracks","Polymer laminate")),IF(O89&lt;='Tree rules'!$C$8,IF(M89&lt;='Tree rules'!$C$9,"Steel plate or jacket","Polymer laminate"),IF(L89&lt;='Tree rules'!$C$10,"Steel plate or jacket","Polymer laminate")))</f>
        <v>Monitor</v>
      </c>
      <c r="T89" s="5" t="str">
        <f aca="false">IF(S89=R89,"Yes","No")</f>
        <v>Yes</v>
      </c>
    </row>
    <row r="90" customFormat="false" ht="15" hidden="false" customHeight="false" outlineLevel="0" collapsed="false">
      <c r="A90" s="15" t="n">
        <v>134</v>
      </c>
      <c r="B90" s="16" t="n">
        <v>5.82354254549873</v>
      </c>
      <c r="C90" s="15" t="n">
        <v>230</v>
      </c>
      <c r="D90" s="15" t="n">
        <v>475</v>
      </c>
      <c r="E90" s="15" t="n">
        <v>25</v>
      </c>
      <c r="F90" s="16" t="n">
        <v>0.639770421258486</v>
      </c>
      <c r="G90" s="17" t="s">
        <v>89</v>
      </c>
      <c r="H90" s="18" t="n">
        <v>0.3</v>
      </c>
      <c r="I90" s="18" t="n">
        <v>1</v>
      </c>
      <c r="J90" s="19" t="n">
        <v>0.949096889894332</v>
      </c>
      <c r="K90" s="19" t="n">
        <v>0.403578535567993</v>
      </c>
      <c r="L90" s="16" t="n">
        <v>13.6382729402781</v>
      </c>
      <c r="M90" s="19" t="n">
        <v>0.905784272133434</v>
      </c>
      <c r="N90" s="19" t="n">
        <v>0.81439677713825</v>
      </c>
      <c r="O90" s="19" t="n">
        <v>0.949096889894332</v>
      </c>
      <c r="P90" s="19" t="n">
        <v>0.375488869153528</v>
      </c>
      <c r="Q90" s="17" t="s">
        <v>29</v>
      </c>
      <c r="R90" s="5" t="str">
        <f aca="false">IF(OR(Q90="Steel plate",Q90="Concrete jacket"),"Steel plate or jacket",Q90)</f>
        <v>Monitor</v>
      </c>
      <c r="S90" s="5" t="str">
        <f aca="false">IF(O90&lt;='Tree rules'!$C$4,IF(N90&lt;='Tree rules'!$C$5,IF(P90&lt;='Tree rules'!$C$6,"Monitor","Polymer laminate"),IF(P90&lt;='Tree rules'!$C$7,"Seal cracks","Polymer laminate")),IF(O90&lt;='Tree rules'!$C$8,IF(M90&lt;='Tree rules'!$C$9,"Steel plate or jacket","Polymer laminate"),IF(L90&lt;='Tree rules'!$C$10,"Steel plate or jacket","Polymer laminate")))</f>
        <v>Monitor</v>
      </c>
      <c r="T90" s="5" t="str">
        <f aca="false">IF(S90=R90,"Yes","No")</f>
        <v>Yes</v>
      </c>
    </row>
    <row r="91" customFormat="false" ht="15" hidden="false" customHeight="false" outlineLevel="0" collapsed="false">
      <c r="A91" s="15" t="n">
        <v>139</v>
      </c>
      <c r="B91" s="16" t="n">
        <v>3.98135637630691</v>
      </c>
      <c r="C91" s="15" t="n">
        <v>300</v>
      </c>
      <c r="D91" s="15" t="n">
        <v>375</v>
      </c>
      <c r="E91" s="15" t="n">
        <v>25</v>
      </c>
      <c r="F91" s="16" t="n">
        <v>0.640324617292187</v>
      </c>
      <c r="G91" s="17" t="s">
        <v>90</v>
      </c>
      <c r="H91" s="18" t="n">
        <v>0.1</v>
      </c>
      <c r="I91" s="18" t="n">
        <v>1</v>
      </c>
      <c r="J91" s="19" t="n">
        <v>0.931244121174231</v>
      </c>
      <c r="K91" s="19" t="n">
        <v>0.63680678649829</v>
      </c>
      <c r="L91" s="16" t="n">
        <v>12.679478905436</v>
      </c>
      <c r="M91" s="19" t="n">
        <v>0.522388117836853</v>
      </c>
      <c r="N91" s="19" t="n">
        <v>2.8201249844553</v>
      </c>
      <c r="O91" s="19" t="n">
        <v>0.931244121174231</v>
      </c>
      <c r="P91" s="19" t="n">
        <v>0.555933595444232</v>
      </c>
      <c r="Q91" s="17" t="s">
        <v>30</v>
      </c>
      <c r="R91" s="5" t="str">
        <f aca="false">IF(OR(Q91="Steel plate",Q91="Concrete jacket"),"Steel plate or jacket",Q91)</f>
        <v>Seal cracks</v>
      </c>
      <c r="S91" s="5" t="str">
        <f aca="false">IF(O91&lt;='Tree rules'!$C$4,IF(N91&lt;='Tree rules'!$C$5,IF(P91&lt;='Tree rules'!$C$6,"Monitor","Polymer laminate"),IF(P91&lt;='Tree rules'!$C$7,"Seal cracks","Polymer laminate")),IF(O91&lt;='Tree rules'!$C$8,IF(M91&lt;='Tree rules'!$C$9,"Steel plate or jacket","Polymer laminate"),IF(L91&lt;='Tree rules'!$C$10,"Steel plate or jacket","Polymer laminate")))</f>
        <v>Seal cracks</v>
      </c>
      <c r="T91" s="5" t="str">
        <f aca="false">IF(S91=R91,"Yes","No")</f>
        <v>Yes</v>
      </c>
    </row>
    <row r="92" customFormat="false" ht="15" hidden="false" customHeight="false" outlineLevel="0" collapsed="false">
      <c r="A92" s="15" t="n">
        <v>140</v>
      </c>
      <c r="B92" s="16" t="n">
        <v>6.54029953545589</v>
      </c>
      <c r="C92" s="15" t="n">
        <v>230</v>
      </c>
      <c r="D92" s="15" t="n">
        <v>625</v>
      </c>
      <c r="E92" s="15" t="n">
        <v>30</v>
      </c>
      <c r="F92" s="16" t="n">
        <v>0.710178431223674</v>
      </c>
      <c r="G92" s="17" t="s">
        <v>89</v>
      </c>
      <c r="H92" s="18" t="n">
        <v>0.3</v>
      </c>
      <c r="I92" s="18" t="n">
        <v>1</v>
      </c>
      <c r="J92" s="19" t="n">
        <v>0.935990407123351</v>
      </c>
      <c r="K92" s="19" t="n">
        <v>0.509822241639718</v>
      </c>
      <c r="L92" s="16" t="n">
        <v>11.3350078604088</v>
      </c>
      <c r="M92" s="19" t="n">
        <v>0.648552531138466</v>
      </c>
      <c r="N92" s="19" t="n">
        <v>0.64548629758875</v>
      </c>
      <c r="O92" s="19" t="n">
        <v>0.935990407123351</v>
      </c>
      <c r="P92" s="19" t="n">
        <v>0.500855266810071</v>
      </c>
      <c r="Q92" s="17" t="s">
        <v>29</v>
      </c>
      <c r="R92" s="5" t="str">
        <f aca="false">IF(OR(Q92="Steel plate",Q92="Concrete jacket"),"Steel plate or jacket",Q92)</f>
        <v>Monitor</v>
      </c>
      <c r="S92" s="5" t="str">
        <f aca="false">IF(O92&lt;='Tree rules'!$C$4,IF(N92&lt;='Tree rules'!$C$5,IF(P92&lt;='Tree rules'!$C$6,"Monitor","Polymer laminate"),IF(P92&lt;='Tree rules'!$C$7,"Seal cracks","Polymer laminate")),IF(O92&lt;='Tree rules'!$C$8,IF(M92&lt;='Tree rules'!$C$9,"Steel plate or jacket","Polymer laminate"),IF(L92&lt;='Tree rules'!$C$10,"Steel plate or jacket","Polymer laminate")))</f>
        <v>Monitor</v>
      </c>
      <c r="T92" s="5" t="str">
        <f aca="false">IF(S92=R92,"Yes","No")</f>
        <v>Yes</v>
      </c>
    </row>
    <row r="93" customFormat="false" ht="15" hidden="false" customHeight="false" outlineLevel="0" collapsed="false">
      <c r="A93" s="15" t="n">
        <v>141</v>
      </c>
      <c r="B93" s="16" t="n">
        <v>5.55106511522976</v>
      </c>
      <c r="C93" s="15" t="n">
        <v>230</v>
      </c>
      <c r="D93" s="15" t="n">
        <v>525</v>
      </c>
      <c r="E93" s="15" t="n">
        <v>20</v>
      </c>
      <c r="F93" s="16" t="n">
        <v>0.57270853223768</v>
      </c>
      <c r="G93" s="17" t="s">
        <v>89</v>
      </c>
      <c r="H93" s="18" t="n">
        <v>0.3</v>
      </c>
      <c r="I93" s="18" t="n">
        <v>1.5</v>
      </c>
      <c r="J93" s="19" t="n">
        <v>0.979911986575876</v>
      </c>
      <c r="K93" s="19" t="n">
        <v>0.437360121419606</v>
      </c>
      <c r="L93" s="16" t="n">
        <v>11.6374530717605</v>
      </c>
      <c r="M93" s="19" t="n">
        <v>0.558249888736292</v>
      </c>
      <c r="N93" s="19" t="n">
        <v>1.18776559149214</v>
      </c>
      <c r="O93" s="19" t="n">
        <v>1.25558076714914</v>
      </c>
      <c r="P93" s="19" t="n">
        <v>0.613450760667272</v>
      </c>
      <c r="Q93" s="17" t="s">
        <v>31</v>
      </c>
      <c r="R93" s="5" t="str">
        <f aca="false">IF(OR(Q93="Steel plate",Q93="Concrete jacket"),"Steel plate or jacket",Q93)</f>
        <v>Polymer laminate</v>
      </c>
      <c r="S93" s="5" t="str">
        <f aca="false">IF(O93&lt;='Tree rules'!$C$4,IF(N93&lt;='Tree rules'!$C$5,IF(P93&lt;='Tree rules'!$C$6,"Monitor","Polymer laminate"),IF(P93&lt;='Tree rules'!$C$7,"Seal cracks","Polymer laminate")),IF(O93&lt;='Tree rules'!$C$8,IF(M93&lt;='Tree rules'!$C$9,"Steel plate or jacket","Polymer laminate"),IF(L93&lt;='Tree rules'!$C$10,"Steel plate or jacket","Polymer laminate")))</f>
        <v>Polymer laminate</v>
      </c>
      <c r="T93" s="5" t="str">
        <f aca="false">IF(S93=R93,"Yes","No")</f>
        <v>Yes</v>
      </c>
    </row>
    <row r="94" customFormat="false" ht="15" hidden="false" customHeight="false" outlineLevel="0" collapsed="false">
      <c r="A94" s="15" t="n">
        <v>143</v>
      </c>
      <c r="B94" s="16" t="n">
        <v>3.94617195440333</v>
      </c>
      <c r="C94" s="15" t="n">
        <v>230</v>
      </c>
      <c r="D94" s="15" t="n">
        <v>400</v>
      </c>
      <c r="E94" s="15" t="n">
        <v>30</v>
      </c>
      <c r="F94" s="16" t="n">
        <v>0.776085141697083</v>
      </c>
      <c r="G94" s="17" t="s">
        <v>91</v>
      </c>
      <c r="H94" s="18" t="n">
        <v>0.2</v>
      </c>
      <c r="I94" s="18" t="n">
        <v>2</v>
      </c>
      <c r="J94" s="19" t="n">
        <v>0.986986617912981</v>
      </c>
      <c r="K94" s="19" t="n">
        <v>0.438303213822863</v>
      </c>
      <c r="L94" s="16" t="n">
        <v>11.2107157795549</v>
      </c>
      <c r="M94" s="19" t="n">
        <v>0.384638421170778</v>
      </c>
      <c r="N94" s="19" t="n">
        <v>2.28565222686996</v>
      </c>
      <c r="O94" s="19" t="n">
        <v>1.54137382919454</v>
      </c>
      <c r="P94" s="19" t="n">
        <v>0.974952009912486</v>
      </c>
      <c r="Q94" s="17" t="s">
        <v>31</v>
      </c>
      <c r="R94" s="5" t="str">
        <f aca="false">IF(OR(Q94="Steel plate",Q94="Concrete jacket"),"Steel plate or jacket",Q94)</f>
        <v>Polymer laminate</v>
      </c>
      <c r="S94" s="5" t="str">
        <f aca="false">IF(O94&lt;='Tree rules'!$C$4,IF(N94&lt;='Tree rules'!$C$5,IF(P94&lt;='Tree rules'!$C$6,"Monitor","Polymer laminate"),IF(P94&lt;='Tree rules'!$C$7,"Seal cracks","Polymer laminate")),IF(O94&lt;='Tree rules'!$C$8,IF(M94&lt;='Tree rules'!$C$9,"Steel plate or jacket","Polymer laminate"),IF(L94&lt;='Tree rules'!$C$10,"Steel plate or jacket","Polymer laminate")))</f>
        <v>Steel plate or jacket</v>
      </c>
      <c r="T94" s="5" t="str">
        <f aca="false">IF(S94=R94,"Yes","No")</f>
        <v>No</v>
      </c>
    </row>
    <row r="95" customFormat="false" ht="15" hidden="false" customHeight="false" outlineLevel="0" collapsed="false">
      <c r="A95" s="15" t="n">
        <v>144</v>
      </c>
      <c r="B95" s="16" t="n">
        <v>3.71475152343492</v>
      </c>
      <c r="C95" s="15" t="n">
        <v>230</v>
      </c>
      <c r="D95" s="15" t="n">
        <v>300</v>
      </c>
      <c r="E95" s="15" t="n">
        <v>20</v>
      </c>
      <c r="F95" s="16" t="n">
        <v>0.576243217710084</v>
      </c>
      <c r="G95" s="17" t="s">
        <v>89</v>
      </c>
      <c r="H95" s="18" t="n">
        <v>0.3</v>
      </c>
      <c r="I95" s="18" t="n">
        <v>1</v>
      </c>
      <c r="J95" s="19" t="n">
        <v>0.90814002482088</v>
      </c>
      <c r="K95" s="19" t="n">
        <v>0.417671887418888</v>
      </c>
      <c r="L95" s="16" t="n">
        <v>14.5107481384177</v>
      </c>
      <c r="M95" s="19" t="n">
        <v>0.495481140381051</v>
      </c>
      <c r="N95" s="19" t="n">
        <v>0.663930141249524</v>
      </c>
      <c r="O95" s="19" t="n">
        <v>0.90814002482088</v>
      </c>
      <c r="P95" s="19" t="n">
        <v>0.554390412123014</v>
      </c>
      <c r="Q95" s="17" t="s">
        <v>29</v>
      </c>
      <c r="R95" s="5" t="str">
        <f aca="false">IF(OR(Q95="Steel plate",Q95="Concrete jacket"),"Steel plate or jacket",Q95)</f>
        <v>Monitor</v>
      </c>
      <c r="S95" s="5" t="str">
        <f aca="false">IF(O95&lt;='Tree rules'!$C$4,IF(N95&lt;='Tree rules'!$C$5,IF(P95&lt;='Tree rules'!$C$6,"Monitor","Polymer laminate"),IF(P95&lt;='Tree rules'!$C$7,"Seal cracks","Polymer laminate")),IF(O95&lt;='Tree rules'!$C$8,IF(M95&lt;='Tree rules'!$C$9,"Steel plate or jacket","Polymer laminate"),IF(L95&lt;='Tree rules'!$C$10,"Steel plate or jacket","Polymer laminate")))</f>
        <v>Monitor</v>
      </c>
      <c r="T95" s="5" t="str">
        <f aca="false">IF(S95=R95,"Yes","No")</f>
        <v>Yes</v>
      </c>
    </row>
    <row r="96" customFormat="false" ht="15" hidden="false" customHeight="false" outlineLevel="0" collapsed="false">
      <c r="A96" s="15" t="n">
        <v>145</v>
      </c>
      <c r="B96" s="16" t="n">
        <v>4.11506954771198</v>
      </c>
      <c r="C96" s="15" t="n">
        <v>300</v>
      </c>
      <c r="D96" s="15" t="n">
        <v>400</v>
      </c>
      <c r="E96" s="15" t="n">
        <v>20</v>
      </c>
      <c r="F96" s="16" t="n">
        <v>0.635378289490071</v>
      </c>
      <c r="G96" s="17" t="s">
        <v>89</v>
      </c>
      <c r="H96" s="18" t="n">
        <v>0.3</v>
      </c>
      <c r="I96" s="18" t="n">
        <v>1</v>
      </c>
      <c r="J96" s="19" t="n">
        <v>0.977205238239065</v>
      </c>
      <c r="K96" s="19" t="n">
        <v>0.552227507830772</v>
      </c>
      <c r="L96" s="16" t="n">
        <v>11.5591841227865</v>
      </c>
      <c r="M96" s="19" t="n">
        <v>0.466758053125083</v>
      </c>
      <c r="N96" s="19" t="n">
        <v>0.637384546382675</v>
      </c>
      <c r="O96" s="19" t="n">
        <v>0.977205238239065</v>
      </c>
      <c r="P96" s="19" t="n">
        <v>0.702593755370505</v>
      </c>
      <c r="Q96" s="17" t="s">
        <v>29</v>
      </c>
      <c r="R96" s="5" t="str">
        <f aca="false">IF(OR(Q96="Steel plate",Q96="Concrete jacket"),"Steel plate or jacket",Q96)</f>
        <v>Monitor</v>
      </c>
      <c r="S96" s="5" t="str">
        <f aca="false">IF(O96&lt;='Tree rules'!$C$4,IF(N96&lt;='Tree rules'!$C$5,IF(P96&lt;='Tree rules'!$C$6,"Monitor","Polymer laminate"),IF(P96&lt;='Tree rules'!$C$7,"Seal cracks","Polymer laminate")),IF(O96&lt;='Tree rules'!$C$8,IF(M96&lt;='Tree rules'!$C$9,"Steel plate or jacket","Polymer laminate"),IF(L96&lt;='Tree rules'!$C$10,"Steel plate or jacket","Polymer laminate")))</f>
        <v>Monitor</v>
      </c>
      <c r="T96" s="5" t="str">
        <f aca="false">IF(S96=R96,"Yes","No")</f>
        <v>Yes</v>
      </c>
    </row>
    <row r="97" customFormat="false" ht="15" hidden="false" customHeight="false" outlineLevel="0" collapsed="false">
      <c r="A97" s="15" t="n">
        <v>146</v>
      </c>
      <c r="B97" s="16" t="n">
        <v>3.24031419512148</v>
      </c>
      <c r="C97" s="15" t="n">
        <v>230</v>
      </c>
      <c r="D97" s="15" t="n">
        <v>325</v>
      </c>
      <c r="E97" s="15" t="n">
        <v>25</v>
      </c>
      <c r="F97" s="16" t="n">
        <v>0.939980971621069</v>
      </c>
      <c r="G97" s="17" t="s">
        <v>89</v>
      </c>
      <c r="H97" s="18" t="n">
        <v>0.3</v>
      </c>
      <c r="I97" s="18" t="n">
        <v>1</v>
      </c>
      <c r="J97" s="19" t="n">
        <v>0.929987285532553</v>
      </c>
      <c r="K97" s="19" t="n">
        <v>0.555000298343371</v>
      </c>
      <c r="L97" s="16" t="n">
        <v>11.6140293731953</v>
      </c>
      <c r="M97" s="19" t="n">
        <v>0.733244318551386</v>
      </c>
      <c r="N97" s="19" t="n">
        <v>0.666393744501368</v>
      </c>
      <c r="O97" s="19" t="n">
        <v>0.929987285532553</v>
      </c>
      <c r="P97" s="19" t="n">
        <v>0.509729844664782</v>
      </c>
      <c r="Q97" s="17" t="s">
        <v>29</v>
      </c>
      <c r="R97" s="5" t="str">
        <f aca="false">IF(OR(Q97="Steel plate",Q97="Concrete jacket"),"Steel plate or jacket",Q97)</f>
        <v>Monitor</v>
      </c>
      <c r="S97" s="5" t="str">
        <f aca="false">IF(O97&lt;='Tree rules'!$C$4,IF(N97&lt;='Tree rules'!$C$5,IF(P97&lt;='Tree rules'!$C$6,"Monitor","Polymer laminate"),IF(P97&lt;='Tree rules'!$C$7,"Seal cracks","Polymer laminate")),IF(O97&lt;='Tree rules'!$C$8,IF(M97&lt;='Tree rules'!$C$9,"Steel plate or jacket","Polymer laminate"),IF(L97&lt;='Tree rules'!$C$10,"Steel plate or jacket","Polymer laminate")))</f>
        <v>Monitor</v>
      </c>
      <c r="T97" s="5" t="str">
        <f aca="false">IF(S97=R97,"Yes","No")</f>
        <v>Yes</v>
      </c>
    </row>
    <row r="98" customFormat="false" ht="15" hidden="false" customHeight="false" outlineLevel="0" collapsed="false">
      <c r="A98" s="15" t="n">
        <v>147</v>
      </c>
      <c r="B98" s="16" t="n">
        <v>5.84816570641164</v>
      </c>
      <c r="C98" s="15" t="n">
        <v>300</v>
      </c>
      <c r="D98" s="15" t="n">
        <v>550</v>
      </c>
      <c r="E98" s="15" t="n">
        <v>25</v>
      </c>
      <c r="F98" s="16" t="n">
        <v>0.664887334093078</v>
      </c>
      <c r="G98" s="17" t="s">
        <v>89</v>
      </c>
      <c r="H98" s="18" t="n">
        <v>0.3</v>
      </c>
      <c r="I98" s="18" t="n">
        <v>1</v>
      </c>
      <c r="J98" s="19" t="n">
        <v>0.965607718124949</v>
      </c>
      <c r="K98" s="19" t="n">
        <v>0.428618669386055</v>
      </c>
      <c r="L98" s="16" t="n">
        <v>11.6035033857374</v>
      </c>
      <c r="M98" s="19" t="n">
        <v>0.953956606208856</v>
      </c>
      <c r="N98" s="19" t="n">
        <v>0.572701188492069</v>
      </c>
      <c r="O98" s="19" t="n">
        <v>0.965607718124949</v>
      </c>
      <c r="P98" s="19" t="n">
        <v>0.346978708808288</v>
      </c>
      <c r="Q98" s="17" t="s">
        <v>29</v>
      </c>
      <c r="R98" s="5" t="str">
        <f aca="false">IF(OR(Q98="Steel plate",Q98="Concrete jacket"),"Steel plate or jacket",Q98)</f>
        <v>Monitor</v>
      </c>
      <c r="S98" s="5" t="str">
        <f aca="false">IF(O98&lt;='Tree rules'!$C$4,IF(N98&lt;='Tree rules'!$C$5,IF(P98&lt;='Tree rules'!$C$6,"Monitor","Polymer laminate"),IF(P98&lt;='Tree rules'!$C$7,"Seal cracks","Polymer laminate")),IF(O98&lt;='Tree rules'!$C$8,IF(M98&lt;='Tree rules'!$C$9,"Steel plate or jacket","Polymer laminate"),IF(L98&lt;='Tree rules'!$C$10,"Steel plate or jacket","Polymer laminate")))</f>
        <v>Monitor</v>
      </c>
      <c r="T98" s="5" t="str">
        <f aca="false">IF(S98=R98,"Yes","No")</f>
        <v>Yes</v>
      </c>
    </row>
    <row r="99" customFormat="false" ht="15" hidden="false" customHeight="false" outlineLevel="0" collapsed="false">
      <c r="A99" s="15" t="n">
        <v>148</v>
      </c>
      <c r="B99" s="16" t="n">
        <v>6.56534658007773</v>
      </c>
      <c r="C99" s="15" t="n">
        <v>300</v>
      </c>
      <c r="D99" s="15" t="n">
        <v>650</v>
      </c>
      <c r="E99" s="15" t="n">
        <v>20</v>
      </c>
      <c r="F99" s="16" t="n">
        <v>0.568935851244331</v>
      </c>
      <c r="G99" s="17" t="s">
        <v>90</v>
      </c>
      <c r="H99" s="18" t="n">
        <v>0.1</v>
      </c>
      <c r="I99" s="18" t="n">
        <v>1</v>
      </c>
      <c r="J99" s="19" t="n">
        <v>0.874763180874337</v>
      </c>
      <c r="K99" s="19" t="n">
        <v>0.614930793062155</v>
      </c>
      <c r="L99" s="16" t="n">
        <v>11.1465986079418</v>
      </c>
      <c r="M99" s="19" t="n">
        <v>0.881003251523343</v>
      </c>
      <c r="N99" s="19" t="n">
        <v>1.95027539850554</v>
      </c>
      <c r="O99" s="19" t="n">
        <v>0.874763180874337</v>
      </c>
      <c r="P99" s="19" t="n">
        <v>0.348100418700013</v>
      </c>
      <c r="Q99" s="17" t="s">
        <v>30</v>
      </c>
      <c r="R99" s="5" t="str">
        <f aca="false">IF(OR(Q99="Steel plate",Q99="Concrete jacket"),"Steel plate or jacket",Q99)</f>
        <v>Seal cracks</v>
      </c>
      <c r="S99" s="5" t="str">
        <f aca="false">IF(O99&lt;='Tree rules'!$C$4,IF(N99&lt;='Tree rules'!$C$5,IF(P99&lt;='Tree rules'!$C$6,"Monitor","Polymer laminate"),IF(P99&lt;='Tree rules'!$C$7,"Seal cracks","Polymer laminate")),IF(O99&lt;='Tree rules'!$C$8,IF(M99&lt;='Tree rules'!$C$9,"Steel plate or jacket","Polymer laminate"),IF(L99&lt;='Tree rules'!$C$10,"Steel plate or jacket","Polymer laminate")))</f>
        <v>Seal cracks</v>
      </c>
      <c r="T99" s="5" t="str">
        <f aca="false">IF(S99=R99,"Yes","No")</f>
        <v>Yes</v>
      </c>
    </row>
    <row r="100" customFormat="false" ht="15" hidden="false" customHeight="false" outlineLevel="0" collapsed="false">
      <c r="A100" s="15" t="n">
        <v>150</v>
      </c>
      <c r="B100" s="16" t="n">
        <v>6.78448353706314</v>
      </c>
      <c r="C100" s="15" t="n">
        <v>300</v>
      </c>
      <c r="D100" s="15" t="n">
        <v>675</v>
      </c>
      <c r="E100" s="15" t="n">
        <v>25</v>
      </c>
      <c r="F100" s="16" t="n">
        <v>0.63930661313115</v>
      </c>
      <c r="G100" s="17" t="s">
        <v>89</v>
      </c>
      <c r="H100" s="18" t="n">
        <v>0.3</v>
      </c>
      <c r="I100" s="18" t="n">
        <v>2</v>
      </c>
      <c r="J100" s="19" t="n">
        <v>0.885421242704194</v>
      </c>
      <c r="K100" s="19" t="n">
        <v>0.591987756093629</v>
      </c>
      <c r="L100" s="16" t="n">
        <v>10.7861423482721</v>
      </c>
      <c r="M100" s="19" t="n">
        <v>0.389718995236567</v>
      </c>
      <c r="N100" s="19" t="n">
        <v>0.80062050041168</v>
      </c>
      <c r="O100" s="19" t="n">
        <v>1.2466839507423</v>
      </c>
      <c r="P100" s="19" t="n">
        <v>0.924602958427314</v>
      </c>
      <c r="Q100" s="17" t="s">
        <v>31</v>
      </c>
      <c r="R100" s="5" t="str">
        <f aca="false">IF(OR(Q100="Steel plate",Q100="Concrete jacket"),"Steel plate or jacket",Q100)</f>
        <v>Polymer laminate</v>
      </c>
      <c r="S100" s="5" t="str">
        <f aca="false">IF(O100&lt;='Tree rules'!$C$4,IF(N100&lt;='Tree rules'!$C$5,IF(P100&lt;='Tree rules'!$C$6,"Monitor","Polymer laminate"),IF(P100&lt;='Tree rules'!$C$7,"Seal cracks","Polymer laminate")),IF(O100&lt;='Tree rules'!$C$8,IF(M100&lt;='Tree rules'!$C$9,"Steel plate or jacket","Polymer laminate"),IF(L100&lt;='Tree rules'!$C$10,"Steel plate or jacket","Polymer laminate")))</f>
        <v>Polymer laminate</v>
      </c>
      <c r="T100" s="5" t="str">
        <f aca="false">IF(S100=R100,"Yes","No")</f>
        <v>Yes</v>
      </c>
    </row>
    <row r="101" customFormat="false" ht="15" hidden="false" customHeight="false" outlineLevel="0" collapsed="false">
      <c r="A101" s="15" t="n">
        <v>153</v>
      </c>
      <c r="B101" s="16" t="n">
        <v>4.92248536608887</v>
      </c>
      <c r="C101" s="15" t="n">
        <v>300</v>
      </c>
      <c r="D101" s="15" t="n">
        <v>375</v>
      </c>
      <c r="E101" s="15" t="n">
        <v>30</v>
      </c>
      <c r="F101" s="16" t="n">
        <v>0.640487798897002</v>
      </c>
      <c r="G101" s="17" t="s">
        <v>89</v>
      </c>
      <c r="H101" s="18" t="n">
        <v>0.3</v>
      </c>
      <c r="I101" s="18" t="n">
        <v>1</v>
      </c>
      <c r="J101" s="19" t="n">
        <v>0.870778817275584</v>
      </c>
      <c r="K101" s="19" t="n">
        <v>0.617561019249929</v>
      </c>
      <c r="L101" s="16" t="n">
        <v>15.0534720675501</v>
      </c>
      <c r="M101" s="19" t="n">
        <v>0.490324309266944</v>
      </c>
      <c r="N101" s="19" t="n">
        <v>0.994503425215545</v>
      </c>
      <c r="O101" s="19" t="n">
        <v>0.870778817275584</v>
      </c>
      <c r="P101" s="19" t="n">
        <v>0.68199137460704</v>
      </c>
      <c r="Q101" s="17" t="s">
        <v>29</v>
      </c>
      <c r="R101" s="5" t="str">
        <f aca="false">IF(OR(Q101="Steel plate",Q101="Concrete jacket"),"Steel plate or jacket",Q101)</f>
        <v>Monitor</v>
      </c>
      <c r="S101" s="5" t="str">
        <f aca="false">IF(O101&lt;='Tree rules'!$C$4,IF(N101&lt;='Tree rules'!$C$5,IF(P101&lt;='Tree rules'!$C$6,"Monitor","Polymer laminate"),IF(P101&lt;='Tree rules'!$C$7,"Seal cracks","Polymer laminate")),IF(O101&lt;='Tree rules'!$C$8,IF(M101&lt;='Tree rules'!$C$9,"Steel plate or jacket","Polymer laminate"),IF(L101&lt;='Tree rules'!$C$10,"Steel plate or jacket","Polymer laminate")))</f>
        <v>Monitor</v>
      </c>
      <c r="T101" s="5" t="str">
        <f aca="false">IF(S101=R101,"Yes","No")</f>
        <v>Yes</v>
      </c>
    </row>
    <row r="102" customFormat="false" ht="15" hidden="false" customHeight="false" outlineLevel="0" collapsed="false">
      <c r="A102" s="15" t="n">
        <v>154</v>
      </c>
      <c r="B102" s="16" t="n">
        <v>5.19787780483428</v>
      </c>
      <c r="C102" s="15" t="n">
        <v>300</v>
      </c>
      <c r="D102" s="15" t="n">
        <v>500</v>
      </c>
      <c r="E102" s="15" t="n">
        <v>20</v>
      </c>
      <c r="F102" s="16" t="n">
        <v>0.590490249132883</v>
      </c>
      <c r="G102" s="17" t="s">
        <v>91</v>
      </c>
      <c r="H102" s="18" t="n">
        <v>0.2</v>
      </c>
      <c r="I102" s="18" t="n">
        <v>1.5</v>
      </c>
      <c r="J102" s="19" t="n">
        <v>0.95277292020159</v>
      </c>
      <c r="K102" s="19" t="n">
        <v>0.488126568390221</v>
      </c>
      <c r="L102" s="16" t="n">
        <v>11.4490700547011</v>
      </c>
      <c r="M102" s="19" t="n">
        <v>0.946401412078183</v>
      </c>
      <c r="N102" s="19" t="n">
        <v>1.16792471810042</v>
      </c>
      <c r="O102" s="19" t="n">
        <v>1.19662249230582</v>
      </c>
      <c r="P102" s="19" t="n">
        <v>0.382072302253918</v>
      </c>
      <c r="Q102" s="17" t="s">
        <v>31</v>
      </c>
      <c r="R102" s="5" t="str">
        <f aca="false">IF(OR(Q102="Steel plate",Q102="Concrete jacket"),"Steel plate or jacket",Q102)</f>
        <v>Polymer laminate</v>
      </c>
      <c r="S102" s="5" t="str">
        <f aca="false">IF(O102&lt;='Tree rules'!$C$4,IF(N102&lt;='Tree rules'!$C$5,IF(P102&lt;='Tree rules'!$C$6,"Monitor","Polymer laminate"),IF(P102&lt;='Tree rules'!$C$7,"Seal cracks","Polymer laminate")),IF(O102&lt;='Tree rules'!$C$8,IF(M102&lt;='Tree rules'!$C$9,"Steel plate or jacket","Polymer laminate"),IF(L102&lt;='Tree rules'!$C$10,"Steel plate or jacket","Polymer laminate")))</f>
        <v>Polymer laminate</v>
      </c>
      <c r="T102" s="5" t="str">
        <f aca="false">IF(S102=R102,"Yes","No")</f>
        <v>Yes</v>
      </c>
    </row>
    <row r="103" customFormat="false" ht="15" hidden="false" customHeight="false" outlineLevel="0" collapsed="false">
      <c r="A103" s="15" t="n">
        <v>155</v>
      </c>
      <c r="B103" s="16" t="n">
        <v>3.41010226039941</v>
      </c>
      <c r="C103" s="15" t="n">
        <v>230</v>
      </c>
      <c r="D103" s="15" t="n">
        <v>300</v>
      </c>
      <c r="E103" s="15" t="n">
        <v>30</v>
      </c>
      <c r="F103" s="16" t="n">
        <v>0.768324290280112</v>
      </c>
      <c r="G103" s="17" t="s">
        <v>91</v>
      </c>
      <c r="H103" s="18" t="n">
        <v>0.2</v>
      </c>
      <c r="I103" s="18" t="n">
        <v>1</v>
      </c>
      <c r="J103" s="19" t="n">
        <v>0.953208121531622</v>
      </c>
      <c r="K103" s="19" t="n">
        <v>0.433653048458975</v>
      </c>
      <c r="L103" s="16" t="n">
        <v>13.3207119546852</v>
      </c>
      <c r="M103" s="19" t="n">
        <v>0.701519800833944</v>
      </c>
      <c r="N103" s="19" t="n">
        <v>0.953432087360983</v>
      </c>
      <c r="O103" s="19" t="n">
        <v>0.953208121531622</v>
      </c>
      <c r="P103" s="19" t="n">
        <v>0.439195708937931</v>
      </c>
      <c r="Q103" s="17" t="s">
        <v>29</v>
      </c>
      <c r="R103" s="5" t="str">
        <f aca="false">IF(OR(Q103="Steel plate",Q103="Concrete jacket"),"Steel plate or jacket",Q103)</f>
        <v>Monitor</v>
      </c>
      <c r="S103" s="5" t="str">
        <f aca="false">IF(O103&lt;='Tree rules'!$C$4,IF(N103&lt;='Tree rules'!$C$5,IF(P103&lt;='Tree rules'!$C$6,"Monitor","Polymer laminate"),IF(P103&lt;='Tree rules'!$C$7,"Seal cracks","Polymer laminate")),IF(O103&lt;='Tree rules'!$C$8,IF(M103&lt;='Tree rules'!$C$9,"Steel plate or jacket","Polymer laminate"),IF(L103&lt;='Tree rules'!$C$10,"Steel plate or jacket","Polymer laminate")))</f>
        <v>Monitor</v>
      </c>
      <c r="T103" s="5" t="str">
        <f aca="false">IF(S103=R103,"Yes","No")</f>
        <v>Yes</v>
      </c>
    </row>
    <row r="104" customFormat="false" ht="15" hidden="false" customHeight="false" outlineLevel="0" collapsed="false">
      <c r="A104" s="15" t="n">
        <v>156</v>
      </c>
      <c r="B104" s="16" t="n">
        <v>6.17389071150102</v>
      </c>
      <c r="C104" s="15" t="n">
        <v>300</v>
      </c>
      <c r="D104" s="15" t="n">
        <v>550</v>
      </c>
      <c r="E104" s="15" t="n">
        <v>20</v>
      </c>
      <c r="F104" s="16" t="n">
        <v>0.664887334093078</v>
      </c>
      <c r="G104" s="17" t="s">
        <v>91</v>
      </c>
      <c r="H104" s="18" t="n">
        <v>0.2</v>
      </c>
      <c r="I104" s="18" t="n">
        <v>1.5</v>
      </c>
      <c r="J104" s="19" t="n">
        <v>0.854383374948943</v>
      </c>
      <c r="K104" s="19" t="n">
        <v>0.639689196490458</v>
      </c>
      <c r="L104" s="16" t="n">
        <v>12.2497831577401</v>
      </c>
      <c r="M104" s="19" t="n">
        <v>0.47778391829397</v>
      </c>
      <c r="N104" s="19" t="n">
        <v>0.990850312380962</v>
      </c>
      <c r="O104" s="19" t="n">
        <v>1.00830515511547</v>
      </c>
      <c r="P104" s="19" t="n">
        <v>0.832388011354348</v>
      </c>
      <c r="Q104" s="17" t="s">
        <v>31</v>
      </c>
      <c r="R104" s="5" t="str">
        <f aca="false">IF(OR(Q104="Steel plate",Q104="Concrete jacket"),"Steel plate or jacket",Q104)</f>
        <v>Polymer laminate</v>
      </c>
      <c r="S104" s="5" t="str">
        <f aca="false">IF(O104&lt;='Tree rules'!$C$4,IF(N104&lt;='Tree rules'!$C$5,IF(P104&lt;='Tree rules'!$C$6,"Monitor","Polymer laminate"),IF(P104&lt;='Tree rules'!$C$7,"Seal cracks","Polymer laminate")),IF(O104&lt;='Tree rules'!$C$8,IF(M104&lt;='Tree rules'!$C$9,"Steel plate or jacket","Polymer laminate"),IF(L104&lt;='Tree rules'!$C$10,"Steel plate or jacket","Polymer laminate")))</f>
        <v>Polymer laminate</v>
      </c>
      <c r="T104" s="5" t="str">
        <f aca="false">IF(S104=R104,"Yes","No")</f>
        <v>Yes</v>
      </c>
    </row>
    <row r="105" customFormat="false" ht="15" hidden="false" customHeight="false" outlineLevel="0" collapsed="false">
      <c r="A105" s="15" t="n">
        <v>157</v>
      </c>
      <c r="B105" s="16" t="n">
        <v>4.54997812345547</v>
      </c>
      <c r="C105" s="15" t="n">
        <v>300</v>
      </c>
      <c r="D105" s="15" t="n">
        <v>400</v>
      </c>
      <c r="E105" s="15" t="n">
        <v>20</v>
      </c>
      <c r="F105" s="16" t="n">
        <v>0.594998608634431</v>
      </c>
      <c r="G105" s="17" t="s">
        <v>91</v>
      </c>
      <c r="H105" s="18" t="n">
        <v>0.2</v>
      </c>
      <c r="I105" s="18" t="n">
        <v>1</v>
      </c>
      <c r="J105" s="19" t="n">
        <v>0.976046207278187</v>
      </c>
      <c r="K105" s="19" t="n">
        <v>0.58984418685346</v>
      </c>
      <c r="L105" s="16" t="n">
        <v>12.9260742143621</v>
      </c>
      <c r="M105" s="19" t="n">
        <v>0.947921982082035</v>
      </c>
      <c r="N105" s="19" t="n">
        <v>1.46444296786039</v>
      </c>
      <c r="O105" s="19" t="n">
        <v>0.976046207278187</v>
      </c>
      <c r="P105" s="19" t="n">
        <v>0.388904082321898</v>
      </c>
      <c r="Q105" s="17" t="s">
        <v>30</v>
      </c>
      <c r="R105" s="5" t="str">
        <f aca="false">IF(OR(Q105="Steel plate",Q105="Concrete jacket"),"Steel plate or jacket",Q105)</f>
        <v>Seal cracks</v>
      </c>
      <c r="S105" s="5" t="str">
        <f aca="false">IF(O105&lt;='Tree rules'!$C$4,IF(N105&lt;='Tree rules'!$C$5,IF(P105&lt;='Tree rules'!$C$6,"Monitor","Polymer laminate"),IF(P105&lt;='Tree rules'!$C$7,"Seal cracks","Polymer laminate")),IF(O105&lt;='Tree rules'!$C$8,IF(M105&lt;='Tree rules'!$C$9,"Steel plate or jacket","Polymer laminate"),IF(L105&lt;='Tree rules'!$C$10,"Steel plate or jacket","Polymer laminate")))</f>
        <v>Seal cracks</v>
      </c>
      <c r="T105" s="5" t="str">
        <f aca="false">IF(S105=R105,"Yes","No")</f>
        <v>Yes</v>
      </c>
    </row>
    <row r="106" customFormat="false" ht="15" hidden="false" customHeight="false" outlineLevel="0" collapsed="false">
      <c r="A106" s="15" t="n">
        <v>158</v>
      </c>
      <c r="B106" s="16" t="n">
        <v>3.08388898687686</v>
      </c>
      <c r="C106" s="15" t="n">
        <v>300</v>
      </c>
      <c r="D106" s="15" t="n">
        <v>300</v>
      </c>
      <c r="E106" s="15" t="n">
        <v>25</v>
      </c>
      <c r="F106" s="16" t="n">
        <v>0.883711013668015</v>
      </c>
      <c r="G106" s="17" t="s">
        <v>90</v>
      </c>
      <c r="H106" s="18" t="n">
        <v>0.1</v>
      </c>
      <c r="I106" s="18" t="n">
        <v>1</v>
      </c>
      <c r="J106" s="19" t="n">
        <v>0.975599050928667</v>
      </c>
      <c r="K106" s="19" t="n">
        <v>0.453469866612985</v>
      </c>
      <c r="L106" s="16" t="n">
        <v>13.0121898180458</v>
      </c>
      <c r="M106" s="19" t="n">
        <v>0.542777841685549</v>
      </c>
      <c r="N106" s="19" t="n">
        <v>3.61898277313018</v>
      </c>
      <c r="O106" s="19" t="n">
        <v>0.975599050928667</v>
      </c>
      <c r="P106" s="19" t="n">
        <v>0.54980012178417</v>
      </c>
      <c r="Q106" s="17" t="s">
        <v>30</v>
      </c>
      <c r="R106" s="5" t="str">
        <f aca="false">IF(OR(Q106="Steel plate",Q106="Concrete jacket"),"Steel plate or jacket",Q106)</f>
        <v>Seal cracks</v>
      </c>
      <c r="S106" s="5" t="str">
        <f aca="false">IF(O106&lt;='Tree rules'!$C$4,IF(N106&lt;='Tree rules'!$C$5,IF(P106&lt;='Tree rules'!$C$6,"Monitor","Polymer laminate"),IF(P106&lt;='Tree rules'!$C$7,"Seal cracks","Polymer laminate")),IF(O106&lt;='Tree rules'!$C$8,IF(M106&lt;='Tree rules'!$C$9,"Steel plate or jacket","Polymer laminate"),IF(L106&lt;='Tree rules'!$C$10,"Steel plate or jacket","Polymer laminate")))</f>
        <v>Seal cracks</v>
      </c>
      <c r="T106" s="5" t="str">
        <f aca="false">IF(S106=R106,"Yes","No")</f>
        <v>Yes</v>
      </c>
    </row>
    <row r="107" customFormat="false" ht="15" hidden="false" customHeight="false" outlineLevel="0" collapsed="false">
      <c r="A107" s="15" t="n">
        <v>160</v>
      </c>
      <c r="B107" s="16" t="n">
        <v>3.95991678980806</v>
      </c>
      <c r="C107" s="15" t="n">
        <v>230</v>
      </c>
      <c r="D107" s="15" t="n">
        <v>375</v>
      </c>
      <c r="E107" s="15" t="n">
        <v>25</v>
      </c>
      <c r="F107" s="16" t="n">
        <v>0.835206022555027</v>
      </c>
      <c r="G107" s="17" t="s">
        <v>90</v>
      </c>
      <c r="H107" s="18" t="n">
        <v>0.1</v>
      </c>
      <c r="I107" s="18" t="n">
        <v>1</v>
      </c>
      <c r="J107" s="19" t="n">
        <v>0.929087232416519</v>
      </c>
      <c r="K107" s="19" t="n">
        <v>0.455159723822072</v>
      </c>
      <c r="L107" s="16" t="n">
        <v>12.6111999675416</v>
      </c>
      <c r="M107" s="19" t="n">
        <v>0.475018056547405</v>
      </c>
      <c r="N107" s="19" t="n">
        <v>2.65960177749866</v>
      </c>
      <c r="O107" s="19" t="n">
        <v>0.929087232416519</v>
      </c>
      <c r="P107" s="19" t="n">
        <v>0.645774963756664</v>
      </c>
      <c r="Q107" s="17" t="s">
        <v>30</v>
      </c>
      <c r="R107" s="5" t="str">
        <f aca="false">IF(OR(Q107="Steel plate",Q107="Concrete jacket"),"Steel plate or jacket",Q107)</f>
        <v>Seal cracks</v>
      </c>
      <c r="S107" s="5" t="str">
        <f aca="false">IF(O107&lt;='Tree rules'!$C$4,IF(N107&lt;='Tree rules'!$C$5,IF(P107&lt;='Tree rules'!$C$6,"Monitor","Polymer laminate"),IF(P107&lt;='Tree rules'!$C$7,"Seal cracks","Polymer laminate")),IF(O107&lt;='Tree rules'!$C$8,IF(M107&lt;='Tree rules'!$C$9,"Steel plate or jacket","Polymer laminate"),IF(L107&lt;='Tree rules'!$C$10,"Steel plate or jacket","Polymer laminate")))</f>
        <v>Seal cracks</v>
      </c>
      <c r="T107" s="5" t="str">
        <f aca="false">IF(S107=R107,"Yes","No")</f>
        <v>Yes</v>
      </c>
    </row>
    <row r="108" customFormat="false" ht="15" hidden="false" customHeight="false" outlineLevel="0" collapsed="false">
      <c r="A108" s="15" t="n">
        <v>161</v>
      </c>
      <c r="B108" s="16" t="n">
        <v>7.98438914201908</v>
      </c>
      <c r="C108" s="15" t="n">
        <v>300</v>
      </c>
      <c r="D108" s="15" t="n">
        <v>700</v>
      </c>
      <c r="E108" s="15" t="n">
        <v>25</v>
      </c>
      <c r="F108" s="16" t="n">
        <v>0.614868286941122</v>
      </c>
      <c r="G108" s="17" t="s">
        <v>89</v>
      </c>
      <c r="H108" s="18" t="n">
        <v>0.3</v>
      </c>
      <c r="I108" s="18" t="n">
        <v>1.5</v>
      </c>
      <c r="J108" s="19" t="n">
        <v>0.89330065630745</v>
      </c>
      <c r="K108" s="19" t="n">
        <v>0.500505510797367</v>
      </c>
      <c r="L108" s="16" t="n">
        <v>12.2085460887142</v>
      </c>
      <c r="M108" s="19" t="n">
        <v>0.927362183501273</v>
      </c>
      <c r="N108" s="19" t="n">
        <v>0.63527580759204</v>
      </c>
      <c r="O108" s="19" t="n">
        <v>1.11640003382078</v>
      </c>
      <c r="P108" s="19" t="n">
        <v>0.410283944851442</v>
      </c>
      <c r="Q108" s="17" t="s">
        <v>31</v>
      </c>
      <c r="R108" s="5" t="str">
        <f aca="false">IF(OR(Q108="Steel plate",Q108="Concrete jacket"),"Steel plate or jacket",Q108)</f>
        <v>Polymer laminate</v>
      </c>
      <c r="S108" s="5" t="str">
        <f aca="false">IF(O108&lt;='Tree rules'!$C$4,IF(N108&lt;='Tree rules'!$C$5,IF(P108&lt;='Tree rules'!$C$6,"Monitor","Polymer laminate"),IF(P108&lt;='Tree rules'!$C$7,"Seal cracks","Polymer laminate")),IF(O108&lt;='Tree rules'!$C$8,IF(M108&lt;='Tree rules'!$C$9,"Steel plate or jacket","Polymer laminate"),IF(L108&lt;='Tree rules'!$C$10,"Steel plate or jacket","Polymer laminate")))</f>
        <v>Polymer laminate</v>
      </c>
      <c r="T108" s="5" t="str">
        <f aca="false">IF(S108=R108,"Yes","No")</f>
        <v>Yes</v>
      </c>
    </row>
    <row r="109" customFormat="false" ht="15" hidden="false" customHeight="false" outlineLevel="0" collapsed="false">
      <c r="A109" s="15" t="n">
        <v>162</v>
      </c>
      <c r="B109" s="16" t="n">
        <v>5.3220300850272</v>
      </c>
      <c r="C109" s="15" t="n">
        <v>300</v>
      </c>
      <c r="D109" s="15" t="n">
        <v>500</v>
      </c>
      <c r="E109" s="15" t="n">
        <v>25</v>
      </c>
      <c r="F109" s="16" t="n">
        <v>0.738112811416104</v>
      </c>
      <c r="G109" s="17" t="s">
        <v>91</v>
      </c>
      <c r="H109" s="18" t="n">
        <v>0.2</v>
      </c>
      <c r="I109" s="18" t="n">
        <v>1</v>
      </c>
      <c r="J109" s="19" t="n">
        <v>0.959761121298797</v>
      </c>
      <c r="K109" s="19" t="n">
        <v>0.422112396080493</v>
      </c>
      <c r="L109" s="16" t="n">
        <v>11.7225332269322</v>
      </c>
      <c r="M109" s="19" t="n">
        <v>0.471654147553818</v>
      </c>
      <c r="N109" s="19" t="n">
        <v>0.967020750067714</v>
      </c>
      <c r="O109" s="19" t="n">
        <v>0.959761121298797</v>
      </c>
      <c r="P109" s="19" t="n">
        <v>0.689000655002074</v>
      </c>
      <c r="Q109" s="17" t="s">
        <v>29</v>
      </c>
      <c r="R109" s="5" t="str">
        <f aca="false">IF(OR(Q109="Steel plate",Q109="Concrete jacket"),"Steel plate or jacket",Q109)</f>
        <v>Monitor</v>
      </c>
      <c r="S109" s="5" t="str">
        <f aca="false">IF(O109&lt;='Tree rules'!$C$4,IF(N109&lt;='Tree rules'!$C$5,IF(P109&lt;='Tree rules'!$C$6,"Monitor","Polymer laminate"),IF(P109&lt;='Tree rules'!$C$7,"Seal cracks","Polymer laminate")),IF(O109&lt;='Tree rules'!$C$8,IF(M109&lt;='Tree rules'!$C$9,"Steel plate or jacket","Polymer laminate"),IF(L109&lt;='Tree rules'!$C$10,"Steel plate or jacket","Polymer laminate")))</f>
        <v>Monitor</v>
      </c>
      <c r="T109" s="5" t="str">
        <f aca="false">IF(S109=R109,"Yes","No")</f>
        <v>Yes</v>
      </c>
    </row>
    <row r="110" customFormat="false" ht="15" hidden="false" customHeight="false" outlineLevel="0" collapsed="false">
      <c r="A110" s="15" t="n">
        <v>163</v>
      </c>
      <c r="B110" s="16" t="n">
        <v>6.52502181539028</v>
      </c>
      <c r="C110" s="15" t="n">
        <v>300</v>
      </c>
      <c r="D110" s="15" t="n">
        <v>600</v>
      </c>
      <c r="E110" s="15" t="n">
        <v>30</v>
      </c>
      <c r="F110" s="16" t="n">
        <v>0.758838805214926</v>
      </c>
      <c r="G110" s="17" t="s">
        <v>89</v>
      </c>
      <c r="H110" s="18" t="n">
        <v>0.3</v>
      </c>
      <c r="I110" s="18" t="n">
        <v>1</v>
      </c>
      <c r="J110" s="19" t="n">
        <v>0.903977203798336</v>
      </c>
      <c r="K110" s="19" t="n">
        <v>0.463185756338707</v>
      </c>
      <c r="L110" s="16" t="n">
        <v>11.8206916945476</v>
      </c>
      <c r="M110" s="19" t="n">
        <v>0.809025047926514</v>
      </c>
      <c r="N110" s="19" t="n">
        <v>0.602331757964119</v>
      </c>
      <c r="O110" s="19" t="n">
        <v>0.903977203798336</v>
      </c>
      <c r="P110" s="19" t="n">
        <v>0.420328225842399</v>
      </c>
      <c r="Q110" s="17" t="s">
        <v>29</v>
      </c>
      <c r="R110" s="5" t="str">
        <f aca="false">IF(OR(Q110="Steel plate",Q110="Concrete jacket"),"Steel plate or jacket",Q110)</f>
        <v>Monitor</v>
      </c>
      <c r="S110" s="5" t="str">
        <f aca="false">IF(O110&lt;='Tree rules'!$C$4,IF(N110&lt;='Tree rules'!$C$5,IF(P110&lt;='Tree rules'!$C$6,"Monitor","Polymer laminate"),IF(P110&lt;='Tree rules'!$C$7,"Seal cracks","Polymer laminate")),IF(O110&lt;='Tree rules'!$C$8,IF(M110&lt;='Tree rules'!$C$9,"Steel plate or jacket","Polymer laminate"),IF(L110&lt;='Tree rules'!$C$10,"Steel plate or jacket","Polymer laminate")))</f>
        <v>Monitor</v>
      </c>
      <c r="T110" s="5" t="str">
        <f aca="false">IF(S110=R110,"Yes","No")</f>
        <v>Yes</v>
      </c>
    </row>
    <row r="111" customFormat="false" ht="15" hidden="false" customHeight="false" outlineLevel="0" collapsed="false">
      <c r="A111" s="15" t="n">
        <v>165</v>
      </c>
      <c r="B111" s="16" t="n">
        <v>4.1542071501134</v>
      </c>
      <c r="C111" s="15" t="n">
        <v>300</v>
      </c>
      <c r="D111" s="15" t="n">
        <v>400</v>
      </c>
      <c r="E111" s="15" t="n">
        <v>30</v>
      </c>
      <c r="F111" s="16" t="n">
        <v>0.594998608634431</v>
      </c>
      <c r="G111" s="17" t="s">
        <v>89</v>
      </c>
      <c r="H111" s="18" t="n">
        <v>0.3</v>
      </c>
      <c r="I111" s="18" t="n">
        <v>1</v>
      </c>
      <c r="J111" s="19" t="n">
        <v>0.980601780561104</v>
      </c>
      <c r="K111" s="19" t="n">
        <v>0.612395782175654</v>
      </c>
      <c r="L111" s="16" t="n">
        <v>11.8017248582767</v>
      </c>
      <c r="M111" s="19" t="n">
        <v>0.346601003317446</v>
      </c>
      <c r="N111" s="19" t="n">
        <v>1.17746263502605</v>
      </c>
      <c r="O111" s="19" t="n">
        <v>0.980601780561104</v>
      </c>
      <c r="P111" s="19" t="n">
        <v>0.794086095577657</v>
      </c>
      <c r="Q111" s="17" t="s">
        <v>30</v>
      </c>
      <c r="R111" s="5" t="str">
        <f aca="false">IF(OR(Q111="Steel plate",Q111="Concrete jacket"),"Steel plate or jacket",Q111)</f>
        <v>Seal cracks</v>
      </c>
      <c r="S111" s="5" t="str">
        <f aca="false">IF(O111&lt;='Tree rules'!$C$4,IF(N111&lt;='Tree rules'!$C$5,IF(P111&lt;='Tree rules'!$C$6,"Monitor","Polymer laminate"),IF(P111&lt;='Tree rules'!$C$7,"Seal cracks","Polymer laminate")),IF(O111&lt;='Tree rules'!$C$8,IF(M111&lt;='Tree rules'!$C$9,"Steel plate or jacket","Polymer laminate"),IF(L111&lt;='Tree rules'!$C$10,"Steel plate or jacket","Polymer laminate")))</f>
        <v>Seal cracks</v>
      </c>
      <c r="T111" s="5" t="str">
        <f aca="false">IF(S111=R111,"Yes","No")</f>
        <v>Yes</v>
      </c>
    </row>
    <row r="112" customFormat="false" ht="15" hidden="false" customHeight="false" outlineLevel="0" collapsed="false">
      <c r="A112" s="15" t="n">
        <v>166</v>
      </c>
      <c r="B112" s="16" t="n">
        <v>4.22235115298853</v>
      </c>
      <c r="C112" s="15" t="n">
        <v>300</v>
      </c>
      <c r="D112" s="15" t="n">
        <v>425</v>
      </c>
      <c r="E112" s="15" t="n">
        <v>25</v>
      </c>
      <c r="F112" s="16" t="n">
        <v>0.833313701217452</v>
      </c>
      <c r="G112" s="17" t="s">
        <v>89</v>
      </c>
      <c r="H112" s="18" t="n">
        <v>0.3</v>
      </c>
      <c r="I112" s="18" t="n">
        <v>1</v>
      </c>
      <c r="J112" s="19" t="n">
        <v>0.881671503930354</v>
      </c>
      <c r="K112" s="19" t="n">
        <v>0.620926925731684</v>
      </c>
      <c r="L112" s="16" t="n">
        <v>11.1998704323303</v>
      </c>
      <c r="M112" s="19" t="n">
        <v>0.58707173859358</v>
      </c>
      <c r="N112" s="19" t="n">
        <v>0.720648344226361</v>
      </c>
      <c r="O112" s="19" t="n">
        <v>0.881671503930354</v>
      </c>
      <c r="P112" s="19" t="n">
        <v>0.603754046799848</v>
      </c>
      <c r="Q112" s="17" t="s">
        <v>29</v>
      </c>
      <c r="R112" s="5" t="str">
        <f aca="false">IF(OR(Q112="Steel plate",Q112="Concrete jacket"),"Steel plate or jacket",Q112)</f>
        <v>Monitor</v>
      </c>
      <c r="S112" s="5" t="str">
        <f aca="false">IF(O112&lt;='Tree rules'!$C$4,IF(N112&lt;='Tree rules'!$C$5,IF(P112&lt;='Tree rules'!$C$6,"Monitor","Polymer laminate"),IF(P112&lt;='Tree rules'!$C$7,"Seal cracks","Polymer laminate")),IF(O112&lt;='Tree rules'!$C$8,IF(M112&lt;='Tree rules'!$C$9,"Steel plate or jacket","Polymer laminate"),IF(L112&lt;='Tree rules'!$C$10,"Steel plate or jacket","Polymer laminate")))</f>
        <v>Monitor</v>
      </c>
      <c r="T112" s="5" t="str">
        <f aca="false">IF(S112=R112,"Yes","No")</f>
        <v>Yes</v>
      </c>
    </row>
    <row r="113" customFormat="false" ht="15" hidden="false" customHeight="false" outlineLevel="0" collapsed="false">
      <c r="A113" s="15" t="n">
        <v>167</v>
      </c>
      <c r="B113" s="16" t="n">
        <v>5.09431346610041</v>
      </c>
      <c r="C113" s="15" t="n">
        <v>230</v>
      </c>
      <c r="D113" s="15" t="n">
        <v>475</v>
      </c>
      <c r="E113" s="15" t="n">
        <v>30</v>
      </c>
      <c r="F113" s="16" t="n">
        <v>0.959655631887728</v>
      </c>
      <c r="G113" s="17" t="s">
        <v>89</v>
      </c>
      <c r="H113" s="18" t="n">
        <v>0.3</v>
      </c>
      <c r="I113" s="18" t="n">
        <v>1</v>
      </c>
      <c r="J113" s="19" t="n">
        <v>0.908598309436326</v>
      </c>
      <c r="K113" s="19" t="n">
        <v>0.456905689436877</v>
      </c>
      <c r="L113" s="16" t="n">
        <v>11.9304765014061</v>
      </c>
      <c r="M113" s="19" t="n">
        <v>0.64276811489469</v>
      </c>
      <c r="N113" s="19" t="n">
        <v>0.642991841094522</v>
      </c>
      <c r="O113" s="19" t="n">
        <v>0.908598309436326</v>
      </c>
      <c r="P113" s="19" t="n">
        <v>0.584108763244773</v>
      </c>
      <c r="Q113" s="17" t="s">
        <v>29</v>
      </c>
      <c r="R113" s="5" t="str">
        <f aca="false">IF(OR(Q113="Steel plate",Q113="Concrete jacket"),"Steel plate or jacket",Q113)</f>
        <v>Monitor</v>
      </c>
      <c r="S113" s="5" t="str">
        <f aca="false">IF(O113&lt;='Tree rules'!$C$4,IF(N113&lt;='Tree rules'!$C$5,IF(P113&lt;='Tree rules'!$C$6,"Monitor","Polymer laminate"),IF(P113&lt;='Tree rules'!$C$7,"Seal cracks","Polymer laminate")),IF(O113&lt;='Tree rules'!$C$8,IF(M113&lt;='Tree rules'!$C$9,"Steel plate or jacket","Polymer laminate"),IF(L113&lt;='Tree rules'!$C$10,"Steel plate or jacket","Polymer laminate")))</f>
        <v>Monitor</v>
      </c>
      <c r="T113" s="5" t="str">
        <f aca="false">IF(S113=R113,"Yes","No")</f>
        <v>Yes</v>
      </c>
    </row>
    <row r="114" customFormat="false" ht="15" hidden="false" customHeight="false" outlineLevel="0" collapsed="false">
      <c r="A114" s="15" t="n">
        <v>169</v>
      </c>
      <c r="B114" s="16" t="n">
        <v>3.21540841234869</v>
      </c>
      <c r="C114" s="15" t="n">
        <v>300</v>
      </c>
      <c r="D114" s="15" t="n">
        <v>325</v>
      </c>
      <c r="E114" s="15" t="n">
        <v>20</v>
      </c>
      <c r="F114" s="16" t="n">
        <v>0.756099314943392</v>
      </c>
      <c r="G114" s="17" t="s">
        <v>89</v>
      </c>
      <c r="H114" s="18" t="n">
        <v>0.3</v>
      </c>
      <c r="I114" s="18" t="n">
        <v>1.5</v>
      </c>
      <c r="J114" s="19" t="n">
        <v>0.91462792421243</v>
      </c>
      <c r="K114" s="19" t="n">
        <v>0.533797190127865</v>
      </c>
      <c r="L114" s="16" t="n">
        <v>11.607972607757</v>
      </c>
      <c r="M114" s="19" t="n">
        <v>0.329971094062865</v>
      </c>
      <c r="N114" s="19" t="n">
        <v>1.283229706007</v>
      </c>
      <c r="O114" s="19" t="n">
        <v>1.12782897834011</v>
      </c>
      <c r="P114" s="19" t="n">
        <v>1.03412525875382</v>
      </c>
      <c r="Q114" s="17" t="s">
        <v>31</v>
      </c>
      <c r="R114" s="5" t="str">
        <f aca="false">IF(OR(Q114="Steel plate",Q114="Concrete jacket"),"Steel plate or jacket",Q114)</f>
        <v>Polymer laminate</v>
      </c>
      <c r="S114" s="5" t="str">
        <f aca="false">IF(O114&lt;='Tree rules'!$C$4,IF(N114&lt;='Tree rules'!$C$5,IF(P114&lt;='Tree rules'!$C$6,"Monitor","Polymer laminate"),IF(P114&lt;='Tree rules'!$C$7,"Seal cracks","Polymer laminate")),IF(O114&lt;='Tree rules'!$C$8,IF(M114&lt;='Tree rules'!$C$9,"Steel plate or jacket","Polymer laminate"),IF(L114&lt;='Tree rules'!$C$10,"Steel plate or jacket","Polymer laminate")))</f>
        <v>Polymer laminate</v>
      </c>
      <c r="T114" s="5" t="str">
        <f aca="false">IF(S114=R114,"Yes","No")</f>
        <v>Yes</v>
      </c>
    </row>
    <row r="115" customFormat="false" ht="15" hidden="false" customHeight="false" outlineLevel="0" collapsed="false">
      <c r="A115" s="15" t="n">
        <v>170</v>
      </c>
      <c r="B115" s="16" t="n">
        <v>4.63562160811176</v>
      </c>
      <c r="C115" s="15" t="n">
        <v>230</v>
      </c>
      <c r="D115" s="15" t="n">
        <v>425</v>
      </c>
      <c r="E115" s="15" t="n">
        <v>25</v>
      </c>
      <c r="F115" s="16" t="n">
        <v>0.72047992055571</v>
      </c>
      <c r="G115" s="17" t="s">
        <v>90</v>
      </c>
      <c r="H115" s="18" t="n">
        <v>0.1</v>
      </c>
      <c r="I115" s="18" t="n">
        <v>2</v>
      </c>
      <c r="J115" s="19" t="n">
        <v>0.903034412369227</v>
      </c>
      <c r="K115" s="19" t="n">
        <v>0.451344542979711</v>
      </c>
      <c r="L115" s="16" t="n">
        <v>12.7352241981092</v>
      </c>
      <c r="M115" s="19" t="n">
        <v>0.595025315727478</v>
      </c>
      <c r="N115" s="19" t="n">
        <v>3.91197914051075</v>
      </c>
      <c r="O115" s="19" t="n">
        <v>1.39848917059271</v>
      </c>
      <c r="P115" s="19" t="n">
        <v>0.628110099798529</v>
      </c>
      <c r="Q115" s="17" t="s">
        <v>31</v>
      </c>
      <c r="R115" s="5" t="str">
        <f aca="false">IF(OR(Q115="Steel plate",Q115="Concrete jacket"),"Steel plate or jacket",Q115)</f>
        <v>Polymer laminate</v>
      </c>
      <c r="S115" s="5" t="str">
        <f aca="false">IF(O115&lt;='Tree rules'!$C$4,IF(N115&lt;='Tree rules'!$C$5,IF(P115&lt;='Tree rules'!$C$6,"Monitor","Polymer laminate"),IF(P115&lt;='Tree rules'!$C$7,"Seal cracks","Polymer laminate")),IF(O115&lt;='Tree rules'!$C$8,IF(M115&lt;='Tree rules'!$C$9,"Steel plate or jacket","Polymer laminate"),IF(L115&lt;='Tree rules'!$C$10,"Steel plate or jacket","Polymer laminate")))</f>
        <v>Steel plate or jacket</v>
      </c>
      <c r="T115" s="5" t="str">
        <f aca="false">IF(S115=R115,"Yes","No")</f>
        <v>No</v>
      </c>
    </row>
    <row r="116" customFormat="false" ht="15" hidden="false" customHeight="false" outlineLevel="0" collapsed="false">
      <c r="A116" s="15" t="n">
        <v>172</v>
      </c>
      <c r="B116" s="16" t="n">
        <v>4.43192353324802</v>
      </c>
      <c r="C116" s="15" t="n">
        <v>230</v>
      </c>
      <c r="D116" s="15" t="n">
        <v>400</v>
      </c>
      <c r="E116" s="15" t="n">
        <v>20</v>
      </c>
      <c r="F116" s="16" t="n">
        <v>0.740832460684402</v>
      </c>
      <c r="G116" s="17" t="s">
        <v>89</v>
      </c>
      <c r="H116" s="18" t="n">
        <v>0.3</v>
      </c>
      <c r="I116" s="18" t="n">
        <v>1.5</v>
      </c>
      <c r="J116" s="19" t="n">
        <v>0.891919051604474</v>
      </c>
      <c r="K116" s="19" t="n">
        <v>0.549675652185226</v>
      </c>
      <c r="L116" s="16" t="n">
        <v>12.5195580035255</v>
      </c>
      <c r="M116" s="19" t="n">
        <v>0.940511242981388</v>
      </c>
      <c r="N116" s="19" t="n">
        <v>0.732467009878041</v>
      </c>
      <c r="O116" s="19" t="n">
        <v>1.09274548421315</v>
      </c>
      <c r="P116" s="19" t="n">
        <v>0.451802317462227</v>
      </c>
      <c r="Q116" s="17" t="s">
        <v>31</v>
      </c>
      <c r="R116" s="5" t="str">
        <f aca="false">IF(OR(Q116="Steel plate",Q116="Concrete jacket"),"Steel plate or jacket",Q116)</f>
        <v>Polymer laminate</v>
      </c>
      <c r="S116" s="5" t="str">
        <f aca="false">IF(O116&lt;='Tree rules'!$C$4,IF(N116&lt;='Tree rules'!$C$5,IF(P116&lt;='Tree rules'!$C$6,"Monitor","Polymer laminate"),IF(P116&lt;='Tree rules'!$C$7,"Seal cracks","Polymer laminate")),IF(O116&lt;='Tree rules'!$C$8,IF(M116&lt;='Tree rules'!$C$9,"Steel plate or jacket","Polymer laminate"),IF(L116&lt;='Tree rules'!$C$10,"Steel plate or jacket","Polymer laminate")))</f>
        <v>Polymer laminate</v>
      </c>
      <c r="T116" s="5" t="str">
        <f aca="false">IF(S116=R116,"Yes","No")</f>
        <v>Yes</v>
      </c>
    </row>
    <row r="117" customFormat="false" ht="15" hidden="false" customHeight="false" outlineLevel="0" collapsed="false">
      <c r="A117" s="15" t="n">
        <v>173</v>
      </c>
      <c r="B117" s="16" t="n">
        <v>3.14925314736212</v>
      </c>
      <c r="C117" s="15" t="n">
        <v>300</v>
      </c>
      <c r="D117" s="15" t="n">
        <v>300</v>
      </c>
      <c r="E117" s="15" t="n">
        <v>30</v>
      </c>
      <c r="F117" s="16" t="n">
        <v>0.791582400904515</v>
      </c>
      <c r="G117" s="17" t="s">
        <v>89</v>
      </c>
      <c r="H117" s="18" t="n">
        <v>0.3</v>
      </c>
      <c r="I117" s="18" t="n">
        <v>1</v>
      </c>
      <c r="J117" s="19" t="n">
        <v>0.866832640520069</v>
      </c>
      <c r="K117" s="19" t="n">
        <v>0.48344570361925</v>
      </c>
      <c r="L117" s="16" t="n">
        <v>12.3986344384335</v>
      </c>
      <c r="M117" s="19" t="n">
        <v>0.281289662778663</v>
      </c>
      <c r="N117" s="19" t="n">
        <v>0.775162528631038</v>
      </c>
      <c r="O117" s="19" t="n">
        <v>0.866832640520069</v>
      </c>
      <c r="P117" s="19" t="n">
        <v>0.926701734400567</v>
      </c>
      <c r="Q117" s="17" t="s">
        <v>29</v>
      </c>
      <c r="R117" s="5" t="str">
        <f aca="false">IF(OR(Q117="Steel plate",Q117="Concrete jacket"),"Steel plate or jacket",Q117)</f>
        <v>Monitor</v>
      </c>
      <c r="S117" s="5" t="str">
        <f aca="false">IF(O117&lt;='Tree rules'!$C$4,IF(N117&lt;='Tree rules'!$C$5,IF(P117&lt;='Tree rules'!$C$6,"Monitor","Polymer laminate"),IF(P117&lt;='Tree rules'!$C$7,"Seal cracks","Polymer laminate")),IF(O117&lt;='Tree rules'!$C$8,IF(M117&lt;='Tree rules'!$C$9,"Steel plate or jacket","Polymer laminate"),IF(L117&lt;='Tree rules'!$C$10,"Steel plate or jacket","Polymer laminate")))</f>
        <v>Monitor</v>
      </c>
      <c r="T117" s="5" t="str">
        <f aca="false">IF(S117=R117,"Yes","No")</f>
        <v>Yes</v>
      </c>
    </row>
    <row r="118" customFormat="false" ht="15" hidden="false" customHeight="false" outlineLevel="0" collapsed="false">
      <c r="A118" s="15" t="n">
        <v>175</v>
      </c>
      <c r="B118" s="16" t="n">
        <v>3.84551273964776</v>
      </c>
      <c r="C118" s="15" t="n">
        <v>230</v>
      </c>
      <c r="D118" s="15" t="n">
        <v>325</v>
      </c>
      <c r="E118" s="15" t="n">
        <v>30</v>
      </c>
      <c r="F118" s="16" t="n">
        <v>0.699968036696473</v>
      </c>
      <c r="G118" s="17" t="s">
        <v>91</v>
      </c>
      <c r="H118" s="18" t="n">
        <v>0.2</v>
      </c>
      <c r="I118" s="18" t="n">
        <v>1</v>
      </c>
      <c r="J118" s="19" t="n">
        <v>0.908539762796208</v>
      </c>
      <c r="K118" s="19" t="n">
        <v>0.481294483936698</v>
      </c>
      <c r="L118" s="16" t="n">
        <v>13.6850987176077</v>
      </c>
      <c r="M118" s="19" t="n">
        <v>0.519862543788215</v>
      </c>
      <c r="N118" s="19" t="n">
        <v>0.928164937114964</v>
      </c>
      <c r="O118" s="19" t="n">
        <v>0.908539762796208</v>
      </c>
      <c r="P118" s="19" t="n">
        <v>0.567607263271423</v>
      </c>
      <c r="Q118" s="17" t="s">
        <v>29</v>
      </c>
      <c r="R118" s="5" t="str">
        <f aca="false">IF(OR(Q118="Steel plate",Q118="Concrete jacket"),"Steel plate or jacket",Q118)</f>
        <v>Monitor</v>
      </c>
      <c r="S118" s="5" t="str">
        <f aca="false">IF(O118&lt;='Tree rules'!$C$4,IF(N118&lt;='Tree rules'!$C$5,IF(P118&lt;='Tree rules'!$C$6,"Monitor","Polymer laminate"),IF(P118&lt;='Tree rules'!$C$7,"Seal cracks","Polymer laminate")),IF(O118&lt;='Tree rules'!$C$8,IF(M118&lt;='Tree rules'!$C$9,"Steel plate or jacket","Polymer laminate"),IF(L118&lt;='Tree rules'!$C$10,"Steel plate or jacket","Polymer laminate")))</f>
        <v>Monitor</v>
      </c>
      <c r="T118" s="5" t="str">
        <f aca="false">IF(S118=R118,"Yes","No")</f>
        <v>Yes</v>
      </c>
    </row>
    <row r="119" customFormat="false" ht="15" hidden="false" customHeight="false" outlineLevel="0" collapsed="false">
      <c r="A119" s="15" t="n">
        <v>176</v>
      </c>
      <c r="B119" s="16" t="n">
        <v>5.50678539822179</v>
      </c>
      <c r="C119" s="15" t="n">
        <v>230</v>
      </c>
      <c r="D119" s="15" t="n">
        <v>475</v>
      </c>
      <c r="E119" s="15" t="n">
        <v>20</v>
      </c>
      <c r="F119" s="16" t="n">
        <v>0.611316296229087</v>
      </c>
      <c r="G119" s="17" t="s">
        <v>89</v>
      </c>
      <c r="H119" s="18" t="n">
        <v>0.3</v>
      </c>
      <c r="I119" s="18" t="n">
        <v>1</v>
      </c>
      <c r="J119" s="19" t="n">
        <v>0.953711240511726</v>
      </c>
      <c r="K119" s="19" t="n">
        <v>0.463371282888436</v>
      </c>
      <c r="L119" s="16" t="n">
        <v>12.8363295995846</v>
      </c>
      <c r="M119" s="19" t="n">
        <v>0.910447589106173</v>
      </c>
      <c r="N119" s="19" t="n">
        <v>0.612207409546438</v>
      </c>
      <c r="O119" s="19" t="n">
        <v>0.953711240511726</v>
      </c>
      <c r="P119" s="19" t="n">
        <v>0.389021196520011</v>
      </c>
      <c r="Q119" s="17" t="s">
        <v>29</v>
      </c>
      <c r="R119" s="5" t="str">
        <f aca="false">IF(OR(Q119="Steel plate",Q119="Concrete jacket"),"Steel plate or jacket",Q119)</f>
        <v>Monitor</v>
      </c>
      <c r="S119" s="5" t="str">
        <f aca="false">IF(O119&lt;='Tree rules'!$C$4,IF(N119&lt;='Tree rules'!$C$5,IF(P119&lt;='Tree rules'!$C$6,"Monitor","Polymer laminate"),IF(P119&lt;='Tree rules'!$C$7,"Seal cracks","Polymer laminate")),IF(O119&lt;='Tree rules'!$C$8,IF(M119&lt;='Tree rules'!$C$9,"Steel plate or jacket","Polymer laminate"),IF(L119&lt;='Tree rules'!$C$10,"Steel plate or jacket","Polymer laminate")))</f>
        <v>Monitor</v>
      </c>
      <c r="T119" s="5" t="str">
        <f aca="false">IF(S119=R119,"Yes","No")</f>
        <v>Yes</v>
      </c>
    </row>
    <row r="120" customFormat="false" ht="15" hidden="false" customHeight="false" outlineLevel="0" collapsed="false">
      <c r="A120" s="15" t="n">
        <v>177</v>
      </c>
      <c r="B120" s="16" t="n">
        <v>5.30202055073566</v>
      </c>
      <c r="C120" s="15" t="n">
        <v>300</v>
      </c>
      <c r="D120" s="15" t="n">
        <v>500</v>
      </c>
      <c r="E120" s="15" t="n">
        <v>20</v>
      </c>
      <c r="F120" s="16" t="n">
        <v>0.695042622475618</v>
      </c>
      <c r="G120" s="17" t="s">
        <v>91</v>
      </c>
      <c r="H120" s="18" t="n">
        <v>0.2</v>
      </c>
      <c r="I120" s="18" t="n">
        <v>1</v>
      </c>
      <c r="J120" s="19" t="n">
        <v>0.947450400324109</v>
      </c>
      <c r="K120" s="19" t="n">
        <v>0.436619005578936</v>
      </c>
      <c r="L120" s="16" t="n">
        <v>11.7301339618046</v>
      </c>
      <c r="M120" s="19" t="n">
        <v>0.903766701798333</v>
      </c>
      <c r="N120" s="19" t="n">
        <v>1.05096921381818</v>
      </c>
      <c r="O120" s="19" t="n">
        <v>0.947450400324109</v>
      </c>
      <c r="P120" s="19" t="n">
        <v>0.387241162891564</v>
      </c>
      <c r="Q120" s="17" t="s">
        <v>30</v>
      </c>
      <c r="R120" s="5" t="str">
        <f aca="false">IF(OR(Q120="Steel plate",Q120="Concrete jacket"),"Steel plate or jacket",Q120)</f>
        <v>Seal cracks</v>
      </c>
      <c r="S120" s="5" t="str">
        <f aca="false">IF(O120&lt;='Tree rules'!$C$4,IF(N120&lt;='Tree rules'!$C$5,IF(P120&lt;='Tree rules'!$C$6,"Monitor","Polymer laminate"),IF(P120&lt;='Tree rules'!$C$7,"Seal cracks","Polymer laminate")),IF(O120&lt;='Tree rules'!$C$8,IF(M120&lt;='Tree rules'!$C$9,"Steel plate or jacket","Polymer laminate"),IF(L120&lt;='Tree rules'!$C$10,"Steel plate or jacket","Polymer laminate")))</f>
        <v>Seal cracks</v>
      </c>
      <c r="T120" s="5" t="str">
        <f aca="false">IF(S120=R120,"Yes","No")</f>
        <v>Yes</v>
      </c>
    </row>
    <row r="121" customFormat="false" ht="15" hidden="false" customHeight="false" outlineLevel="0" collapsed="false">
      <c r="A121" s="15" t="n">
        <v>178</v>
      </c>
      <c r="B121" s="16" t="n">
        <v>5.72686021615889</v>
      </c>
      <c r="C121" s="15" t="n">
        <v>300</v>
      </c>
      <c r="D121" s="15" t="n">
        <v>525</v>
      </c>
      <c r="E121" s="15" t="n">
        <v>30</v>
      </c>
      <c r="F121" s="16" t="n">
        <v>0.839507013902909</v>
      </c>
      <c r="G121" s="17" t="s">
        <v>89</v>
      </c>
      <c r="H121" s="18" t="n">
        <v>0.3</v>
      </c>
      <c r="I121" s="18" t="n">
        <v>1.5</v>
      </c>
      <c r="J121" s="19" t="n">
        <v>0.913630647512445</v>
      </c>
      <c r="K121" s="19" t="n">
        <v>0.415471777840142</v>
      </c>
      <c r="L121" s="16" t="n">
        <v>11.9558668395802</v>
      </c>
      <c r="M121" s="19" t="n">
        <v>0.573524986785327</v>
      </c>
      <c r="N121" s="19" t="n">
        <v>0.757961267383338</v>
      </c>
      <c r="O121" s="19" t="n">
        <v>1.18065209656305</v>
      </c>
      <c r="P121" s="19" t="n">
        <v>0.684682154944634</v>
      </c>
      <c r="Q121" s="17" t="s">
        <v>31</v>
      </c>
      <c r="R121" s="5" t="str">
        <f aca="false">IF(OR(Q121="Steel plate",Q121="Concrete jacket"),"Steel plate or jacket",Q121)</f>
        <v>Polymer laminate</v>
      </c>
      <c r="S121" s="5" t="str">
        <f aca="false">IF(O121&lt;='Tree rules'!$C$4,IF(N121&lt;='Tree rules'!$C$5,IF(P121&lt;='Tree rules'!$C$6,"Monitor","Polymer laminate"),IF(P121&lt;='Tree rules'!$C$7,"Seal cracks","Polymer laminate")),IF(O121&lt;='Tree rules'!$C$8,IF(M121&lt;='Tree rules'!$C$9,"Steel plate or jacket","Polymer laminate"),IF(L121&lt;='Tree rules'!$C$10,"Steel plate or jacket","Polymer laminate")))</f>
        <v>Polymer laminate</v>
      </c>
      <c r="T121" s="5" t="str">
        <f aca="false">IF(S121=R121,"Yes","No")</f>
        <v>Yes</v>
      </c>
    </row>
    <row r="122" customFormat="false" ht="15" hidden="false" customHeight="false" outlineLevel="0" collapsed="false">
      <c r="A122" s="15" t="n">
        <v>179</v>
      </c>
      <c r="B122" s="16" t="n">
        <v>3.95057501207349</v>
      </c>
      <c r="C122" s="15" t="n">
        <v>300</v>
      </c>
      <c r="D122" s="15" t="n">
        <v>375</v>
      </c>
      <c r="E122" s="15" t="n">
        <v>25</v>
      </c>
      <c r="F122" s="16" t="n">
        <v>0.683367586279351</v>
      </c>
      <c r="G122" s="17" t="s">
        <v>89</v>
      </c>
      <c r="H122" s="18" t="n">
        <v>0.3</v>
      </c>
      <c r="I122" s="18" t="n">
        <v>1</v>
      </c>
      <c r="J122" s="19" t="n">
        <v>0.971284399583564</v>
      </c>
      <c r="K122" s="19" t="n">
        <v>0.512588814753868</v>
      </c>
      <c r="L122" s="16" t="n">
        <v>11.9352719397991</v>
      </c>
      <c r="M122" s="19" t="n">
        <v>0.346295686488451</v>
      </c>
      <c r="N122" s="19" t="n">
        <v>0.662368692916379</v>
      </c>
      <c r="O122" s="19" t="n">
        <v>0.971284399583564</v>
      </c>
      <c r="P122" s="19" t="n">
        <v>0.888543814460531</v>
      </c>
      <c r="Q122" s="17" t="s">
        <v>29</v>
      </c>
      <c r="R122" s="5" t="str">
        <f aca="false">IF(OR(Q122="Steel plate",Q122="Concrete jacket"),"Steel plate or jacket",Q122)</f>
        <v>Monitor</v>
      </c>
      <c r="S122" s="5" t="str">
        <f aca="false">IF(O122&lt;='Tree rules'!$C$4,IF(N122&lt;='Tree rules'!$C$5,IF(P122&lt;='Tree rules'!$C$6,"Monitor","Polymer laminate"),IF(P122&lt;='Tree rules'!$C$7,"Seal cracks","Polymer laminate")),IF(O122&lt;='Tree rules'!$C$8,IF(M122&lt;='Tree rules'!$C$9,"Steel plate or jacket","Polymer laminate"),IF(L122&lt;='Tree rules'!$C$10,"Steel plate or jacket","Polymer laminate")))</f>
        <v>Monitor</v>
      </c>
      <c r="T122" s="5" t="str">
        <f aca="false">IF(S122=R122,"Yes","No")</f>
        <v>Yes</v>
      </c>
    </row>
    <row r="123" customFormat="false" ht="15" hidden="false" customHeight="false" outlineLevel="0" collapsed="false">
      <c r="A123" s="15" t="n">
        <v>180</v>
      </c>
      <c r="B123" s="16" t="n">
        <v>4.34179625376418</v>
      </c>
      <c r="C123" s="15" t="n">
        <v>300</v>
      </c>
      <c r="D123" s="15" t="n">
        <v>400</v>
      </c>
      <c r="E123" s="15" t="n">
        <v>30</v>
      </c>
      <c r="F123" s="16" t="n">
        <v>0.790804050461148</v>
      </c>
      <c r="G123" s="17" t="s">
        <v>90</v>
      </c>
      <c r="H123" s="18" t="n">
        <v>0.1</v>
      </c>
      <c r="I123" s="18" t="n">
        <v>2</v>
      </c>
      <c r="J123" s="19" t="n">
        <v>0.959602578711976</v>
      </c>
      <c r="K123" s="19" t="n">
        <v>0.566871722987163</v>
      </c>
      <c r="L123" s="16" t="n">
        <v>12.807658565676</v>
      </c>
      <c r="M123" s="19" t="n">
        <v>0.413345603318791</v>
      </c>
      <c r="N123" s="19" t="n">
        <v>4.0678833692077</v>
      </c>
      <c r="O123" s="19" t="n">
        <v>1.37523359024657</v>
      </c>
      <c r="P123" s="19" t="n">
        <v>0.95936926164827</v>
      </c>
      <c r="Q123" s="17" t="s">
        <v>31</v>
      </c>
      <c r="R123" s="5" t="str">
        <f aca="false">IF(OR(Q123="Steel plate",Q123="Concrete jacket"),"Steel plate or jacket",Q123)</f>
        <v>Polymer laminate</v>
      </c>
      <c r="S123" s="5" t="str">
        <f aca="false">IF(O123&lt;='Tree rules'!$C$4,IF(N123&lt;='Tree rules'!$C$5,IF(P123&lt;='Tree rules'!$C$6,"Monitor","Polymer laminate"),IF(P123&lt;='Tree rules'!$C$7,"Seal cracks","Polymer laminate")),IF(O123&lt;='Tree rules'!$C$8,IF(M123&lt;='Tree rules'!$C$9,"Steel plate or jacket","Polymer laminate"),IF(L123&lt;='Tree rules'!$C$10,"Steel plate or jacket","Polymer laminate")))</f>
        <v>Steel plate or jacket</v>
      </c>
      <c r="T123" s="5" t="str">
        <f aca="false">IF(S123=R123,"Yes","No")</f>
        <v>No</v>
      </c>
    </row>
    <row r="124" customFormat="false" ht="15" hidden="false" customHeight="false" outlineLevel="0" collapsed="false">
      <c r="A124" s="15" t="n">
        <v>181</v>
      </c>
      <c r="B124" s="16" t="n">
        <v>7.13389647885433</v>
      </c>
      <c r="C124" s="15" t="n">
        <v>300</v>
      </c>
      <c r="D124" s="15" t="n">
        <v>700</v>
      </c>
      <c r="E124" s="15" t="n">
        <v>20</v>
      </c>
      <c r="F124" s="16" t="n">
        <v>0.614868286941122</v>
      </c>
      <c r="G124" s="17" t="s">
        <v>91</v>
      </c>
      <c r="H124" s="18" t="n">
        <v>0.2</v>
      </c>
      <c r="I124" s="18" t="n">
        <v>2</v>
      </c>
      <c r="J124" s="19" t="n">
        <v>0.966432387908949</v>
      </c>
      <c r="K124" s="19" t="n">
        <v>0.622803995713916</v>
      </c>
      <c r="L124" s="16" t="n">
        <v>10.9080985915204</v>
      </c>
      <c r="M124" s="19" t="n">
        <v>0.572360491248375</v>
      </c>
      <c r="N124" s="19" t="n">
        <v>1.21811720595828</v>
      </c>
      <c r="O124" s="19" t="n">
        <v>1.33096682304086</v>
      </c>
      <c r="P124" s="19" t="n">
        <v>0.744933174194065</v>
      </c>
      <c r="Q124" s="17" t="s">
        <v>92</v>
      </c>
      <c r="R124" s="5" t="str">
        <f aca="false">IF(OR(Q124="Steel plate",Q124="Concrete jacket"),"Steel plate or jacket",Q124)</f>
        <v>Steel plate or jacket</v>
      </c>
      <c r="S124" s="5" t="str">
        <f aca="false">IF(O124&lt;='Tree rules'!$C$4,IF(N124&lt;='Tree rules'!$C$5,IF(P124&lt;='Tree rules'!$C$6,"Monitor","Polymer laminate"),IF(P124&lt;='Tree rules'!$C$7,"Seal cracks","Polymer laminate")),IF(O124&lt;='Tree rules'!$C$8,IF(M124&lt;='Tree rules'!$C$9,"Steel plate or jacket","Polymer laminate"),IF(L124&lt;='Tree rules'!$C$10,"Steel plate or jacket","Polymer laminate")))</f>
        <v>Steel plate or jacket</v>
      </c>
      <c r="T124" s="5" t="str">
        <f aca="false">IF(S124=R124,"Yes","No")</f>
        <v>Yes</v>
      </c>
    </row>
    <row r="125" customFormat="false" ht="15" hidden="false" customHeight="false" outlineLevel="0" collapsed="false">
      <c r="A125" s="15" t="n">
        <v>182</v>
      </c>
      <c r="B125" s="16" t="n">
        <v>3.41655781427081</v>
      </c>
      <c r="C125" s="15" t="n">
        <v>300</v>
      </c>
      <c r="D125" s="15" t="n">
        <v>300</v>
      </c>
      <c r="E125" s="15" t="n">
        <v>25</v>
      </c>
      <c r="F125" s="16" t="n">
        <v>0.791582400904515</v>
      </c>
      <c r="G125" s="17" t="s">
        <v>89</v>
      </c>
      <c r="H125" s="18" t="n">
        <v>0.3</v>
      </c>
      <c r="I125" s="18" t="n">
        <v>2</v>
      </c>
      <c r="J125" s="19" t="n">
        <v>0.949458426885869</v>
      </c>
      <c r="K125" s="19" t="n">
        <v>0.488579108968345</v>
      </c>
      <c r="L125" s="16" t="n">
        <v>13.4510150168142</v>
      </c>
      <c r="M125" s="19" t="n">
        <v>0.651826908970199</v>
      </c>
      <c r="N125" s="19" t="n">
        <v>1.2106142920299</v>
      </c>
      <c r="O125" s="19" t="n">
        <v>1.43503130156135</v>
      </c>
      <c r="P125" s="19" t="n">
        <v>0.673624237448215</v>
      </c>
      <c r="Q125" s="17" t="s">
        <v>31</v>
      </c>
      <c r="R125" s="5" t="str">
        <f aca="false">IF(OR(Q125="Steel plate",Q125="Concrete jacket"),"Steel plate or jacket",Q125)</f>
        <v>Polymer laminate</v>
      </c>
      <c r="S125" s="5" t="str">
        <f aca="false">IF(O125&lt;='Tree rules'!$C$4,IF(N125&lt;='Tree rules'!$C$5,IF(P125&lt;='Tree rules'!$C$6,"Monitor","Polymer laminate"),IF(P125&lt;='Tree rules'!$C$7,"Seal cracks","Polymer laminate")),IF(O125&lt;='Tree rules'!$C$8,IF(M125&lt;='Tree rules'!$C$9,"Steel plate or jacket","Polymer laminate"),IF(L125&lt;='Tree rules'!$C$10,"Steel plate or jacket","Polymer laminate")))</f>
        <v>Polymer laminate</v>
      </c>
      <c r="T125" s="5" t="str">
        <f aca="false">IF(S125=R125,"Yes","No")</f>
        <v>Yes</v>
      </c>
    </row>
    <row r="126" customFormat="false" ht="15" hidden="false" customHeight="false" outlineLevel="0" collapsed="false">
      <c r="A126" s="15" t="n">
        <v>183</v>
      </c>
      <c r="B126" s="16" t="n">
        <v>6.65825676618542</v>
      </c>
      <c r="C126" s="15" t="n">
        <v>300</v>
      </c>
      <c r="D126" s="15" t="n">
        <v>575</v>
      </c>
      <c r="E126" s="15" t="n">
        <v>30</v>
      </c>
      <c r="F126" s="16" t="n">
        <v>0.633465437396808</v>
      </c>
      <c r="G126" s="17" t="s">
        <v>89</v>
      </c>
      <c r="H126" s="18" t="n">
        <v>0.3</v>
      </c>
      <c r="I126" s="18" t="n">
        <v>1</v>
      </c>
      <c r="J126" s="19" t="n">
        <v>0.969167927728732</v>
      </c>
      <c r="K126" s="19" t="n">
        <v>0.434803447969187</v>
      </c>
      <c r="L126" s="16" t="n">
        <v>12.5864967224677</v>
      </c>
      <c r="M126" s="19" t="n">
        <v>0.260797467483676</v>
      </c>
      <c r="N126" s="19" t="n">
        <v>0.680979341318208</v>
      </c>
      <c r="O126" s="19" t="n">
        <v>0.969167927728732</v>
      </c>
      <c r="P126" s="19" t="n">
        <v>1.13738673105405</v>
      </c>
      <c r="Q126" s="17" t="s">
        <v>31</v>
      </c>
      <c r="R126" s="5" t="str">
        <f aca="false">IF(OR(Q126="Steel plate",Q126="Concrete jacket"),"Steel plate or jacket",Q126)</f>
        <v>Polymer laminate</v>
      </c>
      <c r="S126" s="5" t="str">
        <f aca="false">IF(O126&lt;='Tree rules'!$C$4,IF(N126&lt;='Tree rules'!$C$5,IF(P126&lt;='Tree rules'!$C$6,"Monitor","Polymer laminate"),IF(P126&lt;='Tree rules'!$C$7,"Seal cracks","Polymer laminate")),IF(O126&lt;='Tree rules'!$C$8,IF(M126&lt;='Tree rules'!$C$9,"Steel plate or jacket","Polymer laminate"),IF(L126&lt;='Tree rules'!$C$10,"Steel plate or jacket","Polymer laminate")))</f>
        <v>Polymer laminate</v>
      </c>
      <c r="T126" s="5" t="str">
        <f aca="false">IF(S126=R126,"Yes","No")</f>
        <v>Yes</v>
      </c>
    </row>
    <row r="127" customFormat="false" ht="15" hidden="false" customHeight="false" outlineLevel="0" collapsed="false">
      <c r="A127" s="15" t="n">
        <v>184</v>
      </c>
      <c r="B127" s="16" t="n">
        <v>4.19119035964969</v>
      </c>
      <c r="C127" s="15" t="n">
        <v>230</v>
      </c>
      <c r="D127" s="15" t="n">
        <v>375</v>
      </c>
      <c r="E127" s="15" t="n">
        <v>25</v>
      </c>
      <c r="F127" s="16" t="n">
        <v>0.835206022555027</v>
      </c>
      <c r="G127" s="17" t="s">
        <v>90</v>
      </c>
      <c r="H127" s="18" t="n">
        <v>0.1</v>
      </c>
      <c r="I127" s="18" t="n">
        <v>1</v>
      </c>
      <c r="J127" s="19" t="n">
        <v>0.899973925101441</v>
      </c>
      <c r="K127" s="19" t="n">
        <v>0.431822850428746</v>
      </c>
      <c r="L127" s="16" t="n">
        <v>13.3477399988844</v>
      </c>
      <c r="M127" s="19" t="n">
        <v>0.432516680316787</v>
      </c>
      <c r="N127" s="19" t="n">
        <v>2.59593663314743</v>
      </c>
      <c r="O127" s="19" t="n">
        <v>0.899973925101441</v>
      </c>
      <c r="P127" s="19" t="n">
        <v>0.709338430069058</v>
      </c>
      <c r="Q127" s="17" t="s">
        <v>30</v>
      </c>
      <c r="R127" s="5" t="str">
        <f aca="false">IF(OR(Q127="Steel plate",Q127="Concrete jacket"),"Steel plate or jacket",Q127)</f>
        <v>Seal cracks</v>
      </c>
      <c r="S127" s="5" t="str">
        <f aca="false">IF(O127&lt;='Tree rules'!$C$4,IF(N127&lt;='Tree rules'!$C$5,IF(P127&lt;='Tree rules'!$C$6,"Monitor","Polymer laminate"),IF(P127&lt;='Tree rules'!$C$7,"Seal cracks","Polymer laminate")),IF(O127&lt;='Tree rules'!$C$8,IF(M127&lt;='Tree rules'!$C$9,"Steel plate or jacket","Polymer laminate"),IF(L127&lt;='Tree rules'!$C$10,"Steel plate or jacket","Polymer laminate")))</f>
        <v>Seal cracks</v>
      </c>
      <c r="T127" s="5" t="str">
        <f aca="false">IF(S127=R127,"Yes","No")</f>
        <v>Yes</v>
      </c>
    </row>
    <row r="128" customFormat="false" ht="15" hidden="false" customHeight="false" outlineLevel="0" collapsed="false">
      <c r="A128" s="15" t="n">
        <v>185</v>
      </c>
      <c r="B128" s="16" t="n">
        <v>4.61905677259186</v>
      </c>
      <c r="C128" s="15" t="n">
        <v>230</v>
      </c>
      <c r="D128" s="15" t="n">
        <v>450</v>
      </c>
      <c r="E128" s="15" t="n">
        <v>20</v>
      </c>
      <c r="F128" s="16" t="n">
        <v>0.649145274956135</v>
      </c>
      <c r="G128" s="17" t="s">
        <v>89</v>
      </c>
      <c r="H128" s="18" t="n">
        <v>0.3</v>
      </c>
      <c r="I128" s="18" t="n">
        <v>1.5</v>
      </c>
      <c r="J128" s="19" t="n">
        <v>0.881691788856198</v>
      </c>
      <c r="K128" s="19" t="n">
        <v>0.420912516781206</v>
      </c>
      <c r="L128" s="16" t="n">
        <v>11.4333088430492</v>
      </c>
      <c r="M128" s="19" t="n">
        <v>0.381757114520023</v>
      </c>
      <c r="N128" s="19" t="n">
        <v>0.846864844533031</v>
      </c>
      <c r="O128" s="19" t="n">
        <v>1.1369801283479</v>
      </c>
      <c r="P128" s="19" t="n">
        <v>0.826919164508144</v>
      </c>
      <c r="Q128" s="17" t="s">
        <v>31</v>
      </c>
      <c r="R128" s="5" t="str">
        <f aca="false">IF(OR(Q128="Steel plate",Q128="Concrete jacket"),"Steel plate or jacket",Q128)</f>
        <v>Polymer laminate</v>
      </c>
      <c r="S128" s="5" t="str">
        <f aca="false">IF(O128&lt;='Tree rules'!$C$4,IF(N128&lt;='Tree rules'!$C$5,IF(P128&lt;='Tree rules'!$C$6,"Monitor","Polymer laminate"),IF(P128&lt;='Tree rules'!$C$7,"Seal cracks","Polymer laminate")),IF(O128&lt;='Tree rules'!$C$8,IF(M128&lt;='Tree rules'!$C$9,"Steel plate or jacket","Polymer laminate"),IF(L128&lt;='Tree rules'!$C$10,"Steel plate or jacket","Polymer laminate")))</f>
        <v>Polymer laminate</v>
      </c>
      <c r="T128" s="5" t="str">
        <f aca="false">IF(S128=R128,"Yes","No")</f>
        <v>Yes</v>
      </c>
    </row>
    <row r="129" customFormat="false" ht="15" hidden="false" customHeight="false" outlineLevel="0" collapsed="false">
      <c r="A129" s="15" t="n">
        <v>186</v>
      </c>
      <c r="B129" s="16" t="n">
        <v>4.72154427121559</v>
      </c>
      <c r="C129" s="15" t="n">
        <v>230</v>
      </c>
      <c r="D129" s="15" t="n">
        <v>425</v>
      </c>
      <c r="E129" s="15" t="n">
        <v>25</v>
      </c>
      <c r="F129" s="16" t="n">
        <v>0.724620609754306</v>
      </c>
      <c r="G129" s="17" t="s">
        <v>91</v>
      </c>
      <c r="H129" s="18" t="n">
        <v>0.2</v>
      </c>
      <c r="I129" s="18" t="n">
        <v>1</v>
      </c>
      <c r="J129" s="19" t="n">
        <v>0.873689393669556</v>
      </c>
      <c r="K129" s="19" t="n">
        <v>0.406669375935668</v>
      </c>
      <c r="L129" s="16" t="n">
        <v>12.5239901093252</v>
      </c>
      <c r="M129" s="19" t="n">
        <v>0.315147498445759</v>
      </c>
      <c r="N129" s="19" t="n">
        <v>1.29565024708305</v>
      </c>
      <c r="O129" s="19" t="n">
        <v>0.873689393669556</v>
      </c>
      <c r="P129" s="19" t="n">
        <v>0.895603501281231</v>
      </c>
      <c r="Q129" s="17" t="s">
        <v>30</v>
      </c>
      <c r="R129" s="5" t="str">
        <f aca="false">IF(OR(Q129="Steel plate",Q129="Concrete jacket"),"Steel plate or jacket",Q129)</f>
        <v>Seal cracks</v>
      </c>
      <c r="S129" s="5" t="str">
        <f aca="false">IF(O129&lt;='Tree rules'!$C$4,IF(N129&lt;='Tree rules'!$C$5,IF(P129&lt;='Tree rules'!$C$6,"Monitor","Polymer laminate"),IF(P129&lt;='Tree rules'!$C$7,"Seal cracks","Polymer laminate")),IF(O129&lt;='Tree rules'!$C$8,IF(M129&lt;='Tree rules'!$C$9,"Steel plate or jacket","Polymer laminate"),IF(L129&lt;='Tree rules'!$C$10,"Steel plate or jacket","Polymer laminate")))</f>
        <v>Seal cracks</v>
      </c>
      <c r="T129" s="5" t="str">
        <f aca="false">IF(S129=R129,"Yes","No")</f>
        <v>Yes</v>
      </c>
    </row>
    <row r="130" customFormat="false" ht="15" hidden="false" customHeight="false" outlineLevel="0" collapsed="false">
      <c r="A130" s="15" t="n">
        <v>189</v>
      </c>
      <c r="B130" s="16" t="n">
        <v>7.90649237771771</v>
      </c>
      <c r="C130" s="15" t="n">
        <v>300</v>
      </c>
      <c r="D130" s="15" t="n">
        <v>750</v>
      </c>
      <c r="E130" s="15" t="n">
        <v>30</v>
      </c>
      <c r="F130" s="16" t="n">
        <v>0.745867201706978</v>
      </c>
      <c r="G130" s="17" t="s">
        <v>89</v>
      </c>
      <c r="H130" s="18" t="n">
        <v>0.3</v>
      </c>
      <c r="I130" s="18" t="n">
        <v>1</v>
      </c>
      <c r="J130" s="19" t="n">
        <v>0.863096757540745</v>
      </c>
      <c r="K130" s="19" t="n">
        <v>0.599450409973496</v>
      </c>
      <c r="L130" s="16" t="n">
        <v>11.2628096548685</v>
      </c>
      <c r="M130" s="19" t="n">
        <v>0.372096903112318</v>
      </c>
      <c r="N130" s="19" t="n">
        <v>0.57564138782176</v>
      </c>
      <c r="O130" s="19" t="n">
        <v>0.863096757540745</v>
      </c>
      <c r="P130" s="19" t="n">
        <v>0.890659401651459</v>
      </c>
      <c r="Q130" s="17" t="s">
        <v>31</v>
      </c>
      <c r="R130" s="5" t="str">
        <f aca="false">IF(OR(Q130="Steel plate",Q130="Concrete jacket"),"Steel plate or jacket",Q130)</f>
        <v>Polymer laminate</v>
      </c>
      <c r="S130" s="5" t="str">
        <f aca="false">IF(O130&lt;='Tree rules'!$C$4,IF(N130&lt;='Tree rules'!$C$5,IF(P130&lt;='Tree rules'!$C$6,"Monitor","Polymer laminate"),IF(P130&lt;='Tree rules'!$C$7,"Seal cracks","Polymer laminate")),IF(O130&lt;='Tree rules'!$C$8,IF(M130&lt;='Tree rules'!$C$9,"Steel plate or jacket","Polymer laminate"),IF(L130&lt;='Tree rules'!$C$10,"Steel plate or jacket","Polymer laminate")))</f>
        <v>Monitor</v>
      </c>
      <c r="T130" s="5" t="str">
        <f aca="false">IF(S130=R130,"Yes","No")</f>
        <v>No</v>
      </c>
    </row>
    <row r="131" customFormat="false" ht="15" hidden="false" customHeight="false" outlineLevel="0" collapsed="false">
      <c r="A131" s="15" t="n">
        <v>190</v>
      </c>
      <c r="B131" s="16" t="n">
        <v>3.03168877892145</v>
      </c>
      <c r="C131" s="15" t="n">
        <v>230</v>
      </c>
      <c r="D131" s="15" t="n">
        <v>300</v>
      </c>
      <c r="E131" s="15" t="n">
        <v>30</v>
      </c>
      <c r="F131" s="16" t="n">
        <v>1.0324987837885</v>
      </c>
      <c r="G131" s="17" t="s">
        <v>91</v>
      </c>
      <c r="H131" s="18" t="n">
        <v>0.2</v>
      </c>
      <c r="I131" s="18" t="n">
        <v>2</v>
      </c>
      <c r="J131" s="19" t="n">
        <v>0.859676274605594</v>
      </c>
      <c r="K131" s="19" t="n">
        <v>0.532912462943701</v>
      </c>
      <c r="L131" s="16" t="n">
        <v>11.9357825941789</v>
      </c>
      <c r="M131" s="19" t="n">
        <v>0.478974717834864</v>
      </c>
      <c r="N131" s="19" t="n">
        <v>1.4587338252762</v>
      </c>
      <c r="O131" s="19" t="n">
        <v>1.26122034837686</v>
      </c>
      <c r="P131" s="19" t="n">
        <v>0.853975502727979</v>
      </c>
      <c r="Q131" s="17" t="s">
        <v>31</v>
      </c>
      <c r="R131" s="5" t="str">
        <f aca="false">IF(OR(Q131="Steel plate",Q131="Concrete jacket"),"Steel plate or jacket",Q131)</f>
        <v>Polymer laminate</v>
      </c>
      <c r="S131" s="5" t="str">
        <f aca="false">IF(O131&lt;='Tree rules'!$C$4,IF(N131&lt;='Tree rules'!$C$5,IF(P131&lt;='Tree rules'!$C$6,"Monitor","Polymer laminate"),IF(P131&lt;='Tree rules'!$C$7,"Seal cracks","Polymer laminate")),IF(O131&lt;='Tree rules'!$C$8,IF(M131&lt;='Tree rules'!$C$9,"Steel plate or jacket","Polymer laminate"),IF(L131&lt;='Tree rules'!$C$10,"Steel plate or jacket","Polymer laminate")))</f>
        <v>Polymer laminate</v>
      </c>
      <c r="T131" s="5" t="str">
        <f aca="false">IF(S131=R131,"Yes","No")</f>
        <v>Yes</v>
      </c>
    </row>
    <row r="132" customFormat="false" ht="15" hidden="false" customHeight="false" outlineLevel="0" collapsed="false">
      <c r="A132" s="15" t="n">
        <v>191</v>
      </c>
      <c r="B132" s="16" t="n">
        <v>6.34416157602602</v>
      </c>
      <c r="C132" s="15" t="n">
        <v>230</v>
      </c>
      <c r="D132" s="15" t="n">
        <v>500</v>
      </c>
      <c r="E132" s="15" t="n">
        <v>25</v>
      </c>
      <c r="F132" s="16" t="n">
        <v>0.604384889109233</v>
      </c>
      <c r="G132" s="17" t="s">
        <v>89</v>
      </c>
      <c r="H132" s="18" t="n">
        <v>0.3</v>
      </c>
      <c r="I132" s="18" t="n">
        <v>2</v>
      </c>
      <c r="J132" s="19" t="n">
        <v>0.884788011655812</v>
      </c>
      <c r="K132" s="19" t="n">
        <v>0.479654045222413</v>
      </c>
      <c r="L132" s="16" t="n">
        <v>14.0357556991726</v>
      </c>
      <c r="M132" s="19" t="n">
        <v>0.784873997206046</v>
      </c>
      <c r="N132" s="19" t="n">
        <v>1.23786695693457</v>
      </c>
      <c r="O132" s="19" t="n">
        <v>1.34518387435662</v>
      </c>
      <c r="P132" s="19" t="n">
        <v>0.535782390280247</v>
      </c>
      <c r="Q132" s="17" t="s">
        <v>31</v>
      </c>
      <c r="R132" s="5" t="str">
        <f aca="false">IF(OR(Q132="Steel plate",Q132="Concrete jacket"),"Steel plate or jacket",Q132)</f>
        <v>Polymer laminate</v>
      </c>
      <c r="S132" s="5" t="str">
        <f aca="false">IF(O132&lt;='Tree rules'!$C$4,IF(N132&lt;='Tree rules'!$C$5,IF(P132&lt;='Tree rules'!$C$6,"Monitor","Polymer laminate"),IF(P132&lt;='Tree rules'!$C$7,"Seal cracks","Polymer laminate")),IF(O132&lt;='Tree rules'!$C$8,IF(M132&lt;='Tree rules'!$C$9,"Steel plate or jacket","Polymer laminate"),IF(L132&lt;='Tree rules'!$C$10,"Steel plate or jacket","Polymer laminate")))</f>
        <v>Polymer laminate</v>
      </c>
      <c r="T132" s="5" t="str">
        <f aca="false">IF(S132=R132,"Yes","No")</f>
        <v>Yes</v>
      </c>
    </row>
    <row r="133" customFormat="false" ht="15" hidden="false" customHeight="false" outlineLevel="0" collapsed="false">
      <c r="A133" s="15" t="n">
        <v>192</v>
      </c>
      <c r="B133" s="16" t="n">
        <v>3.39941527996424</v>
      </c>
      <c r="C133" s="15" t="n">
        <v>300</v>
      </c>
      <c r="D133" s="15" t="n">
        <v>325</v>
      </c>
      <c r="E133" s="15" t="n">
        <v>30</v>
      </c>
      <c r="F133" s="16" t="n">
        <v>0.960869437657093</v>
      </c>
      <c r="G133" s="17" t="s">
        <v>89</v>
      </c>
      <c r="H133" s="18" t="n">
        <v>0.3</v>
      </c>
      <c r="I133" s="18" t="n">
        <v>1</v>
      </c>
      <c r="J133" s="19" t="n">
        <v>0.888444508738346</v>
      </c>
      <c r="K133" s="19" t="n">
        <v>0.620185674364796</v>
      </c>
      <c r="L133" s="16" t="n">
        <v>12.1842841575779</v>
      </c>
      <c r="M133" s="19" t="n">
        <v>0.519957964413733</v>
      </c>
      <c r="N133" s="19" t="n">
        <v>0.666024674056834</v>
      </c>
      <c r="O133" s="19" t="n">
        <v>0.888444508738346</v>
      </c>
      <c r="P133" s="19" t="n">
        <v>0.713462405298527</v>
      </c>
      <c r="Q133" s="17" t="s">
        <v>29</v>
      </c>
      <c r="R133" s="5" t="str">
        <f aca="false">IF(OR(Q133="Steel plate",Q133="Concrete jacket"),"Steel plate or jacket",Q133)</f>
        <v>Monitor</v>
      </c>
      <c r="S133" s="5" t="str">
        <f aca="false">IF(O133&lt;='Tree rules'!$C$4,IF(N133&lt;='Tree rules'!$C$5,IF(P133&lt;='Tree rules'!$C$6,"Monitor","Polymer laminate"),IF(P133&lt;='Tree rules'!$C$7,"Seal cracks","Polymer laminate")),IF(O133&lt;='Tree rules'!$C$8,IF(M133&lt;='Tree rules'!$C$9,"Steel plate or jacket","Polymer laminate"),IF(L133&lt;='Tree rules'!$C$10,"Steel plate or jacket","Polymer laminate")))</f>
        <v>Monitor</v>
      </c>
      <c r="T133" s="5" t="str">
        <f aca="false">IF(S133=R133,"Yes","No")</f>
        <v>Yes</v>
      </c>
    </row>
    <row r="134" customFormat="false" ht="15" hidden="false" customHeight="false" outlineLevel="0" collapsed="false">
      <c r="A134" s="15" t="n">
        <v>193</v>
      </c>
      <c r="B134" s="16" t="n">
        <v>4.15803658601591</v>
      </c>
      <c r="C134" s="15" t="n">
        <v>300</v>
      </c>
      <c r="D134" s="15" t="n">
        <v>325</v>
      </c>
      <c r="E134" s="15" t="n">
        <v>25</v>
      </c>
      <c r="F134" s="16" t="n">
        <v>0.72065207824282</v>
      </c>
      <c r="G134" s="17" t="s">
        <v>91</v>
      </c>
      <c r="H134" s="18" t="n">
        <v>0.2</v>
      </c>
      <c r="I134" s="18" t="n">
        <v>1.5</v>
      </c>
      <c r="J134" s="19" t="n">
        <v>0.912035210556941</v>
      </c>
      <c r="K134" s="19" t="n">
        <v>0.412312365395238</v>
      </c>
      <c r="L134" s="16" t="n">
        <v>14.9033569391251</v>
      </c>
      <c r="M134" s="19" t="n">
        <v>0.744548093122222</v>
      </c>
      <c r="N134" s="19" t="n">
        <v>1.44514568451668</v>
      </c>
      <c r="O134" s="19" t="n">
        <v>1.18003111834117</v>
      </c>
      <c r="P134" s="19" t="n">
        <v>0.530659080535773</v>
      </c>
      <c r="Q134" s="17" t="s">
        <v>31</v>
      </c>
      <c r="R134" s="5" t="str">
        <f aca="false">IF(OR(Q134="Steel plate",Q134="Concrete jacket"),"Steel plate or jacket",Q134)</f>
        <v>Polymer laminate</v>
      </c>
      <c r="S134" s="5" t="str">
        <f aca="false">IF(O134&lt;='Tree rules'!$C$4,IF(N134&lt;='Tree rules'!$C$5,IF(P134&lt;='Tree rules'!$C$6,"Monitor","Polymer laminate"),IF(P134&lt;='Tree rules'!$C$7,"Seal cracks","Polymer laminate")),IF(O134&lt;='Tree rules'!$C$8,IF(M134&lt;='Tree rules'!$C$9,"Steel plate or jacket","Polymer laminate"),IF(L134&lt;='Tree rules'!$C$10,"Steel plate or jacket","Polymer laminate")))</f>
        <v>Polymer laminate</v>
      </c>
      <c r="T134" s="5" t="str">
        <f aca="false">IF(S134=R134,"Yes","No")</f>
        <v>Yes</v>
      </c>
    </row>
    <row r="135" customFormat="false" ht="15" hidden="false" customHeight="false" outlineLevel="0" collapsed="false">
      <c r="A135" s="15" t="n">
        <v>194</v>
      </c>
      <c r="B135" s="16" t="n">
        <v>5.67256417929377</v>
      </c>
      <c r="C135" s="15" t="n">
        <v>230</v>
      </c>
      <c r="D135" s="15" t="n">
        <v>550</v>
      </c>
      <c r="E135" s="15" t="n">
        <v>25</v>
      </c>
      <c r="F135" s="16" t="n">
        <v>0.816280786486175</v>
      </c>
      <c r="G135" s="17" t="s">
        <v>91</v>
      </c>
      <c r="H135" s="18" t="n">
        <v>0.2</v>
      </c>
      <c r="I135" s="18" t="n">
        <v>1</v>
      </c>
      <c r="J135" s="19" t="n">
        <v>0.889182521522426</v>
      </c>
      <c r="K135" s="19" t="n">
        <v>0.607287516319223</v>
      </c>
      <c r="L135" s="16" t="n">
        <v>11.2999286440115</v>
      </c>
      <c r="M135" s="19" t="n">
        <v>0.952329228683045</v>
      </c>
      <c r="N135" s="19" t="n">
        <v>0.854519532256744</v>
      </c>
      <c r="O135" s="19" t="n">
        <v>0.889182521522426</v>
      </c>
      <c r="P135" s="19" t="n">
        <v>0.41634642751828</v>
      </c>
      <c r="Q135" s="17" t="s">
        <v>29</v>
      </c>
      <c r="R135" s="5" t="str">
        <f aca="false">IF(OR(Q135="Steel plate",Q135="Concrete jacket"),"Steel plate or jacket",Q135)</f>
        <v>Monitor</v>
      </c>
      <c r="S135" s="5" t="str">
        <f aca="false">IF(O135&lt;='Tree rules'!$C$4,IF(N135&lt;='Tree rules'!$C$5,IF(P135&lt;='Tree rules'!$C$6,"Monitor","Polymer laminate"),IF(P135&lt;='Tree rules'!$C$7,"Seal cracks","Polymer laminate")),IF(O135&lt;='Tree rules'!$C$8,IF(M135&lt;='Tree rules'!$C$9,"Steel plate or jacket","Polymer laminate"),IF(L135&lt;='Tree rules'!$C$10,"Steel plate or jacket","Polymer laminate")))</f>
        <v>Monitor</v>
      </c>
      <c r="T135" s="5" t="str">
        <f aca="false">IF(S135=R135,"Yes","No")</f>
        <v>Yes</v>
      </c>
    </row>
    <row r="136" customFormat="false" ht="15" hidden="false" customHeight="false" outlineLevel="0" collapsed="false">
      <c r="A136" s="15" t="n">
        <v>195</v>
      </c>
      <c r="B136" s="16" t="n">
        <v>3.39637023275102</v>
      </c>
      <c r="C136" s="15" t="n">
        <v>300</v>
      </c>
      <c r="D136" s="15" t="n">
        <v>300</v>
      </c>
      <c r="E136" s="15" t="n">
        <v>30</v>
      </c>
      <c r="F136" s="16" t="n">
        <v>0.831109167616348</v>
      </c>
      <c r="G136" s="17" t="s">
        <v>91</v>
      </c>
      <c r="H136" s="18" t="n">
        <v>0.2</v>
      </c>
      <c r="I136" s="18" t="n">
        <v>1</v>
      </c>
      <c r="J136" s="19" t="n">
        <v>0.873106385954817</v>
      </c>
      <c r="K136" s="19" t="n">
        <v>0.545953690753845</v>
      </c>
      <c r="L136" s="16" t="n">
        <v>13.4776596537739</v>
      </c>
      <c r="M136" s="19" t="n">
        <v>0.872370107743596</v>
      </c>
      <c r="N136" s="19" t="n">
        <v>1.33398171254783</v>
      </c>
      <c r="O136" s="19" t="n">
        <v>0.873106385954817</v>
      </c>
      <c r="P136" s="19" t="n">
        <v>0.386963867810726</v>
      </c>
      <c r="Q136" s="17" t="s">
        <v>30</v>
      </c>
      <c r="R136" s="5" t="str">
        <f aca="false">IF(OR(Q136="Steel plate",Q136="Concrete jacket"),"Steel plate or jacket",Q136)</f>
        <v>Seal cracks</v>
      </c>
      <c r="S136" s="5" t="str">
        <f aca="false">IF(O136&lt;='Tree rules'!$C$4,IF(N136&lt;='Tree rules'!$C$5,IF(P136&lt;='Tree rules'!$C$6,"Monitor","Polymer laminate"),IF(P136&lt;='Tree rules'!$C$7,"Seal cracks","Polymer laminate")),IF(O136&lt;='Tree rules'!$C$8,IF(M136&lt;='Tree rules'!$C$9,"Steel plate or jacket","Polymer laminate"),IF(L136&lt;='Tree rules'!$C$10,"Steel plate or jacket","Polymer laminate")))</f>
        <v>Seal cracks</v>
      </c>
      <c r="T136" s="5" t="str">
        <f aca="false">IF(S136=R136,"Yes","No")</f>
        <v>Yes</v>
      </c>
    </row>
    <row r="137" customFormat="false" ht="15" hidden="false" customHeight="false" outlineLevel="0" collapsed="false">
      <c r="A137" s="15" t="n">
        <v>196</v>
      </c>
      <c r="B137" s="16" t="n">
        <v>6.33567987065906</v>
      </c>
      <c r="C137" s="15" t="n">
        <v>230</v>
      </c>
      <c r="D137" s="15" t="n">
        <v>600</v>
      </c>
      <c r="E137" s="15" t="n">
        <v>25</v>
      </c>
      <c r="F137" s="16" t="n">
        <v>0.742342309449384</v>
      </c>
      <c r="G137" s="17" t="s">
        <v>89</v>
      </c>
      <c r="H137" s="18" t="n">
        <v>0.3</v>
      </c>
      <c r="I137" s="18" t="n">
        <v>1</v>
      </c>
      <c r="J137" s="19" t="n">
        <v>0.952896811618158</v>
      </c>
      <c r="K137" s="19" t="n">
        <v>0.475945907474024</v>
      </c>
      <c r="L137" s="16" t="n">
        <v>11.477680925107</v>
      </c>
      <c r="M137" s="19" t="n">
        <v>0.675417214925977</v>
      </c>
      <c r="N137" s="19" t="n">
        <v>0.648676288077938</v>
      </c>
      <c r="O137" s="19" t="n">
        <v>0.952896811618158</v>
      </c>
      <c r="P137" s="19" t="n">
        <v>0.524631017888877</v>
      </c>
      <c r="Q137" s="17" t="s">
        <v>29</v>
      </c>
      <c r="R137" s="5" t="str">
        <f aca="false">IF(OR(Q137="Steel plate",Q137="Concrete jacket"),"Steel plate or jacket",Q137)</f>
        <v>Monitor</v>
      </c>
      <c r="S137" s="5" t="str">
        <f aca="false">IF(O137&lt;='Tree rules'!$C$4,IF(N137&lt;='Tree rules'!$C$5,IF(P137&lt;='Tree rules'!$C$6,"Monitor","Polymer laminate"),IF(P137&lt;='Tree rules'!$C$7,"Seal cracks","Polymer laminate")),IF(O137&lt;='Tree rules'!$C$8,IF(M137&lt;='Tree rules'!$C$9,"Steel plate or jacket","Polymer laminate"),IF(L137&lt;='Tree rules'!$C$10,"Steel plate or jacket","Polymer laminate")))</f>
        <v>Monitor</v>
      </c>
      <c r="T137" s="5" t="str">
        <f aca="false">IF(S137=R137,"Yes","No")</f>
        <v>Yes</v>
      </c>
    </row>
    <row r="138" customFormat="false" ht="15" hidden="false" customHeight="false" outlineLevel="0" collapsed="false">
      <c r="A138" s="15" t="n">
        <v>198</v>
      </c>
      <c r="B138" s="16" t="n">
        <v>3.91842181613412</v>
      </c>
      <c r="C138" s="15" t="n">
        <v>230</v>
      </c>
      <c r="D138" s="15" t="n">
        <v>375</v>
      </c>
      <c r="E138" s="15" t="n">
        <v>30</v>
      </c>
      <c r="F138" s="16" t="n">
        <v>0.797126720614828</v>
      </c>
      <c r="G138" s="17" t="s">
        <v>91</v>
      </c>
      <c r="H138" s="18" t="n">
        <v>0.2</v>
      </c>
      <c r="I138" s="18" t="n">
        <v>2</v>
      </c>
      <c r="J138" s="19" t="n">
        <v>0.949578351429861</v>
      </c>
      <c r="K138" s="19" t="n">
        <v>0.598135822188345</v>
      </c>
      <c r="L138" s="16" t="n">
        <v>11.9100967055748</v>
      </c>
      <c r="M138" s="19" t="n">
        <v>0.478583479659018</v>
      </c>
      <c r="N138" s="19" t="n">
        <v>1.51273034100249</v>
      </c>
      <c r="O138" s="19" t="n">
        <v>1.33117987489497</v>
      </c>
      <c r="P138" s="19" t="n">
        <v>0.853388320763624</v>
      </c>
      <c r="Q138" s="17" t="s">
        <v>31</v>
      </c>
      <c r="R138" s="5" t="str">
        <f aca="false">IF(OR(Q138="Steel plate",Q138="Concrete jacket"),"Steel plate or jacket",Q138)</f>
        <v>Polymer laminate</v>
      </c>
      <c r="S138" s="5" t="str">
        <f aca="false">IF(O138&lt;='Tree rules'!$C$4,IF(N138&lt;='Tree rules'!$C$5,IF(P138&lt;='Tree rules'!$C$6,"Monitor","Polymer laminate"),IF(P138&lt;='Tree rules'!$C$7,"Seal cracks","Polymer laminate")),IF(O138&lt;='Tree rules'!$C$8,IF(M138&lt;='Tree rules'!$C$9,"Steel plate or jacket","Polymer laminate"),IF(L138&lt;='Tree rules'!$C$10,"Steel plate or jacket","Polymer laminate")))</f>
        <v>Steel plate or jacket</v>
      </c>
      <c r="T138" s="5" t="str">
        <f aca="false">IF(S138=R138,"Yes","No")</f>
        <v>No</v>
      </c>
    </row>
    <row r="139" customFormat="false" ht="15" hidden="false" customHeight="false" outlineLevel="0" collapsed="false">
      <c r="A139" s="15" t="n">
        <v>201</v>
      </c>
      <c r="B139" s="16" t="n">
        <v>3.17032052815736</v>
      </c>
      <c r="C139" s="15" t="n">
        <v>230</v>
      </c>
      <c r="D139" s="15" t="n">
        <v>300</v>
      </c>
      <c r="E139" s="15" t="n">
        <v>25</v>
      </c>
      <c r="F139" s="16" t="n">
        <v>0.688332522525665</v>
      </c>
      <c r="G139" s="17" t="s">
        <v>91</v>
      </c>
      <c r="H139" s="18" t="n">
        <v>0.2</v>
      </c>
      <c r="I139" s="18" t="n">
        <v>2</v>
      </c>
      <c r="J139" s="19" t="n">
        <v>0.90585935486795</v>
      </c>
      <c r="K139" s="19" t="n">
        <v>0.591333959984641</v>
      </c>
      <c r="L139" s="16" t="n">
        <v>12.4815768825093</v>
      </c>
      <c r="M139" s="19" t="n">
        <v>0.536313498363698</v>
      </c>
      <c r="N139" s="19" t="n">
        <v>1.81595440863699</v>
      </c>
      <c r="O139" s="19" t="n">
        <v>1.2760533102327</v>
      </c>
      <c r="P139" s="19" t="n">
        <v>0.646435566627068</v>
      </c>
      <c r="Q139" s="17" t="s">
        <v>31</v>
      </c>
      <c r="R139" s="5" t="str">
        <f aca="false">IF(OR(Q139="Steel plate",Q139="Concrete jacket"),"Steel plate or jacket",Q139)</f>
        <v>Polymer laminate</v>
      </c>
      <c r="S139" s="5" t="str">
        <f aca="false">IF(O139&lt;='Tree rules'!$C$4,IF(N139&lt;='Tree rules'!$C$5,IF(P139&lt;='Tree rules'!$C$6,"Monitor","Polymer laminate"),IF(P139&lt;='Tree rules'!$C$7,"Seal cracks","Polymer laminate")),IF(O139&lt;='Tree rules'!$C$8,IF(M139&lt;='Tree rules'!$C$9,"Steel plate or jacket","Polymer laminate"),IF(L139&lt;='Tree rules'!$C$10,"Steel plate or jacket","Polymer laminate")))</f>
        <v>Polymer laminate</v>
      </c>
      <c r="T139" s="5" t="str">
        <f aca="false">IF(S139=R139,"Yes","No")</f>
        <v>Yes</v>
      </c>
    </row>
    <row r="140" customFormat="false" ht="15" hidden="false" customHeight="false" outlineLevel="0" collapsed="false">
      <c r="A140" s="15" t="n">
        <v>202</v>
      </c>
      <c r="B140" s="16" t="n">
        <v>4.31959788764816</v>
      </c>
      <c r="C140" s="15" t="n">
        <v>300</v>
      </c>
      <c r="D140" s="15" t="n">
        <v>350</v>
      </c>
      <c r="E140" s="15" t="n">
        <v>20</v>
      </c>
      <c r="F140" s="16" t="n">
        <v>0.61599855952741</v>
      </c>
      <c r="G140" s="17" t="s">
        <v>89</v>
      </c>
      <c r="H140" s="18" t="n">
        <v>0.3</v>
      </c>
      <c r="I140" s="18" t="n">
        <v>2</v>
      </c>
      <c r="J140" s="19" t="n">
        <v>0.898742588581298</v>
      </c>
      <c r="K140" s="19" t="n">
        <v>0.59886586636288</v>
      </c>
      <c r="L140" s="16" t="n">
        <v>14.1163329661705</v>
      </c>
      <c r="M140" s="19" t="n">
        <v>0.509251853276705</v>
      </c>
      <c r="N140" s="19" t="n">
        <v>0.866697861083246</v>
      </c>
      <c r="O140" s="19" t="n">
        <v>1.25925891821464</v>
      </c>
      <c r="P140" s="19" t="n">
        <v>0.834786754293416</v>
      </c>
      <c r="Q140" s="17" t="s">
        <v>31</v>
      </c>
      <c r="R140" s="5" t="str">
        <f aca="false">IF(OR(Q140="Steel plate",Q140="Concrete jacket"),"Steel plate or jacket",Q140)</f>
        <v>Polymer laminate</v>
      </c>
      <c r="S140" s="5" t="str">
        <f aca="false">IF(O140&lt;='Tree rules'!$C$4,IF(N140&lt;='Tree rules'!$C$5,IF(P140&lt;='Tree rules'!$C$6,"Monitor","Polymer laminate"),IF(P140&lt;='Tree rules'!$C$7,"Seal cracks","Polymer laminate")),IF(O140&lt;='Tree rules'!$C$8,IF(M140&lt;='Tree rules'!$C$9,"Steel plate or jacket","Polymer laminate"),IF(L140&lt;='Tree rules'!$C$10,"Steel plate or jacket","Polymer laminate")))</f>
        <v>Polymer laminate</v>
      </c>
      <c r="T140" s="5" t="str">
        <f aca="false">IF(S140=R140,"Yes","No")</f>
        <v>Yes</v>
      </c>
    </row>
    <row r="141" customFormat="false" ht="15" hidden="false" customHeight="false" outlineLevel="0" collapsed="false">
      <c r="A141" s="15" t="n">
        <v>203</v>
      </c>
      <c r="B141" s="16" t="n">
        <v>6.8183613241554</v>
      </c>
      <c r="C141" s="15" t="n">
        <v>230</v>
      </c>
      <c r="D141" s="15" t="n">
        <v>600</v>
      </c>
      <c r="E141" s="15" t="n">
        <v>25</v>
      </c>
      <c r="F141" s="16" t="n">
        <v>0.742342309449384</v>
      </c>
      <c r="G141" s="17" t="s">
        <v>89</v>
      </c>
      <c r="H141" s="18" t="n">
        <v>0.3</v>
      </c>
      <c r="I141" s="18" t="n">
        <v>1</v>
      </c>
      <c r="J141" s="19" t="n">
        <v>0.937204536473721</v>
      </c>
      <c r="K141" s="19" t="n">
        <v>0.412599598154898</v>
      </c>
      <c r="L141" s="16" t="n">
        <v>12.3521038481076</v>
      </c>
      <c r="M141" s="19" t="n">
        <v>0.67287559297288</v>
      </c>
      <c r="N141" s="19" t="n">
        <v>0.637502050613264</v>
      </c>
      <c r="O141" s="19" t="n">
        <v>0.937204536473721</v>
      </c>
      <c r="P141" s="19" t="n">
        <v>0.52915870072541</v>
      </c>
      <c r="Q141" s="17" t="s">
        <v>29</v>
      </c>
      <c r="R141" s="5" t="str">
        <f aca="false">IF(OR(Q141="Steel plate",Q141="Concrete jacket"),"Steel plate or jacket",Q141)</f>
        <v>Monitor</v>
      </c>
      <c r="S141" s="5" t="str">
        <f aca="false">IF(O141&lt;='Tree rules'!$C$4,IF(N141&lt;='Tree rules'!$C$5,IF(P141&lt;='Tree rules'!$C$6,"Monitor","Polymer laminate"),IF(P141&lt;='Tree rules'!$C$7,"Seal cracks","Polymer laminate")),IF(O141&lt;='Tree rules'!$C$8,IF(M141&lt;='Tree rules'!$C$9,"Steel plate or jacket","Polymer laminate"),IF(L141&lt;='Tree rules'!$C$10,"Steel plate or jacket","Polymer laminate")))</f>
        <v>Monitor</v>
      </c>
      <c r="T141" s="5" t="str">
        <f aca="false">IF(S141=R141,"Yes","No")</f>
        <v>Yes</v>
      </c>
    </row>
    <row r="142" customFormat="false" ht="15" hidden="false" customHeight="false" outlineLevel="0" collapsed="false">
      <c r="A142" s="15" t="n">
        <v>204</v>
      </c>
      <c r="B142" s="16" t="n">
        <v>5.74689246275615</v>
      </c>
      <c r="C142" s="15" t="n">
        <v>230</v>
      </c>
      <c r="D142" s="15" t="n">
        <v>450</v>
      </c>
      <c r="E142" s="15" t="n">
        <v>30</v>
      </c>
      <c r="F142" s="16" t="n">
        <v>0.649145274956135</v>
      </c>
      <c r="G142" s="17" t="s">
        <v>91</v>
      </c>
      <c r="H142" s="18" t="n">
        <v>0.2</v>
      </c>
      <c r="I142" s="18" t="n">
        <v>1</v>
      </c>
      <c r="J142" s="19" t="n">
        <v>0.928361464341799</v>
      </c>
      <c r="K142" s="19" t="n">
        <v>0.633701108707313</v>
      </c>
      <c r="L142" s="16" t="n">
        <v>14.2249813434558</v>
      </c>
      <c r="M142" s="19" t="n">
        <v>0.938738728781317</v>
      </c>
      <c r="N142" s="19" t="n">
        <v>0.908072291753935</v>
      </c>
      <c r="O142" s="19" t="n">
        <v>0.928361464341799</v>
      </c>
      <c r="P142" s="19" t="n">
        <v>0.419805159405907</v>
      </c>
      <c r="Q142" s="17" t="s">
        <v>29</v>
      </c>
      <c r="R142" s="5" t="str">
        <f aca="false">IF(OR(Q142="Steel plate",Q142="Concrete jacket"),"Steel plate or jacket",Q142)</f>
        <v>Monitor</v>
      </c>
      <c r="S142" s="5" t="str">
        <f aca="false">IF(O142&lt;='Tree rules'!$C$4,IF(N142&lt;='Tree rules'!$C$5,IF(P142&lt;='Tree rules'!$C$6,"Monitor","Polymer laminate"),IF(P142&lt;='Tree rules'!$C$7,"Seal cracks","Polymer laminate")),IF(O142&lt;='Tree rules'!$C$8,IF(M142&lt;='Tree rules'!$C$9,"Steel plate or jacket","Polymer laminate"),IF(L142&lt;='Tree rules'!$C$10,"Steel plate or jacket","Polymer laminate")))</f>
        <v>Monitor</v>
      </c>
      <c r="T142" s="5" t="str">
        <f aca="false">IF(S142=R142,"Yes","No")</f>
        <v>Yes</v>
      </c>
    </row>
    <row r="143" customFormat="false" ht="15" hidden="false" customHeight="false" outlineLevel="0" collapsed="false">
      <c r="A143" s="15" t="n">
        <v>205</v>
      </c>
      <c r="B143" s="16" t="n">
        <v>7.17891335665393</v>
      </c>
      <c r="C143" s="15" t="n">
        <v>300</v>
      </c>
      <c r="D143" s="15" t="n">
        <v>650</v>
      </c>
      <c r="E143" s="15" t="n">
        <v>30</v>
      </c>
      <c r="F143" s="16" t="n">
        <v>0.713592879861395</v>
      </c>
      <c r="G143" s="17" t="s">
        <v>90</v>
      </c>
      <c r="H143" s="18" t="n">
        <v>0.1</v>
      </c>
      <c r="I143" s="18" t="n">
        <v>1</v>
      </c>
      <c r="J143" s="19" t="n">
        <v>0.946741791254683</v>
      </c>
      <c r="K143" s="19" t="n">
        <v>0.481455485820369</v>
      </c>
      <c r="L143" s="16" t="n">
        <v>12.2298353605689</v>
      </c>
      <c r="M143" s="19" t="n">
        <v>0.306201518351447</v>
      </c>
      <c r="N143" s="19" t="n">
        <v>2.67507695832411</v>
      </c>
      <c r="O143" s="19" t="n">
        <v>0.946741791254683</v>
      </c>
      <c r="P143" s="19" t="n">
        <v>1.01472206212254</v>
      </c>
      <c r="Q143" s="17" t="s">
        <v>31</v>
      </c>
      <c r="R143" s="5" t="str">
        <f aca="false">IF(OR(Q143="Steel plate",Q143="Concrete jacket"),"Steel plate or jacket",Q143)</f>
        <v>Polymer laminate</v>
      </c>
      <c r="S143" s="5" t="str">
        <f aca="false">IF(O143&lt;='Tree rules'!$C$4,IF(N143&lt;='Tree rules'!$C$5,IF(P143&lt;='Tree rules'!$C$6,"Monitor","Polymer laminate"),IF(P143&lt;='Tree rules'!$C$7,"Seal cracks","Polymer laminate")),IF(O143&lt;='Tree rules'!$C$8,IF(M143&lt;='Tree rules'!$C$9,"Steel plate or jacket","Polymer laminate"),IF(L143&lt;='Tree rules'!$C$10,"Steel plate or jacket","Polymer laminate")))</f>
        <v>Polymer laminate</v>
      </c>
      <c r="T143" s="5" t="str">
        <f aca="false">IF(S143=R143,"Yes","No")</f>
        <v>Yes</v>
      </c>
    </row>
    <row r="144" customFormat="false" ht="15" hidden="false" customHeight="false" outlineLevel="0" collapsed="false">
      <c r="A144" s="15" t="n">
        <v>207</v>
      </c>
      <c r="B144" s="16" t="n">
        <v>3.34563945471793</v>
      </c>
      <c r="C144" s="15" t="n">
        <v>300</v>
      </c>
      <c r="D144" s="15" t="n">
        <v>300</v>
      </c>
      <c r="E144" s="15" t="n">
        <v>25</v>
      </c>
      <c r="F144" s="16" t="n">
        <v>0.841263304726974</v>
      </c>
      <c r="G144" s="17" t="s">
        <v>90</v>
      </c>
      <c r="H144" s="18" t="n">
        <v>0.1</v>
      </c>
      <c r="I144" s="18" t="n">
        <v>2</v>
      </c>
      <c r="J144" s="19" t="n">
        <v>0.919860278258444</v>
      </c>
      <c r="K144" s="19" t="n">
        <v>0.454937171174043</v>
      </c>
      <c r="L144" s="16" t="n">
        <v>13.9984914423344</v>
      </c>
      <c r="M144" s="19" t="n">
        <v>0.269081423428344</v>
      </c>
      <c r="N144" s="19" t="n">
        <v>4.72214624908974</v>
      </c>
      <c r="O144" s="19" t="n">
        <v>1.42124192365062</v>
      </c>
      <c r="P144" s="19" t="n">
        <v>1.37875990574401</v>
      </c>
      <c r="Q144" s="17" t="s">
        <v>31</v>
      </c>
      <c r="R144" s="5" t="str">
        <f aca="false">IF(OR(Q144="Steel plate",Q144="Concrete jacket"),"Steel plate or jacket",Q144)</f>
        <v>Polymer laminate</v>
      </c>
      <c r="S144" s="5" t="str">
        <f aca="false">IF(O144&lt;='Tree rules'!$C$4,IF(N144&lt;='Tree rules'!$C$5,IF(P144&lt;='Tree rules'!$C$6,"Monitor","Polymer laminate"),IF(P144&lt;='Tree rules'!$C$7,"Seal cracks","Polymer laminate")),IF(O144&lt;='Tree rules'!$C$8,IF(M144&lt;='Tree rules'!$C$9,"Steel plate or jacket","Polymer laminate"),IF(L144&lt;='Tree rules'!$C$10,"Steel plate or jacket","Polymer laminate")))</f>
        <v>Polymer laminate</v>
      </c>
      <c r="T144" s="5" t="str">
        <f aca="false">IF(S144=R144,"Yes","No")</f>
        <v>Yes</v>
      </c>
    </row>
    <row r="145" customFormat="false" ht="15" hidden="false" customHeight="false" outlineLevel="0" collapsed="false">
      <c r="A145" s="15" t="n">
        <v>209</v>
      </c>
      <c r="B145" s="16" t="n">
        <v>5.89888799098164</v>
      </c>
      <c r="C145" s="15" t="n">
        <v>300</v>
      </c>
      <c r="D145" s="15" t="n">
        <v>475</v>
      </c>
      <c r="E145" s="15" t="n">
        <v>20</v>
      </c>
      <c r="F145" s="16" t="n">
        <v>0.524813621945395</v>
      </c>
      <c r="G145" s="17" t="s">
        <v>91</v>
      </c>
      <c r="H145" s="18" t="n">
        <v>0.2</v>
      </c>
      <c r="I145" s="18" t="n">
        <v>1.5</v>
      </c>
      <c r="J145" s="19" t="n">
        <v>0.869953338677885</v>
      </c>
      <c r="K145" s="19" t="n">
        <v>0.453098905887171</v>
      </c>
      <c r="L145" s="16" t="n">
        <v>13.6865150602822</v>
      </c>
      <c r="M145" s="19" t="n">
        <v>0.941685614903963</v>
      </c>
      <c r="N145" s="19" t="n">
        <v>0.940927718133349</v>
      </c>
      <c r="O145" s="19" t="n">
        <v>1.10784255505291</v>
      </c>
      <c r="P145" s="19" t="n">
        <v>0.377110639490265</v>
      </c>
      <c r="Q145" s="17" t="s">
        <v>31</v>
      </c>
      <c r="R145" s="5" t="str">
        <f aca="false">IF(OR(Q145="Steel plate",Q145="Concrete jacket"),"Steel plate or jacket",Q145)</f>
        <v>Polymer laminate</v>
      </c>
      <c r="S145" s="5" t="str">
        <f aca="false">IF(O145&lt;='Tree rules'!$C$4,IF(N145&lt;='Tree rules'!$C$5,IF(P145&lt;='Tree rules'!$C$6,"Monitor","Polymer laminate"),IF(P145&lt;='Tree rules'!$C$7,"Seal cracks","Polymer laminate")),IF(O145&lt;='Tree rules'!$C$8,IF(M145&lt;='Tree rules'!$C$9,"Steel plate or jacket","Polymer laminate"),IF(L145&lt;='Tree rules'!$C$10,"Steel plate or jacket","Polymer laminate")))</f>
        <v>Polymer laminate</v>
      </c>
      <c r="T145" s="5" t="str">
        <f aca="false">IF(S145=R145,"Yes","No")</f>
        <v>Yes</v>
      </c>
    </row>
    <row r="146" customFormat="false" ht="15" hidden="false" customHeight="false" outlineLevel="0" collapsed="false">
      <c r="A146" s="15" t="n">
        <v>210</v>
      </c>
      <c r="B146" s="16" t="n">
        <v>7.79492853938988</v>
      </c>
      <c r="C146" s="15" t="n">
        <v>300</v>
      </c>
      <c r="D146" s="15" t="n">
        <v>750</v>
      </c>
      <c r="E146" s="15" t="n">
        <v>30</v>
      </c>
      <c r="F146" s="16" t="n">
        <v>0.609722009430334</v>
      </c>
      <c r="G146" s="17" t="s">
        <v>90</v>
      </c>
      <c r="H146" s="18" t="n">
        <v>0.1</v>
      </c>
      <c r="I146" s="18" t="n">
        <v>1</v>
      </c>
      <c r="J146" s="19" t="n">
        <v>0.878867087520848</v>
      </c>
      <c r="K146" s="19" t="n">
        <v>0.442704787656422</v>
      </c>
      <c r="L146" s="16" t="n">
        <v>11.3463297516592</v>
      </c>
      <c r="M146" s="19" t="n">
        <v>0.655011777452107</v>
      </c>
      <c r="N146" s="19" t="n">
        <v>2.22986537846432</v>
      </c>
      <c r="O146" s="19" t="n">
        <v>0.878867087520848</v>
      </c>
      <c r="P146" s="19" t="n">
        <v>0.387996801890744</v>
      </c>
      <c r="Q146" s="17" t="s">
        <v>30</v>
      </c>
      <c r="R146" s="5" t="str">
        <f aca="false">IF(OR(Q146="Steel plate",Q146="Concrete jacket"),"Steel plate or jacket",Q146)</f>
        <v>Seal cracks</v>
      </c>
      <c r="S146" s="5" t="str">
        <f aca="false">IF(O146&lt;='Tree rules'!$C$4,IF(N146&lt;='Tree rules'!$C$5,IF(P146&lt;='Tree rules'!$C$6,"Monitor","Polymer laminate"),IF(P146&lt;='Tree rules'!$C$7,"Seal cracks","Polymer laminate")),IF(O146&lt;='Tree rules'!$C$8,IF(M146&lt;='Tree rules'!$C$9,"Steel plate or jacket","Polymer laminate"),IF(L146&lt;='Tree rules'!$C$10,"Steel plate or jacket","Polymer laminate")))</f>
        <v>Seal cracks</v>
      </c>
      <c r="T146" s="5" t="str">
        <f aca="false">IF(S146=R146,"Yes","No")</f>
        <v>Yes</v>
      </c>
    </row>
    <row r="147" customFormat="false" ht="15" hidden="false" customHeight="false" outlineLevel="0" collapsed="false">
      <c r="A147" s="15" t="n">
        <v>211</v>
      </c>
      <c r="B147" s="16" t="n">
        <v>5.8766177538927</v>
      </c>
      <c r="C147" s="15" t="n">
        <v>230</v>
      </c>
      <c r="D147" s="15" t="n">
        <v>550</v>
      </c>
      <c r="E147" s="15" t="n">
        <v>30</v>
      </c>
      <c r="F147" s="16" t="n">
        <v>0.693795479053647</v>
      </c>
      <c r="G147" s="17" t="s">
        <v>89</v>
      </c>
      <c r="H147" s="18" t="n">
        <v>0.3</v>
      </c>
      <c r="I147" s="18" t="n">
        <v>1.5</v>
      </c>
      <c r="J147" s="19" t="n">
        <v>0.897185662964642</v>
      </c>
      <c r="K147" s="19" t="n">
        <v>0.464187000501608</v>
      </c>
      <c r="L147" s="16" t="n">
        <v>11.6599558608982</v>
      </c>
      <c r="M147" s="19" t="n">
        <v>0.630465263660151</v>
      </c>
      <c r="N147" s="19" t="n">
        <v>0.734097312689153</v>
      </c>
      <c r="O147" s="19" t="n">
        <v>1.13754753355466</v>
      </c>
      <c r="P147" s="19" t="n">
        <v>0.535849714573519</v>
      </c>
      <c r="Q147" s="17" t="s">
        <v>31</v>
      </c>
      <c r="R147" s="5" t="str">
        <f aca="false">IF(OR(Q147="Steel plate",Q147="Concrete jacket"),"Steel plate or jacket",Q147)</f>
        <v>Polymer laminate</v>
      </c>
      <c r="S147" s="5" t="str">
        <f aca="false">IF(O147&lt;='Tree rules'!$C$4,IF(N147&lt;='Tree rules'!$C$5,IF(P147&lt;='Tree rules'!$C$6,"Monitor","Polymer laminate"),IF(P147&lt;='Tree rules'!$C$7,"Seal cracks","Polymer laminate")),IF(O147&lt;='Tree rules'!$C$8,IF(M147&lt;='Tree rules'!$C$9,"Steel plate or jacket","Polymer laminate"),IF(L147&lt;='Tree rules'!$C$10,"Steel plate or jacket","Polymer laminate")))</f>
        <v>Polymer laminate</v>
      </c>
      <c r="T147" s="5" t="str">
        <f aca="false">IF(S147=R147,"Yes","No")</f>
        <v>Yes</v>
      </c>
    </row>
    <row r="148" customFormat="false" ht="15" hidden="false" customHeight="false" outlineLevel="0" collapsed="false">
      <c r="A148" s="15" t="n">
        <v>212</v>
      </c>
      <c r="B148" s="16" t="n">
        <v>3.09732683207604</v>
      </c>
      <c r="C148" s="15" t="n">
        <v>230</v>
      </c>
      <c r="D148" s="15" t="n">
        <v>300</v>
      </c>
      <c r="E148" s="15" t="n">
        <v>25</v>
      </c>
      <c r="F148" s="16" t="n">
        <v>0.612108978148471</v>
      </c>
      <c r="G148" s="17" t="s">
        <v>90</v>
      </c>
      <c r="H148" s="18" t="n">
        <v>0.1</v>
      </c>
      <c r="I148" s="18" t="n">
        <v>1</v>
      </c>
      <c r="J148" s="19" t="n">
        <v>0.937276821242153</v>
      </c>
      <c r="K148" s="19" t="n">
        <v>0.59013701093721</v>
      </c>
      <c r="L148" s="16" t="n">
        <v>12.8519785563321</v>
      </c>
      <c r="M148" s="19" t="n">
        <v>0.832196406128034</v>
      </c>
      <c r="N148" s="19" t="n">
        <v>2.45619822897365</v>
      </c>
      <c r="O148" s="19" t="n">
        <v>0.937276821242153</v>
      </c>
      <c r="P148" s="19" t="n">
        <v>0.298181183066509</v>
      </c>
      <c r="Q148" s="17" t="s">
        <v>30</v>
      </c>
      <c r="R148" s="5" t="str">
        <f aca="false">IF(OR(Q148="Steel plate",Q148="Concrete jacket"),"Steel plate or jacket",Q148)</f>
        <v>Seal cracks</v>
      </c>
      <c r="S148" s="5" t="str">
        <f aca="false">IF(O148&lt;='Tree rules'!$C$4,IF(N148&lt;='Tree rules'!$C$5,IF(P148&lt;='Tree rules'!$C$6,"Monitor","Polymer laminate"),IF(P148&lt;='Tree rules'!$C$7,"Seal cracks","Polymer laminate")),IF(O148&lt;='Tree rules'!$C$8,IF(M148&lt;='Tree rules'!$C$9,"Steel plate or jacket","Polymer laminate"),IF(L148&lt;='Tree rules'!$C$10,"Steel plate or jacket","Polymer laminate")))</f>
        <v>Seal cracks</v>
      </c>
      <c r="T148" s="5" t="str">
        <f aca="false">IF(S148=R148,"Yes","No")</f>
        <v>Yes</v>
      </c>
    </row>
    <row r="149" customFormat="false" ht="15" hidden="false" customHeight="false" outlineLevel="0" collapsed="false">
      <c r="A149" s="15" t="n">
        <v>213</v>
      </c>
      <c r="B149" s="16" t="n">
        <v>7.30749477894285</v>
      </c>
      <c r="C149" s="15" t="n">
        <v>230</v>
      </c>
      <c r="D149" s="15" t="n">
        <v>600</v>
      </c>
      <c r="E149" s="15" t="n">
        <v>25</v>
      </c>
      <c r="F149" s="16" t="n">
        <v>0.63117855856144</v>
      </c>
      <c r="G149" s="17" t="s">
        <v>89</v>
      </c>
      <c r="H149" s="18" t="n">
        <v>0.3</v>
      </c>
      <c r="I149" s="18" t="n">
        <v>1.5</v>
      </c>
      <c r="J149" s="19" t="n">
        <v>0.86567289796521</v>
      </c>
      <c r="K149" s="19" t="n">
        <v>0.610744504516417</v>
      </c>
      <c r="L149" s="16" t="n">
        <v>13.1904237887055</v>
      </c>
      <c r="M149" s="19" t="n">
        <v>0.433026559966324</v>
      </c>
      <c r="N149" s="19" t="n">
        <v>0.678397492570195</v>
      </c>
      <c r="O149" s="19" t="n">
        <v>1.03415686437729</v>
      </c>
      <c r="P149" s="19" t="n">
        <v>0.896853368164244</v>
      </c>
      <c r="Q149" s="17" t="s">
        <v>31</v>
      </c>
      <c r="R149" s="5" t="str">
        <f aca="false">IF(OR(Q149="Steel plate",Q149="Concrete jacket"),"Steel plate or jacket",Q149)</f>
        <v>Polymer laminate</v>
      </c>
      <c r="S149" s="5" t="str">
        <f aca="false">IF(O149&lt;='Tree rules'!$C$4,IF(N149&lt;='Tree rules'!$C$5,IF(P149&lt;='Tree rules'!$C$6,"Monitor","Polymer laminate"),IF(P149&lt;='Tree rules'!$C$7,"Seal cracks","Polymer laminate")),IF(O149&lt;='Tree rules'!$C$8,IF(M149&lt;='Tree rules'!$C$9,"Steel plate or jacket","Polymer laminate"),IF(L149&lt;='Tree rules'!$C$10,"Steel plate or jacket","Polymer laminate")))</f>
        <v>Polymer laminate</v>
      </c>
      <c r="T149" s="5" t="str">
        <f aca="false">IF(S149=R149,"Yes","No")</f>
        <v>Yes</v>
      </c>
    </row>
    <row r="150" customFormat="false" ht="15" hidden="false" customHeight="false" outlineLevel="0" collapsed="false">
      <c r="A150" s="15" t="n">
        <v>214</v>
      </c>
      <c r="B150" s="16" t="n">
        <v>3.43564132904326</v>
      </c>
      <c r="C150" s="15" t="n">
        <v>230</v>
      </c>
      <c r="D150" s="15" t="n">
        <v>325</v>
      </c>
      <c r="E150" s="15" t="n">
        <v>30</v>
      </c>
      <c r="F150" s="16" t="n">
        <v>0.939980971621069</v>
      </c>
      <c r="G150" s="17" t="s">
        <v>89</v>
      </c>
      <c r="H150" s="18" t="n">
        <v>0.3</v>
      </c>
      <c r="I150" s="18" t="n">
        <v>1.5</v>
      </c>
      <c r="J150" s="19" t="n">
        <v>0.915682535862678</v>
      </c>
      <c r="K150" s="19" t="n">
        <v>0.568095642427628</v>
      </c>
      <c r="L150" s="16" t="n">
        <v>12.3141266273952</v>
      </c>
      <c r="M150" s="19" t="n">
        <v>0.706786651783208</v>
      </c>
      <c r="N150" s="19" t="n">
        <v>0.821266390036044</v>
      </c>
      <c r="O150" s="19" t="n">
        <v>1.11342617455868</v>
      </c>
      <c r="P150" s="19" t="n">
        <v>0.579235032960557</v>
      </c>
      <c r="Q150" s="17" t="s">
        <v>31</v>
      </c>
      <c r="R150" s="5" t="str">
        <f aca="false">IF(OR(Q150="Steel plate",Q150="Concrete jacket"),"Steel plate or jacket",Q150)</f>
        <v>Polymer laminate</v>
      </c>
      <c r="S150" s="5" t="str">
        <f aca="false">IF(O150&lt;='Tree rules'!$C$4,IF(N150&lt;='Tree rules'!$C$5,IF(P150&lt;='Tree rules'!$C$6,"Monitor","Polymer laminate"),IF(P150&lt;='Tree rules'!$C$7,"Seal cracks","Polymer laminate")),IF(O150&lt;='Tree rules'!$C$8,IF(M150&lt;='Tree rules'!$C$9,"Steel plate or jacket","Polymer laminate"),IF(L150&lt;='Tree rules'!$C$10,"Steel plate or jacket","Polymer laminate")))</f>
        <v>Polymer laminate</v>
      </c>
      <c r="T150" s="5" t="str">
        <f aca="false">IF(S150=R150,"Yes","No")</f>
        <v>Yes</v>
      </c>
    </row>
    <row r="151" customFormat="false" ht="15" hidden="false" customHeight="false" outlineLevel="0" collapsed="false">
      <c r="A151" s="15" t="n">
        <v>215</v>
      </c>
      <c r="B151" s="16" t="n">
        <v>3.71421067382326</v>
      </c>
      <c r="C151" s="15" t="n">
        <v>230</v>
      </c>
      <c r="D151" s="15" t="n">
        <v>325</v>
      </c>
      <c r="E151" s="15" t="n">
        <v>25</v>
      </c>
      <c r="F151" s="16" t="n">
        <v>0.699968036696473</v>
      </c>
      <c r="G151" s="17" t="s">
        <v>91</v>
      </c>
      <c r="H151" s="18" t="n">
        <v>0.2</v>
      </c>
      <c r="I151" s="18" t="n">
        <v>2</v>
      </c>
      <c r="J151" s="19" t="n">
        <v>0.907480222753728</v>
      </c>
      <c r="K151" s="19" t="n">
        <v>0.477400431042755</v>
      </c>
      <c r="L151" s="16" t="n">
        <v>13.2178315794422</v>
      </c>
      <c r="M151" s="19" t="n">
        <v>0.594809432519229</v>
      </c>
      <c r="N151" s="19" t="n">
        <v>1.41772326237015</v>
      </c>
      <c r="O151" s="19" t="n">
        <v>1.38172899600205</v>
      </c>
      <c r="P151" s="19" t="n">
        <v>0.653567178312004</v>
      </c>
      <c r="Q151" s="17" t="s">
        <v>31</v>
      </c>
      <c r="R151" s="5" t="str">
        <f aca="false">IF(OR(Q151="Steel plate",Q151="Concrete jacket"),"Steel plate or jacket",Q151)</f>
        <v>Polymer laminate</v>
      </c>
      <c r="S151" s="5" t="str">
        <f aca="false">IF(O151&lt;='Tree rules'!$C$4,IF(N151&lt;='Tree rules'!$C$5,IF(P151&lt;='Tree rules'!$C$6,"Monitor","Polymer laminate"),IF(P151&lt;='Tree rules'!$C$7,"Seal cracks","Polymer laminate")),IF(O151&lt;='Tree rules'!$C$8,IF(M151&lt;='Tree rules'!$C$9,"Steel plate or jacket","Polymer laminate"),IF(L151&lt;='Tree rules'!$C$10,"Steel plate or jacket","Polymer laminate")))</f>
        <v>Polymer laminate</v>
      </c>
      <c r="T151" s="5" t="str">
        <f aca="false">IF(S151=R151,"Yes","No")</f>
        <v>Yes</v>
      </c>
    </row>
    <row r="152" customFormat="false" ht="15" hidden="false" customHeight="false" outlineLevel="0" collapsed="false">
      <c r="A152" s="15" t="n">
        <v>216</v>
      </c>
      <c r="B152" s="16" t="n">
        <v>4.19379440312783</v>
      </c>
      <c r="C152" s="15" t="n">
        <v>300</v>
      </c>
      <c r="D152" s="15" t="n">
        <v>350</v>
      </c>
      <c r="E152" s="15" t="n">
        <v>30</v>
      </c>
      <c r="F152" s="16" t="n">
        <v>0.695716020172134</v>
      </c>
      <c r="G152" s="17" t="s">
        <v>90</v>
      </c>
      <c r="H152" s="18" t="n">
        <v>0.1</v>
      </c>
      <c r="I152" s="18" t="n">
        <v>1</v>
      </c>
      <c r="J152" s="19" t="n">
        <v>0.946312543627652</v>
      </c>
      <c r="K152" s="19" t="n">
        <v>0.441937951755495</v>
      </c>
      <c r="L152" s="16" t="n">
        <v>14.5113993187814</v>
      </c>
      <c r="M152" s="19" t="n">
        <v>0.749594741936155</v>
      </c>
      <c r="N152" s="19" t="n">
        <v>2.77855671557813</v>
      </c>
      <c r="O152" s="19" t="n">
        <v>0.946312543627652</v>
      </c>
      <c r="P152" s="19" t="n">
        <v>0.389248099745487</v>
      </c>
      <c r="Q152" s="17" t="s">
        <v>30</v>
      </c>
      <c r="R152" s="5" t="str">
        <f aca="false">IF(OR(Q152="Steel plate",Q152="Concrete jacket"),"Steel plate or jacket",Q152)</f>
        <v>Seal cracks</v>
      </c>
      <c r="S152" s="5" t="str">
        <f aca="false">IF(O152&lt;='Tree rules'!$C$4,IF(N152&lt;='Tree rules'!$C$5,IF(P152&lt;='Tree rules'!$C$6,"Monitor","Polymer laminate"),IF(P152&lt;='Tree rules'!$C$7,"Seal cracks","Polymer laminate")),IF(O152&lt;='Tree rules'!$C$8,IF(M152&lt;='Tree rules'!$C$9,"Steel plate or jacket","Polymer laminate"),IF(L152&lt;='Tree rules'!$C$10,"Steel plate or jacket","Polymer laminate")))</f>
        <v>Seal cracks</v>
      </c>
      <c r="T152" s="5" t="str">
        <f aca="false">IF(S152=R152,"Yes","No")</f>
        <v>Yes</v>
      </c>
    </row>
    <row r="153" customFormat="false" ht="15" hidden="false" customHeight="false" outlineLevel="0" collapsed="false">
      <c r="A153" s="15" t="n">
        <v>217</v>
      </c>
      <c r="B153" s="16" t="n">
        <v>6.53851723468178</v>
      </c>
      <c r="C153" s="15" t="n">
        <v>230</v>
      </c>
      <c r="D153" s="15" t="n">
        <v>650</v>
      </c>
      <c r="E153" s="15" t="n">
        <v>30</v>
      </c>
      <c r="F153" s="16" t="n">
        <v>0.680685971455249</v>
      </c>
      <c r="G153" s="17" t="s">
        <v>89</v>
      </c>
      <c r="H153" s="18" t="n">
        <v>0.3</v>
      </c>
      <c r="I153" s="18" t="n">
        <v>2</v>
      </c>
      <c r="J153" s="19" t="n">
        <v>0.957184223440777</v>
      </c>
      <c r="K153" s="19" t="n">
        <v>0.616980481924518</v>
      </c>
      <c r="L153" s="16" t="n">
        <v>10.8613243101026</v>
      </c>
      <c r="M153" s="19" t="n">
        <v>0.496582291383103</v>
      </c>
      <c r="N153" s="19" t="n">
        <v>0.95431269344007</v>
      </c>
      <c r="O153" s="19" t="n">
        <v>1.32380446341252</v>
      </c>
      <c r="P153" s="19" t="n">
        <v>0.781024267112761</v>
      </c>
      <c r="Q153" s="17" t="s">
        <v>31</v>
      </c>
      <c r="R153" s="5" t="str">
        <f aca="false">IF(OR(Q153="Steel plate",Q153="Concrete jacket"),"Steel plate or jacket",Q153)</f>
        <v>Polymer laminate</v>
      </c>
      <c r="S153" s="5" t="str">
        <f aca="false">IF(O153&lt;='Tree rules'!$C$4,IF(N153&lt;='Tree rules'!$C$5,IF(P153&lt;='Tree rules'!$C$6,"Monitor","Polymer laminate"),IF(P153&lt;='Tree rules'!$C$7,"Seal cracks","Polymer laminate")),IF(O153&lt;='Tree rules'!$C$8,IF(M153&lt;='Tree rules'!$C$9,"Steel plate or jacket","Polymer laminate"),IF(L153&lt;='Tree rules'!$C$10,"Steel plate or jacket","Polymer laminate")))</f>
        <v>Steel plate or jacket</v>
      </c>
      <c r="T153" s="5" t="str">
        <f aca="false">IF(S153=R153,"Yes","No")</f>
        <v>No</v>
      </c>
    </row>
    <row r="154" customFormat="false" ht="15" hidden="false" customHeight="false" outlineLevel="0" collapsed="false">
      <c r="A154" s="15" t="n">
        <v>218</v>
      </c>
      <c r="B154" s="16" t="n">
        <v>3.86052630279595</v>
      </c>
      <c r="C154" s="15" t="n">
        <v>300</v>
      </c>
      <c r="D154" s="15" t="n">
        <v>375</v>
      </c>
      <c r="E154" s="15" t="n">
        <v>30</v>
      </c>
      <c r="F154" s="16" t="n">
        <v>0.611130485804701</v>
      </c>
      <c r="G154" s="17" t="s">
        <v>89</v>
      </c>
      <c r="H154" s="18" t="n">
        <v>0.3</v>
      </c>
      <c r="I154" s="18" t="n">
        <v>1</v>
      </c>
      <c r="J154" s="19" t="n">
        <v>0.950727674551788</v>
      </c>
      <c r="K154" s="19" t="n">
        <v>0.556424253813158</v>
      </c>
      <c r="L154" s="16" t="n">
        <v>11.7341225008996</v>
      </c>
      <c r="M154" s="19" t="n">
        <v>0.900574061703219</v>
      </c>
      <c r="N154" s="19" t="n">
        <v>0.721343340510006</v>
      </c>
      <c r="O154" s="19" t="n">
        <v>0.950727674551788</v>
      </c>
      <c r="P154" s="19" t="n">
        <v>0.310590271386758</v>
      </c>
      <c r="Q154" s="17" t="s">
        <v>29</v>
      </c>
      <c r="R154" s="5" t="str">
        <f aca="false">IF(OR(Q154="Steel plate",Q154="Concrete jacket"),"Steel plate or jacket",Q154)</f>
        <v>Monitor</v>
      </c>
      <c r="S154" s="5" t="str">
        <f aca="false">IF(O154&lt;='Tree rules'!$C$4,IF(N154&lt;='Tree rules'!$C$5,IF(P154&lt;='Tree rules'!$C$6,"Monitor","Polymer laminate"),IF(P154&lt;='Tree rules'!$C$7,"Seal cracks","Polymer laminate")),IF(O154&lt;='Tree rules'!$C$8,IF(M154&lt;='Tree rules'!$C$9,"Steel plate or jacket","Polymer laminate"),IF(L154&lt;='Tree rules'!$C$10,"Steel plate or jacket","Polymer laminate")))</f>
        <v>Monitor</v>
      </c>
      <c r="T154" s="5" t="str">
        <f aca="false">IF(S154=R154,"Yes","No")</f>
        <v>Yes</v>
      </c>
    </row>
    <row r="155" customFormat="false" ht="15" hidden="false" customHeight="false" outlineLevel="0" collapsed="false">
      <c r="A155" s="15" t="n">
        <v>219</v>
      </c>
      <c r="B155" s="16" t="n">
        <v>6.42244542903765</v>
      </c>
      <c r="C155" s="15" t="n">
        <v>300</v>
      </c>
      <c r="D155" s="15" t="n">
        <v>625</v>
      </c>
      <c r="E155" s="15" t="n">
        <v>25</v>
      </c>
      <c r="F155" s="16" t="n">
        <v>0.694514438099298</v>
      </c>
      <c r="G155" s="17" t="s">
        <v>91</v>
      </c>
      <c r="H155" s="18" t="n">
        <v>0.2</v>
      </c>
      <c r="I155" s="18" t="n">
        <v>1.5</v>
      </c>
      <c r="J155" s="19" t="n">
        <v>0.99564347161453</v>
      </c>
      <c r="K155" s="19" t="n">
        <v>0.526785494562998</v>
      </c>
      <c r="L155" s="16" t="n">
        <v>11.0923064404795</v>
      </c>
      <c r="M155" s="19" t="n">
        <v>0.561968670084141</v>
      </c>
      <c r="N155" s="19" t="n">
        <v>1.15598632364094</v>
      </c>
      <c r="O155" s="19" t="n">
        <v>1.23121993812036</v>
      </c>
      <c r="P155" s="19" t="n">
        <v>0.703536039439714</v>
      </c>
      <c r="Q155" s="17" t="s">
        <v>31</v>
      </c>
      <c r="R155" s="5" t="str">
        <f aca="false">IF(OR(Q155="Steel plate",Q155="Concrete jacket"),"Steel plate or jacket",Q155)</f>
        <v>Polymer laminate</v>
      </c>
      <c r="S155" s="5" t="str">
        <f aca="false">IF(O155&lt;='Tree rules'!$C$4,IF(N155&lt;='Tree rules'!$C$5,IF(P155&lt;='Tree rules'!$C$6,"Monitor","Polymer laminate"),IF(P155&lt;='Tree rules'!$C$7,"Seal cracks","Polymer laminate")),IF(O155&lt;='Tree rules'!$C$8,IF(M155&lt;='Tree rules'!$C$9,"Steel plate or jacket","Polymer laminate"),IF(L155&lt;='Tree rules'!$C$10,"Steel plate or jacket","Polymer laminate")))</f>
        <v>Polymer laminate</v>
      </c>
      <c r="T155" s="5" t="str">
        <f aca="false">IF(S155=R155,"Yes","No")</f>
        <v>Yes</v>
      </c>
    </row>
    <row r="156" customFormat="false" ht="15" hidden="false" customHeight="false" outlineLevel="0" collapsed="false">
      <c r="A156" s="15" t="n">
        <v>220</v>
      </c>
      <c r="B156" s="16" t="n">
        <v>6.44469053138514</v>
      </c>
      <c r="C156" s="15" t="n">
        <v>230</v>
      </c>
      <c r="D156" s="15" t="n">
        <v>600</v>
      </c>
      <c r="E156" s="15" t="n">
        <v>25</v>
      </c>
      <c r="F156" s="16" t="n">
        <v>0.63117855856144</v>
      </c>
      <c r="G156" s="17" t="s">
        <v>91</v>
      </c>
      <c r="H156" s="18" t="n">
        <v>0.2</v>
      </c>
      <c r="I156" s="18" t="n">
        <v>1</v>
      </c>
      <c r="J156" s="19" t="n">
        <v>0.897241800169395</v>
      </c>
      <c r="K156" s="19" t="n">
        <v>0.545940657870282</v>
      </c>
      <c r="L156" s="16" t="n">
        <v>11.6330153996122</v>
      </c>
      <c r="M156" s="19" t="n">
        <v>0.641465182358398</v>
      </c>
      <c r="N156" s="19" t="n">
        <v>0.832074603575461</v>
      </c>
      <c r="O156" s="19" t="n">
        <v>0.897241800169395</v>
      </c>
      <c r="P156" s="19" t="n">
        <v>0.495775882076933</v>
      </c>
      <c r="Q156" s="17" t="s">
        <v>29</v>
      </c>
      <c r="R156" s="5" t="str">
        <f aca="false">IF(OR(Q156="Steel plate",Q156="Concrete jacket"),"Steel plate or jacket",Q156)</f>
        <v>Monitor</v>
      </c>
      <c r="S156" s="5" t="str">
        <f aca="false">IF(O156&lt;='Tree rules'!$C$4,IF(N156&lt;='Tree rules'!$C$5,IF(P156&lt;='Tree rules'!$C$6,"Monitor","Polymer laminate"),IF(P156&lt;='Tree rules'!$C$7,"Seal cracks","Polymer laminate")),IF(O156&lt;='Tree rules'!$C$8,IF(M156&lt;='Tree rules'!$C$9,"Steel plate or jacket","Polymer laminate"),IF(L156&lt;='Tree rules'!$C$10,"Steel plate or jacket","Polymer laminate")))</f>
        <v>Monitor</v>
      </c>
      <c r="T156" s="5" t="str">
        <f aca="false">IF(S156=R156,"Yes","No")</f>
        <v>Yes</v>
      </c>
    </row>
    <row r="157" customFormat="false" ht="15" hidden="false" customHeight="false" outlineLevel="0" collapsed="false">
      <c r="A157" s="15" t="n">
        <v>222</v>
      </c>
      <c r="B157" s="16" t="n">
        <v>4.89376479128223</v>
      </c>
      <c r="C157" s="15" t="n">
        <v>300</v>
      </c>
      <c r="D157" s="15" t="n">
        <v>425</v>
      </c>
      <c r="E157" s="15" t="n">
        <v>30</v>
      </c>
      <c r="F157" s="16" t="n">
        <v>0.707341881547042</v>
      </c>
      <c r="G157" s="17" t="s">
        <v>89</v>
      </c>
      <c r="H157" s="18" t="n">
        <v>0.3</v>
      </c>
      <c r="I157" s="18" t="n">
        <v>2</v>
      </c>
      <c r="J157" s="19" t="n">
        <v>0.911833982579378</v>
      </c>
      <c r="K157" s="19" t="n">
        <v>0.477378530584587</v>
      </c>
      <c r="L157" s="16" t="n">
        <v>12.9123081564175</v>
      </c>
      <c r="M157" s="19" t="n">
        <v>0.546783096680048</v>
      </c>
      <c r="N157" s="19" t="n">
        <v>1.03003035928095</v>
      </c>
      <c r="O157" s="19" t="n">
        <v>1.38837799841792</v>
      </c>
      <c r="P157" s="19" t="n">
        <v>0.728834092314999</v>
      </c>
      <c r="Q157" s="17" t="s">
        <v>31</v>
      </c>
      <c r="R157" s="5" t="str">
        <f aca="false">IF(OR(Q157="Steel plate",Q157="Concrete jacket"),"Steel plate or jacket",Q157)</f>
        <v>Polymer laminate</v>
      </c>
      <c r="S157" s="5" t="str">
        <f aca="false">IF(O157&lt;='Tree rules'!$C$4,IF(N157&lt;='Tree rules'!$C$5,IF(P157&lt;='Tree rules'!$C$6,"Monitor","Polymer laminate"),IF(P157&lt;='Tree rules'!$C$7,"Seal cracks","Polymer laminate")),IF(O157&lt;='Tree rules'!$C$8,IF(M157&lt;='Tree rules'!$C$9,"Steel plate or jacket","Polymer laminate"),IF(L157&lt;='Tree rules'!$C$10,"Steel plate or jacket","Polymer laminate")))</f>
        <v>Steel plate or jacket</v>
      </c>
      <c r="T157" s="5" t="str">
        <f aca="false">IF(S157=R157,"Yes","No")</f>
        <v>No</v>
      </c>
    </row>
    <row r="158" customFormat="false" ht="15" hidden="false" customHeight="false" outlineLevel="0" collapsed="false">
      <c r="A158" s="15" t="n">
        <v>226</v>
      </c>
      <c r="B158" s="16" t="n">
        <v>3.91318456021273</v>
      </c>
      <c r="C158" s="15" t="n">
        <v>230</v>
      </c>
      <c r="D158" s="15" t="n">
        <v>325</v>
      </c>
      <c r="E158" s="15" t="n">
        <v>20</v>
      </c>
      <c r="F158" s="16" t="n">
        <v>0.626653981080713</v>
      </c>
      <c r="G158" s="17" t="s">
        <v>91</v>
      </c>
      <c r="H158" s="18" t="n">
        <v>0.2</v>
      </c>
      <c r="I158" s="18" t="n">
        <v>1</v>
      </c>
      <c r="J158" s="19" t="n">
        <v>0.897320989258348</v>
      </c>
      <c r="K158" s="19" t="n">
        <v>0.435037277007666</v>
      </c>
      <c r="L158" s="16" t="n">
        <v>14.0257511118736</v>
      </c>
      <c r="M158" s="19" t="n">
        <v>0.604774199340845</v>
      </c>
      <c r="N158" s="19" t="n">
        <v>1.21392525747672</v>
      </c>
      <c r="O158" s="19" t="n">
        <v>0.897320989258348</v>
      </c>
      <c r="P158" s="19" t="n">
        <v>0.493647803545073</v>
      </c>
      <c r="Q158" s="17" t="s">
        <v>30</v>
      </c>
      <c r="R158" s="5" t="str">
        <f aca="false">IF(OR(Q158="Steel plate",Q158="Concrete jacket"),"Steel plate or jacket",Q158)</f>
        <v>Seal cracks</v>
      </c>
      <c r="S158" s="5" t="str">
        <f aca="false">IF(O158&lt;='Tree rules'!$C$4,IF(N158&lt;='Tree rules'!$C$5,IF(P158&lt;='Tree rules'!$C$6,"Monitor","Polymer laminate"),IF(P158&lt;='Tree rules'!$C$7,"Seal cracks","Polymer laminate")),IF(O158&lt;='Tree rules'!$C$8,IF(M158&lt;='Tree rules'!$C$9,"Steel plate or jacket","Polymer laminate"),IF(L158&lt;='Tree rules'!$C$10,"Steel plate or jacket","Polymer laminate")))</f>
        <v>Seal cracks</v>
      </c>
      <c r="T158" s="5" t="str">
        <f aca="false">IF(S158=R158,"Yes","No")</f>
        <v>Yes</v>
      </c>
    </row>
    <row r="159" customFormat="false" ht="15" hidden="false" customHeight="false" outlineLevel="0" collapsed="false">
      <c r="A159" s="15" t="n">
        <v>229</v>
      </c>
      <c r="B159" s="16" t="n">
        <v>6.46207870855828</v>
      </c>
      <c r="C159" s="15" t="n">
        <v>230</v>
      </c>
      <c r="D159" s="15" t="n">
        <v>575</v>
      </c>
      <c r="E159" s="15" t="n">
        <v>25</v>
      </c>
      <c r="F159" s="16" t="n">
        <v>0.800337802375117</v>
      </c>
      <c r="G159" s="17" t="s">
        <v>90</v>
      </c>
      <c r="H159" s="18" t="n">
        <v>0.1</v>
      </c>
      <c r="I159" s="18" t="n">
        <v>1.5</v>
      </c>
      <c r="J159" s="19" t="n">
        <v>0.899070239422565</v>
      </c>
      <c r="K159" s="19" t="n">
        <v>0.491078748533386</v>
      </c>
      <c r="L159" s="16" t="n">
        <v>12.6212474776529</v>
      </c>
      <c r="M159" s="19" t="n">
        <v>0.509655477299042</v>
      </c>
      <c r="N159" s="19" t="n">
        <v>3.04960348512714</v>
      </c>
      <c r="O159" s="19" t="n">
        <v>1.12784821512423</v>
      </c>
      <c r="P159" s="19" t="n">
        <v>0.789385190661915</v>
      </c>
      <c r="Q159" s="17" t="s">
        <v>31</v>
      </c>
      <c r="R159" s="5" t="str">
        <f aca="false">IF(OR(Q159="Steel plate",Q159="Concrete jacket"),"Steel plate or jacket",Q159)</f>
        <v>Polymer laminate</v>
      </c>
      <c r="S159" s="5" t="str">
        <f aca="false">IF(O159&lt;='Tree rules'!$C$4,IF(N159&lt;='Tree rules'!$C$5,IF(P159&lt;='Tree rules'!$C$6,"Monitor","Polymer laminate"),IF(P159&lt;='Tree rules'!$C$7,"Seal cracks","Polymer laminate")),IF(O159&lt;='Tree rules'!$C$8,IF(M159&lt;='Tree rules'!$C$9,"Steel plate or jacket","Polymer laminate"),IF(L159&lt;='Tree rules'!$C$10,"Steel plate or jacket","Polymer laminate")))</f>
        <v>Polymer laminate</v>
      </c>
      <c r="T159" s="5" t="str">
        <f aca="false">IF(S159=R159,"Yes","No")</f>
        <v>Yes</v>
      </c>
    </row>
    <row r="160" customFormat="false" ht="15" hidden="false" customHeight="false" outlineLevel="0" collapsed="false">
      <c r="A160" s="15" t="n">
        <v>230</v>
      </c>
      <c r="B160" s="16" t="n">
        <v>3.3197718028947</v>
      </c>
      <c r="C160" s="15" t="n">
        <v>230</v>
      </c>
      <c r="D160" s="15" t="n">
        <v>300</v>
      </c>
      <c r="E160" s="15" t="n">
        <v>30</v>
      </c>
      <c r="F160" s="16" t="n">
        <v>0.688332522525665</v>
      </c>
      <c r="G160" s="17" t="s">
        <v>89</v>
      </c>
      <c r="H160" s="18" t="n">
        <v>0.3</v>
      </c>
      <c r="I160" s="18" t="n">
        <v>2</v>
      </c>
      <c r="J160" s="19" t="n">
        <v>0.966272195191747</v>
      </c>
      <c r="K160" s="19" t="n">
        <v>0.538844646827104</v>
      </c>
      <c r="L160" s="16" t="n">
        <v>13.0699677279319</v>
      </c>
      <c r="M160" s="19" t="n">
        <v>0.888327152984396</v>
      </c>
      <c r="N160" s="19" t="n">
        <v>1.28529778068921</v>
      </c>
      <c r="O160" s="19" t="n">
        <v>1.41187379062655</v>
      </c>
      <c r="P160" s="19" t="n">
        <v>0.416903780561246</v>
      </c>
      <c r="Q160" s="17" t="s">
        <v>31</v>
      </c>
      <c r="R160" s="5" t="str">
        <f aca="false">IF(OR(Q160="Steel plate",Q160="Concrete jacket"),"Steel plate or jacket",Q160)</f>
        <v>Polymer laminate</v>
      </c>
      <c r="S160" s="5" t="str">
        <f aca="false">IF(O160&lt;='Tree rules'!$C$4,IF(N160&lt;='Tree rules'!$C$5,IF(P160&lt;='Tree rules'!$C$6,"Monitor","Polymer laminate"),IF(P160&lt;='Tree rules'!$C$7,"Seal cracks","Polymer laminate")),IF(O160&lt;='Tree rules'!$C$8,IF(M160&lt;='Tree rules'!$C$9,"Steel plate or jacket","Polymer laminate"),IF(L160&lt;='Tree rules'!$C$10,"Steel plate or jacket","Polymer laminate")))</f>
        <v>Polymer laminate</v>
      </c>
      <c r="T160" s="5" t="str">
        <f aca="false">IF(S160=R160,"Yes","No")</f>
        <v>Yes</v>
      </c>
    </row>
    <row r="161" customFormat="false" ht="15" hidden="false" customHeight="false" outlineLevel="0" collapsed="false">
      <c r="A161" s="15" t="n">
        <v>231</v>
      </c>
      <c r="B161" s="16" t="n">
        <v>4.49591229649943</v>
      </c>
      <c r="C161" s="15" t="n">
        <v>300</v>
      </c>
      <c r="D161" s="15" t="n">
        <v>450</v>
      </c>
      <c r="E161" s="15" t="n">
        <v>25</v>
      </c>
      <c r="F161" s="16" t="n">
        <v>0.781490709848207</v>
      </c>
      <c r="G161" s="17" t="s">
        <v>89</v>
      </c>
      <c r="H161" s="18" t="n">
        <v>0.3</v>
      </c>
      <c r="I161" s="18" t="n">
        <v>2</v>
      </c>
      <c r="J161" s="19" t="n">
        <v>0.900343436678985</v>
      </c>
      <c r="K161" s="19" t="n">
        <v>0.534972878955452</v>
      </c>
      <c r="L161" s="16" t="n">
        <v>11.1838614340782</v>
      </c>
      <c r="M161" s="19" t="n">
        <v>0.717279545280314</v>
      </c>
      <c r="N161" s="19" t="n">
        <v>1.07847180939448</v>
      </c>
      <c r="O161" s="19" t="n">
        <v>1.31902755298917</v>
      </c>
      <c r="P161" s="19" t="n">
        <v>0.570340451033227</v>
      </c>
      <c r="Q161" s="17" t="s">
        <v>31</v>
      </c>
      <c r="R161" s="5" t="str">
        <f aca="false">IF(OR(Q161="Steel plate",Q161="Concrete jacket"),"Steel plate or jacket",Q161)</f>
        <v>Polymer laminate</v>
      </c>
      <c r="S161" s="5" t="str">
        <f aca="false">IF(O161&lt;='Tree rules'!$C$4,IF(N161&lt;='Tree rules'!$C$5,IF(P161&lt;='Tree rules'!$C$6,"Monitor","Polymer laminate"),IF(P161&lt;='Tree rules'!$C$7,"Seal cracks","Polymer laminate")),IF(O161&lt;='Tree rules'!$C$8,IF(M161&lt;='Tree rules'!$C$9,"Steel plate or jacket","Polymer laminate"),IF(L161&lt;='Tree rules'!$C$10,"Steel plate or jacket","Polymer laminate")))</f>
        <v>Steel plate or jacket</v>
      </c>
      <c r="T161" s="5" t="str">
        <f aca="false">IF(S161=R161,"Yes","No")</f>
        <v>No</v>
      </c>
    </row>
    <row r="162" customFormat="false" ht="15" hidden="false" customHeight="false" outlineLevel="0" collapsed="false">
      <c r="A162" s="15" t="n">
        <v>232</v>
      </c>
      <c r="B162" s="16" t="n">
        <v>5.17064447128126</v>
      </c>
      <c r="C162" s="15" t="n">
        <v>230</v>
      </c>
      <c r="D162" s="15" t="n">
        <v>475</v>
      </c>
      <c r="E162" s="15" t="n">
        <v>25</v>
      </c>
      <c r="F162" s="16" t="n">
        <v>0.639770421258486</v>
      </c>
      <c r="G162" s="17" t="s">
        <v>91</v>
      </c>
      <c r="H162" s="18" t="n">
        <v>0.2</v>
      </c>
      <c r="I162" s="18" t="n">
        <v>1</v>
      </c>
      <c r="J162" s="19" t="n">
        <v>0.892086896621341</v>
      </c>
      <c r="K162" s="19" t="n">
        <v>0.472446977537181</v>
      </c>
      <c r="L162" s="16" t="n">
        <v>12.109237637661</v>
      </c>
      <c r="M162" s="19" t="n">
        <v>0.337812964097321</v>
      </c>
      <c r="N162" s="19" t="n">
        <v>1.32230162206698</v>
      </c>
      <c r="O162" s="19" t="n">
        <v>0.892086896621341</v>
      </c>
      <c r="P162" s="19" t="n">
        <v>0.822041502708402</v>
      </c>
      <c r="Q162" s="17" t="s">
        <v>30</v>
      </c>
      <c r="R162" s="5" t="str">
        <f aca="false">IF(OR(Q162="Steel plate",Q162="Concrete jacket"),"Steel plate or jacket",Q162)</f>
        <v>Seal cracks</v>
      </c>
      <c r="S162" s="5" t="str">
        <f aca="false">IF(O162&lt;='Tree rules'!$C$4,IF(N162&lt;='Tree rules'!$C$5,IF(P162&lt;='Tree rules'!$C$6,"Monitor","Polymer laminate"),IF(P162&lt;='Tree rules'!$C$7,"Seal cracks","Polymer laminate")),IF(O162&lt;='Tree rules'!$C$8,IF(M162&lt;='Tree rules'!$C$9,"Steel plate or jacket","Polymer laminate"),IF(L162&lt;='Tree rules'!$C$10,"Steel plate or jacket","Polymer laminate")))</f>
        <v>Seal cracks</v>
      </c>
      <c r="T162" s="5" t="str">
        <f aca="false">IF(S162=R162,"Yes","No")</f>
        <v>Yes</v>
      </c>
    </row>
    <row r="163" customFormat="false" ht="15" hidden="false" customHeight="false" outlineLevel="0" collapsed="false">
      <c r="A163" s="15" t="n">
        <v>233</v>
      </c>
      <c r="B163" s="16" t="n">
        <v>3.58909594607171</v>
      </c>
      <c r="C163" s="15" t="n">
        <v>300</v>
      </c>
      <c r="D163" s="15" t="n">
        <v>350</v>
      </c>
      <c r="E163" s="15" t="n">
        <v>30</v>
      </c>
      <c r="F163" s="16" t="n">
        <v>0.881850569428714</v>
      </c>
      <c r="G163" s="17" t="s">
        <v>91</v>
      </c>
      <c r="H163" s="18" t="n">
        <v>0.2</v>
      </c>
      <c r="I163" s="18" t="n">
        <v>1</v>
      </c>
      <c r="J163" s="19" t="n">
        <v>0.89791658318976</v>
      </c>
      <c r="K163" s="19" t="n">
        <v>0.53974445182651</v>
      </c>
      <c r="L163" s="16" t="n">
        <v>11.8062366647096</v>
      </c>
      <c r="M163" s="19" t="n">
        <v>0.624514773280837</v>
      </c>
      <c r="N163" s="19" t="n">
        <v>0.982340053090049</v>
      </c>
      <c r="O163" s="19" t="n">
        <v>0.89791658318976</v>
      </c>
      <c r="P163" s="19" t="n">
        <v>0.536148063433641</v>
      </c>
      <c r="Q163" s="17" t="s">
        <v>29</v>
      </c>
      <c r="R163" s="5" t="str">
        <f aca="false">IF(OR(Q163="Steel plate",Q163="Concrete jacket"),"Steel plate or jacket",Q163)</f>
        <v>Monitor</v>
      </c>
      <c r="S163" s="5" t="str">
        <f aca="false">IF(O163&lt;='Tree rules'!$C$4,IF(N163&lt;='Tree rules'!$C$5,IF(P163&lt;='Tree rules'!$C$6,"Monitor","Polymer laminate"),IF(P163&lt;='Tree rules'!$C$7,"Seal cracks","Polymer laminate")),IF(O163&lt;='Tree rules'!$C$8,IF(M163&lt;='Tree rules'!$C$9,"Steel plate or jacket","Polymer laminate"),IF(L163&lt;='Tree rules'!$C$10,"Steel plate or jacket","Polymer laminate")))</f>
        <v>Monitor</v>
      </c>
      <c r="T163" s="5" t="str">
        <f aca="false">IF(S163=R163,"Yes","No")</f>
        <v>Yes</v>
      </c>
    </row>
    <row r="164" customFormat="false" ht="15" hidden="false" customHeight="false" outlineLevel="0" collapsed="false">
      <c r="A164" s="15" t="n">
        <v>234</v>
      </c>
      <c r="B164" s="16" t="n">
        <v>4.57405157909007</v>
      </c>
      <c r="C164" s="15" t="n">
        <v>230</v>
      </c>
      <c r="D164" s="15" t="n">
        <v>450</v>
      </c>
      <c r="E164" s="15" t="n">
        <v>20</v>
      </c>
      <c r="F164" s="16" t="n">
        <v>0.679557138998441</v>
      </c>
      <c r="G164" s="17" t="s">
        <v>89</v>
      </c>
      <c r="H164" s="18" t="n">
        <v>0.3</v>
      </c>
      <c r="I164" s="18" t="n">
        <v>1</v>
      </c>
      <c r="J164" s="19" t="n">
        <v>0.905873861357075</v>
      </c>
      <c r="K164" s="19" t="n">
        <v>0.425092547437159</v>
      </c>
      <c r="L164" s="16" t="n">
        <v>11.3782377589305</v>
      </c>
      <c r="M164" s="19" t="n">
        <v>0.48893915095467</v>
      </c>
      <c r="N164" s="19" t="n">
        <v>0.852357699350851</v>
      </c>
      <c r="O164" s="19" t="n">
        <v>0.905873861357075</v>
      </c>
      <c r="P164" s="19" t="n">
        <v>0.59170990767869</v>
      </c>
      <c r="Q164" s="17" t="s">
        <v>29</v>
      </c>
      <c r="R164" s="5" t="str">
        <f aca="false">IF(OR(Q164="Steel plate",Q164="Concrete jacket"),"Steel plate or jacket",Q164)</f>
        <v>Monitor</v>
      </c>
      <c r="S164" s="5" t="str">
        <f aca="false">IF(O164&lt;='Tree rules'!$C$4,IF(N164&lt;='Tree rules'!$C$5,IF(P164&lt;='Tree rules'!$C$6,"Monitor","Polymer laminate"),IF(P164&lt;='Tree rules'!$C$7,"Seal cracks","Polymer laminate")),IF(O164&lt;='Tree rules'!$C$8,IF(M164&lt;='Tree rules'!$C$9,"Steel plate or jacket","Polymer laminate"),IF(L164&lt;='Tree rules'!$C$10,"Steel plate or jacket","Polymer laminate")))</f>
        <v>Monitor</v>
      </c>
      <c r="T164" s="5" t="str">
        <f aca="false">IF(S164=R164,"Yes","No")</f>
        <v>Yes</v>
      </c>
    </row>
    <row r="165" customFormat="false" ht="15" hidden="false" customHeight="false" outlineLevel="0" collapsed="false">
      <c r="A165" s="15" t="n">
        <v>235</v>
      </c>
      <c r="B165" s="16" t="n">
        <v>4.10831559279099</v>
      </c>
      <c r="C165" s="15" t="n">
        <v>300</v>
      </c>
      <c r="D165" s="15" t="n">
        <v>375</v>
      </c>
      <c r="E165" s="15" t="n">
        <v>30</v>
      </c>
      <c r="F165" s="16" t="n">
        <v>0.683367586279351</v>
      </c>
      <c r="G165" s="17" t="s">
        <v>91</v>
      </c>
      <c r="H165" s="18" t="n">
        <v>0.2</v>
      </c>
      <c r="I165" s="18" t="n">
        <v>1</v>
      </c>
      <c r="J165" s="19" t="n">
        <v>0.873599713206937</v>
      </c>
      <c r="K165" s="19" t="n">
        <v>0.467070704526269</v>
      </c>
      <c r="L165" s="16" t="n">
        <v>12.4118295854713</v>
      </c>
      <c r="M165" s="19" t="n">
        <v>0.74226131446111</v>
      </c>
      <c r="N165" s="19" t="n">
        <v>0.811863418211903</v>
      </c>
      <c r="O165" s="19" t="n">
        <v>0.873599713206937</v>
      </c>
      <c r="P165" s="19" t="n">
        <v>0.376994359107929</v>
      </c>
      <c r="Q165" s="17" t="s">
        <v>29</v>
      </c>
      <c r="R165" s="5" t="str">
        <f aca="false">IF(OR(Q165="Steel plate",Q165="Concrete jacket"),"Steel plate or jacket",Q165)</f>
        <v>Monitor</v>
      </c>
      <c r="S165" s="5" t="str">
        <f aca="false">IF(O165&lt;='Tree rules'!$C$4,IF(N165&lt;='Tree rules'!$C$5,IF(P165&lt;='Tree rules'!$C$6,"Monitor","Polymer laminate"),IF(P165&lt;='Tree rules'!$C$7,"Seal cracks","Polymer laminate")),IF(O165&lt;='Tree rules'!$C$8,IF(M165&lt;='Tree rules'!$C$9,"Steel plate or jacket","Polymer laminate"),IF(L165&lt;='Tree rules'!$C$10,"Steel plate or jacket","Polymer laminate")))</f>
        <v>Monitor</v>
      </c>
      <c r="T165" s="5" t="str">
        <f aca="false">IF(S165=R165,"Yes","No")</f>
        <v>Yes</v>
      </c>
    </row>
    <row r="166" customFormat="false" ht="15" hidden="false" customHeight="false" outlineLevel="0" collapsed="false">
      <c r="A166" s="15" t="n">
        <v>236</v>
      </c>
      <c r="B166" s="16" t="n">
        <v>6.16670734156769</v>
      </c>
      <c r="C166" s="15" t="n">
        <v>230</v>
      </c>
      <c r="D166" s="15" t="n">
        <v>500</v>
      </c>
      <c r="E166" s="15" t="n">
        <v>20</v>
      </c>
      <c r="F166" s="16" t="n">
        <v>0.577653504586516</v>
      </c>
      <c r="G166" s="17" t="s">
        <v>89</v>
      </c>
      <c r="H166" s="18" t="n">
        <v>0.3</v>
      </c>
      <c r="I166" s="18" t="n">
        <v>1</v>
      </c>
      <c r="J166" s="19" t="n">
        <v>0.862475418401278</v>
      </c>
      <c r="K166" s="19" t="n">
        <v>0.618616027521341</v>
      </c>
      <c r="L166" s="16" t="n">
        <v>13.583055818431</v>
      </c>
      <c r="M166" s="19" t="n">
        <v>0.527110685251971</v>
      </c>
      <c r="N166" s="19" t="n">
        <v>0.606886916992842</v>
      </c>
      <c r="O166" s="19" t="n">
        <v>0.862475418401278</v>
      </c>
      <c r="P166" s="19" t="n">
        <v>0.676073931545395</v>
      </c>
      <c r="Q166" s="17" t="s">
        <v>29</v>
      </c>
      <c r="R166" s="5" t="str">
        <f aca="false">IF(OR(Q166="Steel plate",Q166="Concrete jacket"),"Steel plate or jacket",Q166)</f>
        <v>Monitor</v>
      </c>
      <c r="S166" s="5" t="str">
        <f aca="false">IF(O166&lt;='Tree rules'!$C$4,IF(N166&lt;='Tree rules'!$C$5,IF(P166&lt;='Tree rules'!$C$6,"Monitor","Polymer laminate"),IF(P166&lt;='Tree rules'!$C$7,"Seal cracks","Polymer laminate")),IF(O166&lt;='Tree rules'!$C$8,IF(M166&lt;='Tree rules'!$C$9,"Steel plate or jacket","Polymer laminate"),IF(L166&lt;='Tree rules'!$C$10,"Steel plate or jacket","Polymer laminate")))</f>
        <v>Monitor</v>
      </c>
      <c r="T166" s="5" t="str">
        <f aca="false">IF(S166=R166,"Yes","No")</f>
        <v>Yes</v>
      </c>
    </row>
    <row r="167" customFormat="false" ht="15" hidden="false" customHeight="false" outlineLevel="0" collapsed="false">
      <c r="A167" s="15" t="n">
        <v>237</v>
      </c>
      <c r="B167" s="16" t="n">
        <v>3.53547963179012</v>
      </c>
      <c r="C167" s="15" t="n">
        <v>230</v>
      </c>
      <c r="D167" s="15" t="n">
        <v>325</v>
      </c>
      <c r="E167" s="15" t="n">
        <v>30</v>
      </c>
      <c r="F167" s="16" t="n">
        <v>0.524976027522354</v>
      </c>
      <c r="G167" s="17" t="s">
        <v>91</v>
      </c>
      <c r="H167" s="18" t="n">
        <v>0.2</v>
      </c>
      <c r="I167" s="18" t="n">
        <v>1.5</v>
      </c>
      <c r="J167" s="19" t="n">
        <v>0.964288955727848</v>
      </c>
      <c r="K167" s="19" t="n">
        <v>0.489965834780636</v>
      </c>
      <c r="L167" s="16" t="n">
        <v>12.5817780490752</v>
      </c>
      <c r="M167" s="19" t="n">
        <v>0.704839135163787</v>
      </c>
      <c r="N167" s="19" t="n">
        <v>1.29353722295854</v>
      </c>
      <c r="O167" s="19" t="n">
        <v>1.2101991120103</v>
      </c>
      <c r="P167" s="19" t="n">
        <v>0.366121909234176</v>
      </c>
      <c r="Q167" s="17" t="s">
        <v>31</v>
      </c>
      <c r="R167" s="5" t="str">
        <f aca="false">IF(OR(Q167="Steel plate",Q167="Concrete jacket"),"Steel plate or jacket",Q167)</f>
        <v>Polymer laminate</v>
      </c>
      <c r="S167" s="5" t="str">
        <f aca="false">IF(O167&lt;='Tree rules'!$C$4,IF(N167&lt;='Tree rules'!$C$5,IF(P167&lt;='Tree rules'!$C$6,"Monitor","Polymer laminate"),IF(P167&lt;='Tree rules'!$C$7,"Seal cracks","Polymer laminate")),IF(O167&lt;='Tree rules'!$C$8,IF(M167&lt;='Tree rules'!$C$9,"Steel plate or jacket","Polymer laminate"),IF(L167&lt;='Tree rules'!$C$10,"Steel plate or jacket","Polymer laminate")))</f>
        <v>Polymer laminate</v>
      </c>
      <c r="T167" s="5" t="str">
        <f aca="false">IF(S167=R167,"Yes","No")</f>
        <v>Yes</v>
      </c>
    </row>
    <row r="168" customFormat="false" ht="15" hidden="false" customHeight="false" outlineLevel="0" collapsed="false">
      <c r="A168" s="15" t="n">
        <v>240</v>
      </c>
      <c r="B168" s="16" t="n">
        <v>4.0476342273383</v>
      </c>
      <c r="C168" s="15" t="n">
        <v>230</v>
      </c>
      <c r="D168" s="15" t="n">
        <v>325</v>
      </c>
      <c r="E168" s="15" t="n">
        <v>30</v>
      </c>
      <c r="F168" s="16" t="n">
        <v>0.626653981080713</v>
      </c>
      <c r="G168" s="17" t="s">
        <v>89</v>
      </c>
      <c r="H168" s="18" t="n">
        <v>0.3</v>
      </c>
      <c r="I168" s="18" t="n">
        <v>1</v>
      </c>
      <c r="J168" s="19" t="n">
        <v>0.875177081122293</v>
      </c>
      <c r="K168" s="19" t="n">
        <v>0.495108306598168</v>
      </c>
      <c r="L168" s="16" t="n">
        <v>14.5076495603523</v>
      </c>
      <c r="M168" s="19" t="n">
        <v>0.932829388210074</v>
      </c>
      <c r="N168" s="19" t="n">
        <v>0.725871562824846</v>
      </c>
      <c r="O168" s="19" t="n">
        <v>0.875177081122293</v>
      </c>
      <c r="P168" s="19" t="n">
        <v>0.309416871212665</v>
      </c>
      <c r="Q168" s="17" t="s">
        <v>29</v>
      </c>
      <c r="R168" s="5" t="str">
        <f aca="false">IF(OR(Q168="Steel plate",Q168="Concrete jacket"),"Steel plate or jacket",Q168)</f>
        <v>Monitor</v>
      </c>
      <c r="S168" s="5" t="str">
        <f aca="false">IF(O168&lt;='Tree rules'!$C$4,IF(N168&lt;='Tree rules'!$C$5,IF(P168&lt;='Tree rules'!$C$6,"Monitor","Polymer laminate"),IF(P168&lt;='Tree rules'!$C$7,"Seal cracks","Polymer laminate")),IF(O168&lt;='Tree rules'!$C$8,IF(M168&lt;='Tree rules'!$C$9,"Steel plate or jacket","Polymer laminate"),IF(L168&lt;='Tree rules'!$C$10,"Steel plate or jacket","Polymer laminate")))</f>
        <v>Monitor</v>
      </c>
      <c r="T168" s="5" t="str">
        <f aca="false">IF(S168=R168,"Yes","No")</f>
        <v>Yes</v>
      </c>
    </row>
    <row r="169" customFormat="false" ht="15" hidden="false" customHeight="false" outlineLevel="0" collapsed="false">
      <c r="A169" s="15" t="n">
        <v>241</v>
      </c>
      <c r="B169" s="16" t="n">
        <v>7.53611675500645</v>
      </c>
      <c r="C169" s="15" t="n">
        <v>300</v>
      </c>
      <c r="D169" s="15" t="n">
        <v>600</v>
      </c>
      <c r="E169" s="15" t="n">
        <v>25</v>
      </c>
      <c r="F169" s="16" t="n">
        <v>0.569129103911194</v>
      </c>
      <c r="G169" s="17" t="s">
        <v>91</v>
      </c>
      <c r="H169" s="18" t="n">
        <v>0.2</v>
      </c>
      <c r="I169" s="18" t="n">
        <v>1</v>
      </c>
      <c r="J169" s="19" t="n">
        <v>0.869925711724841</v>
      </c>
      <c r="K169" s="19" t="n">
        <v>0.638423643442531</v>
      </c>
      <c r="L169" s="16" t="n">
        <v>13.6523854257363</v>
      </c>
      <c r="M169" s="19" t="n">
        <v>0.257399671222223</v>
      </c>
      <c r="N169" s="19" t="n">
        <v>1.14833746347114</v>
      </c>
      <c r="O169" s="19" t="n">
        <v>0.869925711724841</v>
      </c>
      <c r="P169" s="19" t="n">
        <v>1.30219930294921</v>
      </c>
      <c r="Q169" s="17" t="s">
        <v>31</v>
      </c>
      <c r="R169" s="5" t="str">
        <f aca="false">IF(OR(Q169="Steel plate",Q169="Concrete jacket"),"Steel plate or jacket",Q169)</f>
        <v>Polymer laminate</v>
      </c>
      <c r="S169" s="5" t="str">
        <f aca="false">IF(O169&lt;='Tree rules'!$C$4,IF(N169&lt;='Tree rules'!$C$5,IF(P169&lt;='Tree rules'!$C$6,"Monitor","Polymer laminate"),IF(P169&lt;='Tree rules'!$C$7,"Seal cracks","Polymer laminate")),IF(O169&lt;='Tree rules'!$C$8,IF(M169&lt;='Tree rules'!$C$9,"Steel plate or jacket","Polymer laminate"),IF(L169&lt;='Tree rules'!$C$10,"Steel plate or jacket","Polymer laminate")))</f>
        <v>Polymer laminate</v>
      </c>
      <c r="T169" s="5" t="str">
        <f aca="false">IF(S169=R169,"Yes","No")</f>
        <v>Yes</v>
      </c>
    </row>
    <row r="170" customFormat="false" ht="15" hidden="false" customHeight="false" outlineLevel="0" collapsed="false">
      <c r="A170" s="15" t="n">
        <v>242</v>
      </c>
      <c r="B170" s="16" t="n">
        <v>3.19542531778786</v>
      </c>
      <c r="C170" s="15" t="n">
        <v>230</v>
      </c>
      <c r="D170" s="15" t="n">
        <v>300</v>
      </c>
      <c r="E170" s="15" t="n">
        <v>20</v>
      </c>
      <c r="F170" s="16" t="n">
        <v>0.688332522525665</v>
      </c>
      <c r="G170" s="17" t="s">
        <v>91</v>
      </c>
      <c r="H170" s="18" t="n">
        <v>0.2</v>
      </c>
      <c r="I170" s="18" t="n">
        <v>1</v>
      </c>
      <c r="J170" s="19" t="n">
        <v>0.981443587483096</v>
      </c>
      <c r="K170" s="19" t="n">
        <v>0.402819043851068</v>
      </c>
      <c r="L170" s="16" t="n">
        <v>12.5804146369601</v>
      </c>
      <c r="M170" s="19" t="n">
        <v>0.513093124937076</v>
      </c>
      <c r="N170" s="19" t="n">
        <v>1.36754440254924</v>
      </c>
      <c r="O170" s="19" t="n">
        <v>0.981443587483096</v>
      </c>
      <c r="P170" s="19" t="n">
        <v>0.565081020283275</v>
      </c>
      <c r="Q170" s="17" t="s">
        <v>30</v>
      </c>
      <c r="R170" s="5" t="str">
        <f aca="false">IF(OR(Q170="Steel plate",Q170="Concrete jacket"),"Steel plate or jacket",Q170)</f>
        <v>Seal cracks</v>
      </c>
      <c r="S170" s="5" t="str">
        <f aca="false">IF(O170&lt;='Tree rules'!$C$4,IF(N170&lt;='Tree rules'!$C$5,IF(P170&lt;='Tree rules'!$C$6,"Monitor","Polymer laminate"),IF(P170&lt;='Tree rules'!$C$7,"Seal cracks","Polymer laminate")),IF(O170&lt;='Tree rules'!$C$8,IF(M170&lt;='Tree rules'!$C$9,"Steel plate or jacket","Polymer laminate"),IF(L170&lt;='Tree rules'!$C$10,"Steel plate or jacket","Polymer laminate")))</f>
        <v>Seal cracks</v>
      </c>
      <c r="T170" s="5" t="str">
        <f aca="false">IF(S170=R170,"Yes","No")</f>
        <v>Yes</v>
      </c>
    </row>
    <row r="171" customFormat="false" ht="15" hidden="false" customHeight="false" outlineLevel="0" collapsed="false">
      <c r="A171" s="15" t="n">
        <v>244</v>
      </c>
      <c r="B171" s="16" t="n">
        <v>7.28931692287433</v>
      </c>
      <c r="C171" s="15" t="n">
        <v>300</v>
      </c>
      <c r="D171" s="15" t="n">
        <v>700</v>
      </c>
      <c r="E171" s="15" t="n">
        <v>20</v>
      </c>
      <c r="F171" s="16" t="n">
        <v>0.614868286941122</v>
      </c>
      <c r="G171" s="17" t="s">
        <v>89</v>
      </c>
      <c r="H171" s="18" t="n">
        <v>0.3</v>
      </c>
      <c r="I171" s="18" t="n">
        <v>1</v>
      </c>
      <c r="J171" s="19" t="n">
        <v>0.860409747555541</v>
      </c>
      <c r="K171" s="19" t="n">
        <v>0.4933483818963</v>
      </c>
      <c r="L171" s="16" t="n">
        <v>11.1457445303889</v>
      </c>
      <c r="M171" s="19" t="n">
        <v>0.378396860420222</v>
      </c>
      <c r="N171" s="19" t="n">
        <v>0.539915701378414</v>
      </c>
      <c r="O171" s="19" t="n">
        <v>0.860409747555541</v>
      </c>
      <c r="P171" s="19" t="n">
        <v>0.771968146313139</v>
      </c>
      <c r="Q171" s="17" t="s">
        <v>29</v>
      </c>
      <c r="R171" s="5" t="str">
        <f aca="false">IF(OR(Q171="Steel plate",Q171="Concrete jacket"),"Steel plate or jacket",Q171)</f>
        <v>Monitor</v>
      </c>
      <c r="S171" s="5" t="str">
        <f aca="false">IF(O171&lt;='Tree rules'!$C$4,IF(N171&lt;='Tree rules'!$C$5,IF(P171&lt;='Tree rules'!$C$6,"Monitor","Polymer laminate"),IF(P171&lt;='Tree rules'!$C$7,"Seal cracks","Polymer laminate")),IF(O171&lt;='Tree rules'!$C$8,IF(M171&lt;='Tree rules'!$C$9,"Steel plate or jacket","Polymer laminate"),IF(L171&lt;='Tree rules'!$C$10,"Steel plate or jacket","Polymer laminate")))</f>
        <v>Monitor</v>
      </c>
      <c r="T171" s="5" t="str">
        <f aca="false">IF(S171=R171,"Yes","No")</f>
        <v>Yes</v>
      </c>
    </row>
    <row r="172" customFormat="false" ht="15" hidden="false" customHeight="false" outlineLevel="0" collapsed="false">
      <c r="A172" s="15" t="n">
        <v>245</v>
      </c>
      <c r="B172" s="16" t="n">
        <v>5.22799864501894</v>
      </c>
      <c r="C172" s="15" t="n">
        <v>300</v>
      </c>
      <c r="D172" s="15" t="n">
        <v>475</v>
      </c>
      <c r="E172" s="15" t="n">
        <v>30</v>
      </c>
      <c r="F172" s="16" t="n">
        <v>0.624901102811956</v>
      </c>
      <c r="G172" s="17" t="s">
        <v>89</v>
      </c>
      <c r="H172" s="18" t="n">
        <v>0.3</v>
      </c>
      <c r="I172" s="18" t="n">
        <v>1</v>
      </c>
      <c r="J172" s="19" t="n">
        <v>0.892644585129568</v>
      </c>
      <c r="K172" s="19" t="n">
        <v>0.524705149920523</v>
      </c>
      <c r="L172" s="16" t="n">
        <v>12.1864770280162</v>
      </c>
      <c r="M172" s="19" t="n">
        <v>0.41002747291097</v>
      </c>
      <c r="N172" s="19" t="n">
        <v>0.660349494676768</v>
      </c>
      <c r="O172" s="19" t="n">
        <v>0.892644585129568</v>
      </c>
      <c r="P172" s="19" t="n">
        <v>0.673063210314983</v>
      </c>
      <c r="Q172" s="17" t="s">
        <v>29</v>
      </c>
      <c r="R172" s="5" t="str">
        <f aca="false">IF(OR(Q172="Steel plate",Q172="Concrete jacket"),"Steel plate or jacket",Q172)</f>
        <v>Monitor</v>
      </c>
      <c r="S172" s="5" t="str">
        <f aca="false">IF(O172&lt;='Tree rules'!$C$4,IF(N172&lt;='Tree rules'!$C$5,IF(P172&lt;='Tree rules'!$C$6,"Monitor","Polymer laminate"),IF(P172&lt;='Tree rules'!$C$7,"Seal cracks","Polymer laminate")),IF(O172&lt;='Tree rules'!$C$8,IF(M172&lt;='Tree rules'!$C$9,"Steel plate or jacket","Polymer laminate"),IF(L172&lt;='Tree rules'!$C$10,"Steel plate or jacket","Polymer laminate")))</f>
        <v>Monitor</v>
      </c>
      <c r="T172" s="5" t="str">
        <f aca="false">IF(S172=R172,"Yes","No")</f>
        <v>Yes</v>
      </c>
    </row>
    <row r="173" customFormat="false" ht="15" hidden="false" customHeight="false" outlineLevel="0" collapsed="false">
      <c r="A173" s="15" t="n">
        <v>246</v>
      </c>
      <c r="B173" s="16" t="n">
        <v>6.04761755470383</v>
      </c>
      <c r="C173" s="15" t="n">
        <v>300</v>
      </c>
      <c r="D173" s="15" t="n">
        <v>550</v>
      </c>
      <c r="E173" s="15" t="n">
        <v>30</v>
      </c>
      <c r="F173" s="16" t="n">
        <v>0.664887334093078</v>
      </c>
      <c r="G173" s="17" t="s">
        <v>91</v>
      </c>
      <c r="H173" s="18" t="n">
        <v>0.2</v>
      </c>
      <c r="I173" s="18" t="n">
        <v>2</v>
      </c>
      <c r="J173" s="19" t="n">
        <v>0.97388556539375</v>
      </c>
      <c r="K173" s="19" t="n">
        <v>0.553386217223082</v>
      </c>
      <c r="L173" s="16" t="n">
        <v>11.9992411799679</v>
      </c>
      <c r="M173" s="19" t="n">
        <v>0.301771474921558</v>
      </c>
      <c r="N173" s="19" t="n">
        <v>1.4798755528449</v>
      </c>
      <c r="O173" s="19" t="n">
        <v>1.40883628174609</v>
      </c>
      <c r="P173" s="19" t="n">
        <v>1.32340511695808</v>
      </c>
      <c r="Q173" s="17" t="s">
        <v>92</v>
      </c>
      <c r="R173" s="5" t="str">
        <f aca="false">IF(OR(Q173="Steel plate",Q173="Concrete jacket"),"Steel plate or jacket",Q173)</f>
        <v>Steel plate or jacket</v>
      </c>
      <c r="S173" s="5" t="str">
        <f aca="false">IF(O173&lt;='Tree rules'!$C$4,IF(N173&lt;='Tree rules'!$C$5,IF(P173&lt;='Tree rules'!$C$6,"Monitor","Polymer laminate"),IF(P173&lt;='Tree rules'!$C$7,"Seal cracks","Polymer laminate")),IF(O173&lt;='Tree rules'!$C$8,IF(M173&lt;='Tree rules'!$C$9,"Steel plate or jacket","Polymer laminate"),IF(L173&lt;='Tree rules'!$C$10,"Steel plate or jacket","Polymer laminate")))</f>
        <v>Steel plate or jacket</v>
      </c>
      <c r="T173" s="5" t="str">
        <f aca="false">IF(S173=R173,"Yes","No")</f>
        <v>Yes</v>
      </c>
    </row>
    <row r="174" customFormat="false" ht="15" hidden="false" customHeight="false" outlineLevel="0" collapsed="false">
      <c r="A174" s="15" t="n">
        <v>247</v>
      </c>
      <c r="B174" s="16" t="n">
        <v>7.43033474073734</v>
      </c>
      <c r="C174" s="15" t="n">
        <v>300</v>
      </c>
      <c r="D174" s="15" t="n">
        <v>625</v>
      </c>
      <c r="E174" s="15" t="n">
        <v>25</v>
      </c>
      <c r="F174" s="16" t="n">
        <v>0.578762031749415</v>
      </c>
      <c r="G174" s="17" t="s">
        <v>89</v>
      </c>
      <c r="H174" s="18" t="n">
        <v>0.3</v>
      </c>
      <c r="I174" s="18" t="n">
        <v>1</v>
      </c>
      <c r="J174" s="19" t="n">
        <v>0.966863718728628</v>
      </c>
      <c r="K174" s="19" t="n">
        <v>0.462023787991621</v>
      </c>
      <c r="L174" s="16" t="n">
        <v>12.8330479114635</v>
      </c>
      <c r="M174" s="19" t="n">
        <v>0.664124214601916</v>
      </c>
      <c r="N174" s="19" t="n">
        <v>0.60520636321112</v>
      </c>
      <c r="O174" s="19" t="n">
        <v>0.966863718728628</v>
      </c>
      <c r="P174" s="19" t="n">
        <v>0.500737269172704</v>
      </c>
      <c r="Q174" s="17" t="s">
        <v>29</v>
      </c>
      <c r="R174" s="5" t="str">
        <f aca="false">IF(OR(Q174="Steel plate",Q174="Concrete jacket"),"Steel plate or jacket",Q174)</f>
        <v>Monitor</v>
      </c>
      <c r="S174" s="5" t="str">
        <f aca="false">IF(O174&lt;='Tree rules'!$C$4,IF(N174&lt;='Tree rules'!$C$5,IF(P174&lt;='Tree rules'!$C$6,"Monitor","Polymer laminate"),IF(P174&lt;='Tree rules'!$C$7,"Seal cracks","Polymer laminate")),IF(O174&lt;='Tree rules'!$C$8,IF(M174&lt;='Tree rules'!$C$9,"Steel plate or jacket","Polymer laminate"),IF(L174&lt;='Tree rules'!$C$10,"Steel plate or jacket","Polymer laminate")))</f>
        <v>Monitor</v>
      </c>
      <c r="T174" s="5" t="str">
        <f aca="false">IF(S174=R174,"Yes","No")</f>
        <v>Yes</v>
      </c>
    </row>
    <row r="175" customFormat="false" ht="15" hidden="false" customHeight="false" outlineLevel="0" collapsed="false">
      <c r="A175" s="15" t="n">
        <v>248</v>
      </c>
      <c r="B175" s="16" t="n">
        <v>5.35454867507222</v>
      </c>
      <c r="C175" s="15" t="n">
        <v>230</v>
      </c>
      <c r="D175" s="15" t="n">
        <v>450</v>
      </c>
      <c r="E175" s="15" t="n">
        <v>30</v>
      </c>
      <c r="F175" s="16" t="n">
        <v>0.649145274956135</v>
      </c>
      <c r="G175" s="17" t="s">
        <v>91</v>
      </c>
      <c r="H175" s="18" t="n">
        <v>0.2</v>
      </c>
      <c r="I175" s="18" t="n">
        <v>1.5</v>
      </c>
      <c r="J175" s="19" t="n">
        <v>0.853052760171059</v>
      </c>
      <c r="K175" s="19" t="n">
        <v>0.561043695179264</v>
      </c>
      <c r="L175" s="16" t="n">
        <v>13.2538333541392</v>
      </c>
      <c r="M175" s="19" t="n">
        <v>0.74996337365365</v>
      </c>
      <c r="N175" s="19" t="n">
        <v>1.08417858808701</v>
      </c>
      <c r="O175" s="19" t="n">
        <v>1.04027920388197</v>
      </c>
      <c r="P175" s="19" t="n">
        <v>0.462935120207885</v>
      </c>
      <c r="Q175" s="17" t="s">
        <v>31</v>
      </c>
      <c r="R175" s="5" t="str">
        <f aca="false">IF(OR(Q175="Steel plate",Q175="Concrete jacket"),"Steel plate or jacket",Q175)</f>
        <v>Polymer laminate</v>
      </c>
      <c r="S175" s="5" t="str">
        <f aca="false">IF(O175&lt;='Tree rules'!$C$4,IF(N175&lt;='Tree rules'!$C$5,IF(P175&lt;='Tree rules'!$C$6,"Monitor","Polymer laminate"),IF(P175&lt;='Tree rules'!$C$7,"Seal cracks","Polymer laminate")),IF(O175&lt;='Tree rules'!$C$8,IF(M175&lt;='Tree rules'!$C$9,"Steel plate or jacket","Polymer laminate"),IF(L175&lt;='Tree rules'!$C$10,"Steel plate or jacket","Polymer laminate")))</f>
        <v>Polymer laminate</v>
      </c>
      <c r="T175" s="5" t="str">
        <f aca="false">IF(S175=R175,"Yes","No")</f>
        <v>Yes</v>
      </c>
    </row>
    <row r="176" customFormat="false" ht="15" hidden="false" customHeight="false" outlineLevel="0" collapsed="false">
      <c r="A176" s="15" t="n">
        <v>249</v>
      </c>
      <c r="B176" s="16" t="n">
        <v>4.73594079003558</v>
      </c>
      <c r="C176" s="15" t="n">
        <v>230</v>
      </c>
      <c r="D176" s="15" t="n">
        <v>375</v>
      </c>
      <c r="E176" s="15" t="n">
        <v>25</v>
      </c>
      <c r="F176" s="16" t="n">
        <v>0.594232683721175</v>
      </c>
      <c r="G176" s="17" t="s">
        <v>91</v>
      </c>
      <c r="H176" s="18" t="n">
        <v>0.2</v>
      </c>
      <c r="I176" s="18" t="n">
        <v>1.5</v>
      </c>
      <c r="J176" s="19" t="n">
        <v>0.902622721887412</v>
      </c>
      <c r="K176" s="19" t="n">
        <v>0.635462811316129</v>
      </c>
      <c r="L176" s="16" t="n">
        <v>14.3079782176301</v>
      </c>
      <c r="M176" s="19" t="n">
        <v>0.435770826739043</v>
      </c>
      <c r="N176" s="19" t="n">
        <v>1.09037559422856</v>
      </c>
      <c r="O176" s="19" t="n">
        <v>1.06714249662692</v>
      </c>
      <c r="P176" s="19" t="n">
        <v>0.842282635908808</v>
      </c>
      <c r="Q176" s="17" t="s">
        <v>31</v>
      </c>
      <c r="R176" s="5" t="str">
        <f aca="false">IF(OR(Q176="Steel plate",Q176="Concrete jacket"),"Steel plate or jacket",Q176)</f>
        <v>Polymer laminate</v>
      </c>
      <c r="S176" s="5" t="str">
        <f aca="false">IF(O176&lt;='Tree rules'!$C$4,IF(N176&lt;='Tree rules'!$C$5,IF(P176&lt;='Tree rules'!$C$6,"Monitor","Polymer laminate"),IF(P176&lt;='Tree rules'!$C$7,"Seal cracks","Polymer laminate")),IF(O176&lt;='Tree rules'!$C$8,IF(M176&lt;='Tree rules'!$C$9,"Steel plate or jacket","Polymer laminate"),IF(L176&lt;='Tree rules'!$C$10,"Steel plate or jacket","Polymer laminate")))</f>
        <v>Polymer laminate</v>
      </c>
      <c r="T176" s="5" t="str">
        <f aca="false">IF(S176=R176,"Yes","No")</f>
        <v>Yes</v>
      </c>
    </row>
    <row r="177" customFormat="false" ht="15" hidden="false" customHeight="false" outlineLevel="0" collapsed="false">
      <c r="A177" s="15" t="n">
        <v>250</v>
      </c>
      <c r="B177" s="16" t="n">
        <v>4.27440229472285</v>
      </c>
      <c r="C177" s="15" t="n">
        <v>300</v>
      </c>
      <c r="D177" s="15" t="n">
        <v>400</v>
      </c>
      <c r="E177" s="15" t="n">
        <v>30</v>
      </c>
      <c r="F177" s="16" t="n">
        <v>0.946619255318958</v>
      </c>
      <c r="G177" s="17" t="s">
        <v>91</v>
      </c>
      <c r="H177" s="18" t="n">
        <v>0.2</v>
      </c>
      <c r="I177" s="18" t="n">
        <v>1</v>
      </c>
      <c r="J177" s="19" t="n">
        <v>0.880790147224688</v>
      </c>
      <c r="K177" s="19" t="n">
        <v>0.590106582470998</v>
      </c>
      <c r="L177" s="16" t="n">
        <v>12.0745827534544</v>
      </c>
      <c r="M177" s="19" t="n">
        <v>0.884143673004274</v>
      </c>
      <c r="N177" s="19" t="n">
        <v>0.845409175397959</v>
      </c>
      <c r="O177" s="19" t="n">
        <v>0.880790147224688</v>
      </c>
      <c r="P177" s="19" t="n">
        <v>0.457973129325979</v>
      </c>
      <c r="Q177" s="17" t="s">
        <v>29</v>
      </c>
      <c r="R177" s="5" t="str">
        <f aca="false">IF(OR(Q177="Steel plate",Q177="Concrete jacket"),"Steel plate or jacket",Q177)</f>
        <v>Monitor</v>
      </c>
      <c r="S177" s="5" t="str">
        <f aca="false">IF(O177&lt;='Tree rules'!$C$4,IF(N177&lt;='Tree rules'!$C$5,IF(P177&lt;='Tree rules'!$C$6,"Monitor","Polymer laminate"),IF(P177&lt;='Tree rules'!$C$7,"Seal cracks","Polymer laminate")),IF(O177&lt;='Tree rules'!$C$8,IF(M177&lt;='Tree rules'!$C$9,"Steel plate or jacket","Polymer laminate"),IF(L177&lt;='Tree rules'!$C$10,"Steel plate or jacket","Polymer laminate")))</f>
        <v>Monitor</v>
      </c>
      <c r="T177" s="5" t="str">
        <f aca="false">IF(S177=R177,"Yes","No")</f>
        <v>Yes</v>
      </c>
    </row>
    <row r="178" customFormat="false" ht="15" hidden="false" customHeight="false" outlineLevel="0" collapsed="false">
      <c r="A178" s="15" t="n">
        <v>251</v>
      </c>
      <c r="B178" s="16" t="n">
        <v>6.58387499282426</v>
      </c>
      <c r="C178" s="15" t="n">
        <v>300</v>
      </c>
      <c r="D178" s="15" t="n">
        <v>575</v>
      </c>
      <c r="E178" s="15" t="n">
        <v>25</v>
      </c>
      <c r="F178" s="16" t="n">
        <v>0.596127638252333</v>
      </c>
      <c r="G178" s="17" t="s">
        <v>89</v>
      </c>
      <c r="H178" s="18" t="n">
        <v>0.3</v>
      </c>
      <c r="I178" s="18" t="n">
        <v>1</v>
      </c>
      <c r="J178" s="19" t="n">
        <v>0.903409191999822</v>
      </c>
      <c r="K178" s="19" t="n">
        <v>0.404574035901299</v>
      </c>
      <c r="L178" s="16" t="n">
        <v>12.493121428509</v>
      </c>
      <c r="M178" s="19" t="n">
        <v>0.470288870140069</v>
      </c>
      <c r="N178" s="19" t="n">
        <v>0.752117341474115</v>
      </c>
      <c r="O178" s="19" t="n">
        <v>0.903409191999822</v>
      </c>
      <c r="P178" s="19" t="n">
        <v>0.594140028829667</v>
      </c>
      <c r="Q178" s="17" t="s">
        <v>29</v>
      </c>
      <c r="R178" s="5" t="str">
        <f aca="false">IF(OR(Q178="Steel plate",Q178="Concrete jacket"),"Steel plate or jacket",Q178)</f>
        <v>Monitor</v>
      </c>
      <c r="S178" s="5" t="str">
        <f aca="false">IF(O178&lt;='Tree rules'!$C$4,IF(N178&lt;='Tree rules'!$C$5,IF(P178&lt;='Tree rules'!$C$6,"Monitor","Polymer laminate"),IF(P178&lt;='Tree rules'!$C$7,"Seal cracks","Polymer laminate")),IF(O178&lt;='Tree rules'!$C$8,IF(M178&lt;='Tree rules'!$C$9,"Steel plate or jacket","Polymer laminate"),IF(L178&lt;='Tree rules'!$C$10,"Steel plate or jacket","Polymer laminate")))</f>
        <v>Monitor</v>
      </c>
      <c r="T178" s="5" t="str">
        <f aca="false">IF(S178=R178,"Yes","No")</f>
        <v>Yes</v>
      </c>
    </row>
    <row r="179" customFormat="false" ht="15" hidden="false" customHeight="false" outlineLevel="0" collapsed="false">
      <c r="A179" s="15" t="n">
        <v>252</v>
      </c>
      <c r="B179" s="16" t="n">
        <v>3.91914641739262</v>
      </c>
      <c r="C179" s="15" t="n">
        <v>230</v>
      </c>
      <c r="D179" s="15" t="n">
        <v>325</v>
      </c>
      <c r="E179" s="15" t="n">
        <v>25</v>
      </c>
      <c r="F179" s="16" t="n">
        <v>0.662259320914844</v>
      </c>
      <c r="G179" s="17" t="s">
        <v>90</v>
      </c>
      <c r="H179" s="18" t="n">
        <v>0.1</v>
      </c>
      <c r="I179" s="18" t="n">
        <v>2</v>
      </c>
      <c r="J179" s="19" t="n">
        <v>0.992157902524213</v>
      </c>
      <c r="K179" s="19" t="n">
        <v>0.483526040834211</v>
      </c>
      <c r="L179" s="16" t="n">
        <v>14.8452515810327</v>
      </c>
      <c r="M179" s="19" t="n">
        <v>0.233999460664028</v>
      </c>
      <c r="N179" s="19" t="n">
        <v>5.22350993845261</v>
      </c>
      <c r="O179" s="19" t="n">
        <v>1.50458162255852</v>
      </c>
      <c r="P179" s="19" t="n">
        <v>1.56189397259797</v>
      </c>
      <c r="Q179" s="17" t="s">
        <v>31</v>
      </c>
      <c r="R179" s="5" t="str">
        <f aca="false">IF(OR(Q179="Steel plate",Q179="Concrete jacket"),"Steel plate or jacket",Q179)</f>
        <v>Polymer laminate</v>
      </c>
      <c r="S179" s="5" t="str">
        <f aca="false">IF(O179&lt;='Tree rules'!$C$4,IF(N179&lt;='Tree rules'!$C$5,IF(P179&lt;='Tree rules'!$C$6,"Monitor","Polymer laminate"),IF(P179&lt;='Tree rules'!$C$7,"Seal cracks","Polymer laminate")),IF(O179&lt;='Tree rules'!$C$8,IF(M179&lt;='Tree rules'!$C$9,"Steel plate or jacket","Polymer laminate"),IF(L179&lt;='Tree rules'!$C$10,"Steel plate or jacket","Polymer laminate")))</f>
        <v>Polymer laminate</v>
      </c>
      <c r="T179" s="5" t="str">
        <f aca="false">IF(S179=R179,"Yes","No")</f>
        <v>Yes</v>
      </c>
    </row>
    <row r="180" customFormat="false" ht="15" hidden="false" customHeight="false" outlineLevel="0" collapsed="false">
      <c r="A180" s="15" t="n">
        <v>253</v>
      </c>
      <c r="B180" s="16" t="n">
        <v>3.06752874190369</v>
      </c>
      <c r="C180" s="15" t="n">
        <v>230</v>
      </c>
      <c r="D180" s="15" t="n">
        <v>300</v>
      </c>
      <c r="E180" s="15" t="n">
        <v>30</v>
      </c>
      <c r="F180" s="16" t="n">
        <v>0.768324290280112</v>
      </c>
      <c r="G180" s="17" t="s">
        <v>89</v>
      </c>
      <c r="H180" s="18" t="n">
        <v>0.3</v>
      </c>
      <c r="I180" s="18" t="n">
        <v>1.5</v>
      </c>
      <c r="J180" s="19" t="n">
        <v>0.951921181520291</v>
      </c>
      <c r="K180" s="19" t="n">
        <v>0.431237194308787</v>
      </c>
      <c r="L180" s="16" t="n">
        <v>11.9825341480613</v>
      </c>
      <c r="M180" s="19" t="n">
        <v>0.256016525543763</v>
      </c>
      <c r="N180" s="19" t="n">
        <v>0.894951908754553</v>
      </c>
      <c r="O180" s="19" t="n">
        <v>1.22262986251948</v>
      </c>
      <c r="P180" s="19" t="n">
        <v>1.17366386076519</v>
      </c>
      <c r="Q180" s="17" t="s">
        <v>31</v>
      </c>
      <c r="R180" s="5" t="str">
        <f aca="false">IF(OR(Q180="Steel plate",Q180="Concrete jacket"),"Steel plate or jacket",Q180)</f>
        <v>Polymer laminate</v>
      </c>
      <c r="S180" s="5" t="str">
        <f aca="false">IF(O180&lt;='Tree rules'!$C$4,IF(N180&lt;='Tree rules'!$C$5,IF(P180&lt;='Tree rules'!$C$6,"Monitor","Polymer laminate"),IF(P180&lt;='Tree rules'!$C$7,"Seal cracks","Polymer laminate")),IF(O180&lt;='Tree rules'!$C$8,IF(M180&lt;='Tree rules'!$C$9,"Steel plate or jacket","Polymer laminate"),IF(L180&lt;='Tree rules'!$C$10,"Steel plate or jacket","Polymer laminate")))</f>
        <v>Steel plate or jacket</v>
      </c>
      <c r="T180" s="5" t="str">
        <f aca="false">IF(S180=R180,"Yes","No")</f>
        <v>No</v>
      </c>
    </row>
    <row r="181" customFormat="false" ht="15" hidden="false" customHeight="false" outlineLevel="0" collapsed="false">
      <c r="A181" s="15" t="n">
        <v>255</v>
      </c>
      <c r="B181" s="16" t="n">
        <v>6.64433336645399</v>
      </c>
      <c r="C181" s="15" t="n">
        <v>300</v>
      </c>
      <c r="D181" s="15" t="n">
        <v>625</v>
      </c>
      <c r="E181" s="15" t="n">
        <v>30</v>
      </c>
      <c r="F181" s="16" t="n">
        <v>0.907450217674695</v>
      </c>
      <c r="G181" s="17" t="s">
        <v>89</v>
      </c>
      <c r="H181" s="18" t="n">
        <v>0.3</v>
      </c>
      <c r="I181" s="18" t="n">
        <v>1</v>
      </c>
      <c r="J181" s="19" t="n">
        <v>0.951130665972265</v>
      </c>
      <c r="K181" s="19" t="n">
        <v>0.437256739837629</v>
      </c>
      <c r="L181" s="16" t="n">
        <v>11.5153091273033</v>
      </c>
      <c r="M181" s="19" t="n">
        <v>0.50998693247171</v>
      </c>
      <c r="N181" s="19" t="n">
        <v>0.624112673761311</v>
      </c>
      <c r="O181" s="19" t="n">
        <v>0.951130665972265</v>
      </c>
      <c r="P181" s="19" t="n">
        <v>0.730854076572413</v>
      </c>
      <c r="Q181" s="17" t="s">
        <v>29</v>
      </c>
      <c r="R181" s="5" t="str">
        <f aca="false">IF(OR(Q181="Steel plate",Q181="Concrete jacket"),"Steel plate or jacket",Q181)</f>
        <v>Monitor</v>
      </c>
      <c r="S181" s="5" t="str">
        <f aca="false">IF(O181&lt;='Tree rules'!$C$4,IF(N181&lt;='Tree rules'!$C$5,IF(P181&lt;='Tree rules'!$C$6,"Monitor","Polymer laminate"),IF(P181&lt;='Tree rules'!$C$7,"Seal cracks","Polymer laminate")),IF(O181&lt;='Tree rules'!$C$8,IF(M181&lt;='Tree rules'!$C$9,"Steel plate or jacket","Polymer laminate"),IF(L181&lt;='Tree rules'!$C$10,"Steel plate or jacket","Polymer laminate")))</f>
        <v>Monitor</v>
      </c>
      <c r="T181" s="5" t="str">
        <f aca="false">IF(S181=R181,"Yes","No")</f>
        <v>Yes</v>
      </c>
    </row>
    <row r="182" customFormat="false" ht="15" hidden="false" customHeight="false" outlineLevel="0" collapsed="false">
      <c r="A182" s="15" t="n">
        <v>257</v>
      </c>
      <c r="B182" s="16" t="n">
        <v>5.64766283500335</v>
      </c>
      <c r="C182" s="15" t="n">
        <v>300</v>
      </c>
      <c r="D182" s="15" t="n">
        <v>475</v>
      </c>
      <c r="E182" s="15" t="n">
        <v>25</v>
      </c>
      <c r="F182" s="16" t="n">
        <v>0.624901102811956</v>
      </c>
      <c r="G182" s="17" t="s">
        <v>89</v>
      </c>
      <c r="H182" s="18" t="n">
        <v>0.3</v>
      </c>
      <c r="I182" s="18" t="n">
        <v>1</v>
      </c>
      <c r="J182" s="19" t="n">
        <v>0.917192632841338</v>
      </c>
      <c r="K182" s="19" t="n">
        <v>0.566437941406137</v>
      </c>
      <c r="L182" s="16" t="n">
        <v>13.1647152331081</v>
      </c>
      <c r="M182" s="19" t="n">
        <v>0.837255846468014</v>
      </c>
      <c r="N182" s="19" t="n">
        <v>0.602736488360497</v>
      </c>
      <c r="O182" s="19" t="n">
        <v>0.917192632841338</v>
      </c>
      <c r="P182" s="19" t="n">
        <v>0.428921413158201</v>
      </c>
      <c r="Q182" s="17" t="s">
        <v>29</v>
      </c>
      <c r="R182" s="5" t="str">
        <f aca="false">IF(OR(Q182="Steel plate",Q182="Concrete jacket"),"Steel plate or jacket",Q182)</f>
        <v>Monitor</v>
      </c>
      <c r="S182" s="5" t="str">
        <f aca="false">IF(O182&lt;='Tree rules'!$C$4,IF(N182&lt;='Tree rules'!$C$5,IF(P182&lt;='Tree rules'!$C$6,"Monitor","Polymer laminate"),IF(P182&lt;='Tree rules'!$C$7,"Seal cracks","Polymer laminate")),IF(O182&lt;='Tree rules'!$C$8,IF(M182&lt;='Tree rules'!$C$9,"Steel plate or jacket","Polymer laminate"),IF(L182&lt;='Tree rules'!$C$10,"Steel plate or jacket","Polymer laminate")))</f>
        <v>Monitor</v>
      </c>
      <c r="T182" s="5" t="str">
        <f aca="false">IF(S182=R182,"Yes","No")</f>
        <v>Yes</v>
      </c>
    </row>
    <row r="183" customFormat="false" ht="15" hidden="false" customHeight="false" outlineLevel="0" collapsed="false">
      <c r="A183" s="15" t="n">
        <v>259</v>
      </c>
      <c r="B183" s="16" t="n">
        <v>6.44201950187279</v>
      </c>
      <c r="C183" s="15" t="n">
        <v>230</v>
      </c>
      <c r="D183" s="15" t="n">
        <v>525</v>
      </c>
      <c r="E183" s="15" t="n">
        <v>30</v>
      </c>
      <c r="F183" s="16" t="n">
        <v>0.547504574284506</v>
      </c>
      <c r="G183" s="17" t="s">
        <v>91</v>
      </c>
      <c r="H183" s="18" t="n">
        <v>0.2</v>
      </c>
      <c r="I183" s="18" t="n">
        <v>2</v>
      </c>
      <c r="J183" s="19" t="n">
        <v>0.91642173250653</v>
      </c>
      <c r="K183" s="19" t="n">
        <v>0.453391332939434</v>
      </c>
      <c r="L183" s="16" t="n">
        <v>13.4488924882522</v>
      </c>
      <c r="M183" s="19" t="n">
        <v>0.542498927286563</v>
      </c>
      <c r="N183" s="19" t="n">
        <v>1.54774849982994</v>
      </c>
      <c r="O183" s="19" t="n">
        <v>1.41734579417726</v>
      </c>
      <c r="P183" s="19" t="n">
        <v>0.652617643467865</v>
      </c>
      <c r="Q183" s="17" t="s">
        <v>31</v>
      </c>
      <c r="R183" s="5" t="str">
        <f aca="false">IF(OR(Q183="Steel plate",Q183="Concrete jacket"),"Steel plate or jacket",Q183)</f>
        <v>Polymer laminate</v>
      </c>
      <c r="S183" s="5" t="str">
        <f aca="false">IF(O183&lt;='Tree rules'!$C$4,IF(N183&lt;='Tree rules'!$C$5,IF(P183&lt;='Tree rules'!$C$6,"Monitor","Polymer laminate"),IF(P183&lt;='Tree rules'!$C$7,"Seal cracks","Polymer laminate")),IF(O183&lt;='Tree rules'!$C$8,IF(M183&lt;='Tree rules'!$C$9,"Steel plate or jacket","Polymer laminate"),IF(L183&lt;='Tree rules'!$C$10,"Steel plate or jacket","Polymer laminate")))</f>
        <v>Polymer laminate</v>
      </c>
      <c r="T183" s="5" t="str">
        <f aca="false">IF(S183=R183,"Yes","No")</f>
        <v>Yes</v>
      </c>
    </row>
    <row r="184" customFormat="false" ht="15" hidden="false" customHeight="false" outlineLevel="0" collapsed="false">
      <c r="A184" s="15" t="n">
        <v>260</v>
      </c>
      <c r="B184" s="16" t="n">
        <v>3.04527853441135</v>
      </c>
      <c r="C184" s="15" t="n">
        <v>230</v>
      </c>
      <c r="D184" s="15" t="n">
        <v>300</v>
      </c>
      <c r="E184" s="15" t="n">
        <v>30</v>
      </c>
      <c r="F184" s="16" t="n">
        <v>1.08405543602132</v>
      </c>
      <c r="G184" s="17" t="s">
        <v>89</v>
      </c>
      <c r="H184" s="18" t="n">
        <v>0.3</v>
      </c>
      <c r="I184" s="18" t="n">
        <v>1</v>
      </c>
      <c r="J184" s="19" t="n">
        <v>0.870878920229459</v>
      </c>
      <c r="K184" s="19" t="n">
        <v>0.531056958082631</v>
      </c>
      <c r="L184" s="16" t="n">
        <v>12.0844386286165</v>
      </c>
      <c r="M184" s="19" t="n">
        <v>0.600163403922957</v>
      </c>
      <c r="N184" s="19" t="n">
        <v>0.808787587471725</v>
      </c>
      <c r="O184" s="19" t="n">
        <v>0.870878920229459</v>
      </c>
      <c r="P184" s="19" t="n">
        <v>0.587083824183776</v>
      </c>
      <c r="Q184" s="17" t="s">
        <v>29</v>
      </c>
      <c r="R184" s="5" t="str">
        <f aca="false">IF(OR(Q184="Steel plate",Q184="Concrete jacket"),"Steel plate or jacket",Q184)</f>
        <v>Monitor</v>
      </c>
      <c r="S184" s="5" t="str">
        <f aca="false">IF(O184&lt;='Tree rules'!$C$4,IF(N184&lt;='Tree rules'!$C$5,IF(P184&lt;='Tree rules'!$C$6,"Monitor","Polymer laminate"),IF(P184&lt;='Tree rules'!$C$7,"Seal cracks","Polymer laminate")),IF(O184&lt;='Tree rules'!$C$8,IF(M184&lt;='Tree rules'!$C$9,"Steel plate or jacket","Polymer laminate"),IF(L184&lt;='Tree rules'!$C$10,"Steel plate or jacket","Polymer laminate")))</f>
        <v>Monitor</v>
      </c>
      <c r="T184" s="5" t="str">
        <f aca="false">IF(S184=R184,"Yes","No")</f>
        <v>Yes</v>
      </c>
    </row>
    <row r="185" customFormat="false" ht="15" hidden="false" customHeight="false" outlineLevel="0" collapsed="false">
      <c r="A185" s="15" t="n">
        <v>262</v>
      </c>
      <c r="B185" s="16" t="n">
        <v>6.09720082759483</v>
      </c>
      <c r="C185" s="15" t="n">
        <v>230</v>
      </c>
      <c r="D185" s="15" t="n">
        <v>550</v>
      </c>
      <c r="E185" s="15" t="n">
        <v>30</v>
      </c>
      <c r="F185" s="16" t="n">
        <v>0.841422905166448</v>
      </c>
      <c r="G185" s="17" t="s">
        <v>90</v>
      </c>
      <c r="H185" s="18" t="n">
        <v>0.1</v>
      </c>
      <c r="I185" s="18" t="n">
        <v>1</v>
      </c>
      <c r="J185" s="19" t="n">
        <v>0.902784889558217</v>
      </c>
      <c r="K185" s="19" t="n">
        <v>0.437686714837567</v>
      </c>
      <c r="L185" s="16" t="n">
        <v>12.5199195638498</v>
      </c>
      <c r="M185" s="19" t="n">
        <v>0.659485899976206</v>
      </c>
      <c r="N185" s="19" t="n">
        <v>2.38932556899111</v>
      </c>
      <c r="O185" s="19" t="n">
        <v>0.902784889558217</v>
      </c>
      <c r="P185" s="19" t="n">
        <v>0.510245822837608</v>
      </c>
      <c r="Q185" s="17" t="s">
        <v>30</v>
      </c>
      <c r="R185" s="5" t="str">
        <f aca="false">IF(OR(Q185="Steel plate",Q185="Concrete jacket"),"Steel plate or jacket",Q185)</f>
        <v>Seal cracks</v>
      </c>
      <c r="S185" s="5" t="str">
        <f aca="false">IF(O185&lt;='Tree rules'!$C$4,IF(N185&lt;='Tree rules'!$C$5,IF(P185&lt;='Tree rules'!$C$6,"Monitor","Polymer laminate"),IF(P185&lt;='Tree rules'!$C$7,"Seal cracks","Polymer laminate")),IF(O185&lt;='Tree rules'!$C$8,IF(M185&lt;='Tree rules'!$C$9,"Steel plate or jacket","Polymer laminate"),IF(L185&lt;='Tree rules'!$C$10,"Steel plate or jacket","Polymer laminate")))</f>
        <v>Seal cracks</v>
      </c>
      <c r="T185" s="5" t="str">
        <f aca="false">IF(S185=R185,"Yes","No")</f>
        <v>Yes</v>
      </c>
    </row>
    <row r="186" customFormat="false" ht="15" hidden="false" customHeight="false" outlineLevel="0" collapsed="false">
      <c r="A186" s="15" t="n">
        <v>264</v>
      </c>
      <c r="B186" s="16" t="n">
        <v>3.13139445846155</v>
      </c>
      <c r="C186" s="15" t="n">
        <v>300</v>
      </c>
      <c r="D186" s="15" t="n">
        <v>300</v>
      </c>
      <c r="E186" s="15" t="n">
        <v>30</v>
      </c>
      <c r="F186" s="16" t="n">
        <v>0.736310778185108</v>
      </c>
      <c r="G186" s="17" t="s">
        <v>89</v>
      </c>
      <c r="H186" s="18" t="n">
        <v>0.3</v>
      </c>
      <c r="I186" s="18" t="n">
        <v>1</v>
      </c>
      <c r="J186" s="19" t="n">
        <v>0.896669784434932</v>
      </c>
      <c r="K186" s="19" t="n">
        <v>0.440132794696376</v>
      </c>
      <c r="L186" s="16" t="n">
        <v>12.2320096033654</v>
      </c>
      <c r="M186" s="19" t="n">
        <v>0.895537479055017</v>
      </c>
      <c r="N186" s="19" t="n">
        <v>0.573914594742791</v>
      </c>
      <c r="O186" s="19" t="n">
        <v>0.896669784434932</v>
      </c>
      <c r="P186" s="19" t="n">
        <v>0.30409050610167</v>
      </c>
      <c r="Q186" s="17" t="s">
        <v>29</v>
      </c>
      <c r="R186" s="5" t="str">
        <f aca="false">IF(OR(Q186="Steel plate",Q186="Concrete jacket"),"Steel plate or jacket",Q186)</f>
        <v>Monitor</v>
      </c>
      <c r="S186" s="5" t="str">
        <f aca="false">IF(O186&lt;='Tree rules'!$C$4,IF(N186&lt;='Tree rules'!$C$5,IF(P186&lt;='Tree rules'!$C$6,"Monitor","Polymer laminate"),IF(P186&lt;='Tree rules'!$C$7,"Seal cracks","Polymer laminate")),IF(O186&lt;='Tree rules'!$C$8,IF(M186&lt;='Tree rules'!$C$9,"Steel plate or jacket","Polymer laminate"),IF(L186&lt;='Tree rules'!$C$10,"Steel plate or jacket","Polymer laminate")))</f>
        <v>Monitor</v>
      </c>
      <c r="T186" s="5" t="str">
        <f aca="false">IF(S186=R186,"Yes","No")</f>
        <v>Yes</v>
      </c>
    </row>
    <row r="187" customFormat="false" ht="15" hidden="false" customHeight="false" outlineLevel="0" collapsed="false">
      <c r="A187" s="15" t="n">
        <v>267</v>
      </c>
      <c r="B187" s="16" t="n">
        <v>3.61763498516481</v>
      </c>
      <c r="C187" s="15" t="n">
        <v>230</v>
      </c>
      <c r="D187" s="15" t="n">
        <v>350</v>
      </c>
      <c r="E187" s="15" t="n">
        <v>25</v>
      </c>
      <c r="F187" s="16" t="n">
        <v>0.575119936583944</v>
      </c>
      <c r="G187" s="17" t="s">
        <v>89</v>
      </c>
      <c r="H187" s="18" t="n">
        <v>0.3</v>
      </c>
      <c r="I187" s="18" t="n">
        <v>1</v>
      </c>
      <c r="J187" s="19" t="n">
        <v>0.962959547703308</v>
      </c>
      <c r="K187" s="19" t="n">
        <v>0.434322250255627</v>
      </c>
      <c r="L187" s="16" t="n">
        <v>11.900115082779</v>
      </c>
      <c r="M187" s="19" t="n">
        <v>0.932251131799481</v>
      </c>
      <c r="N187" s="19" t="n">
        <v>0.800213588403667</v>
      </c>
      <c r="O187" s="19" t="n">
        <v>0.962959547703308</v>
      </c>
      <c r="P187" s="19" t="n">
        <v>0.269151360712523</v>
      </c>
      <c r="Q187" s="17" t="s">
        <v>29</v>
      </c>
      <c r="R187" s="5" t="str">
        <f aca="false">IF(OR(Q187="Steel plate",Q187="Concrete jacket"),"Steel plate or jacket",Q187)</f>
        <v>Monitor</v>
      </c>
      <c r="S187" s="5" t="str">
        <f aca="false">IF(O187&lt;='Tree rules'!$C$4,IF(N187&lt;='Tree rules'!$C$5,IF(P187&lt;='Tree rules'!$C$6,"Monitor","Polymer laminate"),IF(P187&lt;='Tree rules'!$C$7,"Seal cracks","Polymer laminate")),IF(O187&lt;='Tree rules'!$C$8,IF(M187&lt;='Tree rules'!$C$9,"Steel plate or jacket","Polymer laminate"),IF(L187&lt;='Tree rules'!$C$10,"Steel plate or jacket","Polymer laminate")))</f>
        <v>Monitor</v>
      </c>
      <c r="T187" s="5" t="str">
        <f aca="false">IF(S187=R187,"Yes","No")</f>
        <v>Yes</v>
      </c>
    </row>
    <row r="188" customFormat="false" ht="15" hidden="false" customHeight="false" outlineLevel="0" collapsed="false">
      <c r="A188" s="15" t="n">
        <v>268</v>
      </c>
      <c r="B188" s="16" t="n">
        <v>4.32611831111218</v>
      </c>
      <c r="C188" s="15" t="n">
        <v>300</v>
      </c>
      <c r="D188" s="15" t="n">
        <v>350</v>
      </c>
      <c r="E188" s="15" t="n">
        <v>30</v>
      </c>
      <c r="F188" s="16" t="n">
        <v>0.693508312050727</v>
      </c>
      <c r="G188" s="17" t="s">
        <v>91</v>
      </c>
      <c r="H188" s="18" t="n">
        <v>0.2</v>
      </c>
      <c r="I188" s="18" t="n">
        <v>2</v>
      </c>
      <c r="J188" s="19" t="n">
        <v>0.978630274485899</v>
      </c>
      <c r="K188" s="19" t="n">
        <v>0.474444289691184</v>
      </c>
      <c r="L188" s="16" t="n">
        <v>14.3248950699079</v>
      </c>
      <c r="M188" s="19" t="n">
        <v>0.644407252237089</v>
      </c>
      <c r="N188" s="19" t="n">
        <v>2.54876801222104</v>
      </c>
      <c r="O188" s="19" t="n">
        <v>1.49295500352305</v>
      </c>
      <c r="P188" s="19" t="n">
        <v>0.662698768416167</v>
      </c>
      <c r="Q188" s="17" t="s">
        <v>31</v>
      </c>
      <c r="R188" s="5" t="str">
        <f aca="false">IF(OR(Q188="Steel plate",Q188="Concrete jacket"),"Steel plate or jacket",Q188)</f>
        <v>Polymer laminate</v>
      </c>
      <c r="S188" s="5" t="str">
        <f aca="false">IF(O188&lt;='Tree rules'!$C$4,IF(N188&lt;='Tree rules'!$C$5,IF(P188&lt;='Tree rules'!$C$6,"Monitor","Polymer laminate"),IF(P188&lt;='Tree rules'!$C$7,"Seal cracks","Polymer laminate")),IF(O188&lt;='Tree rules'!$C$8,IF(M188&lt;='Tree rules'!$C$9,"Steel plate or jacket","Polymer laminate"),IF(L188&lt;='Tree rules'!$C$10,"Steel plate or jacket","Polymer laminate")))</f>
        <v>Polymer laminate</v>
      </c>
      <c r="T188" s="5" t="str">
        <f aca="false">IF(S188=R188,"Yes","No")</f>
        <v>Yes</v>
      </c>
    </row>
    <row r="189" customFormat="false" ht="15" hidden="false" customHeight="false" outlineLevel="0" collapsed="false">
      <c r="A189" s="15" t="n">
        <v>269</v>
      </c>
      <c r="B189" s="16" t="n">
        <v>3.70481249627997</v>
      </c>
      <c r="C189" s="15" t="n">
        <v>230</v>
      </c>
      <c r="D189" s="15" t="n">
        <v>300</v>
      </c>
      <c r="E189" s="15" t="n">
        <v>30</v>
      </c>
      <c r="F189" s="16" t="n">
        <v>0.768324290280112</v>
      </c>
      <c r="G189" s="17" t="s">
        <v>91</v>
      </c>
      <c r="H189" s="18" t="n">
        <v>0.2</v>
      </c>
      <c r="I189" s="18" t="n">
        <v>1.5</v>
      </c>
      <c r="J189" s="19" t="n">
        <v>0.901949243203686</v>
      </c>
      <c r="K189" s="19" t="n">
        <v>0.527293432144004</v>
      </c>
      <c r="L189" s="16" t="n">
        <v>14.4719238135936</v>
      </c>
      <c r="M189" s="19" t="n">
        <v>0.729018697429257</v>
      </c>
      <c r="N189" s="19" t="n">
        <v>1.12583148695196</v>
      </c>
      <c r="O189" s="19" t="n">
        <v>1.11512790877125</v>
      </c>
      <c r="P189" s="19" t="n">
        <v>0.527881341303343</v>
      </c>
      <c r="Q189" s="17" t="s">
        <v>31</v>
      </c>
      <c r="R189" s="5" t="str">
        <f aca="false">IF(OR(Q189="Steel plate",Q189="Concrete jacket"),"Steel plate or jacket",Q189)</f>
        <v>Polymer laminate</v>
      </c>
      <c r="S189" s="5" t="str">
        <f aca="false">IF(O189&lt;='Tree rules'!$C$4,IF(N189&lt;='Tree rules'!$C$5,IF(P189&lt;='Tree rules'!$C$6,"Monitor","Polymer laminate"),IF(P189&lt;='Tree rules'!$C$7,"Seal cracks","Polymer laminate")),IF(O189&lt;='Tree rules'!$C$8,IF(M189&lt;='Tree rules'!$C$9,"Steel plate or jacket","Polymer laminate"),IF(L189&lt;='Tree rules'!$C$10,"Steel plate or jacket","Polymer laminate")))</f>
        <v>Polymer laminate</v>
      </c>
      <c r="T189" s="5" t="str">
        <f aca="false">IF(S189=R189,"Yes","No")</f>
        <v>Yes</v>
      </c>
    </row>
    <row r="190" customFormat="false" ht="15" hidden="false" customHeight="false" outlineLevel="0" collapsed="false">
      <c r="A190" s="15" t="n">
        <v>270</v>
      </c>
      <c r="B190" s="16" t="n">
        <v>4.60070474944122</v>
      </c>
      <c r="C190" s="15" t="n">
        <v>300</v>
      </c>
      <c r="D190" s="15" t="n">
        <v>425</v>
      </c>
      <c r="E190" s="15" t="n">
        <v>25</v>
      </c>
      <c r="F190" s="16" t="n">
        <v>0.593686800678386</v>
      </c>
      <c r="G190" s="17" t="s">
        <v>91</v>
      </c>
      <c r="H190" s="18" t="n">
        <v>0.2</v>
      </c>
      <c r="I190" s="18" t="n">
        <v>1</v>
      </c>
      <c r="J190" s="19" t="n">
        <v>0.866197238835893</v>
      </c>
      <c r="K190" s="19" t="n">
        <v>0.573927309504217</v>
      </c>
      <c r="L190" s="16" t="n">
        <v>12.0753405497145</v>
      </c>
      <c r="M190" s="19" t="n">
        <v>0.510569068125578</v>
      </c>
      <c r="N190" s="19" t="n">
        <v>0.831050928050156</v>
      </c>
      <c r="O190" s="19" t="n">
        <v>0.866197238835893</v>
      </c>
      <c r="P190" s="19" t="n">
        <v>0.548880392005018</v>
      </c>
      <c r="Q190" s="17" t="s">
        <v>29</v>
      </c>
      <c r="R190" s="5" t="str">
        <f aca="false">IF(OR(Q190="Steel plate",Q190="Concrete jacket"),"Steel plate or jacket",Q190)</f>
        <v>Monitor</v>
      </c>
      <c r="S190" s="5" t="str">
        <f aca="false">IF(O190&lt;='Tree rules'!$C$4,IF(N190&lt;='Tree rules'!$C$5,IF(P190&lt;='Tree rules'!$C$6,"Monitor","Polymer laminate"),IF(P190&lt;='Tree rules'!$C$7,"Seal cracks","Polymer laminate")),IF(O190&lt;='Tree rules'!$C$8,IF(M190&lt;='Tree rules'!$C$9,"Steel plate or jacket","Polymer laminate"),IF(L190&lt;='Tree rules'!$C$10,"Steel plate or jacket","Polymer laminate")))</f>
        <v>Monitor</v>
      </c>
      <c r="T190" s="5" t="str">
        <f aca="false">IF(S190=R190,"Yes","No")</f>
        <v>Yes</v>
      </c>
    </row>
    <row r="191" customFormat="false" ht="15" hidden="false" customHeight="false" outlineLevel="0" collapsed="false">
      <c r="A191" s="15" t="n">
        <v>271</v>
      </c>
      <c r="B191" s="16" t="n">
        <v>4.74799981627213</v>
      </c>
      <c r="C191" s="15" t="n">
        <v>230</v>
      </c>
      <c r="D191" s="15" t="n">
        <v>425</v>
      </c>
      <c r="E191" s="15" t="n">
        <v>30</v>
      </c>
      <c r="F191" s="16" t="n">
        <v>0.724620609754306</v>
      </c>
      <c r="G191" s="17" t="s">
        <v>89</v>
      </c>
      <c r="H191" s="18" t="n">
        <v>0.3</v>
      </c>
      <c r="I191" s="18" t="n">
        <v>1</v>
      </c>
      <c r="J191" s="19" t="n">
        <v>0.912346647820284</v>
      </c>
      <c r="K191" s="19" t="n">
        <v>0.527398110541884</v>
      </c>
      <c r="L191" s="16" t="n">
        <v>12.5941639688916</v>
      </c>
      <c r="M191" s="19" t="n">
        <v>0.637191378525773</v>
      </c>
      <c r="N191" s="19" t="n">
        <v>0.845379257062099</v>
      </c>
      <c r="O191" s="19" t="n">
        <v>0.912346647820284</v>
      </c>
      <c r="P191" s="19" t="n">
        <v>0.507402645002862</v>
      </c>
      <c r="Q191" s="17" t="s">
        <v>29</v>
      </c>
      <c r="R191" s="5" t="str">
        <f aca="false">IF(OR(Q191="Steel plate",Q191="Concrete jacket"),"Steel plate or jacket",Q191)</f>
        <v>Monitor</v>
      </c>
      <c r="S191" s="5" t="str">
        <f aca="false">IF(O191&lt;='Tree rules'!$C$4,IF(N191&lt;='Tree rules'!$C$5,IF(P191&lt;='Tree rules'!$C$6,"Monitor","Polymer laminate"),IF(P191&lt;='Tree rules'!$C$7,"Seal cracks","Polymer laminate")),IF(O191&lt;='Tree rules'!$C$8,IF(M191&lt;='Tree rules'!$C$9,"Steel plate or jacket","Polymer laminate"),IF(L191&lt;='Tree rules'!$C$10,"Steel plate or jacket","Polymer laminate")))</f>
        <v>Monitor</v>
      </c>
      <c r="T191" s="5" t="str">
        <f aca="false">IF(S191=R191,"Yes","No")</f>
        <v>Yes</v>
      </c>
    </row>
    <row r="192" customFormat="false" ht="15" hidden="false" customHeight="false" outlineLevel="0" collapsed="false">
      <c r="A192" s="15" t="n">
        <v>274</v>
      </c>
      <c r="B192" s="16" t="n">
        <v>6.54531602629177</v>
      </c>
      <c r="C192" s="15" t="n">
        <v>300</v>
      </c>
      <c r="D192" s="15" t="n">
        <v>550</v>
      </c>
      <c r="E192" s="15" t="n">
        <v>30</v>
      </c>
      <c r="F192" s="16" t="n">
        <v>0.664887334093078</v>
      </c>
      <c r="G192" s="17" t="s">
        <v>91</v>
      </c>
      <c r="H192" s="18" t="n">
        <v>0.2</v>
      </c>
      <c r="I192" s="18" t="n">
        <v>1</v>
      </c>
      <c r="J192" s="19" t="n">
        <v>0.866795413219885</v>
      </c>
      <c r="K192" s="19" t="n">
        <v>0.58627838278489</v>
      </c>
      <c r="L192" s="16" t="n">
        <v>12.9867381474043</v>
      </c>
      <c r="M192" s="19" t="n">
        <v>0.951613243245614</v>
      </c>
      <c r="N192" s="19" t="n">
        <v>0.76662346894881</v>
      </c>
      <c r="O192" s="19" t="n">
        <v>0.866795413219885</v>
      </c>
      <c r="P192" s="19" t="n">
        <v>0.378268631336785</v>
      </c>
      <c r="Q192" s="17" t="s">
        <v>29</v>
      </c>
      <c r="R192" s="5" t="str">
        <f aca="false">IF(OR(Q192="Steel plate",Q192="Concrete jacket"),"Steel plate or jacket",Q192)</f>
        <v>Monitor</v>
      </c>
      <c r="S192" s="5" t="str">
        <f aca="false">IF(O192&lt;='Tree rules'!$C$4,IF(N192&lt;='Tree rules'!$C$5,IF(P192&lt;='Tree rules'!$C$6,"Monitor","Polymer laminate"),IF(P192&lt;='Tree rules'!$C$7,"Seal cracks","Polymer laminate")),IF(O192&lt;='Tree rules'!$C$8,IF(M192&lt;='Tree rules'!$C$9,"Steel plate or jacket","Polymer laminate"),IF(L192&lt;='Tree rules'!$C$10,"Steel plate or jacket","Polymer laminate")))</f>
        <v>Monitor</v>
      </c>
      <c r="T192" s="5" t="str">
        <f aca="false">IF(S192=R192,"Yes","No")</f>
        <v>Yes</v>
      </c>
    </row>
    <row r="193" customFormat="false" ht="15" hidden="false" customHeight="false" outlineLevel="0" collapsed="false">
      <c r="A193" s="15" t="n">
        <v>275</v>
      </c>
      <c r="B193" s="16" t="n">
        <v>4.0143508948686</v>
      </c>
      <c r="C193" s="15" t="n">
        <v>230</v>
      </c>
      <c r="D193" s="15" t="n">
        <v>350</v>
      </c>
      <c r="E193" s="15" t="n">
        <v>30</v>
      </c>
      <c r="F193" s="16" t="n">
        <v>0.64278110559382</v>
      </c>
      <c r="G193" s="17" t="s">
        <v>89</v>
      </c>
      <c r="H193" s="18" t="n">
        <v>0.3</v>
      </c>
      <c r="I193" s="18" t="n">
        <v>1.5</v>
      </c>
      <c r="J193" s="19" t="n">
        <v>0.909555223177801</v>
      </c>
      <c r="K193" s="19" t="n">
        <v>0.53388016029793</v>
      </c>
      <c r="L193" s="16" t="n">
        <v>13.1187937740804</v>
      </c>
      <c r="M193" s="19" t="n">
        <v>0.645196952845207</v>
      </c>
      <c r="N193" s="19" t="n">
        <v>0.744398131191532</v>
      </c>
      <c r="O193" s="19" t="n">
        <v>1.12153609059171</v>
      </c>
      <c r="P193" s="19" t="n">
        <v>0.499283250174977</v>
      </c>
      <c r="Q193" s="17" t="s">
        <v>31</v>
      </c>
      <c r="R193" s="5" t="str">
        <f aca="false">IF(OR(Q193="Steel plate",Q193="Concrete jacket"),"Steel plate or jacket",Q193)</f>
        <v>Polymer laminate</v>
      </c>
      <c r="S193" s="5" t="str">
        <f aca="false">IF(O193&lt;='Tree rules'!$C$4,IF(N193&lt;='Tree rules'!$C$5,IF(P193&lt;='Tree rules'!$C$6,"Monitor","Polymer laminate"),IF(P193&lt;='Tree rules'!$C$7,"Seal cracks","Polymer laminate")),IF(O193&lt;='Tree rules'!$C$8,IF(M193&lt;='Tree rules'!$C$9,"Steel plate or jacket","Polymer laminate"),IF(L193&lt;='Tree rules'!$C$10,"Steel plate or jacket","Polymer laminate")))</f>
        <v>Polymer laminate</v>
      </c>
      <c r="T193" s="5" t="str">
        <f aca="false">IF(S193=R193,"Yes","No")</f>
        <v>Yes</v>
      </c>
    </row>
    <row r="194" customFormat="false" ht="15" hidden="false" customHeight="false" outlineLevel="0" collapsed="false">
      <c r="A194" s="15" t="n">
        <v>276</v>
      </c>
      <c r="B194" s="16" t="n">
        <v>4.66814654488666</v>
      </c>
      <c r="C194" s="15" t="n">
        <v>230</v>
      </c>
      <c r="D194" s="15" t="n">
        <v>425</v>
      </c>
      <c r="E194" s="15" t="n">
        <v>25</v>
      </c>
      <c r="F194" s="16" t="n">
        <v>0.724620609754306</v>
      </c>
      <c r="G194" s="17" t="s">
        <v>89</v>
      </c>
      <c r="H194" s="18" t="n">
        <v>0.3</v>
      </c>
      <c r="I194" s="18" t="n">
        <v>1.5</v>
      </c>
      <c r="J194" s="19" t="n">
        <v>0.873248128421265</v>
      </c>
      <c r="K194" s="19" t="n">
        <v>0.492389224197462</v>
      </c>
      <c r="L194" s="16" t="n">
        <v>12.3823515779487</v>
      </c>
      <c r="M194" s="19" t="n">
        <v>0.586075478411177</v>
      </c>
      <c r="N194" s="19" t="n">
        <v>1.03073071240674</v>
      </c>
      <c r="O194" s="19" t="n">
        <v>1.09488320838928</v>
      </c>
      <c r="P194" s="19" t="n">
        <v>0.60448650455863</v>
      </c>
      <c r="Q194" s="17" t="s">
        <v>31</v>
      </c>
      <c r="R194" s="5" t="str">
        <f aca="false">IF(OR(Q194="Steel plate",Q194="Concrete jacket"),"Steel plate or jacket",Q194)</f>
        <v>Polymer laminate</v>
      </c>
      <c r="S194" s="5" t="str">
        <f aca="false">IF(O194&lt;='Tree rules'!$C$4,IF(N194&lt;='Tree rules'!$C$5,IF(P194&lt;='Tree rules'!$C$6,"Monitor","Polymer laminate"),IF(P194&lt;='Tree rules'!$C$7,"Seal cracks","Polymer laminate")),IF(O194&lt;='Tree rules'!$C$8,IF(M194&lt;='Tree rules'!$C$9,"Steel plate or jacket","Polymer laminate"),IF(L194&lt;='Tree rules'!$C$10,"Steel plate or jacket","Polymer laminate")))</f>
        <v>Polymer laminate</v>
      </c>
      <c r="T194" s="5" t="str">
        <f aca="false">IF(S194=R194,"Yes","No")</f>
        <v>Yes</v>
      </c>
    </row>
    <row r="195" customFormat="false" ht="15" hidden="false" customHeight="false" outlineLevel="0" collapsed="false">
      <c r="A195" s="15" t="n">
        <v>277</v>
      </c>
      <c r="B195" s="16" t="n">
        <v>4.78015935977001</v>
      </c>
      <c r="C195" s="15" t="n">
        <v>230</v>
      </c>
      <c r="D195" s="15" t="n">
        <v>450</v>
      </c>
      <c r="E195" s="15" t="n">
        <v>30</v>
      </c>
      <c r="F195" s="16" t="n">
        <v>0.865527033274846</v>
      </c>
      <c r="G195" s="17" t="s">
        <v>89</v>
      </c>
      <c r="H195" s="18" t="n">
        <v>0.3</v>
      </c>
      <c r="I195" s="18" t="n">
        <v>1.5</v>
      </c>
      <c r="J195" s="19" t="n">
        <v>0.948919967084443</v>
      </c>
      <c r="K195" s="19" t="n">
        <v>0.40102949440472</v>
      </c>
      <c r="L195" s="16" t="n">
        <v>11.8320776231931</v>
      </c>
      <c r="M195" s="19" t="n">
        <v>0.921524155714936</v>
      </c>
      <c r="N195" s="19" t="n">
        <v>0.784981665704898</v>
      </c>
      <c r="O195" s="19" t="n">
        <v>1.23310750331146</v>
      </c>
      <c r="P195" s="19" t="n">
        <v>0.445065143506937</v>
      </c>
      <c r="Q195" s="17" t="s">
        <v>31</v>
      </c>
      <c r="R195" s="5" t="str">
        <f aca="false">IF(OR(Q195="Steel plate",Q195="Concrete jacket"),"Steel plate or jacket",Q195)</f>
        <v>Polymer laminate</v>
      </c>
      <c r="S195" s="5" t="str">
        <f aca="false">IF(O195&lt;='Tree rules'!$C$4,IF(N195&lt;='Tree rules'!$C$5,IF(P195&lt;='Tree rules'!$C$6,"Monitor","Polymer laminate"),IF(P195&lt;='Tree rules'!$C$7,"Seal cracks","Polymer laminate")),IF(O195&lt;='Tree rules'!$C$8,IF(M195&lt;='Tree rules'!$C$9,"Steel plate or jacket","Polymer laminate"),IF(L195&lt;='Tree rules'!$C$10,"Steel plate or jacket","Polymer laminate")))</f>
        <v>Polymer laminate</v>
      </c>
      <c r="T195" s="5" t="str">
        <f aca="false">IF(S195=R195,"Yes","No")</f>
        <v>Yes</v>
      </c>
    </row>
    <row r="196" customFormat="false" ht="15" hidden="false" customHeight="false" outlineLevel="0" collapsed="false">
      <c r="A196" s="15" t="n">
        <v>278</v>
      </c>
      <c r="B196" s="16" t="n">
        <v>4.62039284840154</v>
      </c>
      <c r="C196" s="15" t="n">
        <v>300</v>
      </c>
      <c r="D196" s="15" t="n">
        <v>350</v>
      </c>
      <c r="E196" s="15" t="n">
        <v>30</v>
      </c>
      <c r="F196" s="16" t="n">
        <v>0.729754391077768</v>
      </c>
      <c r="G196" s="17" t="s">
        <v>90</v>
      </c>
      <c r="H196" s="18" t="n">
        <v>0.1</v>
      </c>
      <c r="I196" s="18" t="n">
        <v>1</v>
      </c>
      <c r="J196" s="19" t="n">
        <v>0.923802167451498</v>
      </c>
      <c r="K196" s="19" t="n">
        <v>0.635309587433809</v>
      </c>
      <c r="L196" s="16" t="n">
        <v>16.0989297853712</v>
      </c>
      <c r="M196" s="19" t="n">
        <v>0.949408306626182</v>
      </c>
      <c r="N196" s="19" t="n">
        <v>3.13154351040429</v>
      </c>
      <c r="O196" s="19" t="n">
        <v>0.923802167451498</v>
      </c>
      <c r="P196" s="19" t="n">
        <v>0.407273899635524</v>
      </c>
      <c r="Q196" s="17" t="s">
        <v>30</v>
      </c>
      <c r="R196" s="5" t="str">
        <f aca="false">IF(OR(Q196="Steel plate",Q196="Concrete jacket"),"Steel plate or jacket",Q196)</f>
        <v>Seal cracks</v>
      </c>
      <c r="S196" s="5" t="str">
        <f aca="false">IF(O196&lt;='Tree rules'!$C$4,IF(N196&lt;='Tree rules'!$C$5,IF(P196&lt;='Tree rules'!$C$6,"Monitor","Polymer laminate"),IF(P196&lt;='Tree rules'!$C$7,"Seal cracks","Polymer laminate")),IF(O196&lt;='Tree rules'!$C$8,IF(M196&lt;='Tree rules'!$C$9,"Steel plate or jacket","Polymer laminate"),IF(L196&lt;='Tree rules'!$C$10,"Steel plate or jacket","Polymer laminate")))</f>
        <v>Seal cracks</v>
      </c>
      <c r="T196" s="5" t="str">
        <f aca="false">IF(S196=R196,"Yes","No")</f>
        <v>Yes</v>
      </c>
    </row>
    <row r="197" customFormat="false" ht="15" hidden="false" customHeight="false" outlineLevel="0" collapsed="false">
      <c r="A197" s="15" t="n">
        <v>279</v>
      </c>
      <c r="B197" s="16" t="n">
        <v>3.83868205033959</v>
      </c>
      <c r="C197" s="15" t="n">
        <v>300</v>
      </c>
      <c r="D197" s="15" t="n">
        <v>325</v>
      </c>
      <c r="E197" s="15" t="n">
        <v>30</v>
      </c>
      <c r="F197" s="16" t="n">
        <v>0.708629921862359</v>
      </c>
      <c r="G197" s="17" t="s">
        <v>90</v>
      </c>
      <c r="H197" s="18" t="n">
        <v>0.1</v>
      </c>
      <c r="I197" s="18" t="n">
        <v>1</v>
      </c>
      <c r="J197" s="19" t="n">
        <v>0.977702566078677</v>
      </c>
      <c r="K197" s="19" t="n">
        <v>0.489946159346167</v>
      </c>
      <c r="L197" s="16" t="n">
        <v>14.4311355275924</v>
      </c>
      <c r="M197" s="19" t="n">
        <v>0.865543233530706</v>
      </c>
      <c r="N197" s="19" t="n">
        <v>2.56988845578187</v>
      </c>
      <c r="O197" s="19" t="n">
        <v>0.977702566078677</v>
      </c>
      <c r="P197" s="19" t="n">
        <v>0.360782544072575</v>
      </c>
      <c r="Q197" s="17" t="s">
        <v>30</v>
      </c>
      <c r="R197" s="5" t="str">
        <f aca="false">IF(OR(Q197="Steel plate",Q197="Concrete jacket"),"Steel plate or jacket",Q197)</f>
        <v>Seal cracks</v>
      </c>
      <c r="S197" s="5" t="str">
        <f aca="false">IF(O197&lt;='Tree rules'!$C$4,IF(N197&lt;='Tree rules'!$C$5,IF(P197&lt;='Tree rules'!$C$6,"Monitor","Polymer laminate"),IF(P197&lt;='Tree rules'!$C$7,"Seal cracks","Polymer laminate")),IF(O197&lt;='Tree rules'!$C$8,IF(M197&lt;='Tree rules'!$C$9,"Steel plate or jacket","Polymer laminate"),IF(L197&lt;='Tree rules'!$C$10,"Steel plate or jacket","Polymer laminate")))</f>
        <v>Seal cracks</v>
      </c>
      <c r="T197" s="5" t="str">
        <f aca="false">IF(S197=R197,"Yes","No")</f>
        <v>Yes</v>
      </c>
    </row>
    <row r="198" customFormat="false" ht="15" hidden="false" customHeight="false" outlineLevel="0" collapsed="false">
      <c r="A198" s="15" t="n">
        <v>280</v>
      </c>
      <c r="B198" s="16" t="n">
        <v>4.00182688035507</v>
      </c>
      <c r="C198" s="15" t="n">
        <v>300</v>
      </c>
      <c r="D198" s="15" t="n">
        <v>375</v>
      </c>
      <c r="E198" s="15" t="n">
        <v>30</v>
      </c>
      <c r="F198" s="16" t="n">
        <v>0.960731698345503</v>
      </c>
      <c r="G198" s="17" t="s">
        <v>89</v>
      </c>
      <c r="H198" s="18" t="n">
        <v>0.3</v>
      </c>
      <c r="I198" s="18" t="n">
        <v>1</v>
      </c>
      <c r="J198" s="19" t="n">
        <v>0.892289908433818</v>
      </c>
      <c r="K198" s="19" t="n">
        <v>0.51530901391267</v>
      </c>
      <c r="L198" s="16" t="n">
        <v>12.2380026922173</v>
      </c>
      <c r="M198" s="19" t="n">
        <v>0.38218171098959</v>
      </c>
      <c r="N198" s="19" t="n">
        <v>0.772249690557938</v>
      </c>
      <c r="O198" s="19" t="n">
        <v>0.892289908433818</v>
      </c>
      <c r="P198" s="19" t="n">
        <v>0.923308747987979</v>
      </c>
      <c r="Q198" s="17" t="s">
        <v>29</v>
      </c>
      <c r="R198" s="5" t="str">
        <f aca="false">IF(OR(Q198="Steel plate",Q198="Concrete jacket"),"Steel plate or jacket",Q198)</f>
        <v>Monitor</v>
      </c>
      <c r="S198" s="5" t="str">
        <f aca="false">IF(O198&lt;='Tree rules'!$C$4,IF(N198&lt;='Tree rules'!$C$5,IF(P198&lt;='Tree rules'!$C$6,"Monitor","Polymer laminate"),IF(P198&lt;='Tree rules'!$C$7,"Seal cracks","Polymer laminate")),IF(O198&lt;='Tree rules'!$C$8,IF(M198&lt;='Tree rules'!$C$9,"Steel plate or jacket","Polymer laminate"),IF(L198&lt;='Tree rules'!$C$10,"Steel plate or jacket","Polymer laminate")))</f>
        <v>Monitor</v>
      </c>
      <c r="T198" s="5" t="str">
        <f aca="false">IF(S198=R198,"Yes","No")</f>
        <v>Yes</v>
      </c>
    </row>
    <row r="199" customFormat="false" ht="15" hidden="false" customHeight="false" outlineLevel="0" collapsed="false">
      <c r="A199" s="15" t="n">
        <v>281</v>
      </c>
      <c r="B199" s="16" t="n">
        <v>3.011989333138</v>
      </c>
      <c r="C199" s="15" t="n">
        <v>300</v>
      </c>
      <c r="D199" s="15" t="n">
        <v>300</v>
      </c>
      <c r="E199" s="15" t="n">
        <v>30</v>
      </c>
      <c r="F199" s="16" t="n">
        <v>0.831109167616348</v>
      </c>
      <c r="G199" s="17" t="s">
        <v>89</v>
      </c>
      <c r="H199" s="18" t="n">
        <v>0.3</v>
      </c>
      <c r="I199" s="18" t="n">
        <v>1.5</v>
      </c>
      <c r="J199" s="19" t="n">
        <v>0.968595651421263</v>
      </c>
      <c r="K199" s="19" t="n">
        <v>0.542011671188767</v>
      </c>
      <c r="L199" s="16" t="n">
        <v>11.9523386235635</v>
      </c>
      <c r="M199" s="19" t="n">
        <v>0.487377033218694</v>
      </c>
      <c r="N199" s="19" t="n">
        <v>1.34018548603555</v>
      </c>
      <c r="O199" s="19" t="n">
        <v>1.19039840326539</v>
      </c>
      <c r="P199" s="19" t="n">
        <v>0.705812234926189</v>
      </c>
      <c r="Q199" s="17" t="s">
        <v>31</v>
      </c>
      <c r="R199" s="5" t="str">
        <f aca="false">IF(OR(Q199="Steel plate",Q199="Concrete jacket"),"Steel plate or jacket",Q199)</f>
        <v>Polymer laminate</v>
      </c>
      <c r="S199" s="5" t="str">
        <f aca="false">IF(O199&lt;='Tree rules'!$C$4,IF(N199&lt;='Tree rules'!$C$5,IF(P199&lt;='Tree rules'!$C$6,"Monitor","Polymer laminate"),IF(P199&lt;='Tree rules'!$C$7,"Seal cracks","Polymer laminate")),IF(O199&lt;='Tree rules'!$C$8,IF(M199&lt;='Tree rules'!$C$9,"Steel plate or jacket","Polymer laminate"),IF(L199&lt;='Tree rules'!$C$10,"Steel plate or jacket","Polymer laminate")))</f>
        <v>Polymer laminate</v>
      </c>
      <c r="T199" s="5" t="str">
        <f aca="false">IF(S199=R199,"Yes","No")</f>
        <v>Yes</v>
      </c>
    </row>
    <row r="200" customFormat="false" ht="15" hidden="false" customHeight="false" outlineLevel="0" collapsed="false">
      <c r="A200" s="15" t="n">
        <v>282</v>
      </c>
      <c r="B200" s="16" t="n">
        <v>6.20646795615307</v>
      </c>
      <c r="C200" s="15" t="n">
        <v>300</v>
      </c>
      <c r="D200" s="15" t="n">
        <v>600</v>
      </c>
      <c r="E200" s="15" t="n">
        <v>20</v>
      </c>
      <c r="F200" s="16" t="n">
        <v>0.758838805214926</v>
      </c>
      <c r="G200" s="17" t="s">
        <v>91</v>
      </c>
      <c r="H200" s="18" t="n">
        <v>0.2</v>
      </c>
      <c r="I200" s="18" t="n">
        <v>1.5</v>
      </c>
      <c r="J200" s="19" t="n">
        <v>0.979154457635755</v>
      </c>
      <c r="K200" s="19" t="n">
        <v>0.443378565799452</v>
      </c>
      <c r="L200" s="16" t="n">
        <v>11.2436013698425</v>
      </c>
      <c r="M200" s="19" t="n">
        <v>0.579583878324056</v>
      </c>
      <c r="N200" s="19" t="n">
        <v>1.28460702402564</v>
      </c>
      <c r="O200" s="19" t="n">
        <v>1.25166363689229</v>
      </c>
      <c r="P200" s="19" t="n">
        <v>0.730319374319146</v>
      </c>
      <c r="Q200" s="17" t="s">
        <v>31</v>
      </c>
      <c r="R200" s="5" t="str">
        <f aca="false">IF(OR(Q200="Steel plate",Q200="Concrete jacket"),"Steel plate or jacket",Q200)</f>
        <v>Polymer laminate</v>
      </c>
      <c r="S200" s="5" t="str">
        <f aca="false">IF(O200&lt;='Tree rules'!$C$4,IF(N200&lt;='Tree rules'!$C$5,IF(P200&lt;='Tree rules'!$C$6,"Monitor","Polymer laminate"),IF(P200&lt;='Tree rules'!$C$7,"Seal cracks","Polymer laminate")),IF(O200&lt;='Tree rules'!$C$8,IF(M200&lt;='Tree rules'!$C$9,"Steel plate or jacket","Polymer laminate"),IF(L200&lt;='Tree rules'!$C$10,"Steel plate or jacket","Polymer laminate")))</f>
        <v>Polymer laminate</v>
      </c>
      <c r="T200" s="5" t="str">
        <f aca="false">IF(S200=R200,"Yes","No")</f>
        <v>Yes</v>
      </c>
    </row>
    <row r="201" customFormat="false" ht="15" hidden="false" customHeight="false" outlineLevel="0" collapsed="false">
      <c r="A201" s="15" t="n">
        <v>285</v>
      </c>
      <c r="B201" s="16" t="n">
        <v>3.31379092943433</v>
      </c>
      <c r="C201" s="15" t="n">
        <v>230</v>
      </c>
      <c r="D201" s="15" t="n">
        <v>300</v>
      </c>
      <c r="E201" s="15" t="n">
        <v>20</v>
      </c>
      <c r="F201" s="16" t="n">
        <v>0.688332522525665</v>
      </c>
      <c r="G201" s="17" t="s">
        <v>91</v>
      </c>
      <c r="H201" s="18" t="n">
        <v>0.2</v>
      </c>
      <c r="I201" s="18" t="n">
        <v>1</v>
      </c>
      <c r="J201" s="19" t="n">
        <v>0.864672994437897</v>
      </c>
      <c r="K201" s="19" t="n">
        <v>0.429247415862392</v>
      </c>
      <c r="L201" s="16" t="n">
        <v>13.0464209820249</v>
      </c>
      <c r="M201" s="19" t="n">
        <v>0.946857178085311</v>
      </c>
      <c r="N201" s="19" t="n">
        <v>1.05495685946391</v>
      </c>
      <c r="O201" s="19" t="n">
        <v>0.864672994437897</v>
      </c>
      <c r="P201" s="19" t="n">
        <v>0.306202923405694</v>
      </c>
      <c r="Q201" s="17" t="s">
        <v>30</v>
      </c>
      <c r="R201" s="5" t="str">
        <f aca="false">IF(OR(Q201="Steel plate",Q201="Concrete jacket"),"Steel plate or jacket",Q201)</f>
        <v>Seal cracks</v>
      </c>
      <c r="S201" s="5" t="str">
        <f aca="false">IF(O201&lt;='Tree rules'!$C$4,IF(N201&lt;='Tree rules'!$C$5,IF(P201&lt;='Tree rules'!$C$6,"Monitor","Polymer laminate"),IF(P201&lt;='Tree rules'!$C$7,"Seal cracks","Polymer laminate")),IF(O201&lt;='Tree rules'!$C$8,IF(M201&lt;='Tree rules'!$C$9,"Steel plate or jacket","Polymer laminate"),IF(L201&lt;='Tree rules'!$C$10,"Steel plate or jacket","Polymer laminate")))</f>
        <v>Seal cracks</v>
      </c>
      <c r="T201" s="5" t="str">
        <f aca="false">IF(S201=R201,"Yes","No")</f>
        <v>Yes</v>
      </c>
    </row>
    <row r="202" customFormat="false" ht="15" hidden="false" customHeight="false" outlineLevel="0" collapsed="false">
      <c r="A202" s="15" t="n">
        <v>286</v>
      </c>
      <c r="B202" s="16" t="n">
        <v>4.95888222406908</v>
      </c>
      <c r="C202" s="15" t="n">
        <v>230</v>
      </c>
      <c r="D202" s="15" t="n">
        <v>450</v>
      </c>
      <c r="E202" s="15" t="n">
        <v>30</v>
      </c>
      <c r="F202" s="16" t="n">
        <v>0.865527033274846</v>
      </c>
      <c r="G202" s="17" t="s">
        <v>89</v>
      </c>
      <c r="H202" s="18" t="n">
        <v>0.3</v>
      </c>
      <c r="I202" s="18" t="n">
        <v>1</v>
      </c>
      <c r="J202" s="19" t="n">
        <v>0.909448174620836</v>
      </c>
      <c r="K202" s="19" t="n">
        <v>0.479779105087234</v>
      </c>
      <c r="L202" s="16" t="n">
        <v>12.274460950666</v>
      </c>
      <c r="M202" s="19" t="n">
        <v>0.829591006051552</v>
      </c>
      <c r="N202" s="19" t="n">
        <v>0.570811941509684</v>
      </c>
      <c r="O202" s="19" t="n">
        <v>0.909448174620836</v>
      </c>
      <c r="P202" s="19" t="n">
        <v>0.44930689928641</v>
      </c>
      <c r="Q202" s="17" t="s">
        <v>29</v>
      </c>
      <c r="R202" s="5" t="str">
        <f aca="false">IF(OR(Q202="Steel plate",Q202="Concrete jacket"),"Steel plate or jacket",Q202)</f>
        <v>Monitor</v>
      </c>
      <c r="S202" s="5" t="str">
        <f aca="false">IF(O202&lt;='Tree rules'!$C$4,IF(N202&lt;='Tree rules'!$C$5,IF(P202&lt;='Tree rules'!$C$6,"Monitor","Polymer laminate"),IF(P202&lt;='Tree rules'!$C$7,"Seal cracks","Polymer laminate")),IF(O202&lt;='Tree rules'!$C$8,IF(M202&lt;='Tree rules'!$C$9,"Steel plate or jacket","Polymer laminate"),IF(L202&lt;='Tree rules'!$C$10,"Steel plate or jacket","Polymer laminate")))</f>
        <v>Monitor</v>
      </c>
      <c r="T202" s="5" t="str">
        <f aca="false">IF(S202=R202,"Yes","No")</f>
        <v>Yes</v>
      </c>
    </row>
    <row r="203" customFormat="false" ht="15" hidden="false" customHeight="false" outlineLevel="0" collapsed="false">
      <c r="A203" s="15" t="n">
        <v>287</v>
      </c>
      <c r="B203" s="16" t="n">
        <v>3.09599497616514</v>
      </c>
      <c r="C203" s="15" t="n">
        <v>300</v>
      </c>
      <c r="D203" s="15" t="n">
        <v>300</v>
      </c>
      <c r="E203" s="15" t="n">
        <v>30</v>
      </c>
      <c r="F203" s="16" t="n">
        <v>0.736310778185108</v>
      </c>
      <c r="G203" s="17" t="s">
        <v>89</v>
      </c>
      <c r="H203" s="18" t="n">
        <v>0.3</v>
      </c>
      <c r="I203" s="18" t="n">
        <v>1.5</v>
      </c>
      <c r="J203" s="19" t="n">
        <v>0.98833413162799</v>
      </c>
      <c r="K203" s="19" t="n">
        <v>0.507071678930397</v>
      </c>
      <c r="L203" s="16" t="n">
        <v>12.0937303756451</v>
      </c>
      <c r="M203" s="19" t="n">
        <v>0.29977182762574</v>
      </c>
      <c r="N203" s="19" t="n">
        <v>0.911963662773615</v>
      </c>
      <c r="O203" s="19" t="n">
        <v>1.23192307370758</v>
      </c>
      <c r="P203" s="19" t="n">
        <v>1.06690420156184</v>
      </c>
      <c r="Q203" s="17" t="s">
        <v>31</v>
      </c>
      <c r="R203" s="5" t="str">
        <f aca="false">IF(OR(Q203="Steel plate",Q203="Concrete jacket"),"Steel plate or jacket",Q203)</f>
        <v>Polymer laminate</v>
      </c>
      <c r="S203" s="5" t="str">
        <f aca="false">IF(O203&lt;='Tree rules'!$C$4,IF(N203&lt;='Tree rules'!$C$5,IF(P203&lt;='Tree rules'!$C$6,"Monitor","Polymer laminate"),IF(P203&lt;='Tree rules'!$C$7,"Seal cracks","Polymer laminate")),IF(O203&lt;='Tree rules'!$C$8,IF(M203&lt;='Tree rules'!$C$9,"Steel plate or jacket","Polymer laminate"),IF(L203&lt;='Tree rules'!$C$10,"Steel plate or jacket","Polymer laminate")))</f>
        <v>Polymer laminate</v>
      </c>
      <c r="T203" s="5" t="str">
        <f aca="false">IF(S203=R203,"Yes","No")</f>
        <v>Yes</v>
      </c>
    </row>
    <row r="204" customFormat="false" ht="15" hidden="false" customHeight="false" outlineLevel="0" collapsed="false">
      <c r="A204" s="15" t="n">
        <v>288</v>
      </c>
      <c r="B204" s="16" t="n">
        <v>4.58822719673551</v>
      </c>
      <c r="C204" s="15" t="n">
        <v>300</v>
      </c>
      <c r="D204" s="15" t="n">
        <v>425</v>
      </c>
      <c r="E204" s="15" t="n">
        <v>20</v>
      </c>
      <c r="F204" s="16" t="n">
        <v>0.555542467478301</v>
      </c>
      <c r="G204" s="17" t="s">
        <v>89</v>
      </c>
      <c r="H204" s="18" t="n">
        <v>0.3</v>
      </c>
      <c r="I204" s="18" t="n">
        <v>2</v>
      </c>
      <c r="J204" s="19" t="n">
        <v>0.956149043915617</v>
      </c>
      <c r="K204" s="19" t="n">
        <v>0.406395143907923</v>
      </c>
      <c r="L204" s="16" t="n">
        <v>12.1703639170703</v>
      </c>
      <c r="M204" s="19" t="n">
        <v>0.369884366913479</v>
      </c>
      <c r="N204" s="19" t="n">
        <v>1.82508094676486</v>
      </c>
      <c r="O204" s="19" t="n">
        <v>1.52372375953172</v>
      </c>
      <c r="P204" s="19" t="n">
        <v>0.949340508043575</v>
      </c>
      <c r="Q204" s="17" t="s">
        <v>31</v>
      </c>
      <c r="R204" s="5" t="str">
        <f aca="false">IF(OR(Q204="Steel plate",Q204="Concrete jacket"),"Steel plate or jacket",Q204)</f>
        <v>Polymer laminate</v>
      </c>
      <c r="S204" s="5" t="str">
        <f aca="false">IF(O204&lt;='Tree rules'!$C$4,IF(N204&lt;='Tree rules'!$C$5,IF(P204&lt;='Tree rules'!$C$6,"Monitor","Polymer laminate"),IF(P204&lt;='Tree rules'!$C$7,"Seal cracks","Polymer laminate")),IF(O204&lt;='Tree rules'!$C$8,IF(M204&lt;='Tree rules'!$C$9,"Steel plate or jacket","Polymer laminate"),IF(L204&lt;='Tree rules'!$C$10,"Steel plate or jacket","Polymer laminate")))</f>
        <v>Steel plate or jacket</v>
      </c>
      <c r="T204" s="5" t="str">
        <f aca="false">IF(S204=R204,"Yes","No")</f>
        <v>No</v>
      </c>
    </row>
    <row r="205" customFormat="false" ht="15" hidden="false" customHeight="false" outlineLevel="0" collapsed="false">
      <c r="A205" s="15" t="n">
        <v>290</v>
      </c>
      <c r="B205" s="16" t="n">
        <v>7.17800220778532</v>
      </c>
      <c r="C205" s="15" t="n">
        <v>300</v>
      </c>
      <c r="D205" s="15" t="n">
        <v>675</v>
      </c>
      <c r="E205" s="15" t="n">
        <v>30</v>
      </c>
      <c r="F205" s="16" t="n">
        <v>0.668068613203571</v>
      </c>
      <c r="G205" s="17" t="s">
        <v>89</v>
      </c>
      <c r="H205" s="18" t="n">
        <v>0.3</v>
      </c>
      <c r="I205" s="18" t="n">
        <v>1</v>
      </c>
      <c r="J205" s="19" t="n">
        <v>0.983167401285671</v>
      </c>
      <c r="K205" s="19" t="n">
        <v>0.588194525417895</v>
      </c>
      <c r="L205" s="16" t="n">
        <v>11.4481693904072</v>
      </c>
      <c r="M205" s="19" t="n">
        <v>0.95546995756608</v>
      </c>
      <c r="N205" s="19" t="n">
        <v>0.628852526116881</v>
      </c>
      <c r="O205" s="19" t="n">
        <v>0.983167401285671</v>
      </c>
      <c r="P205" s="19" t="n">
        <v>0.38654379759864</v>
      </c>
      <c r="Q205" s="17" t="s">
        <v>29</v>
      </c>
      <c r="R205" s="5" t="str">
        <f aca="false">IF(OR(Q205="Steel plate",Q205="Concrete jacket"),"Steel plate or jacket",Q205)</f>
        <v>Monitor</v>
      </c>
      <c r="S205" s="5" t="str">
        <f aca="false">IF(O205&lt;='Tree rules'!$C$4,IF(N205&lt;='Tree rules'!$C$5,IF(P205&lt;='Tree rules'!$C$6,"Monitor","Polymer laminate"),IF(P205&lt;='Tree rules'!$C$7,"Seal cracks","Polymer laminate")),IF(O205&lt;='Tree rules'!$C$8,IF(M205&lt;='Tree rules'!$C$9,"Steel plate or jacket","Polymer laminate"),IF(L205&lt;='Tree rules'!$C$10,"Steel plate or jacket","Polymer laminate")))</f>
        <v>Monitor</v>
      </c>
      <c r="T205" s="5" t="str">
        <f aca="false">IF(S205=R205,"Yes","No")</f>
        <v>Yes</v>
      </c>
    </row>
    <row r="206" customFormat="false" ht="15" hidden="false" customHeight="false" outlineLevel="0" collapsed="false">
      <c r="A206" s="15" t="n">
        <v>291</v>
      </c>
      <c r="B206" s="16" t="n">
        <v>3.0318211272255</v>
      </c>
      <c r="C206" s="15" t="n">
        <v>300</v>
      </c>
      <c r="D206" s="15" t="n">
        <v>300</v>
      </c>
      <c r="E206" s="15" t="n">
        <v>30</v>
      </c>
      <c r="F206" s="16" t="n">
        <v>0.791582400904515</v>
      </c>
      <c r="G206" s="17" t="s">
        <v>91</v>
      </c>
      <c r="H206" s="18" t="n">
        <v>0.2</v>
      </c>
      <c r="I206" s="18" t="n">
        <v>2</v>
      </c>
      <c r="J206" s="19" t="n">
        <v>0.941341803576319</v>
      </c>
      <c r="K206" s="19" t="n">
        <v>0.476757386590543</v>
      </c>
      <c r="L206" s="16" t="n">
        <v>11.9363036504941</v>
      </c>
      <c r="M206" s="19" t="n">
        <v>0.916294158847953</v>
      </c>
      <c r="N206" s="19" t="n">
        <v>1.77014660931527</v>
      </c>
      <c r="O206" s="19" t="n">
        <v>1.43389194899116</v>
      </c>
      <c r="P206" s="19" t="n">
        <v>0.40896915375314</v>
      </c>
      <c r="Q206" s="17" t="s">
        <v>31</v>
      </c>
      <c r="R206" s="5" t="str">
        <f aca="false">IF(OR(Q206="Steel plate",Q206="Concrete jacket"),"Steel plate or jacket",Q206)</f>
        <v>Polymer laminate</v>
      </c>
      <c r="S206" s="5" t="str">
        <f aca="false">IF(O206&lt;='Tree rules'!$C$4,IF(N206&lt;='Tree rules'!$C$5,IF(P206&lt;='Tree rules'!$C$6,"Monitor","Polymer laminate"),IF(P206&lt;='Tree rules'!$C$7,"Seal cracks","Polymer laminate")),IF(O206&lt;='Tree rules'!$C$8,IF(M206&lt;='Tree rules'!$C$9,"Steel plate or jacket","Polymer laminate"),IF(L206&lt;='Tree rules'!$C$10,"Steel plate or jacket","Polymer laminate")))</f>
        <v>Steel plate or jacket</v>
      </c>
      <c r="T206" s="5" t="str">
        <f aca="false">IF(S206=R206,"Yes","No")</f>
        <v>No</v>
      </c>
    </row>
    <row r="207" customFormat="false" ht="15" hidden="false" customHeight="false" outlineLevel="0" collapsed="false">
      <c r="A207" s="15" t="n">
        <v>292</v>
      </c>
      <c r="B207" s="16" t="n">
        <v>4.2079054846822</v>
      </c>
      <c r="C207" s="15" t="n">
        <v>300</v>
      </c>
      <c r="D207" s="15" t="n">
        <v>375</v>
      </c>
      <c r="E207" s="15" t="n">
        <v>25</v>
      </c>
      <c r="F207" s="16" t="n">
        <v>0.671280481536281</v>
      </c>
      <c r="G207" s="17" t="s">
        <v>90</v>
      </c>
      <c r="H207" s="18" t="n">
        <v>0.1</v>
      </c>
      <c r="I207" s="18" t="n">
        <v>1</v>
      </c>
      <c r="J207" s="19" t="n">
        <v>0.983016473400986</v>
      </c>
      <c r="K207" s="19" t="n">
        <v>0.486192974520264</v>
      </c>
      <c r="L207" s="16" t="n">
        <v>13.4868765534686</v>
      </c>
      <c r="M207" s="19" t="n">
        <v>0.943143832787816</v>
      </c>
      <c r="N207" s="19" t="n">
        <v>3.29652847764641</v>
      </c>
      <c r="O207" s="19" t="n">
        <v>0.983016473400986</v>
      </c>
      <c r="P207" s="19" t="n">
        <v>0.334150430192331</v>
      </c>
      <c r="Q207" s="17" t="s">
        <v>30</v>
      </c>
      <c r="R207" s="5" t="str">
        <f aca="false">IF(OR(Q207="Steel plate",Q207="Concrete jacket"),"Steel plate or jacket",Q207)</f>
        <v>Seal cracks</v>
      </c>
      <c r="S207" s="5" t="str">
        <f aca="false">IF(O207&lt;='Tree rules'!$C$4,IF(N207&lt;='Tree rules'!$C$5,IF(P207&lt;='Tree rules'!$C$6,"Monitor","Polymer laminate"),IF(P207&lt;='Tree rules'!$C$7,"Seal cracks","Polymer laminate")),IF(O207&lt;='Tree rules'!$C$8,IF(M207&lt;='Tree rules'!$C$9,"Steel plate or jacket","Polymer laminate"),IF(L207&lt;='Tree rules'!$C$10,"Steel plate or jacket","Polymer laminate")))</f>
        <v>Seal cracks</v>
      </c>
      <c r="T207" s="5" t="str">
        <f aca="false">IF(S207=R207,"Yes","No")</f>
        <v>Yes</v>
      </c>
    </row>
    <row r="208" customFormat="false" ht="15" hidden="false" customHeight="false" outlineLevel="0" collapsed="false">
      <c r="A208" s="15" t="n">
        <v>294</v>
      </c>
      <c r="B208" s="16" t="n">
        <v>4.19002205225922</v>
      </c>
      <c r="C208" s="15" t="n">
        <v>230</v>
      </c>
      <c r="D208" s="15" t="n">
        <v>325</v>
      </c>
      <c r="E208" s="15" t="n">
        <v>30</v>
      </c>
      <c r="F208" s="16" t="n">
        <v>0.524976027522354</v>
      </c>
      <c r="G208" s="17" t="s">
        <v>91</v>
      </c>
      <c r="H208" s="18" t="n">
        <v>0.2</v>
      </c>
      <c r="I208" s="18" t="n">
        <v>1.5</v>
      </c>
      <c r="J208" s="19" t="n">
        <v>0.893250249527479</v>
      </c>
      <c r="K208" s="19" t="n">
        <v>0.562238684068757</v>
      </c>
      <c r="L208" s="16" t="n">
        <v>14.9111105062606</v>
      </c>
      <c r="M208" s="19" t="n">
        <v>0.246935371908427</v>
      </c>
      <c r="N208" s="19" t="n">
        <v>1.29061109635704</v>
      </c>
      <c r="O208" s="19" t="n">
        <v>1.08876545187201</v>
      </c>
      <c r="P208" s="19" t="n">
        <v>1.13284242962401</v>
      </c>
      <c r="Q208" s="17" t="s">
        <v>31</v>
      </c>
      <c r="R208" s="5" t="str">
        <f aca="false">IF(OR(Q208="Steel plate",Q208="Concrete jacket"),"Steel plate or jacket",Q208)</f>
        <v>Polymer laminate</v>
      </c>
      <c r="S208" s="5" t="str">
        <f aca="false">IF(O208&lt;='Tree rules'!$C$4,IF(N208&lt;='Tree rules'!$C$5,IF(P208&lt;='Tree rules'!$C$6,"Monitor","Polymer laminate"),IF(P208&lt;='Tree rules'!$C$7,"Seal cracks","Polymer laminate")),IF(O208&lt;='Tree rules'!$C$8,IF(M208&lt;='Tree rules'!$C$9,"Steel plate or jacket","Polymer laminate"),IF(L208&lt;='Tree rules'!$C$10,"Steel plate or jacket","Polymer laminate")))</f>
        <v>Steel plate or jacket</v>
      </c>
      <c r="T208" s="5" t="str">
        <f aca="false">IF(S208=R208,"Yes","No")</f>
        <v>No</v>
      </c>
    </row>
    <row r="209" customFormat="false" ht="15" hidden="false" customHeight="false" outlineLevel="0" collapsed="false">
      <c r="A209" s="15" t="n">
        <v>296</v>
      </c>
      <c r="B209" s="16" t="n">
        <v>5.21568471370542</v>
      </c>
      <c r="C209" s="15" t="n">
        <v>230</v>
      </c>
      <c r="D209" s="15" t="n">
        <v>475</v>
      </c>
      <c r="E209" s="15" t="n">
        <v>25</v>
      </c>
      <c r="F209" s="16" t="n">
        <v>0.815088394972116</v>
      </c>
      <c r="G209" s="17" t="s">
        <v>89</v>
      </c>
      <c r="H209" s="18" t="n">
        <v>0.3</v>
      </c>
      <c r="I209" s="18" t="n">
        <v>1.5</v>
      </c>
      <c r="J209" s="19" t="n">
        <v>0.917594133774084</v>
      </c>
      <c r="K209" s="19" t="n">
        <v>0.413248525708194</v>
      </c>
      <c r="L209" s="16" t="n">
        <v>12.1577732254206</v>
      </c>
      <c r="M209" s="19" t="n">
        <v>0.904480328285835</v>
      </c>
      <c r="N209" s="19" t="n">
        <v>0.737645080201489</v>
      </c>
      <c r="O209" s="19" t="n">
        <v>1.18679398917081</v>
      </c>
      <c r="P209" s="19" t="n">
        <v>0.464507628364559</v>
      </c>
      <c r="Q209" s="17" t="s">
        <v>31</v>
      </c>
      <c r="R209" s="5" t="str">
        <f aca="false">IF(OR(Q209="Steel plate",Q209="Concrete jacket"),"Steel plate or jacket",Q209)</f>
        <v>Polymer laminate</v>
      </c>
      <c r="S209" s="5" t="str">
        <f aca="false">IF(O209&lt;='Tree rules'!$C$4,IF(N209&lt;='Tree rules'!$C$5,IF(P209&lt;='Tree rules'!$C$6,"Monitor","Polymer laminate"),IF(P209&lt;='Tree rules'!$C$7,"Seal cracks","Polymer laminate")),IF(O209&lt;='Tree rules'!$C$8,IF(M209&lt;='Tree rules'!$C$9,"Steel plate or jacket","Polymer laminate"),IF(L209&lt;='Tree rules'!$C$10,"Steel plate or jacket","Polymer laminate")))</f>
        <v>Polymer laminate</v>
      </c>
      <c r="T209" s="5" t="str">
        <f aca="false">IF(S209=R209,"Yes","No")</f>
        <v>Yes</v>
      </c>
    </row>
    <row r="210" customFormat="false" ht="15" hidden="false" customHeight="false" outlineLevel="0" collapsed="false">
      <c r="A210" s="15" t="n">
        <v>299</v>
      </c>
      <c r="B210" s="16" t="n">
        <v>4.14896138580517</v>
      </c>
      <c r="C210" s="15" t="n">
        <v>230</v>
      </c>
      <c r="D210" s="15" t="n">
        <v>400</v>
      </c>
      <c r="E210" s="15" t="n">
        <v>30</v>
      </c>
      <c r="F210" s="16" t="n">
        <v>0.740832460684402</v>
      </c>
      <c r="G210" s="17" t="s">
        <v>89</v>
      </c>
      <c r="H210" s="18" t="n">
        <v>0.3</v>
      </c>
      <c r="I210" s="18" t="n">
        <v>1</v>
      </c>
      <c r="J210" s="19" t="n">
        <v>0.884793275222521</v>
      </c>
      <c r="K210" s="19" t="n">
        <v>0.602632013468545</v>
      </c>
      <c r="L210" s="16" t="n">
        <v>11.7202299034044</v>
      </c>
      <c r="M210" s="19" t="n">
        <v>0.505733251431325</v>
      </c>
      <c r="N210" s="19" t="n">
        <v>0.651778111052249</v>
      </c>
      <c r="O210" s="19" t="n">
        <v>0.884793275222521</v>
      </c>
      <c r="P210" s="19" t="n">
        <v>0.60671957704211</v>
      </c>
      <c r="Q210" s="17" t="s">
        <v>29</v>
      </c>
      <c r="R210" s="5" t="str">
        <f aca="false">IF(OR(Q210="Steel plate",Q210="Concrete jacket"),"Steel plate or jacket",Q210)</f>
        <v>Monitor</v>
      </c>
      <c r="S210" s="5" t="str">
        <f aca="false">IF(O210&lt;='Tree rules'!$C$4,IF(N210&lt;='Tree rules'!$C$5,IF(P210&lt;='Tree rules'!$C$6,"Monitor","Polymer laminate"),IF(P210&lt;='Tree rules'!$C$7,"Seal cracks","Polymer laminate")),IF(O210&lt;='Tree rules'!$C$8,IF(M210&lt;='Tree rules'!$C$9,"Steel plate or jacket","Polymer laminate"),IF(L210&lt;='Tree rules'!$C$10,"Steel plate or jacket","Polymer laminate")))</f>
        <v>Monitor</v>
      </c>
      <c r="T210" s="5" t="str">
        <f aca="false">IF(S210=R210,"Yes","No")</f>
        <v>Yes</v>
      </c>
    </row>
    <row r="211" customFormat="false" ht="15" hidden="false" customHeight="false" outlineLevel="0" collapsed="false">
      <c r="A211" s="15" t="n">
        <v>300</v>
      </c>
      <c r="B211" s="16" t="n">
        <v>7.16266728649497</v>
      </c>
      <c r="C211" s="15" t="n">
        <v>300</v>
      </c>
      <c r="D211" s="15" t="n">
        <v>550</v>
      </c>
      <c r="E211" s="15" t="n">
        <v>30</v>
      </c>
      <c r="F211" s="16" t="n">
        <v>0.625815269639401</v>
      </c>
      <c r="G211" s="17" t="s">
        <v>91</v>
      </c>
      <c r="H211" s="18" t="n">
        <v>0.2</v>
      </c>
      <c r="I211" s="18" t="n">
        <v>1.5</v>
      </c>
      <c r="J211" s="19" t="n">
        <v>0.901304404994437</v>
      </c>
      <c r="K211" s="19" t="n">
        <v>0.434376241873163</v>
      </c>
      <c r="L211" s="16" t="n">
        <v>14.2682615268824</v>
      </c>
      <c r="M211" s="19" t="n">
        <v>0.253002768026702</v>
      </c>
      <c r="N211" s="19" t="n">
        <v>1.53903958165677</v>
      </c>
      <c r="O211" s="19" t="n">
        <v>1.15620399737905</v>
      </c>
      <c r="P211" s="19" t="n">
        <v>1.3896906171087</v>
      </c>
      <c r="Q211" s="17" t="s">
        <v>92</v>
      </c>
      <c r="R211" s="5" t="str">
        <f aca="false">IF(OR(Q211="Steel plate",Q211="Concrete jacket"),"Steel plate or jacket",Q211)</f>
        <v>Steel plate or jacket</v>
      </c>
      <c r="S211" s="5" t="str">
        <f aca="false">IF(O211&lt;='Tree rules'!$C$4,IF(N211&lt;='Tree rules'!$C$5,IF(P211&lt;='Tree rules'!$C$6,"Monitor","Polymer laminate"),IF(P211&lt;='Tree rules'!$C$7,"Seal cracks","Polymer laminate")),IF(O211&lt;='Tree rules'!$C$8,IF(M211&lt;='Tree rules'!$C$9,"Steel plate or jacket","Polymer laminate"),IF(L211&lt;='Tree rules'!$C$10,"Steel plate or jacket","Polymer laminate")))</f>
        <v>Steel plate or jacket</v>
      </c>
      <c r="T211" s="5" t="str">
        <f aca="false">IF(S211=R211,"Yes","No")</f>
        <v>Yes</v>
      </c>
    </row>
    <row r="212" customFormat="false" ht="15" hidden="false" customHeight="false" outlineLevel="0" collapsed="false">
      <c r="A212" s="15" t="n">
        <v>301</v>
      </c>
      <c r="B212" s="16" t="n">
        <v>3.46570340303741</v>
      </c>
      <c r="C212" s="15" t="n">
        <v>300</v>
      </c>
      <c r="D212" s="15" t="n">
        <v>325</v>
      </c>
      <c r="E212" s="15" t="n">
        <v>25</v>
      </c>
      <c r="F212" s="16" t="n">
        <v>0.804963242200943</v>
      </c>
      <c r="G212" s="17" t="s">
        <v>89</v>
      </c>
      <c r="H212" s="18" t="n">
        <v>0.3</v>
      </c>
      <c r="I212" s="18" t="n">
        <v>1.5</v>
      </c>
      <c r="J212" s="19" t="n">
        <v>0.912468125284661</v>
      </c>
      <c r="K212" s="19" t="n">
        <v>0.490500202447462</v>
      </c>
      <c r="L212" s="16" t="n">
        <v>12.3334640677488</v>
      </c>
      <c r="M212" s="19" t="n">
        <v>0.434127064251718</v>
      </c>
      <c r="N212" s="19" t="n">
        <v>0.783826205915856</v>
      </c>
      <c r="O212" s="19" t="n">
        <v>1.1449192878375</v>
      </c>
      <c r="P212" s="19" t="n">
        <v>0.838268708784258</v>
      </c>
      <c r="Q212" s="17" t="s">
        <v>31</v>
      </c>
      <c r="R212" s="5" t="str">
        <f aca="false">IF(OR(Q212="Steel plate",Q212="Concrete jacket"),"Steel plate or jacket",Q212)</f>
        <v>Polymer laminate</v>
      </c>
      <c r="S212" s="5" t="str">
        <f aca="false">IF(O212&lt;='Tree rules'!$C$4,IF(N212&lt;='Tree rules'!$C$5,IF(P212&lt;='Tree rules'!$C$6,"Monitor","Polymer laminate"),IF(P212&lt;='Tree rules'!$C$7,"Seal cracks","Polymer laminate")),IF(O212&lt;='Tree rules'!$C$8,IF(M212&lt;='Tree rules'!$C$9,"Steel plate or jacket","Polymer laminate"),IF(L212&lt;='Tree rules'!$C$10,"Steel plate or jacket","Polymer laminate")))</f>
        <v>Polymer laminate</v>
      </c>
      <c r="T212" s="5" t="str">
        <f aca="false">IF(S212=R212,"Yes","No")</f>
        <v>Yes</v>
      </c>
    </row>
    <row r="213" customFormat="false" ht="15" hidden="false" customHeight="false" outlineLevel="0" collapsed="false">
      <c r="A213" s="15" t="n">
        <v>302</v>
      </c>
      <c r="B213" s="16" t="n">
        <v>6.927548193796</v>
      </c>
      <c r="C213" s="15" t="n">
        <v>230</v>
      </c>
      <c r="D213" s="15" t="n">
        <v>600</v>
      </c>
      <c r="E213" s="15" t="n">
        <v>25</v>
      </c>
      <c r="F213" s="16" t="n">
        <v>0.742342309449384</v>
      </c>
      <c r="G213" s="17" t="s">
        <v>89</v>
      </c>
      <c r="H213" s="18" t="n">
        <v>0.3</v>
      </c>
      <c r="I213" s="18" t="n">
        <v>1.5</v>
      </c>
      <c r="J213" s="19" t="n">
        <v>0.855305403643951</v>
      </c>
      <c r="K213" s="19" t="n">
        <v>0.442150719923478</v>
      </c>
      <c r="L213" s="16" t="n">
        <v>12.5499061481812</v>
      </c>
      <c r="M213" s="19" t="n">
        <v>0.331165111655084</v>
      </c>
      <c r="N213" s="19" t="n">
        <v>0.801406576160191</v>
      </c>
      <c r="O213" s="19" t="n">
        <v>1.09387115547812</v>
      </c>
      <c r="P213" s="19" t="n">
        <v>1.12462080682564</v>
      </c>
      <c r="Q213" s="17" t="s">
        <v>31</v>
      </c>
      <c r="R213" s="5" t="str">
        <f aca="false">IF(OR(Q213="Steel plate",Q213="Concrete jacket"),"Steel plate or jacket",Q213)</f>
        <v>Polymer laminate</v>
      </c>
      <c r="S213" s="5" t="str">
        <f aca="false">IF(O213&lt;='Tree rules'!$C$4,IF(N213&lt;='Tree rules'!$C$5,IF(P213&lt;='Tree rules'!$C$6,"Monitor","Polymer laminate"),IF(P213&lt;='Tree rules'!$C$7,"Seal cracks","Polymer laminate")),IF(O213&lt;='Tree rules'!$C$8,IF(M213&lt;='Tree rules'!$C$9,"Steel plate or jacket","Polymer laminate"),IF(L213&lt;='Tree rules'!$C$10,"Steel plate or jacket","Polymer laminate")))</f>
        <v>Polymer laminate</v>
      </c>
      <c r="T213" s="5" t="str">
        <f aca="false">IF(S213=R213,"Yes","No")</f>
        <v>Yes</v>
      </c>
    </row>
    <row r="214" customFormat="false" ht="15" hidden="false" customHeight="false" outlineLevel="0" collapsed="false">
      <c r="A214" s="15" t="n">
        <v>303</v>
      </c>
      <c r="B214" s="16" t="n">
        <v>3.70817120485784</v>
      </c>
      <c r="C214" s="15" t="n">
        <v>300</v>
      </c>
      <c r="D214" s="15" t="n">
        <v>325</v>
      </c>
      <c r="E214" s="15" t="n">
        <v>30</v>
      </c>
      <c r="F214" s="16" t="n">
        <v>0.72065207824282</v>
      </c>
      <c r="G214" s="17" t="s">
        <v>91</v>
      </c>
      <c r="H214" s="18" t="n">
        <v>0.2</v>
      </c>
      <c r="I214" s="18" t="n">
        <v>1</v>
      </c>
      <c r="J214" s="19" t="n">
        <v>0.967954946860171</v>
      </c>
      <c r="K214" s="19" t="n">
        <v>0.472395582646341</v>
      </c>
      <c r="L214" s="16" t="n">
        <v>13.2909362181285</v>
      </c>
      <c r="M214" s="19" t="n">
        <v>0.45786803931359</v>
      </c>
      <c r="N214" s="19" t="n">
        <v>1.25073689323942</v>
      </c>
      <c r="O214" s="19" t="n">
        <v>0.967954946860171</v>
      </c>
      <c r="P214" s="19" t="n">
        <v>0.66445399862736</v>
      </c>
      <c r="Q214" s="17" t="s">
        <v>30</v>
      </c>
      <c r="R214" s="5" t="str">
        <f aca="false">IF(OR(Q214="Steel plate",Q214="Concrete jacket"),"Steel plate or jacket",Q214)</f>
        <v>Seal cracks</v>
      </c>
      <c r="S214" s="5" t="str">
        <f aca="false">IF(O214&lt;='Tree rules'!$C$4,IF(N214&lt;='Tree rules'!$C$5,IF(P214&lt;='Tree rules'!$C$6,"Monitor","Polymer laminate"),IF(P214&lt;='Tree rules'!$C$7,"Seal cracks","Polymer laminate")),IF(O214&lt;='Tree rules'!$C$8,IF(M214&lt;='Tree rules'!$C$9,"Steel plate or jacket","Polymer laminate"),IF(L214&lt;='Tree rules'!$C$10,"Steel plate or jacket","Polymer laminate")))</f>
        <v>Seal cracks</v>
      </c>
      <c r="T214" s="5" t="str">
        <f aca="false">IF(S214=R214,"Yes","No")</f>
        <v>Yes</v>
      </c>
    </row>
    <row r="215" customFormat="false" ht="15" hidden="false" customHeight="false" outlineLevel="0" collapsed="false">
      <c r="A215" s="15" t="n">
        <v>304</v>
      </c>
      <c r="B215" s="16" t="n">
        <v>4.03318475187691</v>
      </c>
      <c r="C215" s="15" t="n">
        <v>300</v>
      </c>
      <c r="D215" s="15" t="n">
        <v>350</v>
      </c>
      <c r="E215" s="15" t="n">
        <v>30</v>
      </c>
      <c r="F215" s="16" t="n">
        <v>0.739198271432892</v>
      </c>
      <c r="G215" s="17" t="s">
        <v>89</v>
      </c>
      <c r="H215" s="18" t="n">
        <v>0.3</v>
      </c>
      <c r="I215" s="18" t="n">
        <v>2</v>
      </c>
      <c r="J215" s="19" t="n">
        <v>0.921192199318794</v>
      </c>
      <c r="K215" s="19" t="n">
        <v>0.549082652024302</v>
      </c>
      <c r="L215" s="16" t="n">
        <v>13.1803423263951</v>
      </c>
      <c r="M215" s="19" t="n">
        <v>0.938401612773975</v>
      </c>
      <c r="N215" s="19" t="n">
        <v>0.849754195376</v>
      </c>
      <c r="O215" s="19" t="n">
        <v>1.33657374281153</v>
      </c>
      <c r="P215" s="19" t="n">
        <v>0.456521966924839</v>
      </c>
      <c r="Q215" s="17" t="s">
        <v>31</v>
      </c>
      <c r="R215" s="5" t="str">
        <f aca="false">IF(OR(Q215="Steel plate",Q215="Concrete jacket"),"Steel plate or jacket",Q215)</f>
        <v>Polymer laminate</v>
      </c>
      <c r="S215" s="5" t="str">
        <f aca="false">IF(O215&lt;='Tree rules'!$C$4,IF(N215&lt;='Tree rules'!$C$5,IF(P215&lt;='Tree rules'!$C$6,"Monitor","Polymer laminate"),IF(P215&lt;='Tree rules'!$C$7,"Seal cracks","Polymer laminate")),IF(O215&lt;='Tree rules'!$C$8,IF(M215&lt;='Tree rules'!$C$9,"Steel plate or jacket","Polymer laminate"),IF(L215&lt;='Tree rules'!$C$10,"Steel plate or jacket","Polymer laminate")))</f>
        <v>Polymer laminate</v>
      </c>
      <c r="T215" s="5" t="str">
        <f aca="false">IF(S215=R215,"Yes","No")</f>
        <v>Yes</v>
      </c>
    </row>
    <row r="216" customFormat="false" ht="15" hidden="false" customHeight="false" outlineLevel="0" collapsed="false">
      <c r="A216" s="15" t="n">
        <v>305</v>
      </c>
      <c r="B216" s="16" t="n">
        <v>6.81808644113202</v>
      </c>
      <c r="C216" s="15" t="n">
        <v>300</v>
      </c>
      <c r="D216" s="15" t="n">
        <v>600</v>
      </c>
      <c r="E216" s="15" t="n">
        <v>20</v>
      </c>
      <c r="F216" s="16" t="n">
        <v>0.621712831879242</v>
      </c>
      <c r="G216" s="17" t="s">
        <v>90</v>
      </c>
      <c r="H216" s="18" t="n">
        <v>0.1</v>
      </c>
      <c r="I216" s="18" t="n">
        <v>1.5</v>
      </c>
      <c r="J216" s="19" t="n">
        <v>0.877222598437327</v>
      </c>
      <c r="K216" s="19" t="n">
        <v>0.431284439291181</v>
      </c>
      <c r="L216" s="16" t="n">
        <v>12.6495110225084</v>
      </c>
      <c r="M216" s="19" t="n">
        <v>0.526214123064838</v>
      </c>
      <c r="N216" s="19" t="n">
        <v>2.89636116273146</v>
      </c>
      <c r="O216" s="19" t="n">
        <v>1.12666766940569</v>
      </c>
      <c r="P216" s="19" t="n">
        <v>0.656608281591605</v>
      </c>
      <c r="Q216" s="17" t="s">
        <v>31</v>
      </c>
      <c r="R216" s="5" t="str">
        <f aca="false">IF(OR(Q216="Steel plate",Q216="Concrete jacket"),"Steel plate or jacket",Q216)</f>
        <v>Polymer laminate</v>
      </c>
      <c r="S216" s="5" t="str">
        <f aca="false">IF(O216&lt;='Tree rules'!$C$4,IF(N216&lt;='Tree rules'!$C$5,IF(P216&lt;='Tree rules'!$C$6,"Monitor","Polymer laminate"),IF(P216&lt;='Tree rules'!$C$7,"Seal cracks","Polymer laminate")),IF(O216&lt;='Tree rules'!$C$8,IF(M216&lt;='Tree rules'!$C$9,"Steel plate or jacket","Polymer laminate"),IF(L216&lt;='Tree rules'!$C$10,"Steel plate or jacket","Polymer laminate")))</f>
        <v>Polymer laminate</v>
      </c>
      <c r="T216" s="5" t="str">
        <f aca="false">IF(S216=R216,"Yes","No")</f>
        <v>Yes</v>
      </c>
    </row>
    <row r="217" customFormat="false" ht="15" hidden="false" customHeight="false" outlineLevel="0" collapsed="false">
      <c r="A217" s="15" t="n">
        <v>306</v>
      </c>
      <c r="B217" s="16" t="n">
        <v>6.48340958016731</v>
      </c>
      <c r="C217" s="15" t="n">
        <v>300</v>
      </c>
      <c r="D217" s="15" t="n">
        <v>600</v>
      </c>
      <c r="E217" s="15" t="n">
        <v>25</v>
      </c>
      <c r="F217" s="16" t="n">
        <v>0.621712831879242</v>
      </c>
      <c r="G217" s="17" t="s">
        <v>90</v>
      </c>
      <c r="H217" s="18" t="n">
        <v>0.1</v>
      </c>
      <c r="I217" s="18" t="n">
        <v>1.5</v>
      </c>
      <c r="J217" s="19" t="n">
        <v>0.975742721249481</v>
      </c>
      <c r="K217" s="19" t="n">
        <v>0.570155212941972</v>
      </c>
      <c r="L217" s="16" t="n">
        <v>12.0285892025368</v>
      </c>
      <c r="M217" s="19" t="n">
        <v>0.320538930711882</v>
      </c>
      <c r="N217" s="19" t="n">
        <v>3.22891554038001</v>
      </c>
      <c r="O217" s="19" t="n">
        <v>1.18545168236893</v>
      </c>
      <c r="P217" s="19" t="n">
        <v>1.09691782101493</v>
      </c>
      <c r="Q217" s="17" t="s">
        <v>31</v>
      </c>
      <c r="R217" s="5" t="str">
        <f aca="false">IF(OR(Q217="Steel plate",Q217="Concrete jacket"),"Steel plate or jacket",Q217)</f>
        <v>Polymer laminate</v>
      </c>
      <c r="S217" s="5" t="str">
        <f aca="false">IF(O217&lt;='Tree rules'!$C$4,IF(N217&lt;='Tree rules'!$C$5,IF(P217&lt;='Tree rules'!$C$6,"Monitor","Polymer laminate"),IF(P217&lt;='Tree rules'!$C$7,"Seal cracks","Polymer laminate")),IF(O217&lt;='Tree rules'!$C$8,IF(M217&lt;='Tree rules'!$C$9,"Steel plate or jacket","Polymer laminate"),IF(L217&lt;='Tree rules'!$C$10,"Steel plate or jacket","Polymer laminate")))</f>
        <v>Polymer laminate</v>
      </c>
      <c r="T217" s="5" t="str">
        <f aca="false">IF(S217=R217,"Yes","No")</f>
        <v>Yes</v>
      </c>
    </row>
    <row r="218" customFormat="false" ht="15" hidden="false" customHeight="false" outlineLevel="0" collapsed="false">
      <c r="A218" s="15" t="n">
        <v>307</v>
      </c>
      <c r="B218" s="16" t="n">
        <v>6.13318326260596</v>
      </c>
      <c r="C218" s="15" t="n">
        <v>300</v>
      </c>
      <c r="D218" s="15" t="n">
        <v>600</v>
      </c>
      <c r="E218" s="15" t="n">
        <v>30</v>
      </c>
      <c r="F218" s="16" t="n">
        <v>0.569129103911194</v>
      </c>
      <c r="G218" s="17" t="s">
        <v>91</v>
      </c>
      <c r="H218" s="18" t="n">
        <v>0.2</v>
      </c>
      <c r="I218" s="18" t="n">
        <v>1</v>
      </c>
      <c r="J218" s="19" t="n">
        <v>0.872032191011523</v>
      </c>
      <c r="K218" s="19" t="n">
        <v>0.562638008279734</v>
      </c>
      <c r="L218" s="16" t="n">
        <v>11.1108392438514</v>
      </c>
      <c r="M218" s="19" t="n">
        <v>0.941110118774489</v>
      </c>
      <c r="N218" s="19" t="n">
        <v>0.945271879828217</v>
      </c>
      <c r="O218" s="19" t="n">
        <v>0.872032191011523</v>
      </c>
      <c r="P218" s="19" t="n">
        <v>0.287783949829055</v>
      </c>
      <c r="Q218" s="17" t="s">
        <v>29</v>
      </c>
      <c r="R218" s="5" t="str">
        <f aca="false">IF(OR(Q218="Steel plate",Q218="Concrete jacket"),"Steel plate or jacket",Q218)</f>
        <v>Monitor</v>
      </c>
      <c r="S218" s="5" t="str">
        <f aca="false">IF(O218&lt;='Tree rules'!$C$4,IF(N218&lt;='Tree rules'!$C$5,IF(P218&lt;='Tree rules'!$C$6,"Monitor","Polymer laminate"),IF(P218&lt;='Tree rules'!$C$7,"Seal cracks","Polymer laminate")),IF(O218&lt;='Tree rules'!$C$8,IF(M218&lt;='Tree rules'!$C$9,"Steel plate or jacket","Polymer laminate"),IF(L218&lt;='Tree rules'!$C$10,"Steel plate or jacket","Polymer laminate")))</f>
        <v>Monitor</v>
      </c>
      <c r="T218" s="5" t="str">
        <f aca="false">IF(S218=R218,"Yes","No")</f>
        <v>Yes</v>
      </c>
    </row>
    <row r="219" customFormat="false" ht="15" hidden="false" customHeight="false" outlineLevel="0" collapsed="false">
      <c r="A219" s="15" t="n">
        <v>308</v>
      </c>
      <c r="B219" s="16" t="n">
        <v>5.20401550374992</v>
      </c>
      <c r="C219" s="15" t="n">
        <v>300</v>
      </c>
      <c r="D219" s="15" t="n">
        <v>475</v>
      </c>
      <c r="E219" s="15" t="n">
        <v>30</v>
      </c>
      <c r="F219" s="16" t="n">
        <v>0.735735984447258</v>
      </c>
      <c r="G219" s="17" t="s">
        <v>89</v>
      </c>
      <c r="H219" s="18" t="n">
        <v>0.3</v>
      </c>
      <c r="I219" s="18" t="n">
        <v>1.5</v>
      </c>
      <c r="J219" s="19" t="n">
        <v>0.875739820787368</v>
      </c>
      <c r="K219" s="19" t="n">
        <v>0.612930049285029</v>
      </c>
      <c r="L219" s="16" t="n">
        <v>12.1873899385244</v>
      </c>
      <c r="M219" s="19" t="n">
        <v>0.871827690687872</v>
      </c>
      <c r="N219" s="19" t="n">
        <v>0.823153284220699</v>
      </c>
      <c r="O219" s="19" t="n">
        <v>1.04522610542302</v>
      </c>
      <c r="P219" s="19" t="n">
        <v>0.439806834465161</v>
      </c>
      <c r="Q219" s="17" t="s">
        <v>31</v>
      </c>
      <c r="R219" s="5" t="str">
        <f aca="false">IF(OR(Q219="Steel plate",Q219="Concrete jacket"),"Steel plate or jacket",Q219)</f>
        <v>Polymer laminate</v>
      </c>
      <c r="S219" s="5" t="str">
        <f aca="false">IF(O219&lt;='Tree rules'!$C$4,IF(N219&lt;='Tree rules'!$C$5,IF(P219&lt;='Tree rules'!$C$6,"Monitor","Polymer laminate"),IF(P219&lt;='Tree rules'!$C$7,"Seal cracks","Polymer laminate")),IF(O219&lt;='Tree rules'!$C$8,IF(M219&lt;='Tree rules'!$C$9,"Steel plate or jacket","Polymer laminate"),IF(L219&lt;='Tree rules'!$C$10,"Steel plate or jacket","Polymer laminate")))</f>
        <v>Polymer laminate</v>
      </c>
      <c r="T219" s="5" t="str">
        <f aca="false">IF(S219=R219,"Yes","No")</f>
        <v>Yes</v>
      </c>
    </row>
    <row r="220" customFormat="false" ht="15" hidden="false" customHeight="false" outlineLevel="0" collapsed="false">
      <c r="A220" s="15" t="n">
        <v>309</v>
      </c>
      <c r="B220" s="16" t="n">
        <v>3.08739649320808</v>
      </c>
      <c r="C220" s="15" t="n">
        <v>230</v>
      </c>
      <c r="D220" s="15" t="n">
        <v>300</v>
      </c>
      <c r="E220" s="15" t="n">
        <v>30</v>
      </c>
      <c r="F220" s="16" t="n">
        <v>1.09729996268736</v>
      </c>
      <c r="G220" s="17" t="s">
        <v>90</v>
      </c>
      <c r="H220" s="18" t="n">
        <v>0.1</v>
      </c>
      <c r="I220" s="18" t="n">
        <v>1.5</v>
      </c>
      <c r="J220" s="19" t="n">
        <v>0.894853660674601</v>
      </c>
      <c r="K220" s="19" t="n">
        <v>0.482417238489717</v>
      </c>
      <c r="L220" s="16" t="n">
        <v>12.9179769590296</v>
      </c>
      <c r="M220" s="19" t="n">
        <v>0.267113838297323</v>
      </c>
      <c r="N220" s="19" t="n">
        <v>3.52576123399423</v>
      </c>
      <c r="O220" s="19" t="n">
        <v>1.12643407509437</v>
      </c>
      <c r="P220" s="19" t="n">
        <v>1.30368077737431</v>
      </c>
      <c r="Q220" s="17" t="s">
        <v>31</v>
      </c>
      <c r="R220" s="5" t="str">
        <f aca="false">IF(OR(Q220="Steel plate",Q220="Concrete jacket"),"Steel plate or jacket",Q220)</f>
        <v>Polymer laminate</v>
      </c>
      <c r="S220" s="5" t="str">
        <f aca="false">IF(O220&lt;='Tree rules'!$C$4,IF(N220&lt;='Tree rules'!$C$5,IF(P220&lt;='Tree rules'!$C$6,"Monitor","Polymer laminate"),IF(P220&lt;='Tree rules'!$C$7,"Seal cracks","Polymer laminate")),IF(O220&lt;='Tree rules'!$C$8,IF(M220&lt;='Tree rules'!$C$9,"Steel plate or jacket","Polymer laminate"),IF(L220&lt;='Tree rules'!$C$10,"Steel plate or jacket","Polymer laminate")))</f>
        <v>Steel plate or jacket</v>
      </c>
      <c r="T220" s="5" t="str">
        <f aca="false">IF(S220=R220,"Yes","No")</f>
        <v>No</v>
      </c>
    </row>
    <row r="221" customFormat="false" ht="15" hidden="false" customHeight="false" outlineLevel="0" collapsed="false">
      <c r="A221" s="15" t="n">
        <v>310</v>
      </c>
      <c r="B221" s="16" t="n">
        <v>6.58442903110326</v>
      </c>
      <c r="C221" s="15" t="n">
        <v>230</v>
      </c>
      <c r="D221" s="15" t="n">
        <v>525</v>
      </c>
      <c r="E221" s="15" t="n">
        <v>30</v>
      </c>
      <c r="F221" s="16" t="n">
        <v>0.730006099046008</v>
      </c>
      <c r="G221" s="17" t="s">
        <v>91</v>
      </c>
      <c r="H221" s="18" t="n">
        <v>0.2</v>
      </c>
      <c r="I221" s="18" t="n">
        <v>1.5</v>
      </c>
      <c r="J221" s="19" t="n">
        <v>0.884878364878248</v>
      </c>
      <c r="K221" s="19" t="n">
        <v>0.414382103362989</v>
      </c>
      <c r="L221" s="16" t="n">
        <v>13.7461983947876</v>
      </c>
      <c r="M221" s="19" t="n">
        <v>0.822318856649034</v>
      </c>
      <c r="N221" s="19" t="n">
        <v>1.07662447509854</v>
      </c>
      <c r="O221" s="19" t="n">
        <v>1.14397866828805</v>
      </c>
      <c r="P221" s="19" t="n">
        <v>0.49388861934903</v>
      </c>
      <c r="Q221" s="17" t="s">
        <v>31</v>
      </c>
      <c r="R221" s="5" t="str">
        <f aca="false">IF(OR(Q221="Steel plate",Q221="Concrete jacket"),"Steel plate or jacket",Q221)</f>
        <v>Polymer laminate</v>
      </c>
      <c r="S221" s="5" t="str">
        <f aca="false">IF(O221&lt;='Tree rules'!$C$4,IF(N221&lt;='Tree rules'!$C$5,IF(P221&lt;='Tree rules'!$C$6,"Monitor","Polymer laminate"),IF(P221&lt;='Tree rules'!$C$7,"Seal cracks","Polymer laminate")),IF(O221&lt;='Tree rules'!$C$8,IF(M221&lt;='Tree rules'!$C$9,"Steel plate or jacket","Polymer laminate"),IF(L221&lt;='Tree rules'!$C$10,"Steel plate or jacket","Polymer laminate")))</f>
        <v>Polymer laminate</v>
      </c>
      <c r="T221" s="5" t="str">
        <f aca="false">IF(S221=R221,"Yes","No")</f>
        <v>Yes</v>
      </c>
    </row>
    <row r="222" customFormat="false" ht="15" hidden="false" customHeight="false" outlineLevel="0" collapsed="false">
      <c r="A222" s="15" t="n">
        <v>311</v>
      </c>
      <c r="B222" s="16" t="n">
        <v>4.27144028425437</v>
      </c>
      <c r="C222" s="15" t="n">
        <v>230</v>
      </c>
      <c r="D222" s="15" t="n">
        <v>400</v>
      </c>
      <c r="E222" s="15" t="n">
        <v>30</v>
      </c>
      <c r="F222" s="16" t="n">
        <v>0.810628990734046</v>
      </c>
      <c r="G222" s="17" t="s">
        <v>90</v>
      </c>
      <c r="H222" s="18" t="n">
        <v>0.1</v>
      </c>
      <c r="I222" s="18" t="n">
        <v>2</v>
      </c>
      <c r="J222" s="19" t="n">
        <v>0.873858799935043</v>
      </c>
      <c r="K222" s="19" t="n">
        <v>0.400749967591368</v>
      </c>
      <c r="L222" s="16" t="n">
        <v>12.674896985918</v>
      </c>
      <c r="M222" s="19" t="n">
        <v>0.629970556098248</v>
      </c>
      <c r="N222" s="19" t="n">
        <v>4.51872680482472</v>
      </c>
      <c r="O222" s="19" t="n">
        <v>1.39751871411669</v>
      </c>
      <c r="P222" s="19" t="n">
        <v>0.563610714964647</v>
      </c>
      <c r="Q222" s="17" t="s">
        <v>31</v>
      </c>
      <c r="R222" s="5" t="str">
        <f aca="false">IF(OR(Q222="Steel plate",Q222="Concrete jacket"),"Steel plate or jacket",Q222)</f>
        <v>Polymer laminate</v>
      </c>
      <c r="S222" s="5" t="str">
        <f aca="false">IF(O222&lt;='Tree rules'!$C$4,IF(N222&lt;='Tree rules'!$C$5,IF(P222&lt;='Tree rules'!$C$6,"Monitor","Polymer laminate"),IF(P222&lt;='Tree rules'!$C$7,"Seal cracks","Polymer laminate")),IF(O222&lt;='Tree rules'!$C$8,IF(M222&lt;='Tree rules'!$C$9,"Steel plate or jacket","Polymer laminate"),IF(L222&lt;='Tree rules'!$C$10,"Steel plate or jacket","Polymer laminate")))</f>
        <v>Steel plate or jacket</v>
      </c>
      <c r="T222" s="5" t="str">
        <f aca="false">IF(S222=R222,"Yes","No")</f>
        <v>No</v>
      </c>
    </row>
    <row r="223" customFormat="false" ht="15" hidden="false" customHeight="false" outlineLevel="0" collapsed="false">
      <c r="A223" s="15" t="n">
        <v>314</v>
      </c>
      <c r="B223" s="16" t="n">
        <v>6.91400890480752</v>
      </c>
      <c r="C223" s="15" t="n">
        <v>300</v>
      </c>
      <c r="D223" s="15" t="n">
        <v>575</v>
      </c>
      <c r="E223" s="15" t="n">
        <v>30</v>
      </c>
      <c r="F223" s="16" t="n">
        <v>0.651951782846131</v>
      </c>
      <c r="G223" s="17" t="s">
        <v>90</v>
      </c>
      <c r="H223" s="18" t="n">
        <v>0.1</v>
      </c>
      <c r="I223" s="18" t="n">
        <v>2</v>
      </c>
      <c r="J223" s="19" t="n">
        <v>0.959168666968783</v>
      </c>
      <c r="K223" s="19" t="n">
        <v>0.400149372942952</v>
      </c>
      <c r="L223" s="16" t="n">
        <v>13.4513791922325</v>
      </c>
      <c r="M223" s="19" t="n">
        <v>0.927708157474147</v>
      </c>
      <c r="N223" s="19" t="n">
        <v>3.88570975249664</v>
      </c>
      <c r="O223" s="19" t="n">
        <v>1.53452659330348</v>
      </c>
      <c r="P223" s="19" t="n">
        <v>0.457444830789323</v>
      </c>
      <c r="Q223" s="17" t="s">
        <v>92</v>
      </c>
      <c r="R223" s="5" t="str">
        <f aca="false">IF(OR(Q223="Steel plate",Q223="Concrete jacket"),"Steel plate or jacket",Q223)</f>
        <v>Steel plate or jacket</v>
      </c>
      <c r="S223" s="5" t="str">
        <f aca="false">IF(O223&lt;='Tree rules'!$C$4,IF(N223&lt;='Tree rules'!$C$5,IF(P223&lt;='Tree rules'!$C$6,"Monitor","Polymer laminate"),IF(P223&lt;='Tree rules'!$C$7,"Seal cracks","Polymer laminate")),IF(O223&lt;='Tree rules'!$C$8,IF(M223&lt;='Tree rules'!$C$9,"Steel plate or jacket","Polymer laminate"),IF(L223&lt;='Tree rules'!$C$10,"Steel plate or jacket","Polymer laminate")))</f>
        <v>Polymer laminate</v>
      </c>
      <c r="T223" s="5" t="str">
        <f aca="false">IF(S223=R223,"Yes","No")</f>
        <v>No</v>
      </c>
    </row>
    <row r="224" customFormat="false" ht="15" hidden="false" customHeight="false" outlineLevel="0" collapsed="false">
      <c r="A224" s="15" t="n">
        <v>315</v>
      </c>
      <c r="B224" s="16" t="n">
        <v>3.50633694569123</v>
      </c>
      <c r="C224" s="15" t="n">
        <v>230</v>
      </c>
      <c r="D224" s="15" t="n">
        <v>350</v>
      </c>
      <c r="E224" s="15" t="n">
        <v>25</v>
      </c>
      <c r="F224" s="16" t="n">
        <v>0.862679904875916</v>
      </c>
      <c r="G224" s="17" t="s">
        <v>89</v>
      </c>
      <c r="H224" s="18" t="n">
        <v>0.3</v>
      </c>
      <c r="I224" s="18" t="n">
        <v>2</v>
      </c>
      <c r="J224" s="19" t="n">
        <v>0.872174785949917</v>
      </c>
      <c r="K224" s="19" t="n">
        <v>0.400980348084575</v>
      </c>
      <c r="L224" s="16" t="n">
        <v>11.5340031108264</v>
      </c>
      <c r="M224" s="19" t="n">
        <v>0.543394183473593</v>
      </c>
      <c r="N224" s="19" t="n">
        <v>1.04537396890673</v>
      </c>
      <c r="O224" s="19" t="n">
        <v>1.39462462263905</v>
      </c>
      <c r="P224" s="19" t="n">
        <v>0.711127563566375</v>
      </c>
      <c r="Q224" s="17" t="s">
        <v>31</v>
      </c>
      <c r="R224" s="5" t="str">
        <f aca="false">IF(OR(Q224="Steel plate",Q224="Concrete jacket"),"Steel plate or jacket",Q224)</f>
        <v>Polymer laminate</v>
      </c>
      <c r="S224" s="5" t="str">
        <f aca="false">IF(O224&lt;='Tree rules'!$C$4,IF(N224&lt;='Tree rules'!$C$5,IF(P224&lt;='Tree rules'!$C$6,"Monitor","Polymer laminate"),IF(P224&lt;='Tree rules'!$C$7,"Seal cracks","Polymer laminate")),IF(O224&lt;='Tree rules'!$C$8,IF(M224&lt;='Tree rules'!$C$9,"Steel plate or jacket","Polymer laminate"),IF(L224&lt;='Tree rules'!$C$10,"Steel plate or jacket","Polymer laminate")))</f>
        <v>Steel plate or jacket</v>
      </c>
      <c r="T224" s="5" t="str">
        <f aca="false">IF(S224=R224,"Yes","No")</f>
        <v>No</v>
      </c>
    </row>
    <row r="225" customFormat="false" ht="15" hidden="false" customHeight="false" outlineLevel="0" collapsed="false">
      <c r="A225" s="15" t="n">
        <v>316</v>
      </c>
      <c r="B225" s="16" t="n">
        <v>4.63354327954291</v>
      </c>
      <c r="C225" s="15" t="n">
        <v>230</v>
      </c>
      <c r="D225" s="15" t="n">
        <v>375</v>
      </c>
      <c r="E225" s="15" t="n">
        <v>30</v>
      </c>
      <c r="F225" s="16" t="n">
        <v>0.797126720614828</v>
      </c>
      <c r="G225" s="17" t="s">
        <v>91</v>
      </c>
      <c r="H225" s="18" t="n">
        <v>0.2</v>
      </c>
      <c r="I225" s="18" t="n">
        <v>2</v>
      </c>
      <c r="J225" s="19" t="n">
        <v>0.881067508774157</v>
      </c>
      <c r="K225" s="19" t="n">
        <v>0.591802224531626</v>
      </c>
      <c r="L225" s="16" t="n">
        <v>14.0837181749025</v>
      </c>
      <c r="M225" s="19" t="n">
        <v>0.929786424577355</v>
      </c>
      <c r="N225" s="19" t="n">
        <v>1.31170606124616</v>
      </c>
      <c r="O225" s="19" t="n">
        <v>1.24071730589323</v>
      </c>
      <c r="P225" s="19" t="n">
        <v>0.509986224440153</v>
      </c>
      <c r="Q225" s="17" t="s">
        <v>31</v>
      </c>
      <c r="R225" s="5" t="str">
        <f aca="false">IF(OR(Q225="Steel plate",Q225="Concrete jacket"),"Steel plate or jacket",Q225)</f>
        <v>Polymer laminate</v>
      </c>
      <c r="S225" s="5" t="str">
        <f aca="false">IF(O225&lt;='Tree rules'!$C$4,IF(N225&lt;='Tree rules'!$C$5,IF(P225&lt;='Tree rules'!$C$6,"Monitor","Polymer laminate"),IF(P225&lt;='Tree rules'!$C$7,"Seal cracks","Polymer laminate")),IF(O225&lt;='Tree rules'!$C$8,IF(M225&lt;='Tree rules'!$C$9,"Steel plate or jacket","Polymer laminate"),IF(L225&lt;='Tree rules'!$C$10,"Steel plate or jacket","Polymer laminate")))</f>
        <v>Polymer laminate</v>
      </c>
      <c r="T225" s="5" t="str">
        <f aca="false">IF(S225=R225,"Yes","No")</f>
        <v>Yes</v>
      </c>
    </row>
    <row r="226" customFormat="false" ht="15" hidden="false" customHeight="false" outlineLevel="0" collapsed="false">
      <c r="A226" s="15" t="n">
        <v>317</v>
      </c>
      <c r="B226" s="16" t="n">
        <v>6.15929269252531</v>
      </c>
      <c r="C226" s="15" t="n">
        <v>300</v>
      </c>
      <c r="D226" s="15" t="n">
        <v>600</v>
      </c>
      <c r="E226" s="15" t="n">
        <v>25</v>
      </c>
      <c r="F226" s="16" t="n">
        <v>0.569129103911194</v>
      </c>
      <c r="G226" s="17" t="s">
        <v>89</v>
      </c>
      <c r="H226" s="18" t="n">
        <v>0.3</v>
      </c>
      <c r="I226" s="18" t="n">
        <v>1</v>
      </c>
      <c r="J226" s="19" t="n">
        <v>0.961746311595543</v>
      </c>
      <c r="K226" s="19" t="n">
        <v>0.483041689531498</v>
      </c>
      <c r="L226" s="16" t="n">
        <v>11.1581389357343</v>
      </c>
      <c r="M226" s="19" t="n">
        <v>0.795231303454286</v>
      </c>
      <c r="N226" s="19" t="n">
        <v>0.733602319678521</v>
      </c>
      <c r="O226" s="19" t="n">
        <v>0.961746311595543</v>
      </c>
      <c r="P226" s="19" t="n">
        <v>0.3639016639283</v>
      </c>
      <c r="Q226" s="17" t="s">
        <v>29</v>
      </c>
      <c r="R226" s="5" t="str">
        <f aca="false">IF(OR(Q226="Steel plate",Q226="Concrete jacket"),"Steel plate or jacket",Q226)</f>
        <v>Monitor</v>
      </c>
      <c r="S226" s="5" t="str">
        <f aca="false">IF(O226&lt;='Tree rules'!$C$4,IF(N226&lt;='Tree rules'!$C$5,IF(P226&lt;='Tree rules'!$C$6,"Monitor","Polymer laminate"),IF(P226&lt;='Tree rules'!$C$7,"Seal cracks","Polymer laminate")),IF(O226&lt;='Tree rules'!$C$8,IF(M226&lt;='Tree rules'!$C$9,"Steel plate or jacket","Polymer laminate"),IF(L226&lt;='Tree rules'!$C$10,"Steel plate or jacket","Polymer laminate")))</f>
        <v>Monitor</v>
      </c>
      <c r="T226" s="5" t="str">
        <f aca="false">IF(S226=R226,"Yes","No")</f>
        <v>Yes</v>
      </c>
    </row>
    <row r="227" customFormat="false" ht="15" hidden="false" customHeight="false" outlineLevel="0" collapsed="false">
      <c r="A227" s="15" t="n">
        <v>318</v>
      </c>
      <c r="B227" s="16" t="n">
        <v>4.44777726418691</v>
      </c>
      <c r="C227" s="15" t="n">
        <v>230</v>
      </c>
      <c r="D227" s="15" t="n">
        <v>375</v>
      </c>
      <c r="E227" s="15" t="n">
        <v>25</v>
      </c>
      <c r="F227" s="16" t="n">
        <v>0.835418868126524</v>
      </c>
      <c r="G227" s="17" t="s">
        <v>89</v>
      </c>
      <c r="H227" s="18" t="n">
        <v>0.3</v>
      </c>
      <c r="I227" s="18" t="n">
        <v>1</v>
      </c>
      <c r="J227" s="19" t="n">
        <v>0.860040767107592</v>
      </c>
      <c r="K227" s="19" t="n">
        <v>0.486056713957623</v>
      </c>
      <c r="L227" s="16" t="n">
        <v>13.6017653339049</v>
      </c>
      <c r="M227" s="19" t="n">
        <v>0.929786337811435</v>
      </c>
      <c r="N227" s="19" t="n">
        <v>0.735303972871802</v>
      </c>
      <c r="O227" s="19" t="n">
        <v>0.860040767107592</v>
      </c>
      <c r="P227" s="19" t="n">
        <v>0.408679253671668</v>
      </c>
      <c r="Q227" s="17" t="s">
        <v>29</v>
      </c>
      <c r="R227" s="5" t="str">
        <f aca="false">IF(OR(Q227="Steel plate",Q227="Concrete jacket"),"Steel plate or jacket",Q227)</f>
        <v>Monitor</v>
      </c>
      <c r="S227" s="5" t="str">
        <f aca="false">IF(O227&lt;='Tree rules'!$C$4,IF(N227&lt;='Tree rules'!$C$5,IF(P227&lt;='Tree rules'!$C$6,"Monitor","Polymer laminate"),IF(P227&lt;='Tree rules'!$C$7,"Seal cracks","Polymer laminate")),IF(O227&lt;='Tree rules'!$C$8,IF(M227&lt;='Tree rules'!$C$9,"Steel plate or jacket","Polymer laminate"),IF(L227&lt;='Tree rules'!$C$10,"Steel plate or jacket","Polymer laminate")))</f>
        <v>Monitor</v>
      </c>
      <c r="T227" s="5" t="str">
        <f aca="false">IF(S227=R227,"Yes","No")</f>
        <v>Yes</v>
      </c>
    </row>
    <row r="228" customFormat="false" ht="15" hidden="false" customHeight="false" outlineLevel="0" collapsed="false">
      <c r="A228" s="15" t="n">
        <v>320</v>
      </c>
      <c r="B228" s="16" t="n">
        <v>5.93253895652222</v>
      </c>
      <c r="C228" s="15" t="n">
        <v>300</v>
      </c>
      <c r="D228" s="15" t="n">
        <v>550</v>
      </c>
      <c r="E228" s="15" t="n">
        <v>20</v>
      </c>
      <c r="F228" s="16" t="n">
        <v>0.664887334093078</v>
      </c>
      <c r="G228" s="17" t="s">
        <v>89</v>
      </c>
      <c r="H228" s="18" t="n">
        <v>0.3</v>
      </c>
      <c r="I228" s="18" t="n">
        <v>1</v>
      </c>
      <c r="J228" s="19" t="n">
        <v>0.86445306321737</v>
      </c>
      <c r="K228" s="19" t="n">
        <v>0.536321025108681</v>
      </c>
      <c r="L228" s="16" t="n">
        <v>11.7709106280203</v>
      </c>
      <c r="M228" s="19" t="n">
        <v>0.939275658351072</v>
      </c>
      <c r="N228" s="19" t="n">
        <v>0.493544838581588</v>
      </c>
      <c r="O228" s="19" t="n">
        <v>0.86445306321737</v>
      </c>
      <c r="P228" s="19" t="n">
        <v>0.375460276259653</v>
      </c>
      <c r="Q228" s="17" t="s">
        <v>29</v>
      </c>
      <c r="R228" s="5" t="str">
        <f aca="false">IF(OR(Q228="Steel plate",Q228="Concrete jacket"),"Steel plate or jacket",Q228)</f>
        <v>Monitor</v>
      </c>
      <c r="S228" s="5" t="str">
        <f aca="false">IF(O228&lt;='Tree rules'!$C$4,IF(N228&lt;='Tree rules'!$C$5,IF(P228&lt;='Tree rules'!$C$6,"Monitor","Polymer laminate"),IF(P228&lt;='Tree rules'!$C$7,"Seal cracks","Polymer laminate")),IF(O228&lt;='Tree rules'!$C$8,IF(M228&lt;='Tree rules'!$C$9,"Steel plate or jacket","Polymer laminate"),IF(L228&lt;='Tree rules'!$C$10,"Steel plate or jacket","Polymer laminate")))</f>
        <v>Monitor</v>
      </c>
      <c r="T228" s="5" t="str">
        <f aca="false">IF(S228=R228,"Yes","No")</f>
        <v>Yes</v>
      </c>
    </row>
    <row r="229" customFormat="false" ht="15" hidden="false" customHeight="false" outlineLevel="0" collapsed="false">
      <c r="A229" s="15" t="n">
        <v>323</v>
      </c>
      <c r="B229" s="16" t="n">
        <v>6.05852437250477</v>
      </c>
      <c r="C229" s="15" t="n">
        <v>230</v>
      </c>
      <c r="D229" s="15" t="n">
        <v>500</v>
      </c>
      <c r="E229" s="15" t="n">
        <v>30</v>
      </c>
      <c r="F229" s="16" t="n">
        <v>0.770204672782022</v>
      </c>
      <c r="G229" s="17" t="s">
        <v>89</v>
      </c>
      <c r="H229" s="18" t="n">
        <v>0.3</v>
      </c>
      <c r="I229" s="18" t="n">
        <v>1.5</v>
      </c>
      <c r="J229" s="19" t="n">
        <v>0.860156825623065</v>
      </c>
      <c r="K229" s="19" t="n">
        <v>0.414261966504256</v>
      </c>
      <c r="L229" s="16" t="n">
        <v>13.3447673403189</v>
      </c>
      <c r="M229" s="19" t="n">
        <v>0.89359118611644</v>
      </c>
      <c r="N229" s="19" t="n">
        <v>0.692166042881678</v>
      </c>
      <c r="O229" s="19" t="n">
        <v>1.11207010939226</v>
      </c>
      <c r="P229" s="19" t="n">
        <v>0.447916995421325</v>
      </c>
      <c r="Q229" s="17" t="s">
        <v>31</v>
      </c>
      <c r="R229" s="5" t="str">
        <f aca="false">IF(OR(Q229="Steel plate",Q229="Concrete jacket"),"Steel plate or jacket",Q229)</f>
        <v>Polymer laminate</v>
      </c>
      <c r="S229" s="5" t="str">
        <f aca="false">IF(O229&lt;='Tree rules'!$C$4,IF(N229&lt;='Tree rules'!$C$5,IF(P229&lt;='Tree rules'!$C$6,"Monitor","Polymer laminate"),IF(P229&lt;='Tree rules'!$C$7,"Seal cracks","Polymer laminate")),IF(O229&lt;='Tree rules'!$C$8,IF(M229&lt;='Tree rules'!$C$9,"Steel plate or jacket","Polymer laminate"),IF(L229&lt;='Tree rules'!$C$10,"Steel plate or jacket","Polymer laminate")))</f>
        <v>Polymer laminate</v>
      </c>
      <c r="T229" s="5" t="str">
        <f aca="false">IF(S229=R229,"Yes","No")</f>
        <v>Yes</v>
      </c>
    </row>
    <row r="230" customFormat="false" ht="15" hidden="false" customHeight="false" outlineLevel="0" collapsed="false">
      <c r="A230" s="15" t="n">
        <v>326</v>
      </c>
      <c r="B230" s="16" t="n">
        <v>4.63215489392812</v>
      </c>
      <c r="C230" s="15" t="n">
        <v>300</v>
      </c>
      <c r="D230" s="15" t="n">
        <v>400</v>
      </c>
      <c r="E230" s="15" t="n">
        <v>30</v>
      </c>
      <c r="F230" s="16" t="n">
        <v>0.757295404255167</v>
      </c>
      <c r="G230" s="17" t="s">
        <v>91</v>
      </c>
      <c r="H230" s="18" t="n">
        <v>0.2</v>
      </c>
      <c r="I230" s="18" t="n">
        <v>1.5</v>
      </c>
      <c r="J230" s="19" t="n">
        <v>0.944889155116353</v>
      </c>
      <c r="K230" s="19" t="n">
        <v>0.510232264179137</v>
      </c>
      <c r="L230" s="16" t="n">
        <v>13.0851833161811</v>
      </c>
      <c r="M230" s="19" t="n">
        <v>0.469850761925213</v>
      </c>
      <c r="N230" s="19" t="n">
        <v>1.32350190381551</v>
      </c>
      <c r="O230" s="19" t="n">
        <v>1.17627726616787</v>
      </c>
      <c r="P230" s="19" t="n">
        <v>0.826601105691325</v>
      </c>
      <c r="Q230" s="17" t="s">
        <v>31</v>
      </c>
      <c r="R230" s="5" t="str">
        <f aca="false">IF(OR(Q230="Steel plate",Q230="Concrete jacket"),"Steel plate or jacket",Q230)</f>
        <v>Polymer laminate</v>
      </c>
      <c r="S230" s="5" t="str">
        <f aca="false">IF(O230&lt;='Tree rules'!$C$4,IF(N230&lt;='Tree rules'!$C$5,IF(P230&lt;='Tree rules'!$C$6,"Monitor","Polymer laminate"),IF(P230&lt;='Tree rules'!$C$7,"Seal cracks","Polymer laminate")),IF(O230&lt;='Tree rules'!$C$8,IF(M230&lt;='Tree rules'!$C$9,"Steel plate or jacket","Polymer laminate"),IF(L230&lt;='Tree rules'!$C$10,"Steel plate or jacket","Polymer laminate")))</f>
        <v>Polymer laminate</v>
      </c>
      <c r="T230" s="5" t="str">
        <f aca="false">IF(S230=R230,"Yes","No")</f>
        <v>Yes</v>
      </c>
    </row>
    <row r="231" customFormat="false" ht="15" hidden="false" customHeight="false" outlineLevel="0" collapsed="false">
      <c r="A231" s="15" t="n">
        <v>328</v>
      </c>
      <c r="B231" s="16" t="n">
        <v>3.69542920240264</v>
      </c>
      <c r="C231" s="15" t="n">
        <v>230</v>
      </c>
      <c r="D231" s="15" t="n">
        <v>300</v>
      </c>
      <c r="E231" s="15" t="n">
        <v>25</v>
      </c>
      <c r="F231" s="16" t="n">
        <v>0.731533308458238</v>
      </c>
      <c r="G231" s="17" t="s">
        <v>90</v>
      </c>
      <c r="H231" s="18" t="n">
        <v>0.1</v>
      </c>
      <c r="I231" s="18" t="n">
        <v>1.5</v>
      </c>
      <c r="J231" s="19" t="n">
        <v>0.897934523826081</v>
      </c>
      <c r="K231" s="19" t="n">
        <v>0.502882975456383</v>
      </c>
      <c r="L231" s="16" t="n">
        <v>15.4620468719776</v>
      </c>
      <c r="M231" s="19" t="n">
        <v>0.308406143764487</v>
      </c>
      <c r="N231" s="19" t="n">
        <v>3.85719800561955</v>
      </c>
      <c r="O231" s="19" t="n">
        <v>1.12112379318579</v>
      </c>
      <c r="P231" s="19" t="n">
        <v>1.04540860660492</v>
      </c>
      <c r="Q231" s="17" t="s">
        <v>31</v>
      </c>
      <c r="R231" s="5" t="str">
        <f aca="false">IF(OR(Q231="Steel plate",Q231="Concrete jacket"),"Steel plate or jacket",Q231)</f>
        <v>Polymer laminate</v>
      </c>
      <c r="S231" s="5" t="str">
        <f aca="false">IF(O231&lt;='Tree rules'!$C$4,IF(N231&lt;='Tree rules'!$C$5,IF(P231&lt;='Tree rules'!$C$6,"Monitor","Polymer laminate"),IF(P231&lt;='Tree rules'!$C$7,"Seal cracks","Polymer laminate")),IF(O231&lt;='Tree rules'!$C$8,IF(M231&lt;='Tree rules'!$C$9,"Steel plate or jacket","Polymer laminate"),IF(L231&lt;='Tree rules'!$C$10,"Steel plate or jacket","Polymer laminate")))</f>
        <v>Polymer laminate</v>
      </c>
      <c r="T231" s="5" t="str">
        <f aca="false">IF(S231=R231,"Yes","No")</f>
        <v>Yes</v>
      </c>
    </row>
    <row r="232" customFormat="false" ht="15" hidden="false" customHeight="false" outlineLevel="0" collapsed="false">
      <c r="A232" s="15" t="n">
        <v>329</v>
      </c>
      <c r="B232" s="16" t="n">
        <v>5.76753300099378</v>
      </c>
      <c r="C232" s="15" t="n">
        <v>230</v>
      </c>
      <c r="D232" s="15" t="n">
        <v>550</v>
      </c>
      <c r="E232" s="15" t="n">
        <v>20</v>
      </c>
      <c r="F232" s="16" t="n">
        <v>0.693795479053647</v>
      </c>
      <c r="G232" s="17" t="s">
        <v>91</v>
      </c>
      <c r="H232" s="18" t="n">
        <v>0.2</v>
      </c>
      <c r="I232" s="18" t="n">
        <v>1</v>
      </c>
      <c r="J232" s="19" t="n">
        <v>0.907131315888631</v>
      </c>
      <c r="K232" s="19" t="n">
        <v>0.586605364475768</v>
      </c>
      <c r="L232" s="16" t="n">
        <v>11.4435178591146</v>
      </c>
      <c r="M232" s="19" t="n">
        <v>0.455789760710357</v>
      </c>
      <c r="N232" s="19" t="n">
        <v>0.877558551644659</v>
      </c>
      <c r="O232" s="19" t="n">
        <v>0.907131315888631</v>
      </c>
      <c r="P232" s="19" t="n">
        <v>0.788236457499807</v>
      </c>
      <c r="Q232" s="17" t="s">
        <v>29</v>
      </c>
      <c r="R232" s="5" t="str">
        <f aca="false">IF(OR(Q232="Steel plate",Q232="Concrete jacket"),"Steel plate or jacket",Q232)</f>
        <v>Monitor</v>
      </c>
      <c r="S232" s="5" t="str">
        <f aca="false">IF(O232&lt;='Tree rules'!$C$4,IF(N232&lt;='Tree rules'!$C$5,IF(P232&lt;='Tree rules'!$C$6,"Monitor","Polymer laminate"),IF(P232&lt;='Tree rules'!$C$7,"Seal cracks","Polymer laminate")),IF(O232&lt;='Tree rules'!$C$8,IF(M232&lt;='Tree rules'!$C$9,"Steel plate or jacket","Polymer laminate"),IF(L232&lt;='Tree rules'!$C$10,"Steel plate or jacket","Polymer laminate")))</f>
        <v>Monitor</v>
      </c>
      <c r="T232" s="5" t="str">
        <f aca="false">IF(S232=R232,"Yes","No")</f>
        <v>Yes</v>
      </c>
    </row>
    <row r="233" customFormat="false" ht="15" hidden="false" customHeight="false" outlineLevel="0" collapsed="false">
      <c r="A233" s="15" t="n">
        <v>332</v>
      </c>
      <c r="B233" s="16" t="n">
        <v>3.40154934533769</v>
      </c>
      <c r="C233" s="15" t="n">
        <v>300</v>
      </c>
      <c r="D233" s="15" t="n">
        <v>300</v>
      </c>
      <c r="E233" s="15" t="n">
        <v>25</v>
      </c>
      <c r="F233" s="16" t="n">
        <v>0.831109167616348</v>
      </c>
      <c r="G233" s="17" t="s">
        <v>89</v>
      </c>
      <c r="H233" s="18" t="n">
        <v>0.3</v>
      </c>
      <c r="I233" s="18" t="n">
        <v>1.5</v>
      </c>
      <c r="J233" s="19" t="n">
        <v>0.903375310266268</v>
      </c>
      <c r="K233" s="19" t="n">
        <v>0.494580611004147</v>
      </c>
      <c r="L233" s="16" t="n">
        <v>13.498211687848</v>
      </c>
      <c r="M233" s="19" t="n">
        <v>0.639507867344094</v>
      </c>
      <c r="N233" s="19" t="n">
        <v>1.2217717900625</v>
      </c>
      <c r="O233" s="19" t="n">
        <v>1.13166700894063</v>
      </c>
      <c r="P233" s="19" t="n">
        <v>0.603029414386203</v>
      </c>
      <c r="Q233" s="17" t="s">
        <v>31</v>
      </c>
      <c r="R233" s="5" t="str">
        <f aca="false">IF(OR(Q233="Steel plate",Q233="Concrete jacket"),"Steel plate or jacket",Q233)</f>
        <v>Polymer laminate</v>
      </c>
      <c r="S233" s="5" t="str">
        <f aca="false">IF(O233&lt;='Tree rules'!$C$4,IF(N233&lt;='Tree rules'!$C$5,IF(P233&lt;='Tree rules'!$C$6,"Monitor","Polymer laminate"),IF(P233&lt;='Tree rules'!$C$7,"Seal cracks","Polymer laminate")),IF(O233&lt;='Tree rules'!$C$8,IF(M233&lt;='Tree rules'!$C$9,"Steel plate or jacket","Polymer laminate"),IF(L233&lt;='Tree rules'!$C$10,"Steel plate or jacket","Polymer laminate")))</f>
        <v>Polymer laminate</v>
      </c>
      <c r="T233" s="5" t="str">
        <f aca="false">IF(S233=R233,"Yes","No")</f>
        <v>Yes</v>
      </c>
    </row>
    <row r="234" customFormat="false" ht="15" hidden="false" customHeight="false" outlineLevel="0" collapsed="false">
      <c r="A234" s="15" t="n">
        <v>333</v>
      </c>
      <c r="B234" s="16" t="n">
        <v>4.47451468906518</v>
      </c>
      <c r="C234" s="15" t="n">
        <v>300</v>
      </c>
      <c r="D234" s="15" t="n">
        <v>425</v>
      </c>
      <c r="E234" s="15" t="n">
        <v>25</v>
      </c>
      <c r="F234" s="16" t="n">
        <v>0.884177351933803</v>
      </c>
      <c r="G234" s="17" t="s">
        <v>91</v>
      </c>
      <c r="H234" s="18" t="n">
        <v>0.2</v>
      </c>
      <c r="I234" s="18" t="n">
        <v>1</v>
      </c>
      <c r="J234" s="19" t="n">
        <v>0.883767035148522</v>
      </c>
      <c r="K234" s="19" t="n">
        <v>0.488950529977561</v>
      </c>
      <c r="L234" s="16" t="n">
        <v>11.806107359011</v>
      </c>
      <c r="M234" s="19" t="n">
        <v>0.936272220253389</v>
      </c>
      <c r="N234" s="19" t="n">
        <v>0.814903879601582</v>
      </c>
      <c r="O234" s="19" t="n">
        <v>0.883767035148522</v>
      </c>
      <c r="P234" s="19" t="n">
        <v>0.403206023506242</v>
      </c>
      <c r="Q234" s="17" t="s">
        <v>29</v>
      </c>
      <c r="R234" s="5" t="str">
        <f aca="false">IF(OR(Q234="Steel plate",Q234="Concrete jacket"),"Steel plate or jacket",Q234)</f>
        <v>Monitor</v>
      </c>
      <c r="S234" s="5" t="str">
        <f aca="false">IF(O234&lt;='Tree rules'!$C$4,IF(N234&lt;='Tree rules'!$C$5,IF(P234&lt;='Tree rules'!$C$6,"Monitor","Polymer laminate"),IF(P234&lt;='Tree rules'!$C$7,"Seal cracks","Polymer laminate")),IF(O234&lt;='Tree rules'!$C$8,IF(M234&lt;='Tree rules'!$C$9,"Steel plate or jacket","Polymer laminate"),IF(L234&lt;='Tree rules'!$C$10,"Steel plate or jacket","Polymer laminate")))</f>
        <v>Monitor</v>
      </c>
      <c r="T234" s="5" t="str">
        <f aca="false">IF(S234=R234,"Yes","No")</f>
        <v>Yes</v>
      </c>
    </row>
    <row r="235" customFormat="false" ht="15" hidden="false" customHeight="false" outlineLevel="0" collapsed="false">
      <c r="A235" s="15" t="n">
        <v>334</v>
      </c>
      <c r="B235" s="16" t="n">
        <v>4.07057647337321</v>
      </c>
      <c r="C235" s="15" t="n">
        <v>230</v>
      </c>
      <c r="D235" s="15" t="n">
        <v>350</v>
      </c>
      <c r="E235" s="15" t="n">
        <v>20</v>
      </c>
      <c r="F235" s="16" t="n">
        <v>0.604970452323595</v>
      </c>
      <c r="G235" s="17" t="s">
        <v>90</v>
      </c>
      <c r="H235" s="18" t="n">
        <v>0.1</v>
      </c>
      <c r="I235" s="18" t="n">
        <v>1.5</v>
      </c>
      <c r="J235" s="19" t="n">
        <v>0.974285922290817</v>
      </c>
      <c r="K235" s="19" t="n">
        <v>0.64034994970905</v>
      </c>
      <c r="L235" s="16" t="n">
        <v>14.0850397002533</v>
      </c>
      <c r="M235" s="19" t="n">
        <v>0.487970824410209</v>
      </c>
      <c r="N235" s="19" t="n">
        <v>3.699487250836</v>
      </c>
      <c r="O235" s="19" t="n">
        <v>1.14948691276565</v>
      </c>
      <c r="P235" s="19" t="n">
        <v>0.72674900597014</v>
      </c>
      <c r="Q235" s="17" t="s">
        <v>31</v>
      </c>
      <c r="R235" s="5" t="str">
        <f aca="false">IF(OR(Q235="Steel plate",Q235="Concrete jacket"),"Steel plate or jacket",Q235)</f>
        <v>Polymer laminate</v>
      </c>
      <c r="S235" s="5" t="str">
        <f aca="false">IF(O235&lt;='Tree rules'!$C$4,IF(N235&lt;='Tree rules'!$C$5,IF(P235&lt;='Tree rules'!$C$6,"Monitor","Polymer laminate"),IF(P235&lt;='Tree rules'!$C$7,"Seal cracks","Polymer laminate")),IF(O235&lt;='Tree rules'!$C$8,IF(M235&lt;='Tree rules'!$C$9,"Steel plate or jacket","Polymer laminate"),IF(L235&lt;='Tree rules'!$C$10,"Steel plate or jacket","Polymer laminate")))</f>
        <v>Polymer laminate</v>
      </c>
      <c r="T235" s="5" t="str">
        <f aca="false">IF(S235=R235,"Yes","No")</f>
        <v>Yes</v>
      </c>
    </row>
    <row r="236" customFormat="false" ht="15" hidden="false" customHeight="false" outlineLevel="0" collapsed="false">
      <c r="A236" s="15" t="n">
        <v>336</v>
      </c>
      <c r="B236" s="16" t="n">
        <v>7.19126858171951</v>
      </c>
      <c r="C236" s="15" t="n">
        <v>300</v>
      </c>
      <c r="D236" s="15" t="n">
        <v>625</v>
      </c>
      <c r="E236" s="15" t="n">
        <v>30</v>
      </c>
      <c r="F236" s="16" t="n">
        <v>0.694514438099298</v>
      </c>
      <c r="G236" s="17" t="s">
        <v>91</v>
      </c>
      <c r="H236" s="18" t="n">
        <v>0.2</v>
      </c>
      <c r="I236" s="18" t="n">
        <v>1</v>
      </c>
      <c r="J236" s="19" t="n">
        <v>0.917466640510071</v>
      </c>
      <c r="K236" s="19" t="n">
        <v>0.470111651500014</v>
      </c>
      <c r="L236" s="16" t="n">
        <v>12.42015299088</v>
      </c>
      <c r="M236" s="19" t="n">
        <v>0.927800095419607</v>
      </c>
      <c r="N236" s="19" t="n">
        <v>0.786587146846101</v>
      </c>
      <c r="O236" s="19" t="n">
        <v>0.917466640510071</v>
      </c>
      <c r="P236" s="19" t="n">
        <v>0.379618816270188</v>
      </c>
      <c r="Q236" s="17" t="s">
        <v>29</v>
      </c>
      <c r="R236" s="5" t="str">
        <f aca="false">IF(OR(Q236="Steel plate",Q236="Concrete jacket"),"Steel plate or jacket",Q236)</f>
        <v>Monitor</v>
      </c>
      <c r="S236" s="5" t="str">
        <f aca="false">IF(O236&lt;='Tree rules'!$C$4,IF(N236&lt;='Tree rules'!$C$5,IF(P236&lt;='Tree rules'!$C$6,"Monitor","Polymer laminate"),IF(P236&lt;='Tree rules'!$C$7,"Seal cracks","Polymer laminate")),IF(O236&lt;='Tree rules'!$C$8,IF(M236&lt;='Tree rules'!$C$9,"Steel plate or jacket","Polymer laminate"),IF(L236&lt;='Tree rules'!$C$10,"Steel plate or jacket","Polymer laminate")))</f>
        <v>Monitor</v>
      </c>
      <c r="T236" s="5" t="str">
        <f aca="false">IF(S236=R236,"Yes","No")</f>
        <v>Yes</v>
      </c>
    </row>
    <row r="237" customFormat="false" ht="15" hidden="false" customHeight="false" outlineLevel="0" collapsed="false">
      <c r="A237" s="15" t="n">
        <v>337</v>
      </c>
      <c r="B237" s="16" t="n">
        <v>3.08432295183982</v>
      </c>
      <c r="C237" s="15" t="n">
        <v>230</v>
      </c>
      <c r="D237" s="15" t="n">
        <v>300</v>
      </c>
      <c r="E237" s="15" t="n">
        <v>30</v>
      </c>
      <c r="F237" s="16" t="n">
        <v>1.0324987837885</v>
      </c>
      <c r="G237" s="17" t="s">
        <v>89</v>
      </c>
      <c r="H237" s="18" t="n">
        <v>0.3</v>
      </c>
      <c r="I237" s="18" t="n">
        <v>1.5</v>
      </c>
      <c r="J237" s="19" t="n">
        <v>0.861809048358136</v>
      </c>
      <c r="K237" s="19" t="n">
        <v>0.444031168996733</v>
      </c>
      <c r="L237" s="16" t="n">
        <v>12.1430037474009</v>
      </c>
      <c r="M237" s="19" t="n">
        <v>0.851204859319633</v>
      </c>
      <c r="N237" s="19" t="n">
        <v>0.802556006963342</v>
      </c>
      <c r="O237" s="19" t="n">
        <v>1.10137853293999</v>
      </c>
      <c r="P237" s="19" t="n">
        <v>0.447028370048711</v>
      </c>
      <c r="Q237" s="17" t="s">
        <v>31</v>
      </c>
      <c r="R237" s="5" t="str">
        <f aca="false">IF(OR(Q237="Steel plate",Q237="Concrete jacket"),"Steel plate or jacket",Q237)</f>
        <v>Polymer laminate</v>
      </c>
      <c r="S237" s="5" t="str">
        <f aca="false">IF(O237&lt;='Tree rules'!$C$4,IF(N237&lt;='Tree rules'!$C$5,IF(P237&lt;='Tree rules'!$C$6,"Monitor","Polymer laminate"),IF(P237&lt;='Tree rules'!$C$7,"Seal cracks","Polymer laminate")),IF(O237&lt;='Tree rules'!$C$8,IF(M237&lt;='Tree rules'!$C$9,"Steel plate or jacket","Polymer laminate"),IF(L237&lt;='Tree rules'!$C$10,"Steel plate or jacket","Polymer laminate")))</f>
        <v>Polymer laminate</v>
      </c>
      <c r="T237" s="5" t="str">
        <f aca="false">IF(S237=R237,"Yes","No")</f>
        <v>Yes</v>
      </c>
    </row>
    <row r="238" customFormat="false" ht="15" hidden="false" customHeight="false" outlineLevel="0" collapsed="false">
      <c r="A238" s="15" t="n">
        <v>338</v>
      </c>
      <c r="B238" s="16" t="n">
        <v>7.71937106785608</v>
      </c>
      <c r="C238" s="15" t="n">
        <v>230</v>
      </c>
      <c r="D238" s="15" t="n">
        <v>750</v>
      </c>
      <c r="E238" s="15" t="n">
        <v>30</v>
      </c>
      <c r="F238" s="16" t="n">
        <v>0.583722157857635</v>
      </c>
      <c r="G238" s="17" t="s">
        <v>91</v>
      </c>
      <c r="H238" s="18" t="n">
        <v>0.2</v>
      </c>
      <c r="I238" s="18" t="n">
        <v>1</v>
      </c>
      <c r="J238" s="19" t="n">
        <v>0.926766051649767</v>
      </c>
      <c r="K238" s="19" t="n">
        <v>0.641914922361302</v>
      </c>
      <c r="L238" s="16" t="n">
        <v>10.9962550824161</v>
      </c>
      <c r="M238" s="19" t="n">
        <v>0.946926155239771</v>
      </c>
      <c r="N238" s="19" t="n">
        <v>0.860154016652612</v>
      </c>
      <c r="O238" s="19" t="n">
        <v>0.926766051649767</v>
      </c>
      <c r="P238" s="19" t="n">
        <v>0.336482028074733</v>
      </c>
      <c r="Q238" s="17" t="s">
        <v>29</v>
      </c>
      <c r="R238" s="5" t="str">
        <f aca="false">IF(OR(Q238="Steel plate",Q238="Concrete jacket"),"Steel plate or jacket",Q238)</f>
        <v>Monitor</v>
      </c>
      <c r="S238" s="5" t="str">
        <f aca="false">IF(O238&lt;='Tree rules'!$C$4,IF(N238&lt;='Tree rules'!$C$5,IF(P238&lt;='Tree rules'!$C$6,"Monitor","Polymer laminate"),IF(P238&lt;='Tree rules'!$C$7,"Seal cracks","Polymer laminate")),IF(O238&lt;='Tree rules'!$C$8,IF(M238&lt;='Tree rules'!$C$9,"Steel plate or jacket","Polymer laminate"),IF(L238&lt;='Tree rules'!$C$10,"Steel plate or jacket","Polymer laminate")))</f>
        <v>Monitor</v>
      </c>
      <c r="T238" s="5" t="str">
        <f aca="false">IF(S238=R238,"Yes","No")</f>
        <v>Yes</v>
      </c>
    </row>
    <row r="239" customFormat="false" ht="15" hidden="false" customHeight="false" outlineLevel="0" collapsed="false">
      <c r="A239" s="15" t="n">
        <v>340</v>
      </c>
      <c r="B239" s="16" t="n">
        <v>6.88122120625776</v>
      </c>
      <c r="C239" s="15" t="n">
        <v>300</v>
      </c>
      <c r="D239" s="15" t="n">
        <v>675</v>
      </c>
      <c r="E239" s="15" t="n">
        <v>25</v>
      </c>
      <c r="F239" s="16" t="n">
        <v>0.835085766504464</v>
      </c>
      <c r="G239" s="17" t="s">
        <v>89</v>
      </c>
      <c r="H239" s="18" t="n">
        <v>0.3</v>
      </c>
      <c r="I239" s="18" t="n">
        <v>1</v>
      </c>
      <c r="J239" s="19" t="n">
        <v>0.878120123089163</v>
      </c>
      <c r="K239" s="19" t="n">
        <v>0.468508107411545</v>
      </c>
      <c r="L239" s="16" t="n">
        <v>10.9748344597412</v>
      </c>
      <c r="M239" s="19" t="n">
        <v>0.563781342551898</v>
      </c>
      <c r="N239" s="19" t="n">
        <v>0.555553628459088</v>
      </c>
      <c r="O239" s="19" t="n">
        <v>0.878120123089163</v>
      </c>
      <c r="P239" s="19" t="n">
        <v>0.608578674843984</v>
      </c>
      <c r="Q239" s="17" t="s">
        <v>29</v>
      </c>
      <c r="R239" s="5" t="str">
        <f aca="false">IF(OR(Q239="Steel plate",Q239="Concrete jacket"),"Steel plate or jacket",Q239)</f>
        <v>Monitor</v>
      </c>
      <c r="S239" s="5" t="str">
        <f aca="false">IF(O239&lt;='Tree rules'!$C$4,IF(N239&lt;='Tree rules'!$C$5,IF(P239&lt;='Tree rules'!$C$6,"Monitor","Polymer laminate"),IF(P239&lt;='Tree rules'!$C$7,"Seal cracks","Polymer laminate")),IF(O239&lt;='Tree rules'!$C$8,IF(M239&lt;='Tree rules'!$C$9,"Steel plate or jacket","Polymer laminate"),IF(L239&lt;='Tree rules'!$C$10,"Steel plate or jacket","Polymer laminate")))</f>
        <v>Monitor</v>
      </c>
      <c r="T239" s="5" t="str">
        <f aca="false">IF(S239=R239,"Yes","No")</f>
        <v>Yes</v>
      </c>
    </row>
    <row r="240" customFormat="false" ht="15" hidden="false" customHeight="false" outlineLevel="0" collapsed="false">
      <c r="A240" s="15" t="n">
        <v>341</v>
      </c>
      <c r="B240" s="16" t="n">
        <v>3.35170757669521</v>
      </c>
      <c r="C240" s="15" t="n">
        <v>230</v>
      </c>
      <c r="D240" s="15" t="n">
        <v>300</v>
      </c>
      <c r="E240" s="15" t="n">
        <v>25</v>
      </c>
      <c r="F240" s="16" t="n">
        <v>0.688332522525665</v>
      </c>
      <c r="G240" s="17" t="s">
        <v>89</v>
      </c>
      <c r="H240" s="18" t="n">
        <v>0.3</v>
      </c>
      <c r="I240" s="18" t="n">
        <v>2</v>
      </c>
      <c r="J240" s="19" t="n">
        <v>0.963957693783227</v>
      </c>
      <c r="K240" s="19" t="n">
        <v>0.49361609483045</v>
      </c>
      <c r="L240" s="16" t="n">
        <v>13.1956991208473</v>
      </c>
      <c r="M240" s="19" t="n">
        <v>0.905413825363365</v>
      </c>
      <c r="N240" s="19" t="n">
        <v>1.3081433944098</v>
      </c>
      <c r="O240" s="19" t="n">
        <v>1.45209035517941</v>
      </c>
      <c r="P240" s="19" t="n">
        <v>0.43474842150771</v>
      </c>
      <c r="Q240" s="17" t="s">
        <v>31</v>
      </c>
      <c r="R240" s="5" t="str">
        <f aca="false">IF(OR(Q240="Steel plate",Q240="Concrete jacket"),"Steel plate or jacket",Q240)</f>
        <v>Polymer laminate</v>
      </c>
      <c r="S240" s="5" t="str">
        <f aca="false">IF(O240&lt;='Tree rules'!$C$4,IF(N240&lt;='Tree rules'!$C$5,IF(P240&lt;='Tree rules'!$C$6,"Monitor","Polymer laminate"),IF(P240&lt;='Tree rules'!$C$7,"Seal cracks","Polymer laminate")),IF(O240&lt;='Tree rules'!$C$8,IF(M240&lt;='Tree rules'!$C$9,"Steel plate or jacket","Polymer laminate"),IF(L240&lt;='Tree rules'!$C$10,"Steel plate or jacket","Polymer laminate")))</f>
        <v>Polymer laminate</v>
      </c>
      <c r="T240" s="5" t="str">
        <f aca="false">IF(S240=R240,"Yes","No")</f>
        <v>Yes</v>
      </c>
    </row>
    <row r="241" customFormat="false" ht="15" hidden="false" customHeight="false" outlineLevel="0" collapsed="false">
      <c r="A241" s="15" t="n">
        <v>342</v>
      </c>
      <c r="B241" s="16" t="n">
        <v>4.03578594638354</v>
      </c>
      <c r="C241" s="15" t="n">
        <v>230</v>
      </c>
      <c r="D241" s="15" t="n">
        <v>350</v>
      </c>
      <c r="E241" s="15" t="n">
        <v>25</v>
      </c>
      <c r="F241" s="16" t="n">
        <v>0.64278110559382</v>
      </c>
      <c r="G241" s="17" t="s">
        <v>89</v>
      </c>
      <c r="H241" s="18" t="n">
        <v>0.3</v>
      </c>
      <c r="I241" s="18" t="n">
        <v>1</v>
      </c>
      <c r="J241" s="19" t="n">
        <v>0.88546585565252</v>
      </c>
      <c r="K241" s="19" t="n">
        <v>0.473789662608357</v>
      </c>
      <c r="L241" s="16" t="n">
        <v>13.1888429620377</v>
      </c>
      <c r="M241" s="19" t="n">
        <v>0.561919273258971</v>
      </c>
      <c r="N241" s="19" t="n">
        <v>0.584099167646534</v>
      </c>
      <c r="O241" s="19" t="n">
        <v>0.88546585565252</v>
      </c>
      <c r="P241" s="19" t="n">
        <v>0.506628529803364</v>
      </c>
      <c r="Q241" s="17" t="s">
        <v>29</v>
      </c>
      <c r="R241" s="5" t="str">
        <f aca="false">IF(OR(Q241="Steel plate",Q241="Concrete jacket"),"Steel plate or jacket",Q241)</f>
        <v>Monitor</v>
      </c>
      <c r="S241" s="5" t="str">
        <f aca="false">IF(O241&lt;='Tree rules'!$C$4,IF(N241&lt;='Tree rules'!$C$5,IF(P241&lt;='Tree rules'!$C$6,"Monitor","Polymer laminate"),IF(P241&lt;='Tree rules'!$C$7,"Seal cracks","Polymer laminate")),IF(O241&lt;='Tree rules'!$C$8,IF(M241&lt;='Tree rules'!$C$9,"Steel plate or jacket","Polymer laminate"),IF(L241&lt;='Tree rules'!$C$10,"Steel plate or jacket","Polymer laminate")))</f>
        <v>Monitor</v>
      </c>
      <c r="T241" s="5" t="str">
        <f aca="false">IF(S241=R241,"Yes","No")</f>
        <v>Yes</v>
      </c>
    </row>
    <row r="242" customFormat="false" ht="15" hidden="false" customHeight="false" outlineLevel="0" collapsed="false">
      <c r="A242" s="15" t="n">
        <v>343</v>
      </c>
      <c r="B242" s="16" t="n">
        <v>3.22608600980616</v>
      </c>
      <c r="C242" s="15" t="n">
        <v>300</v>
      </c>
      <c r="D242" s="15" t="n">
        <v>300</v>
      </c>
      <c r="E242" s="15" t="n">
        <v>30</v>
      </c>
      <c r="F242" s="16" t="n">
        <v>0.883572933822129</v>
      </c>
      <c r="G242" s="17" t="s">
        <v>91</v>
      </c>
      <c r="H242" s="18" t="n">
        <v>0.2</v>
      </c>
      <c r="I242" s="18" t="n">
        <v>1.5</v>
      </c>
      <c r="J242" s="19" t="n">
        <v>0.925852657608155</v>
      </c>
      <c r="K242" s="19" t="n">
        <v>0.430962820243731</v>
      </c>
      <c r="L242" s="16" t="n">
        <v>12.6018984758053</v>
      </c>
      <c r="M242" s="19" t="n">
        <v>0.724268232600338</v>
      </c>
      <c r="N242" s="19" t="n">
        <v>1.19555374436998</v>
      </c>
      <c r="O242" s="19" t="n">
        <v>1.18927495018575</v>
      </c>
      <c r="P242" s="19" t="n">
        <v>0.514783998625091</v>
      </c>
      <c r="Q242" s="17" t="s">
        <v>31</v>
      </c>
      <c r="R242" s="5" t="str">
        <f aca="false">IF(OR(Q242="Steel plate",Q242="Concrete jacket"),"Steel plate or jacket",Q242)</f>
        <v>Polymer laminate</v>
      </c>
      <c r="S242" s="5" t="str">
        <f aca="false">IF(O242&lt;='Tree rules'!$C$4,IF(N242&lt;='Tree rules'!$C$5,IF(P242&lt;='Tree rules'!$C$6,"Monitor","Polymer laminate"),IF(P242&lt;='Tree rules'!$C$7,"Seal cracks","Polymer laminate")),IF(O242&lt;='Tree rules'!$C$8,IF(M242&lt;='Tree rules'!$C$9,"Steel plate or jacket","Polymer laminate"),IF(L242&lt;='Tree rules'!$C$10,"Steel plate or jacket","Polymer laminate")))</f>
        <v>Polymer laminate</v>
      </c>
      <c r="T242" s="5" t="str">
        <f aca="false">IF(S242=R242,"Yes","No")</f>
        <v>Yes</v>
      </c>
    </row>
    <row r="243" customFormat="false" ht="15" hidden="false" customHeight="false" outlineLevel="0" collapsed="false">
      <c r="A243" s="15" t="n">
        <v>344</v>
      </c>
      <c r="B243" s="16" t="n">
        <v>5.10742205533097</v>
      </c>
      <c r="C243" s="15" t="n">
        <v>300</v>
      </c>
      <c r="D243" s="15" t="n">
        <v>500</v>
      </c>
      <c r="E243" s="15" t="n">
        <v>30</v>
      </c>
      <c r="F243" s="16" t="n">
        <v>0.885735373699325</v>
      </c>
      <c r="G243" s="17" t="s">
        <v>91</v>
      </c>
      <c r="H243" s="18" t="n">
        <v>0.2</v>
      </c>
      <c r="I243" s="18" t="n">
        <v>1</v>
      </c>
      <c r="J243" s="19" t="n">
        <v>0.892124345537527</v>
      </c>
      <c r="K243" s="19" t="n">
        <v>0.525454821558657</v>
      </c>
      <c r="L243" s="16" t="n">
        <v>11.249828315707</v>
      </c>
      <c r="M243" s="19" t="n">
        <v>0.355164190348967</v>
      </c>
      <c r="N243" s="19" t="n">
        <v>0.888727820325106</v>
      </c>
      <c r="O243" s="19" t="n">
        <v>0.892124345537527</v>
      </c>
      <c r="P243" s="19" t="n">
        <v>0.955926411293499</v>
      </c>
      <c r="Q243" s="17" t="s">
        <v>29</v>
      </c>
      <c r="R243" s="5" t="str">
        <f aca="false">IF(OR(Q243="Steel plate",Q243="Concrete jacket"),"Steel plate or jacket",Q243)</f>
        <v>Monitor</v>
      </c>
      <c r="S243" s="5" t="str">
        <f aca="false">IF(O243&lt;='Tree rules'!$C$4,IF(N243&lt;='Tree rules'!$C$5,IF(P243&lt;='Tree rules'!$C$6,"Monitor","Polymer laminate"),IF(P243&lt;='Tree rules'!$C$7,"Seal cracks","Polymer laminate")),IF(O243&lt;='Tree rules'!$C$8,IF(M243&lt;='Tree rules'!$C$9,"Steel plate or jacket","Polymer laminate"),IF(L243&lt;='Tree rules'!$C$10,"Steel plate or jacket","Polymer laminate")))</f>
        <v>Monitor</v>
      </c>
      <c r="T243" s="5" t="str">
        <f aca="false">IF(S243=R243,"Yes","No")</f>
        <v>Yes</v>
      </c>
    </row>
    <row r="244" customFormat="false" ht="15" hidden="false" customHeight="false" outlineLevel="0" collapsed="false">
      <c r="A244" s="15" t="n">
        <v>345</v>
      </c>
      <c r="B244" s="16" t="n">
        <v>4.49892875901081</v>
      </c>
      <c r="C244" s="15" t="n">
        <v>300</v>
      </c>
      <c r="D244" s="15" t="n">
        <v>375</v>
      </c>
      <c r="E244" s="15" t="n">
        <v>20</v>
      </c>
      <c r="F244" s="16" t="n">
        <v>0.640487798897002</v>
      </c>
      <c r="G244" s="17" t="s">
        <v>91</v>
      </c>
      <c r="H244" s="18" t="n">
        <v>0.2</v>
      </c>
      <c r="I244" s="18" t="n">
        <v>1</v>
      </c>
      <c r="J244" s="19" t="n">
        <v>0.887098286764021</v>
      </c>
      <c r="K244" s="19" t="n">
        <v>0.468773519916613</v>
      </c>
      <c r="L244" s="16" t="n">
        <v>13.7581919235804</v>
      </c>
      <c r="M244" s="19" t="n">
        <v>0.469804369872353</v>
      </c>
      <c r="N244" s="19" t="n">
        <v>1.49808752514219</v>
      </c>
      <c r="O244" s="19" t="n">
        <v>0.887098286764021</v>
      </c>
      <c r="P244" s="19" t="n">
        <v>0.675080492086266</v>
      </c>
      <c r="Q244" s="17" t="s">
        <v>30</v>
      </c>
      <c r="R244" s="5" t="str">
        <f aca="false">IF(OR(Q244="Steel plate",Q244="Concrete jacket"),"Steel plate or jacket",Q244)</f>
        <v>Seal cracks</v>
      </c>
      <c r="S244" s="5" t="str">
        <f aca="false">IF(O244&lt;='Tree rules'!$C$4,IF(N244&lt;='Tree rules'!$C$5,IF(P244&lt;='Tree rules'!$C$6,"Monitor","Polymer laminate"),IF(P244&lt;='Tree rules'!$C$7,"Seal cracks","Polymer laminate")),IF(O244&lt;='Tree rules'!$C$8,IF(M244&lt;='Tree rules'!$C$9,"Steel plate or jacket","Polymer laminate"),IF(L244&lt;='Tree rules'!$C$10,"Steel plate or jacket","Polymer laminate")))</f>
        <v>Seal cracks</v>
      </c>
      <c r="T244" s="5" t="str">
        <f aca="false">IF(S244=R244,"Yes","No")</f>
        <v>Yes</v>
      </c>
    </row>
    <row r="245" customFormat="false" ht="15" hidden="false" customHeight="false" outlineLevel="0" collapsed="false">
      <c r="A245" s="15" t="n">
        <v>346</v>
      </c>
      <c r="B245" s="16" t="n">
        <v>3.69674630795886</v>
      </c>
      <c r="C245" s="15" t="n">
        <v>300</v>
      </c>
      <c r="D245" s="15" t="n">
        <v>300</v>
      </c>
      <c r="E245" s="15" t="n">
        <v>25</v>
      </c>
      <c r="F245" s="16" t="n">
        <v>0.831109167616348</v>
      </c>
      <c r="G245" s="17" t="s">
        <v>91</v>
      </c>
      <c r="H245" s="18" t="n">
        <v>0.2</v>
      </c>
      <c r="I245" s="18" t="n">
        <v>2</v>
      </c>
      <c r="J245" s="19" t="n">
        <v>0.898537366617593</v>
      </c>
      <c r="K245" s="19" t="n">
        <v>0.417708270270944</v>
      </c>
      <c r="L245" s="16" t="n">
        <v>14.669628206186</v>
      </c>
      <c r="M245" s="19" t="n">
        <v>0.818151606762082</v>
      </c>
      <c r="N245" s="19" t="n">
        <v>2.27624472391927</v>
      </c>
      <c r="O245" s="19" t="n">
        <v>1.42174824405154</v>
      </c>
      <c r="P245" s="19" t="n">
        <v>0.56920340500583</v>
      </c>
      <c r="Q245" s="17" t="s">
        <v>31</v>
      </c>
      <c r="R245" s="5" t="str">
        <f aca="false">IF(OR(Q245="Steel plate",Q245="Concrete jacket"),"Steel plate or jacket",Q245)</f>
        <v>Polymer laminate</v>
      </c>
      <c r="S245" s="5" t="str">
        <f aca="false">IF(O245&lt;='Tree rules'!$C$4,IF(N245&lt;='Tree rules'!$C$5,IF(P245&lt;='Tree rules'!$C$6,"Monitor","Polymer laminate"),IF(P245&lt;='Tree rules'!$C$7,"Seal cracks","Polymer laminate")),IF(O245&lt;='Tree rules'!$C$8,IF(M245&lt;='Tree rules'!$C$9,"Steel plate or jacket","Polymer laminate"),IF(L245&lt;='Tree rules'!$C$10,"Steel plate or jacket","Polymer laminate")))</f>
        <v>Polymer laminate</v>
      </c>
      <c r="T245" s="5" t="str">
        <f aca="false">IF(S245=R245,"Yes","No")</f>
        <v>Yes</v>
      </c>
    </row>
    <row r="246" customFormat="false" ht="15" hidden="false" customHeight="false" outlineLevel="0" collapsed="false">
      <c r="A246" s="15" t="n">
        <v>348</v>
      </c>
      <c r="B246" s="16" t="n">
        <v>3.86990243123254</v>
      </c>
      <c r="C246" s="15" t="n">
        <v>300</v>
      </c>
      <c r="D246" s="15" t="n">
        <v>325</v>
      </c>
      <c r="E246" s="15" t="n">
        <v>25</v>
      </c>
      <c r="F246" s="16" t="n">
        <v>0.761598219052071</v>
      </c>
      <c r="G246" s="17" t="s">
        <v>90</v>
      </c>
      <c r="H246" s="18" t="n">
        <v>0.1</v>
      </c>
      <c r="I246" s="18" t="n">
        <v>1</v>
      </c>
      <c r="J246" s="19" t="n">
        <v>0.927759258745864</v>
      </c>
      <c r="K246" s="19" t="n">
        <v>0.416121355966059</v>
      </c>
      <c r="L246" s="16" t="n">
        <v>14.6587213304263</v>
      </c>
      <c r="M246" s="19" t="n">
        <v>0.92035743498929</v>
      </c>
      <c r="N246" s="19" t="n">
        <v>2.61123209435045</v>
      </c>
      <c r="O246" s="19" t="n">
        <v>0.927759258745864</v>
      </c>
      <c r="P246" s="19" t="n">
        <v>0.345001842457146</v>
      </c>
      <c r="Q246" s="17" t="s">
        <v>30</v>
      </c>
      <c r="R246" s="5" t="str">
        <f aca="false">IF(OR(Q246="Steel plate",Q246="Concrete jacket"),"Steel plate or jacket",Q246)</f>
        <v>Seal cracks</v>
      </c>
      <c r="S246" s="5" t="str">
        <f aca="false">IF(O246&lt;='Tree rules'!$C$4,IF(N246&lt;='Tree rules'!$C$5,IF(P246&lt;='Tree rules'!$C$6,"Monitor","Polymer laminate"),IF(P246&lt;='Tree rules'!$C$7,"Seal cracks","Polymer laminate")),IF(O246&lt;='Tree rules'!$C$8,IF(M246&lt;='Tree rules'!$C$9,"Steel plate or jacket","Polymer laminate"),IF(L246&lt;='Tree rules'!$C$10,"Steel plate or jacket","Polymer laminate")))</f>
        <v>Seal cracks</v>
      </c>
      <c r="T246" s="5" t="str">
        <f aca="false">IF(S246=R246,"Yes","No")</f>
        <v>Yes</v>
      </c>
    </row>
    <row r="247" customFormat="false" ht="15" hidden="false" customHeight="false" outlineLevel="0" collapsed="false">
      <c r="A247" s="15" t="n">
        <v>349</v>
      </c>
      <c r="B247" s="16" t="n">
        <v>3.03320114793825</v>
      </c>
      <c r="C247" s="15" t="n">
        <v>300</v>
      </c>
      <c r="D247" s="15" t="n">
        <v>300</v>
      </c>
      <c r="E247" s="15" t="n">
        <v>25</v>
      </c>
      <c r="F247" s="16" t="n">
        <v>0.589048622548086</v>
      </c>
      <c r="G247" s="17" t="s">
        <v>89</v>
      </c>
      <c r="H247" s="18" t="n">
        <v>0.3</v>
      </c>
      <c r="I247" s="18" t="n">
        <v>1</v>
      </c>
      <c r="J247" s="19" t="n">
        <v>0.969239505276161</v>
      </c>
      <c r="K247" s="19" t="n">
        <v>0.4241650392909</v>
      </c>
      <c r="L247" s="16" t="n">
        <v>11.8484419841338</v>
      </c>
      <c r="M247" s="19" t="n">
        <v>0.871374733987911</v>
      </c>
      <c r="N247" s="19" t="n">
        <v>0.644857704071463</v>
      </c>
      <c r="O247" s="19" t="n">
        <v>0.969239505276161</v>
      </c>
      <c r="P247" s="19" t="n">
        <v>0.278185412311512</v>
      </c>
      <c r="Q247" s="17" t="s">
        <v>29</v>
      </c>
      <c r="R247" s="5" t="str">
        <f aca="false">IF(OR(Q247="Steel plate",Q247="Concrete jacket"),"Steel plate or jacket",Q247)</f>
        <v>Monitor</v>
      </c>
      <c r="S247" s="5" t="str">
        <f aca="false">IF(O247&lt;='Tree rules'!$C$4,IF(N247&lt;='Tree rules'!$C$5,IF(P247&lt;='Tree rules'!$C$6,"Monitor","Polymer laminate"),IF(P247&lt;='Tree rules'!$C$7,"Seal cracks","Polymer laminate")),IF(O247&lt;='Tree rules'!$C$8,IF(M247&lt;='Tree rules'!$C$9,"Steel plate or jacket","Polymer laminate"),IF(L247&lt;='Tree rules'!$C$10,"Steel plate or jacket","Polymer laminate")))</f>
        <v>Monitor</v>
      </c>
      <c r="T247" s="5" t="str">
        <f aca="false">IF(S247=R247,"Yes","No")</f>
        <v>Yes</v>
      </c>
    </row>
    <row r="248" customFormat="false" ht="15" hidden="false" customHeight="false" outlineLevel="0" collapsed="false">
      <c r="A248" s="15" t="n">
        <v>350</v>
      </c>
      <c r="B248" s="16" t="n">
        <v>6.65056682297646</v>
      </c>
      <c r="C248" s="15" t="n">
        <v>230</v>
      </c>
      <c r="D248" s="15" t="n">
        <v>625</v>
      </c>
      <c r="E248" s="15" t="n">
        <v>30</v>
      </c>
      <c r="F248" s="16" t="n">
        <v>0.603925598347216</v>
      </c>
      <c r="G248" s="17" t="s">
        <v>89</v>
      </c>
      <c r="H248" s="18" t="n">
        <v>0.3</v>
      </c>
      <c r="I248" s="18" t="n">
        <v>2</v>
      </c>
      <c r="J248" s="19" t="n">
        <v>0.999689819178314</v>
      </c>
      <c r="K248" s="19" t="n">
        <v>0.564753064736295</v>
      </c>
      <c r="L248" s="16" t="n">
        <v>11.4862984852789</v>
      </c>
      <c r="M248" s="19" t="n">
        <v>0.764837712649601</v>
      </c>
      <c r="N248" s="19" t="n">
        <v>0.904480585621887</v>
      </c>
      <c r="O248" s="19" t="n">
        <v>1.43480174919</v>
      </c>
      <c r="P248" s="19" t="n">
        <v>0.515613821117338</v>
      </c>
      <c r="Q248" s="17" t="s">
        <v>31</v>
      </c>
      <c r="R248" s="5" t="str">
        <f aca="false">IF(OR(Q248="Steel plate",Q248="Concrete jacket"),"Steel plate or jacket",Q248)</f>
        <v>Polymer laminate</v>
      </c>
      <c r="S248" s="5" t="str">
        <f aca="false">IF(O248&lt;='Tree rules'!$C$4,IF(N248&lt;='Tree rules'!$C$5,IF(P248&lt;='Tree rules'!$C$6,"Monitor","Polymer laminate"),IF(P248&lt;='Tree rules'!$C$7,"Seal cracks","Polymer laminate")),IF(O248&lt;='Tree rules'!$C$8,IF(M248&lt;='Tree rules'!$C$9,"Steel plate or jacket","Polymer laminate"),IF(L248&lt;='Tree rules'!$C$10,"Steel plate or jacket","Polymer laminate")))</f>
        <v>Steel plate or jacket</v>
      </c>
      <c r="T248" s="5" t="str">
        <f aca="false">IF(S248=R248,"Yes","No")</f>
        <v>No</v>
      </c>
    </row>
    <row r="249" customFormat="false" ht="15" hidden="false" customHeight="false" outlineLevel="0" collapsed="false">
      <c r="A249" s="15" t="n">
        <v>352</v>
      </c>
      <c r="B249" s="16" t="n">
        <v>3.57429696889778</v>
      </c>
      <c r="C249" s="15" t="n">
        <v>300</v>
      </c>
      <c r="D249" s="15" t="n">
        <v>350</v>
      </c>
      <c r="E249" s="15" t="n">
        <v>25</v>
      </c>
      <c r="F249" s="16" t="n">
        <v>0.729754391077768</v>
      </c>
      <c r="G249" s="17" t="s">
        <v>90</v>
      </c>
      <c r="H249" s="18" t="n">
        <v>0.1</v>
      </c>
      <c r="I249" s="18" t="n">
        <v>1.5</v>
      </c>
      <c r="J249" s="19" t="n">
        <v>0.907985799514456</v>
      </c>
      <c r="K249" s="19" t="n">
        <v>0.464970234629635</v>
      </c>
      <c r="L249" s="16" t="n">
        <v>12.4539964073094</v>
      </c>
      <c r="M249" s="19" t="n">
        <v>0.692352943427166</v>
      </c>
      <c r="N249" s="19" t="n">
        <v>4.19675982153749</v>
      </c>
      <c r="O249" s="19" t="n">
        <v>1.15088551415138</v>
      </c>
      <c r="P249" s="19" t="n">
        <v>0.432795697216773</v>
      </c>
      <c r="Q249" s="17" t="s">
        <v>31</v>
      </c>
      <c r="R249" s="5" t="str">
        <f aca="false">IF(OR(Q249="Steel plate",Q249="Concrete jacket"),"Steel plate or jacket",Q249)</f>
        <v>Polymer laminate</v>
      </c>
      <c r="S249" s="5" t="str">
        <f aca="false">IF(O249&lt;='Tree rules'!$C$4,IF(N249&lt;='Tree rules'!$C$5,IF(P249&lt;='Tree rules'!$C$6,"Monitor","Polymer laminate"),IF(P249&lt;='Tree rules'!$C$7,"Seal cracks","Polymer laminate")),IF(O249&lt;='Tree rules'!$C$8,IF(M249&lt;='Tree rules'!$C$9,"Steel plate or jacket","Polymer laminate"),IF(L249&lt;='Tree rules'!$C$10,"Steel plate or jacket","Polymer laminate")))</f>
        <v>Polymer laminate</v>
      </c>
      <c r="T249" s="5" t="str">
        <f aca="false">IF(S249=R249,"Yes","No")</f>
        <v>Yes</v>
      </c>
    </row>
    <row r="250" customFormat="false" ht="15" hidden="false" customHeight="false" outlineLevel="0" collapsed="false">
      <c r="A250" s="15" t="n">
        <v>353</v>
      </c>
      <c r="B250" s="16" t="n">
        <v>3.1968014296482</v>
      </c>
      <c r="C250" s="15" t="n">
        <v>230</v>
      </c>
      <c r="D250" s="15" t="n">
        <v>300</v>
      </c>
      <c r="E250" s="15" t="n">
        <v>25</v>
      </c>
      <c r="F250" s="16" t="n">
        <v>0.688332522525665</v>
      </c>
      <c r="G250" s="17" t="s">
        <v>89</v>
      </c>
      <c r="H250" s="18" t="n">
        <v>0.3</v>
      </c>
      <c r="I250" s="18" t="n">
        <v>1</v>
      </c>
      <c r="J250" s="19" t="n">
        <v>0.908964114965601</v>
      </c>
      <c r="K250" s="19" t="n">
        <v>0.5640594910182</v>
      </c>
      <c r="L250" s="16" t="n">
        <v>12.5858324001897</v>
      </c>
      <c r="M250" s="19" t="n">
        <v>0.931078458991395</v>
      </c>
      <c r="N250" s="19" t="n">
        <v>0.76019596681704</v>
      </c>
      <c r="O250" s="19" t="n">
        <v>0.908964114965601</v>
      </c>
      <c r="P250" s="19" t="n">
        <v>0.323770265084522</v>
      </c>
      <c r="Q250" s="17" t="s">
        <v>29</v>
      </c>
      <c r="R250" s="5" t="str">
        <f aca="false">IF(OR(Q250="Steel plate",Q250="Concrete jacket"),"Steel plate or jacket",Q250)</f>
        <v>Monitor</v>
      </c>
      <c r="S250" s="5" t="str">
        <f aca="false">IF(O250&lt;='Tree rules'!$C$4,IF(N250&lt;='Tree rules'!$C$5,IF(P250&lt;='Tree rules'!$C$6,"Monitor","Polymer laminate"),IF(P250&lt;='Tree rules'!$C$7,"Seal cracks","Polymer laminate")),IF(O250&lt;='Tree rules'!$C$8,IF(M250&lt;='Tree rules'!$C$9,"Steel plate or jacket","Polymer laminate"),IF(L250&lt;='Tree rules'!$C$10,"Steel plate or jacket","Polymer laminate")))</f>
        <v>Monitor</v>
      </c>
      <c r="T250" s="5" t="str">
        <f aca="false">IF(S250=R250,"Yes","No")</f>
        <v>Yes</v>
      </c>
    </row>
    <row r="251" customFormat="false" ht="15" hidden="false" customHeight="false" outlineLevel="0" collapsed="false">
      <c r="A251" s="15" t="n">
        <v>354</v>
      </c>
      <c r="B251" s="16" t="n">
        <v>4.14051360875012</v>
      </c>
      <c r="C251" s="15" t="n">
        <v>300</v>
      </c>
      <c r="D251" s="15" t="n">
        <v>400</v>
      </c>
      <c r="E251" s="15" t="n">
        <v>20</v>
      </c>
      <c r="F251" s="16" t="n">
        <v>0.567971553191375</v>
      </c>
      <c r="G251" s="17" t="s">
        <v>89</v>
      </c>
      <c r="H251" s="18" t="n">
        <v>0.3</v>
      </c>
      <c r="I251" s="18" t="n">
        <v>2</v>
      </c>
      <c r="J251" s="19" t="n">
        <v>0.851178402764293</v>
      </c>
      <c r="K251" s="19" t="n">
        <v>0.420275215119359</v>
      </c>
      <c r="L251" s="16" t="n">
        <v>11.6963661264128</v>
      </c>
      <c r="M251" s="19" t="n">
        <v>0.901825977649373</v>
      </c>
      <c r="N251" s="19" t="n">
        <v>1.048239304323</v>
      </c>
      <c r="O251" s="19" t="n">
        <v>1.34462761920187</v>
      </c>
      <c r="P251" s="19" t="n">
        <v>0.362253548915724</v>
      </c>
      <c r="Q251" s="17" t="s">
        <v>31</v>
      </c>
      <c r="R251" s="5" t="str">
        <f aca="false">IF(OR(Q251="Steel plate",Q251="Concrete jacket"),"Steel plate or jacket",Q251)</f>
        <v>Polymer laminate</v>
      </c>
      <c r="S251" s="5" t="str">
        <f aca="false">IF(O251&lt;='Tree rules'!$C$4,IF(N251&lt;='Tree rules'!$C$5,IF(P251&lt;='Tree rules'!$C$6,"Monitor","Polymer laminate"),IF(P251&lt;='Tree rules'!$C$7,"Seal cracks","Polymer laminate")),IF(O251&lt;='Tree rules'!$C$8,IF(M251&lt;='Tree rules'!$C$9,"Steel plate or jacket","Polymer laminate"),IF(L251&lt;='Tree rules'!$C$10,"Steel plate or jacket","Polymer laminate")))</f>
        <v>Steel plate or jacket</v>
      </c>
      <c r="T251" s="5" t="str">
        <f aca="false">IF(S251=R251,"Yes","No")</f>
        <v>No</v>
      </c>
    </row>
    <row r="252" customFormat="false" ht="15" hidden="false" customHeight="false" outlineLevel="0" collapsed="false">
      <c r="A252" s="15" t="n">
        <v>356</v>
      </c>
      <c r="B252" s="16" t="n">
        <v>3.37040770817332</v>
      </c>
      <c r="C252" s="15" t="n">
        <v>300</v>
      </c>
      <c r="D252" s="15" t="n">
        <v>325</v>
      </c>
      <c r="E252" s="15" t="n">
        <v>20</v>
      </c>
      <c r="F252" s="16" t="n">
        <v>0.536642161467296</v>
      </c>
      <c r="G252" s="17" t="s">
        <v>89</v>
      </c>
      <c r="H252" s="18" t="n">
        <v>0.3</v>
      </c>
      <c r="I252" s="18" t="n">
        <v>1.5</v>
      </c>
      <c r="J252" s="19" t="n">
        <v>0.917346887614271</v>
      </c>
      <c r="K252" s="19" t="n">
        <v>0.52935902408868</v>
      </c>
      <c r="L252" s="16" t="n">
        <v>11.9943334810438</v>
      </c>
      <c r="M252" s="19" t="n">
        <v>0.507593884575945</v>
      </c>
      <c r="N252" s="19" t="n">
        <v>0.829128412005327</v>
      </c>
      <c r="O252" s="19" t="n">
        <v>1.13321740483227</v>
      </c>
      <c r="P252" s="19" t="n">
        <v>0.553773926133445</v>
      </c>
      <c r="Q252" s="17" t="s">
        <v>31</v>
      </c>
      <c r="R252" s="5" t="str">
        <f aca="false">IF(OR(Q252="Steel plate",Q252="Concrete jacket"),"Steel plate or jacket",Q252)</f>
        <v>Polymer laminate</v>
      </c>
      <c r="S252" s="5" t="str">
        <f aca="false">IF(O252&lt;='Tree rules'!$C$4,IF(N252&lt;='Tree rules'!$C$5,IF(P252&lt;='Tree rules'!$C$6,"Monitor","Polymer laminate"),IF(P252&lt;='Tree rules'!$C$7,"Seal cracks","Polymer laminate")),IF(O252&lt;='Tree rules'!$C$8,IF(M252&lt;='Tree rules'!$C$9,"Steel plate or jacket","Polymer laminate"),IF(L252&lt;='Tree rules'!$C$10,"Steel plate or jacket","Polymer laminate")))</f>
        <v>Polymer laminate</v>
      </c>
      <c r="T252" s="5" t="str">
        <f aca="false">IF(S252=R252,"Yes","No")</f>
        <v>Yes</v>
      </c>
    </row>
    <row r="253" customFormat="false" ht="15" hidden="false" customHeight="false" outlineLevel="0" collapsed="false">
      <c r="A253" s="15" t="n">
        <v>358</v>
      </c>
      <c r="B253" s="16" t="n">
        <v>5.38132036015074</v>
      </c>
      <c r="C253" s="15" t="n">
        <v>300</v>
      </c>
      <c r="D253" s="15" t="n">
        <v>525</v>
      </c>
      <c r="E253" s="15" t="n">
        <v>30</v>
      </c>
      <c r="F253" s="16" t="n">
        <v>0.658614812073332</v>
      </c>
      <c r="G253" s="17" t="s">
        <v>91</v>
      </c>
      <c r="H253" s="18" t="n">
        <v>0.2</v>
      </c>
      <c r="I253" s="18" t="n">
        <v>2</v>
      </c>
      <c r="J253" s="19" t="n">
        <v>0.90212146600431</v>
      </c>
      <c r="K253" s="19" t="n">
        <v>0.578246292663813</v>
      </c>
      <c r="L253" s="16" t="n">
        <v>11.2815940464376</v>
      </c>
      <c r="M253" s="19" t="n">
        <v>0.306960461348317</v>
      </c>
      <c r="N253" s="19" t="n">
        <v>1.69236356722806</v>
      </c>
      <c r="O253" s="19" t="n">
        <v>1.28259453875918</v>
      </c>
      <c r="P253" s="19" t="n">
        <v>1.10932221501275</v>
      </c>
      <c r="Q253" s="17" t="s">
        <v>31</v>
      </c>
      <c r="R253" s="5" t="str">
        <f aca="false">IF(OR(Q253="Steel plate",Q253="Concrete jacket"),"Steel plate or jacket",Q253)</f>
        <v>Polymer laminate</v>
      </c>
      <c r="S253" s="5" t="str">
        <f aca="false">IF(O253&lt;='Tree rules'!$C$4,IF(N253&lt;='Tree rules'!$C$5,IF(P253&lt;='Tree rules'!$C$6,"Monitor","Polymer laminate"),IF(P253&lt;='Tree rules'!$C$7,"Seal cracks","Polymer laminate")),IF(O253&lt;='Tree rules'!$C$8,IF(M253&lt;='Tree rules'!$C$9,"Steel plate or jacket","Polymer laminate"),IF(L253&lt;='Tree rules'!$C$10,"Steel plate or jacket","Polymer laminate")))</f>
        <v>Polymer laminate</v>
      </c>
      <c r="T253" s="5" t="str">
        <f aca="false">IF(S253=R253,"Yes","No")</f>
        <v>Yes</v>
      </c>
    </row>
    <row r="254" customFormat="false" ht="15" hidden="false" customHeight="false" outlineLevel="0" collapsed="false">
      <c r="A254" s="15" t="n">
        <v>359</v>
      </c>
      <c r="B254" s="16" t="n">
        <v>7.38129520518123</v>
      </c>
      <c r="C254" s="15" t="n">
        <v>300</v>
      </c>
      <c r="D254" s="15" t="n">
        <v>725</v>
      </c>
      <c r="E254" s="15" t="n">
        <v>30</v>
      </c>
      <c r="F254" s="16" t="n">
        <v>0.773410303690249</v>
      </c>
      <c r="G254" s="17" t="s">
        <v>91</v>
      </c>
      <c r="H254" s="18" t="n">
        <v>0.2</v>
      </c>
      <c r="I254" s="18" t="n">
        <v>1</v>
      </c>
      <c r="J254" s="19" t="n">
        <v>0.901672872736902</v>
      </c>
      <c r="K254" s="19" t="n">
        <v>0.541084556131882</v>
      </c>
      <c r="L254" s="16" t="n">
        <v>10.9029471272987</v>
      </c>
      <c r="M254" s="19" t="n">
        <v>0.543506186372478</v>
      </c>
      <c r="N254" s="19" t="n">
        <v>0.872156268579817</v>
      </c>
      <c r="O254" s="19" t="n">
        <v>0.901672872736902</v>
      </c>
      <c r="P254" s="19" t="n">
        <v>0.617733145915234</v>
      </c>
      <c r="Q254" s="17" t="s">
        <v>29</v>
      </c>
      <c r="R254" s="5" t="str">
        <f aca="false">IF(OR(Q254="Steel plate",Q254="Concrete jacket"),"Steel plate or jacket",Q254)</f>
        <v>Monitor</v>
      </c>
      <c r="S254" s="5" t="str">
        <f aca="false">IF(O254&lt;='Tree rules'!$C$4,IF(N254&lt;='Tree rules'!$C$5,IF(P254&lt;='Tree rules'!$C$6,"Monitor","Polymer laminate"),IF(P254&lt;='Tree rules'!$C$7,"Seal cracks","Polymer laminate")),IF(O254&lt;='Tree rules'!$C$8,IF(M254&lt;='Tree rules'!$C$9,"Steel plate or jacket","Polymer laminate"),IF(L254&lt;='Tree rules'!$C$10,"Steel plate or jacket","Polymer laminate")))</f>
        <v>Monitor</v>
      </c>
      <c r="T254" s="5" t="str">
        <f aca="false">IF(S254=R254,"Yes","No")</f>
        <v>Yes</v>
      </c>
    </row>
    <row r="255" customFormat="false" ht="15" hidden="false" customHeight="false" outlineLevel="0" collapsed="false">
      <c r="A255" s="15" t="n">
        <v>360</v>
      </c>
      <c r="B255" s="16" t="n">
        <v>7.28055367760342</v>
      </c>
      <c r="C255" s="15" t="n">
        <v>300</v>
      </c>
      <c r="D255" s="15" t="n">
        <v>625</v>
      </c>
      <c r="E255" s="15" t="n">
        <v>30</v>
      </c>
      <c r="F255" s="16" t="n">
        <v>0.594154638976793</v>
      </c>
      <c r="G255" s="17" t="s">
        <v>90</v>
      </c>
      <c r="H255" s="18" t="n">
        <v>0.1</v>
      </c>
      <c r="I255" s="18" t="n">
        <v>1.5</v>
      </c>
      <c r="J255" s="19" t="n">
        <v>0.872777355097558</v>
      </c>
      <c r="K255" s="19" t="n">
        <v>0.591171278041855</v>
      </c>
      <c r="L255" s="16" t="n">
        <v>12.9087831163181</v>
      </c>
      <c r="M255" s="19" t="n">
        <v>0.563043409491712</v>
      </c>
      <c r="N255" s="19" t="n">
        <v>2.71115457552064</v>
      </c>
      <c r="O255" s="19" t="n">
        <v>1.05118558041683</v>
      </c>
      <c r="P255" s="19" t="n">
        <v>0.578312708330386</v>
      </c>
      <c r="Q255" s="17" t="s">
        <v>31</v>
      </c>
      <c r="R255" s="5" t="str">
        <f aca="false">IF(OR(Q255="Steel plate",Q255="Concrete jacket"),"Steel plate or jacket",Q255)</f>
        <v>Polymer laminate</v>
      </c>
      <c r="S255" s="5" t="str">
        <f aca="false">IF(O255&lt;='Tree rules'!$C$4,IF(N255&lt;='Tree rules'!$C$5,IF(P255&lt;='Tree rules'!$C$6,"Monitor","Polymer laminate"),IF(P255&lt;='Tree rules'!$C$7,"Seal cracks","Polymer laminate")),IF(O255&lt;='Tree rules'!$C$8,IF(M255&lt;='Tree rules'!$C$9,"Steel plate or jacket","Polymer laminate"),IF(L255&lt;='Tree rules'!$C$10,"Steel plate or jacket","Polymer laminate")))</f>
        <v>Polymer laminate</v>
      </c>
      <c r="T255" s="5" t="str">
        <f aca="false">IF(S255=R255,"Yes","No")</f>
        <v>Yes</v>
      </c>
    </row>
    <row r="256" customFormat="false" ht="15" hidden="false" customHeight="false" outlineLevel="0" collapsed="false">
      <c r="A256" s="15" t="n">
        <v>361</v>
      </c>
      <c r="B256" s="16" t="n">
        <v>7.43371220895909</v>
      </c>
      <c r="C256" s="15" t="n">
        <v>300</v>
      </c>
      <c r="D256" s="15" t="n">
        <v>700</v>
      </c>
      <c r="E256" s="15" t="n">
        <v>20</v>
      </c>
      <c r="F256" s="16" t="n">
        <v>0.512390239117601</v>
      </c>
      <c r="G256" s="17" t="s">
        <v>91</v>
      </c>
      <c r="H256" s="18" t="n">
        <v>0.2</v>
      </c>
      <c r="I256" s="18" t="n">
        <v>1</v>
      </c>
      <c r="J256" s="19" t="n">
        <v>0.987527796719582</v>
      </c>
      <c r="K256" s="19" t="n">
        <v>0.643906863267932</v>
      </c>
      <c r="L256" s="16" t="n">
        <v>11.3665324296011</v>
      </c>
      <c r="M256" s="19" t="n">
        <v>0.917000758739508</v>
      </c>
      <c r="N256" s="19" t="n">
        <v>0.832519674695923</v>
      </c>
      <c r="O256" s="19" t="n">
        <v>0.987527796719582</v>
      </c>
      <c r="P256" s="19" t="n">
        <v>0.387770913569509</v>
      </c>
      <c r="Q256" s="17" t="s">
        <v>29</v>
      </c>
      <c r="R256" s="5" t="str">
        <f aca="false">IF(OR(Q256="Steel plate",Q256="Concrete jacket"),"Steel plate or jacket",Q256)</f>
        <v>Monitor</v>
      </c>
      <c r="S256" s="5" t="str">
        <f aca="false">IF(O256&lt;='Tree rules'!$C$4,IF(N256&lt;='Tree rules'!$C$5,IF(P256&lt;='Tree rules'!$C$6,"Monitor","Polymer laminate"),IF(P256&lt;='Tree rules'!$C$7,"Seal cracks","Polymer laminate")),IF(O256&lt;='Tree rules'!$C$8,IF(M256&lt;='Tree rules'!$C$9,"Steel plate or jacket","Polymer laminate"),IF(L256&lt;='Tree rules'!$C$10,"Steel plate or jacket","Polymer laminate")))</f>
        <v>Monitor</v>
      </c>
      <c r="T256" s="5" t="str">
        <f aca="false">IF(S256=R256,"Yes","No")</f>
        <v>Yes</v>
      </c>
    </row>
    <row r="257" customFormat="false" ht="15" hidden="false" customHeight="false" outlineLevel="0" collapsed="false">
      <c r="A257" s="15" t="n">
        <v>362</v>
      </c>
      <c r="B257" s="16" t="n">
        <v>6.46617125680722</v>
      </c>
      <c r="C257" s="15" t="n">
        <v>230</v>
      </c>
      <c r="D257" s="15" t="n">
        <v>625</v>
      </c>
      <c r="E257" s="15" t="n">
        <v>25</v>
      </c>
      <c r="F257" s="16" t="n">
        <v>0.710178431223674</v>
      </c>
      <c r="G257" s="17" t="s">
        <v>89</v>
      </c>
      <c r="H257" s="18" t="n">
        <v>0.3</v>
      </c>
      <c r="I257" s="18" t="n">
        <v>2</v>
      </c>
      <c r="J257" s="19" t="n">
        <v>0.892985513290755</v>
      </c>
      <c r="K257" s="19" t="n">
        <v>0.430821550147672</v>
      </c>
      <c r="L257" s="16" t="n">
        <v>11.2065359736694</v>
      </c>
      <c r="M257" s="19" t="n">
        <v>0.462199208931081</v>
      </c>
      <c r="N257" s="19" t="n">
        <v>1.00732384670162</v>
      </c>
      <c r="O257" s="19" t="n">
        <v>1.40125362348617</v>
      </c>
      <c r="P257" s="19" t="n">
        <v>0.84014939112717</v>
      </c>
      <c r="Q257" s="17" t="s">
        <v>92</v>
      </c>
      <c r="R257" s="5" t="str">
        <f aca="false">IF(OR(Q257="Steel plate",Q257="Concrete jacket"),"Steel plate or jacket",Q257)</f>
        <v>Steel plate or jacket</v>
      </c>
      <c r="S257" s="5" t="str">
        <f aca="false">IF(O257&lt;='Tree rules'!$C$4,IF(N257&lt;='Tree rules'!$C$5,IF(P257&lt;='Tree rules'!$C$6,"Monitor","Polymer laminate"),IF(P257&lt;='Tree rules'!$C$7,"Seal cracks","Polymer laminate")),IF(O257&lt;='Tree rules'!$C$8,IF(M257&lt;='Tree rules'!$C$9,"Steel plate or jacket","Polymer laminate"),IF(L257&lt;='Tree rules'!$C$10,"Steel plate or jacket","Polymer laminate")))</f>
        <v>Steel plate or jacket</v>
      </c>
      <c r="T257" s="5" t="str">
        <f aca="false">IF(S257=R257,"Yes","No")</f>
        <v>Yes</v>
      </c>
    </row>
    <row r="258" customFormat="false" ht="15" hidden="false" customHeight="false" outlineLevel="0" collapsed="false">
      <c r="A258" s="15" t="n">
        <v>363</v>
      </c>
      <c r="B258" s="16" t="n">
        <v>5.16492919174959</v>
      </c>
      <c r="C258" s="15" t="n">
        <v>300</v>
      </c>
      <c r="D258" s="15" t="n">
        <v>475</v>
      </c>
      <c r="E258" s="15" t="n">
        <v>25</v>
      </c>
      <c r="F258" s="16" t="n">
        <v>0.735735984447258</v>
      </c>
      <c r="G258" s="17" t="s">
        <v>91</v>
      </c>
      <c r="H258" s="18" t="n">
        <v>0.2</v>
      </c>
      <c r="I258" s="18" t="n">
        <v>1</v>
      </c>
      <c r="J258" s="19" t="n">
        <v>0.902092377617852</v>
      </c>
      <c r="K258" s="19" t="n">
        <v>0.612491676055319</v>
      </c>
      <c r="L258" s="16" t="n">
        <v>12.0958529080787</v>
      </c>
      <c r="M258" s="19" t="n">
        <v>0.954470272114896</v>
      </c>
      <c r="N258" s="19" t="n">
        <v>1.00930953968569</v>
      </c>
      <c r="O258" s="19" t="n">
        <v>0.902092377617852</v>
      </c>
      <c r="P258" s="19" t="n">
        <v>0.403211182913765</v>
      </c>
      <c r="Q258" s="17" t="s">
        <v>30</v>
      </c>
      <c r="R258" s="5" t="str">
        <f aca="false">IF(OR(Q258="Steel plate",Q258="Concrete jacket"),"Steel plate or jacket",Q258)</f>
        <v>Seal cracks</v>
      </c>
      <c r="S258" s="5" t="str">
        <f aca="false">IF(O258&lt;='Tree rules'!$C$4,IF(N258&lt;='Tree rules'!$C$5,IF(P258&lt;='Tree rules'!$C$6,"Monitor","Polymer laminate"),IF(P258&lt;='Tree rules'!$C$7,"Seal cracks","Polymer laminate")),IF(O258&lt;='Tree rules'!$C$8,IF(M258&lt;='Tree rules'!$C$9,"Steel plate or jacket","Polymer laminate"),IF(L258&lt;='Tree rules'!$C$10,"Steel plate or jacket","Polymer laminate")))</f>
        <v>Seal cracks</v>
      </c>
      <c r="T258" s="5" t="str">
        <f aca="false">IF(S258=R258,"Yes","No")</f>
        <v>Yes</v>
      </c>
    </row>
    <row r="259" customFormat="false" ht="15" hidden="false" customHeight="false" outlineLevel="0" collapsed="false">
      <c r="A259" s="15" t="n">
        <v>364</v>
      </c>
      <c r="B259" s="16" t="n">
        <v>6.94895255813753</v>
      </c>
      <c r="C259" s="15" t="n">
        <v>230</v>
      </c>
      <c r="D259" s="15" t="n">
        <v>625</v>
      </c>
      <c r="E259" s="15" t="n">
        <v>25</v>
      </c>
      <c r="F259" s="16" t="n">
        <v>0.603925598347216</v>
      </c>
      <c r="G259" s="17" t="s">
        <v>91</v>
      </c>
      <c r="H259" s="18" t="n">
        <v>0.2</v>
      </c>
      <c r="I259" s="18" t="n">
        <v>1</v>
      </c>
      <c r="J259" s="19" t="n">
        <v>0.996984411825908</v>
      </c>
      <c r="K259" s="19" t="n">
        <v>0.449059565060183</v>
      </c>
      <c r="L259" s="16" t="n">
        <v>12.0016451781305</v>
      </c>
      <c r="M259" s="19" t="n">
        <v>0.811304070756371</v>
      </c>
      <c r="N259" s="19" t="n">
        <v>0.889183953145671</v>
      </c>
      <c r="O259" s="19" t="n">
        <v>0.996984411825908</v>
      </c>
      <c r="P259" s="19" t="n">
        <v>0.410564834695397</v>
      </c>
      <c r="Q259" s="17" t="s">
        <v>29</v>
      </c>
      <c r="R259" s="5" t="str">
        <f aca="false">IF(OR(Q259="Steel plate",Q259="Concrete jacket"),"Steel plate or jacket",Q259)</f>
        <v>Monitor</v>
      </c>
      <c r="S259" s="5" t="str">
        <f aca="false">IF(O259&lt;='Tree rules'!$C$4,IF(N259&lt;='Tree rules'!$C$5,IF(P259&lt;='Tree rules'!$C$6,"Monitor","Polymer laminate"),IF(P259&lt;='Tree rules'!$C$7,"Seal cracks","Polymer laminate")),IF(O259&lt;='Tree rules'!$C$8,IF(M259&lt;='Tree rules'!$C$9,"Steel plate or jacket","Polymer laminate"),IF(L259&lt;='Tree rules'!$C$10,"Steel plate or jacket","Polymer laminate")))</f>
        <v>Monitor</v>
      </c>
      <c r="T259" s="5" t="str">
        <f aca="false">IF(S259=R259,"Yes","No")</f>
        <v>Yes</v>
      </c>
    </row>
    <row r="260" customFormat="false" ht="15" hidden="false" customHeight="false" outlineLevel="0" collapsed="false">
      <c r="A260" s="15" t="n">
        <v>366</v>
      </c>
      <c r="B260" s="16" t="n">
        <v>6.79269215503873</v>
      </c>
      <c r="C260" s="15" t="n">
        <v>230</v>
      </c>
      <c r="D260" s="15" t="n">
        <v>650</v>
      </c>
      <c r="E260" s="15" t="n">
        <v>30</v>
      </c>
      <c r="F260" s="16" t="n">
        <v>0.578928677885824</v>
      </c>
      <c r="G260" s="17" t="s">
        <v>91</v>
      </c>
      <c r="H260" s="18" t="n">
        <v>0.2</v>
      </c>
      <c r="I260" s="18" t="n">
        <v>1</v>
      </c>
      <c r="J260" s="19" t="n">
        <v>0.916346768025436</v>
      </c>
      <c r="K260" s="19" t="n">
        <v>0.645683372615999</v>
      </c>
      <c r="L260" s="16" t="n">
        <v>11.2461790646337</v>
      </c>
      <c r="M260" s="19" t="n">
        <v>0.878767693591533</v>
      </c>
      <c r="N260" s="19" t="n">
        <v>0.791611087671933</v>
      </c>
      <c r="O260" s="19" t="n">
        <v>0.916346768025436</v>
      </c>
      <c r="P260" s="19" t="n">
        <v>0.354141904171335</v>
      </c>
      <c r="Q260" s="17" t="s">
        <v>29</v>
      </c>
      <c r="R260" s="5" t="str">
        <f aca="false">IF(OR(Q260="Steel plate",Q260="Concrete jacket"),"Steel plate or jacket",Q260)</f>
        <v>Monitor</v>
      </c>
      <c r="S260" s="5" t="str">
        <f aca="false">IF(O260&lt;='Tree rules'!$C$4,IF(N260&lt;='Tree rules'!$C$5,IF(P260&lt;='Tree rules'!$C$6,"Monitor","Polymer laminate"),IF(P260&lt;='Tree rules'!$C$7,"Seal cracks","Polymer laminate")),IF(O260&lt;='Tree rules'!$C$8,IF(M260&lt;='Tree rules'!$C$9,"Steel plate or jacket","Polymer laminate"),IF(L260&lt;='Tree rules'!$C$10,"Steel plate or jacket","Polymer laminate")))</f>
        <v>Monitor</v>
      </c>
      <c r="T260" s="5" t="str">
        <f aca="false">IF(S260=R260,"Yes","No")</f>
        <v>Yes</v>
      </c>
    </row>
    <row r="261" customFormat="false" ht="15" hidden="false" customHeight="false" outlineLevel="0" collapsed="false">
      <c r="A261" s="15" t="n">
        <v>368</v>
      </c>
      <c r="B261" s="16" t="n">
        <v>5.40688992650113</v>
      </c>
      <c r="C261" s="15" t="n">
        <v>230</v>
      </c>
      <c r="D261" s="15" t="n">
        <v>475</v>
      </c>
      <c r="E261" s="15" t="n">
        <v>20</v>
      </c>
      <c r="F261" s="16" t="n">
        <v>0.611316296229087</v>
      </c>
      <c r="G261" s="17" t="s">
        <v>91</v>
      </c>
      <c r="H261" s="18" t="n">
        <v>0.2</v>
      </c>
      <c r="I261" s="18" t="n">
        <v>2</v>
      </c>
      <c r="J261" s="19" t="n">
        <v>0.863446725807038</v>
      </c>
      <c r="K261" s="19" t="n">
        <v>0.629370705848299</v>
      </c>
      <c r="L261" s="16" t="n">
        <v>12.6034730221472</v>
      </c>
      <c r="M261" s="19" t="n">
        <v>0.63985261627568</v>
      </c>
      <c r="N261" s="19" t="n">
        <v>1.25117156794041</v>
      </c>
      <c r="O261" s="19" t="n">
        <v>1.1834653763305</v>
      </c>
      <c r="P261" s="19" t="n">
        <v>0.638116474913436</v>
      </c>
      <c r="Q261" s="17" t="s">
        <v>31</v>
      </c>
      <c r="R261" s="5" t="str">
        <f aca="false">IF(OR(Q261="Steel plate",Q261="Concrete jacket"),"Steel plate or jacket",Q261)</f>
        <v>Polymer laminate</v>
      </c>
      <c r="S261" s="5" t="str">
        <f aca="false">IF(O261&lt;='Tree rules'!$C$4,IF(N261&lt;='Tree rules'!$C$5,IF(P261&lt;='Tree rules'!$C$6,"Monitor","Polymer laminate"),IF(P261&lt;='Tree rules'!$C$7,"Seal cracks","Polymer laminate")),IF(O261&lt;='Tree rules'!$C$8,IF(M261&lt;='Tree rules'!$C$9,"Steel plate or jacket","Polymer laminate"),IF(L261&lt;='Tree rules'!$C$10,"Steel plate or jacket","Polymer laminate")))</f>
        <v>Polymer laminate</v>
      </c>
      <c r="T261" s="5" t="str">
        <f aca="false">IF(S261=R261,"Yes","No")</f>
        <v>Yes</v>
      </c>
    </row>
    <row r="262" customFormat="false" ht="15" hidden="false" customHeight="false" outlineLevel="0" collapsed="false">
      <c r="A262" s="15" t="n">
        <v>370</v>
      </c>
      <c r="B262" s="16" t="n">
        <v>6.79995605308097</v>
      </c>
      <c r="C262" s="15" t="n">
        <v>230</v>
      </c>
      <c r="D262" s="15" t="n">
        <v>650</v>
      </c>
      <c r="E262" s="15" t="n">
        <v>30</v>
      </c>
      <c r="F262" s="16" t="n">
        <v>0.680685971455249</v>
      </c>
      <c r="G262" s="17" t="s">
        <v>89</v>
      </c>
      <c r="H262" s="18" t="n">
        <v>0.3</v>
      </c>
      <c r="I262" s="18" t="n">
        <v>1</v>
      </c>
      <c r="J262" s="19" t="n">
        <v>0.961875300893069</v>
      </c>
      <c r="K262" s="19" t="n">
        <v>0.441513469265675</v>
      </c>
      <c r="L262" s="16" t="n">
        <v>11.2956080615963</v>
      </c>
      <c r="M262" s="19" t="n">
        <v>0.824155630395954</v>
      </c>
      <c r="N262" s="19" t="n">
        <v>0.635544522141261</v>
      </c>
      <c r="O262" s="19" t="n">
        <v>0.961875300893069</v>
      </c>
      <c r="P262" s="19" t="n">
        <v>0.381464881476702</v>
      </c>
      <c r="Q262" s="17" t="s">
        <v>29</v>
      </c>
      <c r="R262" s="5" t="str">
        <f aca="false">IF(OR(Q262="Steel plate",Q262="Concrete jacket"),"Steel plate or jacket",Q262)</f>
        <v>Monitor</v>
      </c>
      <c r="S262" s="5" t="str">
        <f aca="false">IF(O262&lt;='Tree rules'!$C$4,IF(N262&lt;='Tree rules'!$C$5,IF(P262&lt;='Tree rules'!$C$6,"Monitor","Polymer laminate"),IF(P262&lt;='Tree rules'!$C$7,"Seal cracks","Polymer laminate")),IF(O262&lt;='Tree rules'!$C$8,IF(M262&lt;='Tree rules'!$C$9,"Steel plate or jacket","Polymer laminate"),IF(L262&lt;='Tree rules'!$C$10,"Steel plate or jacket","Polymer laminate")))</f>
        <v>Monitor</v>
      </c>
      <c r="T262" s="5" t="str">
        <f aca="false">IF(S262=R262,"Yes","No")</f>
        <v>Yes</v>
      </c>
    </row>
    <row r="263" customFormat="false" ht="15" hidden="false" customHeight="false" outlineLevel="0" collapsed="false">
      <c r="A263" s="15" t="n">
        <v>371</v>
      </c>
      <c r="B263" s="16" t="n">
        <v>3.59832213936921</v>
      </c>
      <c r="C263" s="15" t="n">
        <v>230</v>
      </c>
      <c r="D263" s="15" t="n">
        <v>325</v>
      </c>
      <c r="E263" s="15" t="n">
        <v>20</v>
      </c>
      <c r="F263" s="16" t="n">
        <v>0.699968036696473</v>
      </c>
      <c r="G263" s="17" t="s">
        <v>91</v>
      </c>
      <c r="H263" s="18" t="n">
        <v>0.2</v>
      </c>
      <c r="I263" s="18" t="n">
        <v>2</v>
      </c>
      <c r="J263" s="19" t="n">
        <v>0.889639136009733</v>
      </c>
      <c r="K263" s="19" t="n">
        <v>0.504569721358953</v>
      </c>
      <c r="L263" s="16" t="n">
        <v>12.8054168660826</v>
      </c>
      <c r="M263" s="19" t="n">
        <v>0.900425726949827</v>
      </c>
      <c r="N263" s="19" t="n">
        <v>1.28063718584786</v>
      </c>
      <c r="O263" s="19" t="n">
        <v>1.33039330105302</v>
      </c>
      <c r="P263" s="19" t="n">
        <v>0.460509175559989</v>
      </c>
      <c r="Q263" s="17" t="s">
        <v>31</v>
      </c>
      <c r="R263" s="5" t="str">
        <f aca="false">IF(OR(Q263="Steel plate",Q263="Concrete jacket"),"Steel plate or jacket",Q263)</f>
        <v>Polymer laminate</v>
      </c>
      <c r="S263" s="5" t="str">
        <f aca="false">IF(O263&lt;='Tree rules'!$C$4,IF(N263&lt;='Tree rules'!$C$5,IF(P263&lt;='Tree rules'!$C$6,"Monitor","Polymer laminate"),IF(P263&lt;='Tree rules'!$C$7,"Seal cracks","Polymer laminate")),IF(O263&lt;='Tree rules'!$C$8,IF(M263&lt;='Tree rules'!$C$9,"Steel plate or jacket","Polymer laminate"),IF(L263&lt;='Tree rules'!$C$10,"Steel plate or jacket","Polymer laminate")))</f>
        <v>Steel plate or jacket</v>
      </c>
      <c r="T263" s="5" t="str">
        <f aca="false">IF(S263=R263,"Yes","No")</f>
        <v>No</v>
      </c>
    </row>
    <row r="264" customFormat="false" ht="15" hidden="false" customHeight="false" outlineLevel="0" collapsed="false">
      <c r="A264" s="15" t="n">
        <v>372</v>
      </c>
      <c r="B264" s="16" t="n">
        <v>3.18338692574353</v>
      </c>
      <c r="C264" s="15" t="n">
        <v>300</v>
      </c>
      <c r="D264" s="15" t="n">
        <v>300</v>
      </c>
      <c r="E264" s="15" t="n">
        <v>25</v>
      </c>
      <c r="F264" s="16" t="n">
        <v>0.883572933822129</v>
      </c>
      <c r="G264" s="17" t="s">
        <v>89</v>
      </c>
      <c r="H264" s="18" t="n">
        <v>0.3</v>
      </c>
      <c r="I264" s="18" t="n">
        <v>1.5</v>
      </c>
      <c r="J264" s="19" t="n">
        <v>0.883789376235728</v>
      </c>
      <c r="K264" s="19" t="n">
        <v>0.624157526537872</v>
      </c>
      <c r="L264" s="16" t="n">
        <v>12.4351051786857</v>
      </c>
      <c r="M264" s="19" t="n">
        <v>0.859359915526254</v>
      </c>
      <c r="N264" s="19" t="n">
        <v>0.67192569100944</v>
      </c>
      <c r="O264" s="19" t="n">
        <v>1.04987216882772</v>
      </c>
      <c r="P264" s="19" t="n">
        <v>0.484596818326086</v>
      </c>
      <c r="Q264" s="17" t="s">
        <v>31</v>
      </c>
      <c r="R264" s="5" t="str">
        <f aca="false">IF(OR(Q264="Steel plate",Q264="Concrete jacket"),"Steel plate or jacket",Q264)</f>
        <v>Polymer laminate</v>
      </c>
      <c r="S264" s="5" t="str">
        <f aca="false">IF(O264&lt;='Tree rules'!$C$4,IF(N264&lt;='Tree rules'!$C$5,IF(P264&lt;='Tree rules'!$C$6,"Monitor","Polymer laminate"),IF(P264&lt;='Tree rules'!$C$7,"Seal cracks","Polymer laminate")),IF(O264&lt;='Tree rules'!$C$8,IF(M264&lt;='Tree rules'!$C$9,"Steel plate or jacket","Polymer laminate"),IF(L264&lt;='Tree rules'!$C$10,"Steel plate or jacket","Polymer laminate")))</f>
        <v>Polymer laminate</v>
      </c>
      <c r="T264" s="5" t="str">
        <f aca="false">IF(S264=R264,"Yes","No")</f>
        <v>Yes</v>
      </c>
    </row>
    <row r="265" customFormat="false" ht="15" hidden="false" customHeight="false" outlineLevel="0" collapsed="false">
      <c r="A265" s="15" t="n">
        <v>373</v>
      </c>
      <c r="B265" s="16" t="n">
        <v>4.18534564119304</v>
      </c>
      <c r="C265" s="15" t="n">
        <v>300</v>
      </c>
      <c r="D265" s="15" t="n">
        <v>375</v>
      </c>
      <c r="E265" s="15" t="n">
        <v>25</v>
      </c>
      <c r="F265" s="16" t="n">
        <v>0.814840647739602</v>
      </c>
      <c r="G265" s="17" t="s">
        <v>89</v>
      </c>
      <c r="H265" s="18" t="n">
        <v>0.3</v>
      </c>
      <c r="I265" s="18" t="n">
        <v>1</v>
      </c>
      <c r="J265" s="19" t="n">
        <v>0.887082747739823</v>
      </c>
      <c r="K265" s="19" t="n">
        <v>0.547839824570903</v>
      </c>
      <c r="L265" s="16" t="n">
        <v>12.7214153227752</v>
      </c>
      <c r="M265" s="19" t="n">
        <v>0.946333983456696</v>
      </c>
      <c r="N265" s="19" t="n">
        <v>0.588734100918347</v>
      </c>
      <c r="O265" s="19" t="n">
        <v>0.887082747739823</v>
      </c>
      <c r="P265" s="19" t="n">
        <v>0.40660745471911</v>
      </c>
      <c r="Q265" s="17" t="s">
        <v>29</v>
      </c>
      <c r="R265" s="5" t="str">
        <f aca="false">IF(OR(Q265="Steel plate",Q265="Concrete jacket"),"Steel plate or jacket",Q265)</f>
        <v>Monitor</v>
      </c>
      <c r="S265" s="5" t="str">
        <f aca="false">IF(O265&lt;='Tree rules'!$C$4,IF(N265&lt;='Tree rules'!$C$5,IF(P265&lt;='Tree rules'!$C$6,"Monitor","Polymer laminate"),IF(P265&lt;='Tree rules'!$C$7,"Seal cracks","Polymer laminate")),IF(O265&lt;='Tree rules'!$C$8,IF(M265&lt;='Tree rules'!$C$9,"Steel plate or jacket","Polymer laminate"),IF(L265&lt;='Tree rules'!$C$10,"Steel plate or jacket","Polymer laminate")))</f>
        <v>Monitor</v>
      </c>
      <c r="T265" s="5" t="str">
        <f aca="false">IF(S265=R265,"Yes","No")</f>
        <v>Yes</v>
      </c>
    </row>
    <row r="266" customFormat="false" ht="15" hidden="false" customHeight="false" outlineLevel="0" collapsed="false">
      <c r="A266" s="15" t="n">
        <v>374</v>
      </c>
      <c r="B266" s="16" t="n">
        <v>7.14903462982357</v>
      </c>
      <c r="C266" s="15" t="n">
        <v>300</v>
      </c>
      <c r="D266" s="15" t="n">
        <v>625</v>
      </c>
      <c r="E266" s="15" t="n">
        <v>30</v>
      </c>
      <c r="F266" s="16" t="n">
        <v>0.594154638976793</v>
      </c>
      <c r="G266" s="17" t="s">
        <v>90</v>
      </c>
      <c r="H266" s="18" t="n">
        <v>0.1</v>
      </c>
      <c r="I266" s="18" t="n">
        <v>2</v>
      </c>
      <c r="J266" s="19" t="n">
        <v>0.898664605160787</v>
      </c>
      <c r="K266" s="19" t="n">
        <v>0.427076430356861</v>
      </c>
      <c r="L266" s="16" t="n">
        <v>12.67559331529</v>
      </c>
      <c r="M266" s="19" t="n">
        <v>0.844166429863078</v>
      </c>
      <c r="N266" s="19" t="n">
        <v>3.53925380116086</v>
      </c>
      <c r="O266" s="19" t="n">
        <v>1.41353073866145</v>
      </c>
      <c r="P266" s="19" t="n">
        <v>0.423237157391888</v>
      </c>
      <c r="Q266" s="17" t="s">
        <v>31</v>
      </c>
      <c r="R266" s="5" t="str">
        <f aca="false">IF(OR(Q266="Steel plate",Q266="Concrete jacket"),"Steel plate or jacket",Q266)</f>
        <v>Polymer laminate</v>
      </c>
      <c r="S266" s="5" t="str">
        <f aca="false">IF(O266&lt;='Tree rules'!$C$4,IF(N266&lt;='Tree rules'!$C$5,IF(P266&lt;='Tree rules'!$C$6,"Monitor","Polymer laminate"),IF(P266&lt;='Tree rules'!$C$7,"Seal cracks","Polymer laminate")),IF(O266&lt;='Tree rules'!$C$8,IF(M266&lt;='Tree rules'!$C$9,"Steel plate or jacket","Polymer laminate"),IF(L266&lt;='Tree rules'!$C$10,"Steel plate or jacket","Polymer laminate")))</f>
        <v>Steel plate or jacket</v>
      </c>
      <c r="T266" s="5" t="str">
        <f aca="false">IF(S266=R266,"Yes","No")</f>
        <v>No</v>
      </c>
    </row>
    <row r="267" customFormat="false" ht="15" hidden="false" customHeight="false" outlineLevel="0" collapsed="false">
      <c r="A267" s="15" t="n">
        <v>375</v>
      </c>
      <c r="B267" s="16" t="n">
        <v>3.51933103139486</v>
      </c>
      <c r="C267" s="15" t="n">
        <v>300</v>
      </c>
      <c r="D267" s="15" t="n">
        <v>300</v>
      </c>
      <c r="E267" s="15" t="n">
        <v>30</v>
      </c>
      <c r="F267" s="16" t="n">
        <v>0.831109167616348</v>
      </c>
      <c r="G267" s="17" t="s">
        <v>89</v>
      </c>
      <c r="H267" s="18" t="n">
        <v>0.3</v>
      </c>
      <c r="I267" s="18" t="n">
        <v>1</v>
      </c>
      <c r="J267" s="19" t="n">
        <v>0.956737919583677</v>
      </c>
      <c r="K267" s="19" t="n">
        <v>0.44476334737688</v>
      </c>
      <c r="L267" s="16" t="n">
        <v>13.965599330932</v>
      </c>
      <c r="M267" s="19" t="n">
        <v>0.788753936207437</v>
      </c>
      <c r="N267" s="19" t="n">
        <v>1.00443108670344</v>
      </c>
      <c r="O267" s="19" t="n">
        <v>0.956737919583677</v>
      </c>
      <c r="P267" s="19" t="n">
        <v>0.43815985633885</v>
      </c>
      <c r="Q267" s="17" t="s">
        <v>30</v>
      </c>
      <c r="R267" s="5" t="str">
        <f aca="false">IF(OR(Q267="Steel plate",Q267="Concrete jacket"),"Steel plate or jacket",Q267)</f>
        <v>Seal cracks</v>
      </c>
      <c r="S267" s="5" t="str">
        <f aca="false">IF(O267&lt;='Tree rules'!$C$4,IF(N267&lt;='Tree rules'!$C$5,IF(P267&lt;='Tree rules'!$C$6,"Monitor","Polymer laminate"),IF(P267&lt;='Tree rules'!$C$7,"Seal cracks","Polymer laminate")),IF(O267&lt;='Tree rules'!$C$8,IF(M267&lt;='Tree rules'!$C$9,"Steel plate or jacket","Polymer laminate"),IF(L267&lt;='Tree rules'!$C$10,"Steel plate or jacket","Polymer laminate")))</f>
        <v>Seal cracks</v>
      </c>
      <c r="T267" s="5" t="str">
        <f aca="false">IF(S267=R267,"Yes","No")</f>
        <v>Yes</v>
      </c>
    </row>
    <row r="268" customFormat="false" ht="15" hidden="false" customHeight="false" outlineLevel="0" collapsed="false">
      <c r="A268" s="15" t="n">
        <v>376</v>
      </c>
      <c r="B268" s="16" t="n">
        <v>7.47575514881579</v>
      </c>
      <c r="C268" s="15" t="n">
        <v>300</v>
      </c>
      <c r="D268" s="15" t="n">
        <v>725</v>
      </c>
      <c r="E268" s="15" t="n">
        <v>25</v>
      </c>
      <c r="F268" s="16" t="n">
        <v>0.6187282429522</v>
      </c>
      <c r="G268" s="17" t="s">
        <v>89</v>
      </c>
      <c r="H268" s="18" t="n">
        <v>0.3</v>
      </c>
      <c r="I268" s="18" t="n">
        <v>2</v>
      </c>
      <c r="J268" s="19" t="n">
        <v>0.95796493055625</v>
      </c>
      <c r="K268" s="19" t="n">
        <v>0.454580640465498</v>
      </c>
      <c r="L268" s="16" t="n">
        <v>11.0424743704812</v>
      </c>
      <c r="M268" s="19" t="n">
        <v>0.929715166725557</v>
      </c>
      <c r="N268" s="19" t="n">
        <v>0.981494435941126</v>
      </c>
      <c r="O268" s="19" t="n">
        <v>1.48045754943675</v>
      </c>
      <c r="P268" s="19" t="n">
        <v>0.432903555980969</v>
      </c>
      <c r="Q268" s="17" t="s">
        <v>92</v>
      </c>
      <c r="R268" s="5" t="str">
        <f aca="false">IF(OR(Q268="Steel plate",Q268="Concrete jacket"),"Steel plate or jacket",Q268)</f>
        <v>Steel plate or jacket</v>
      </c>
      <c r="S268" s="5" t="str">
        <f aca="false">IF(O268&lt;='Tree rules'!$C$4,IF(N268&lt;='Tree rules'!$C$5,IF(P268&lt;='Tree rules'!$C$6,"Monitor","Polymer laminate"),IF(P268&lt;='Tree rules'!$C$7,"Seal cracks","Polymer laminate")),IF(O268&lt;='Tree rules'!$C$8,IF(M268&lt;='Tree rules'!$C$9,"Steel plate or jacket","Polymer laminate"),IF(L268&lt;='Tree rules'!$C$10,"Steel plate or jacket","Polymer laminate")))</f>
        <v>Steel plate or jacket</v>
      </c>
      <c r="T268" s="5" t="str">
        <f aca="false">IF(S268=R268,"Yes","No")</f>
        <v>Yes</v>
      </c>
    </row>
    <row r="269" customFormat="false" ht="15" hidden="false" customHeight="false" outlineLevel="0" collapsed="false">
      <c r="A269" s="15" t="n">
        <v>378</v>
      </c>
      <c r="B269" s="16" t="n">
        <v>3.20075752437334</v>
      </c>
      <c r="C269" s="15" t="n">
        <v>230</v>
      </c>
      <c r="D269" s="15" t="n">
        <v>300</v>
      </c>
      <c r="E269" s="15" t="n">
        <v>30</v>
      </c>
      <c r="F269" s="16" t="n">
        <v>1.08405543602132</v>
      </c>
      <c r="G269" s="17" t="s">
        <v>91</v>
      </c>
      <c r="H269" s="18" t="n">
        <v>0.2</v>
      </c>
      <c r="I269" s="18" t="n">
        <v>1</v>
      </c>
      <c r="J269" s="19" t="n">
        <v>0.870154803870373</v>
      </c>
      <c r="K269" s="19" t="n">
        <v>0.407829050501953</v>
      </c>
      <c r="L269" s="16" t="n">
        <v>12.7014187475133</v>
      </c>
      <c r="M269" s="19" t="n">
        <v>0.358783851658074</v>
      </c>
      <c r="N269" s="19" t="n">
        <v>1.26331924649914</v>
      </c>
      <c r="O269" s="19" t="n">
        <v>0.870154803870373</v>
      </c>
      <c r="P269" s="19" t="n">
        <v>0.89366737641965</v>
      </c>
      <c r="Q269" s="17" t="s">
        <v>30</v>
      </c>
      <c r="R269" s="5" t="str">
        <f aca="false">IF(OR(Q269="Steel plate",Q269="Concrete jacket"),"Steel plate or jacket",Q269)</f>
        <v>Seal cracks</v>
      </c>
      <c r="S269" s="5" t="str">
        <f aca="false">IF(O269&lt;='Tree rules'!$C$4,IF(N269&lt;='Tree rules'!$C$5,IF(P269&lt;='Tree rules'!$C$6,"Monitor","Polymer laminate"),IF(P269&lt;='Tree rules'!$C$7,"Seal cracks","Polymer laminate")),IF(O269&lt;='Tree rules'!$C$8,IF(M269&lt;='Tree rules'!$C$9,"Steel plate or jacket","Polymer laminate"),IF(L269&lt;='Tree rules'!$C$10,"Steel plate or jacket","Polymer laminate")))</f>
        <v>Seal cracks</v>
      </c>
      <c r="T269" s="5" t="str">
        <f aca="false">IF(S269=R269,"Yes","No")</f>
        <v>Yes</v>
      </c>
    </row>
    <row r="270" customFormat="false" ht="15" hidden="false" customHeight="false" outlineLevel="0" collapsed="false">
      <c r="A270" s="15" t="n">
        <v>382</v>
      </c>
      <c r="B270" s="16" t="n">
        <v>5.58565171673724</v>
      </c>
      <c r="C270" s="15" t="n">
        <v>300</v>
      </c>
      <c r="D270" s="15" t="n">
        <v>450</v>
      </c>
      <c r="E270" s="15" t="n">
        <v>30</v>
      </c>
      <c r="F270" s="16" t="n">
        <v>0.781490709848207</v>
      </c>
      <c r="G270" s="17" t="s">
        <v>89</v>
      </c>
      <c r="H270" s="18" t="n">
        <v>0.3</v>
      </c>
      <c r="I270" s="18" t="n">
        <v>1</v>
      </c>
      <c r="J270" s="19" t="n">
        <v>0.855924763809587</v>
      </c>
      <c r="K270" s="19" t="n">
        <v>0.542169511091824</v>
      </c>
      <c r="L270" s="16" t="n">
        <v>13.8946560117842</v>
      </c>
      <c r="M270" s="19" t="n">
        <v>0.653058458630594</v>
      </c>
      <c r="N270" s="19" t="n">
        <v>0.695668290862626</v>
      </c>
      <c r="O270" s="19" t="n">
        <v>0.855924763809587</v>
      </c>
      <c r="P270" s="19" t="n">
        <v>0.572329399545014</v>
      </c>
      <c r="Q270" s="17" t="s">
        <v>29</v>
      </c>
      <c r="R270" s="5" t="str">
        <f aca="false">IF(OR(Q270="Steel plate",Q270="Concrete jacket"),"Steel plate or jacket",Q270)</f>
        <v>Monitor</v>
      </c>
      <c r="S270" s="5" t="str">
        <f aca="false">IF(O270&lt;='Tree rules'!$C$4,IF(N270&lt;='Tree rules'!$C$5,IF(P270&lt;='Tree rules'!$C$6,"Monitor","Polymer laminate"),IF(P270&lt;='Tree rules'!$C$7,"Seal cracks","Polymer laminate")),IF(O270&lt;='Tree rules'!$C$8,IF(M270&lt;='Tree rules'!$C$9,"Steel plate or jacket","Polymer laminate"),IF(L270&lt;='Tree rules'!$C$10,"Steel plate or jacket","Polymer laminate")))</f>
        <v>Monitor</v>
      </c>
      <c r="T270" s="5" t="str">
        <f aca="false">IF(S270=R270,"Yes","No")</f>
        <v>Yes</v>
      </c>
    </row>
    <row r="271" customFormat="false" ht="15" hidden="false" customHeight="false" outlineLevel="0" collapsed="false">
      <c r="A271" s="15" t="n">
        <v>383</v>
      </c>
      <c r="B271" s="16" t="n">
        <v>3.77669103702425</v>
      </c>
      <c r="C271" s="15" t="n">
        <v>300</v>
      </c>
      <c r="D271" s="15" t="n">
        <v>350</v>
      </c>
      <c r="E271" s="15" t="n">
        <v>25</v>
      </c>
      <c r="F271" s="16" t="n">
        <v>0.61599855952741</v>
      </c>
      <c r="G271" s="17" t="s">
        <v>91</v>
      </c>
      <c r="H271" s="18" t="n">
        <v>0.2</v>
      </c>
      <c r="I271" s="18" t="n">
        <v>1.5</v>
      </c>
      <c r="J271" s="19" t="n">
        <v>0.891648591939683</v>
      </c>
      <c r="K271" s="19" t="n">
        <v>0.580095487988056</v>
      </c>
      <c r="L271" s="16" t="n">
        <v>12.3421275719747</v>
      </c>
      <c r="M271" s="19" t="n">
        <v>0.907677502454916</v>
      </c>
      <c r="N271" s="19" t="n">
        <v>1.01421664873124</v>
      </c>
      <c r="O271" s="19" t="n">
        <v>1.07885222538197</v>
      </c>
      <c r="P271" s="19" t="n">
        <v>0.360797602740426</v>
      </c>
      <c r="Q271" s="17" t="s">
        <v>31</v>
      </c>
      <c r="R271" s="5" t="str">
        <f aca="false">IF(OR(Q271="Steel plate",Q271="Concrete jacket"),"Steel plate or jacket",Q271)</f>
        <v>Polymer laminate</v>
      </c>
      <c r="S271" s="5" t="str">
        <f aca="false">IF(O271&lt;='Tree rules'!$C$4,IF(N271&lt;='Tree rules'!$C$5,IF(P271&lt;='Tree rules'!$C$6,"Monitor","Polymer laminate"),IF(P271&lt;='Tree rules'!$C$7,"Seal cracks","Polymer laminate")),IF(O271&lt;='Tree rules'!$C$8,IF(M271&lt;='Tree rules'!$C$9,"Steel plate or jacket","Polymer laminate"),IF(L271&lt;='Tree rules'!$C$10,"Steel plate or jacket","Polymer laminate")))</f>
        <v>Polymer laminate</v>
      </c>
      <c r="T271" s="5" t="str">
        <f aca="false">IF(S271=R271,"Yes","No")</f>
        <v>Yes</v>
      </c>
    </row>
    <row r="272" customFormat="false" ht="15" hidden="false" customHeight="false" outlineLevel="0" collapsed="false">
      <c r="A272" s="15" t="n">
        <v>384</v>
      </c>
      <c r="B272" s="16" t="n">
        <v>6.64524738841683</v>
      </c>
      <c r="C272" s="15" t="n">
        <v>300</v>
      </c>
      <c r="D272" s="15" t="n">
        <v>550</v>
      </c>
      <c r="E272" s="15" t="n">
        <v>20</v>
      </c>
      <c r="F272" s="16" t="n">
        <v>0.664887334093078</v>
      </c>
      <c r="G272" s="17" t="s">
        <v>89</v>
      </c>
      <c r="H272" s="18" t="n">
        <v>0.3</v>
      </c>
      <c r="I272" s="18" t="n">
        <v>1</v>
      </c>
      <c r="J272" s="19" t="n">
        <v>0.928117492476032</v>
      </c>
      <c r="K272" s="19" t="n">
        <v>0.415928905311642</v>
      </c>
      <c r="L272" s="16" t="n">
        <v>13.1850146595572</v>
      </c>
      <c r="M272" s="19" t="n">
        <v>0.623271573756045</v>
      </c>
      <c r="N272" s="19" t="n">
        <v>0.584212764928372</v>
      </c>
      <c r="O272" s="19" t="n">
        <v>0.928117492476032</v>
      </c>
      <c r="P272" s="19" t="n">
        <v>0.584666761317223</v>
      </c>
      <c r="Q272" s="17" t="s">
        <v>29</v>
      </c>
      <c r="R272" s="5" t="str">
        <f aca="false">IF(OR(Q272="Steel plate",Q272="Concrete jacket"),"Steel plate or jacket",Q272)</f>
        <v>Monitor</v>
      </c>
      <c r="S272" s="5" t="str">
        <f aca="false">IF(O272&lt;='Tree rules'!$C$4,IF(N272&lt;='Tree rules'!$C$5,IF(P272&lt;='Tree rules'!$C$6,"Monitor","Polymer laminate"),IF(P272&lt;='Tree rules'!$C$7,"Seal cracks","Polymer laminate")),IF(O272&lt;='Tree rules'!$C$8,IF(M272&lt;='Tree rules'!$C$9,"Steel plate or jacket","Polymer laminate"),IF(L272&lt;='Tree rules'!$C$10,"Steel plate or jacket","Polymer laminate")))</f>
        <v>Monitor</v>
      </c>
      <c r="T272" s="5" t="str">
        <f aca="false">IF(S272=R272,"Yes","No")</f>
        <v>Yes</v>
      </c>
    </row>
    <row r="273" customFormat="false" ht="15" hidden="false" customHeight="false" outlineLevel="0" collapsed="false">
      <c r="A273" s="15" t="n">
        <v>386</v>
      </c>
      <c r="B273" s="16" t="n">
        <v>3.759102552286</v>
      </c>
      <c r="C273" s="15" t="n">
        <v>300</v>
      </c>
      <c r="D273" s="15" t="n">
        <v>350</v>
      </c>
      <c r="E273" s="15" t="n">
        <v>20</v>
      </c>
      <c r="F273" s="16" t="n">
        <v>0.739198271432892</v>
      </c>
      <c r="G273" s="17" t="s">
        <v>89</v>
      </c>
      <c r="H273" s="18" t="n">
        <v>0.3</v>
      </c>
      <c r="I273" s="18" t="n">
        <v>1</v>
      </c>
      <c r="J273" s="19" t="n">
        <v>0.872007415893699</v>
      </c>
      <c r="K273" s="19" t="n">
        <v>0.611887813351616</v>
      </c>
      <c r="L273" s="16" t="n">
        <v>12.2846488636797</v>
      </c>
      <c r="M273" s="19" t="n">
        <v>0.745693439894191</v>
      </c>
      <c r="N273" s="19" t="n">
        <v>0.535807641227371</v>
      </c>
      <c r="O273" s="19" t="n">
        <v>0.872007415893699</v>
      </c>
      <c r="P273" s="19" t="n">
        <v>0.489488056534223</v>
      </c>
      <c r="Q273" s="17" t="s">
        <v>29</v>
      </c>
      <c r="R273" s="5" t="str">
        <f aca="false">IF(OR(Q273="Steel plate",Q273="Concrete jacket"),"Steel plate or jacket",Q273)</f>
        <v>Monitor</v>
      </c>
      <c r="S273" s="5" t="str">
        <f aca="false">IF(O273&lt;='Tree rules'!$C$4,IF(N273&lt;='Tree rules'!$C$5,IF(P273&lt;='Tree rules'!$C$6,"Monitor","Polymer laminate"),IF(P273&lt;='Tree rules'!$C$7,"Seal cracks","Polymer laminate")),IF(O273&lt;='Tree rules'!$C$8,IF(M273&lt;='Tree rules'!$C$9,"Steel plate or jacket","Polymer laminate"),IF(L273&lt;='Tree rules'!$C$10,"Steel plate or jacket","Polymer laminate")))</f>
        <v>Monitor</v>
      </c>
      <c r="T273" s="5" t="str">
        <f aca="false">IF(S273=R273,"Yes","No")</f>
        <v>Yes</v>
      </c>
    </row>
    <row r="274" customFormat="false" ht="15" hidden="false" customHeight="false" outlineLevel="0" collapsed="false">
      <c r="A274" s="15" t="n">
        <v>387</v>
      </c>
      <c r="B274" s="16" t="n">
        <v>3.26601824287035</v>
      </c>
      <c r="C274" s="15" t="n">
        <v>230</v>
      </c>
      <c r="D274" s="15" t="n">
        <v>325</v>
      </c>
      <c r="E274" s="15" t="n">
        <v>30</v>
      </c>
      <c r="F274" s="16" t="n">
        <v>0.98621649775225</v>
      </c>
      <c r="G274" s="17" t="s">
        <v>89</v>
      </c>
      <c r="H274" s="18" t="n">
        <v>0.3</v>
      </c>
      <c r="I274" s="18" t="n">
        <v>1.5</v>
      </c>
      <c r="J274" s="19" t="n">
        <v>0.923241263068391</v>
      </c>
      <c r="K274" s="19" t="n">
        <v>0.418436211010711</v>
      </c>
      <c r="L274" s="16" t="n">
        <v>11.7906795771493</v>
      </c>
      <c r="M274" s="19" t="n">
        <v>0.561294104780925</v>
      </c>
      <c r="N274" s="19" t="n">
        <v>1.13271245282004</v>
      </c>
      <c r="O274" s="19" t="n">
        <v>1.19170310661905</v>
      </c>
      <c r="P274" s="19" t="n">
        <v>0.654817882626034</v>
      </c>
      <c r="Q274" s="17" t="s">
        <v>31</v>
      </c>
      <c r="R274" s="5" t="str">
        <f aca="false">IF(OR(Q274="Steel plate",Q274="Concrete jacket"),"Steel plate or jacket",Q274)</f>
        <v>Polymer laminate</v>
      </c>
      <c r="S274" s="5" t="str">
        <f aca="false">IF(O274&lt;='Tree rules'!$C$4,IF(N274&lt;='Tree rules'!$C$5,IF(P274&lt;='Tree rules'!$C$6,"Monitor","Polymer laminate"),IF(P274&lt;='Tree rules'!$C$7,"Seal cracks","Polymer laminate")),IF(O274&lt;='Tree rules'!$C$8,IF(M274&lt;='Tree rules'!$C$9,"Steel plate or jacket","Polymer laminate"),IF(L274&lt;='Tree rules'!$C$10,"Steel plate or jacket","Polymer laminate")))</f>
        <v>Polymer laminate</v>
      </c>
      <c r="T274" s="5" t="str">
        <f aca="false">IF(S274=R274,"Yes","No")</f>
        <v>Yes</v>
      </c>
    </row>
    <row r="275" customFormat="false" ht="15" hidden="false" customHeight="false" outlineLevel="0" collapsed="false">
      <c r="A275" s="15" t="n">
        <v>388</v>
      </c>
      <c r="B275" s="16" t="n">
        <v>4.34550148519822</v>
      </c>
      <c r="C275" s="15" t="n">
        <v>230</v>
      </c>
      <c r="D275" s="15" t="n">
        <v>425</v>
      </c>
      <c r="E275" s="15" t="n">
        <v>20</v>
      </c>
      <c r="F275" s="16" t="n">
        <v>0.691964884122107</v>
      </c>
      <c r="G275" s="17" t="s">
        <v>89</v>
      </c>
      <c r="H275" s="18" t="n">
        <v>0.3</v>
      </c>
      <c r="I275" s="18" t="n">
        <v>2</v>
      </c>
      <c r="J275" s="19" t="n">
        <v>0.891085171361297</v>
      </c>
      <c r="K275" s="19" t="n">
        <v>0.477344354096247</v>
      </c>
      <c r="L275" s="16" t="n">
        <v>11.4657031271721</v>
      </c>
      <c r="M275" s="19" t="n">
        <v>0.369574877970946</v>
      </c>
      <c r="N275" s="19" t="n">
        <v>1.0182853593013</v>
      </c>
      <c r="O275" s="19" t="n">
        <v>1.35681586715439</v>
      </c>
      <c r="P275" s="19" t="n">
        <v>1.03196349096549</v>
      </c>
      <c r="Q275" s="17" t="s">
        <v>31</v>
      </c>
      <c r="R275" s="5" t="str">
        <f aca="false">IF(OR(Q275="Steel plate",Q275="Concrete jacket"),"Steel plate or jacket",Q275)</f>
        <v>Polymer laminate</v>
      </c>
      <c r="S275" s="5" t="str">
        <f aca="false">IF(O275&lt;='Tree rules'!$C$4,IF(N275&lt;='Tree rules'!$C$5,IF(P275&lt;='Tree rules'!$C$6,"Monitor","Polymer laminate"),IF(P275&lt;='Tree rules'!$C$7,"Seal cracks","Polymer laminate")),IF(O275&lt;='Tree rules'!$C$8,IF(M275&lt;='Tree rules'!$C$9,"Steel plate or jacket","Polymer laminate"),IF(L275&lt;='Tree rules'!$C$10,"Steel plate or jacket","Polymer laminate")))</f>
        <v>Steel plate or jacket</v>
      </c>
      <c r="T275" s="5" t="str">
        <f aca="false">IF(S275=R275,"Yes","No")</f>
        <v>No</v>
      </c>
    </row>
    <row r="276" customFormat="false" ht="15" hidden="false" customHeight="false" outlineLevel="0" collapsed="false">
      <c r="A276" s="15" t="n">
        <v>389</v>
      </c>
      <c r="B276" s="16" t="n">
        <v>7.1978599376001</v>
      </c>
      <c r="C276" s="15" t="n">
        <v>300</v>
      </c>
      <c r="D276" s="15" t="n">
        <v>700</v>
      </c>
      <c r="E276" s="15" t="n">
        <v>30</v>
      </c>
      <c r="F276" s="16" t="n">
        <v>0.614868286941122</v>
      </c>
      <c r="G276" s="17" t="s">
        <v>89</v>
      </c>
      <c r="H276" s="18" t="n">
        <v>0.3</v>
      </c>
      <c r="I276" s="18" t="n">
        <v>1</v>
      </c>
      <c r="J276" s="19" t="n">
        <v>0.853867217951991</v>
      </c>
      <c r="K276" s="19" t="n">
        <v>0.434119910679543</v>
      </c>
      <c r="L276" s="16" t="n">
        <v>11.0059020452601</v>
      </c>
      <c r="M276" s="19" t="n">
        <v>0.602180843280901</v>
      </c>
      <c r="N276" s="19" t="n">
        <v>0.516571701886966</v>
      </c>
      <c r="O276" s="19" t="n">
        <v>0.853867217951991</v>
      </c>
      <c r="P276" s="19" t="n">
        <v>0.414969931431442</v>
      </c>
      <c r="Q276" s="17" t="s">
        <v>29</v>
      </c>
      <c r="R276" s="5" t="str">
        <f aca="false">IF(OR(Q276="Steel plate",Q276="Concrete jacket"),"Steel plate or jacket",Q276)</f>
        <v>Monitor</v>
      </c>
      <c r="S276" s="5" t="str">
        <f aca="false">IF(O276&lt;='Tree rules'!$C$4,IF(N276&lt;='Tree rules'!$C$5,IF(P276&lt;='Tree rules'!$C$6,"Monitor","Polymer laminate"),IF(P276&lt;='Tree rules'!$C$7,"Seal cracks","Polymer laminate")),IF(O276&lt;='Tree rules'!$C$8,IF(M276&lt;='Tree rules'!$C$9,"Steel plate or jacket","Polymer laminate"),IF(L276&lt;='Tree rules'!$C$10,"Steel plate or jacket","Polymer laminate")))</f>
        <v>Monitor</v>
      </c>
      <c r="T276" s="5" t="str">
        <f aca="false">IF(S276=R276,"Yes","No")</f>
        <v>Yes</v>
      </c>
    </row>
    <row r="277" customFormat="false" ht="15" hidden="false" customHeight="false" outlineLevel="0" collapsed="false">
      <c r="A277" s="15" t="n">
        <v>392</v>
      </c>
      <c r="B277" s="16" t="n">
        <v>6.3179079198596</v>
      </c>
      <c r="C277" s="15" t="n">
        <v>300</v>
      </c>
      <c r="D277" s="15" t="n">
        <v>525</v>
      </c>
      <c r="E277" s="15" t="n">
        <v>25</v>
      </c>
      <c r="F277" s="16" t="n">
        <v>0.699589178252424</v>
      </c>
      <c r="G277" s="17" t="s">
        <v>89</v>
      </c>
      <c r="H277" s="18" t="n">
        <v>0.3</v>
      </c>
      <c r="I277" s="18" t="n">
        <v>1</v>
      </c>
      <c r="J277" s="19" t="n">
        <v>0.913805093669581</v>
      </c>
      <c r="K277" s="19" t="n">
        <v>0.427588616994399</v>
      </c>
      <c r="L277" s="16" t="n">
        <v>13.1897868890597</v>
      </c>
      <c r="M277" s="19" t="n">
        <v>0.881961990588466</v>
      </c>
      <c r="N277" s="19" t="n">
        <v>0.552025841463325</v>
      </c>
      <c r="O277" s="19" t="n">
        <v>0.913805093669581</v>
      </c>
      <c r="P277" s="19" t="n">
        <v>0.413441235204776</v>
      </c>
      <c r="Q277" s="17" t="s">
        <v>29</v>
      </c>
      <c r="R277" s="5" t="str">
        <f aca="false">IF(OR(Q277="Steel plate",Q277="Concrete jacket"),"Steel plate or jacket",Q277)</f>
        <v>Monitor</v>
      </c>
      <c r="S277" s="5" t="str">
        <f aca="false">IF(O277&lt;='Tree rules'!$C$4,IF(N277&lt;='Tree rules'!$C$5,IF(P277&lt;='Tree rules'!$C$6,"Monitor","Polymer laminate"),IF(P277&lt;='Tree rules'!$C$7,"Seal cracks","Polymer laminate")),IF(O277&lt;='Tree rules'!$C$8,IF(M277&lt;='Tree rules'!$C$9,"Steel plate or jacket","Polymer laminate"),IF(L277&lt;='Tree rules'!$C$10,"Steel plate or jacket","Polymer laminate")))</f>
        <v>Monitor</v>
      </c>
      <c r="T277" s="5" t="str">
        <f aca="false">IF(S277=R277,"Yes","No")</f>
        <v>Yes</v>
      </c>
    </row>
    <row r="278" customFormat="false" ht="15" hidden="false" customHeight="false" outlineLevel="0" collapsed="false">
      <c r="A278" s="15" t="n">
        <v>394</v>
      </c>
      <c r="B278" s="16" t="n">
        <v>4.43423941598344</v>
      </c>
      <c r="C278" s="15" t="n">
        <v>300</v>
      </c>
      <c r="D278" s="15" t="n">
        <v>375</v>
      </c>
      <c r="E278" s="15" t="n">
        <v>30</v>
      </c>
      <c r="F278" s="16" t="n">
        <v>0.814840647739602</v>
      </c>
      <c r="G278" s="17" t="s">
        <v>91</v>
      </c>
      <c r="H278" s="18" t="n">
        <v>0.2</v>
      </c>
      <c r="I278" s="18" t="n">
        <v>1</v>
      </c>
      <c r="J278" s="19" t="n">
        <v>0.917343682911633</v>
      </c>
      <c r="K278" s="19" t="n">
        <v>0.475844475584785</v>
      </c>
      <c r="L278" s="16" t="n">
        <v>13.4779313555728</v>
      </c>
      <c r="M278" s="19" t="n">
        <v>0.925776481767252</v>
      </c>
      <c r="N278" s="19" t="n">
        <v>0.934250977969697</v>
      </c>
      <c r="O278" s="19" t="n">
        <v>0.917343682911633</v>
      </c>
      <c r="P278" s="19" t="n">
        <v>0.404959137168674</v>
      </c>
      <c r="Q278" s="17" t="s">
        <v>29</v>
      </c>
      <c r="R278" s="5" t="str">
        <f aca="false">IF(OR(Q278="Steel plate",Q278="Concrete jacket"),"Steel plate or jacket",Q278)</f>
        <v>Monitor</v>
      </c>
      <c r="S278" s="5" t="str">
        <f aca="false">IF(O278&lt;='Tree rules'!$C$4,IF(N278&lt;='Tree rules'!$C$5,IF(P278&lt;='Tree rules'!$C$6,"Monitor","Polymer laminate"),IF(P278&lt;='Tree rules'!$C$7,"Seal cracks","Polymer laminate")),IF(O278&lt;='Tree rules'!$C$8,IF(M278&lt;='Tree rules'!$C$9,"Steel plate or jacket","Polymer laminate"),IF(L278&lt;='Tree rules'!$C$10,"Steel plate or jacket","Polymer laminate")))</f>
        <v>Monitor</v>
      </c>
      <c r="T278" s="5" t="str">
        <f aca="false">IF(S278=R278,"Yes","No")</f>
        <v>Yes</v>
      </c>
    </row>
    <row r="279" customFormat="false" ht="15" hidden="false" customHeight="false" outlineLevel="0" collapsed="false">
      <c r="A279" s="15" t="n">
        <v>395</v>
      </c>
      <c r="B279" s="16" t="n">
        <v>5.6116045938184</v>
      </c>
      <c r="C279" s="15" t="n">
        <v>230</v>
      </c>
      <c r="D279" s="15" t="n">
        <v>450</v>
      </c>
      <c r="E279" s="15" t="n">
        <v>20</v>
      </c>
      <c r="F279" s="16" t="n">
        <v>0.649145274956135</v>
      </c>
      <c r="G279" s="17" t="s">
        <v>91</v>
      </c>
      <c r="H279" s="18" t="n">
        <v>0.2</v>
      </c>
      <c r="I279" s="18" t="n">
        <v>2</v>
      </c>
      <c r="J279" s="19" t="n">
        <v>0.904578528806548</v>
      </c>
      <c r="K279" s="19" t="n">
        <v>0.42624999272733</v>
      </c>
      <c r="L279" s="16" t="n">
        <v>13.8901103807386</v>
      </c>
      <c r="M279" s="19" t="n">
        <v>0.838374488471793</v>
      </c>
      <c r="N279" s="19" t="n">
        <v>1.48115850509107</v>
      </c>
      <c r="O279" s="19" t="n">
        <v>1.42358046628801</v>
      </c>
      <c r="P279" s="19" t="n">
        <v>0.562549127884104</v>
      </c>
      <c r="Q279" s="17" t="s">
        <v>31</v>
      </c>
      <c r="R279" s="5" t="str">
        <f aca="false">IF(OR(Q279="Steel plate",Q279="Concrete jacket"),"Steel plate or jacket",Q279)</f>
        <v>Polymer laminate</v>
      </c>
      <c r="S279" s="5" t="str">
        <f aca="false">IF(O279&lt;='Tree rules'!$C$4,IF(N279&lt;='Tree rules'!$C$5,IF(P279&lt;='Tree rules'!$C$6,"Monitor","Polymer laminate"),IF(P279&lt;='Tree rules'!$C$7,"Seal cracks","Polymer laminate")),IF(O279&lt;='Tree rules'!$C$8,IF(M279&lt;='Tree rules'!$C$9,"Steel plate or jacket","Polymer laminate"),IF(L279&lt;='Tree rules'!$C$10,"Steel plate or jacket","Polymer laminate")))</f>
        <v>Polymer laminate</v>
      </c>
      <c r="T279" s="5" t="str">
        <f aca="false">IF(S279=R279,"Yes","No")</f>
        <v>Yes</v>
      </c>
    </row>
    <row r="280" customFormat="false" ht="15" hidden="false" customHeight="false" outlineLevel="0" collapsed="false">
      <c r="A280" s="15" t="n">
        <v>397</v>
      </c>
      <c r="B280" s="16" t="n">
        <v>3.60825200196341</v>
      </c>
      <c r="C280" s="15" t="n">
        <v>230</v>
      </c>
      <c r="D280" s="15" t="n">
        <v>300</v>
      </c>
      <c r="E280" s="15" t="n">
        <v>20</v>
      </c>
      <c r="F280" s="16" t="n">
        <v>0.688332522525665</v>
      </c>
      <c r="G280" s="17" t="s">
        <v>91</v>
      </c>
      <c r="H280" s="18" t="n">
        <v>0.2</v>
      </c>
      <c r="I280" s="18" t="n">
        <v>1.5</v>
      </c>
      <c r="J280" s="19" t="n">
        <v>0.931655927904804</v>
      </c>
      <c r="K280" s="19" t="n">
        <v>0.513859354763198</v>
      </c>
      <c r="L280" s="16" t="n">
        <v>14.205716543163</v>
      </c>
      <c r="M280" s="19" t="n">
        <v>0.416673247676893</v>
      </c>
      <c r="N280" s="19" t="n">
        <v>1.65984810221962</v>
      </c>
      <c r="O280" s="19" t="n">
        <v>1.15811383486997</v>
      </c>
      <c r="P280" s="19" t="n">
        <v>0.917499854227582</v>
      </c>
      <c r="Q280" s="17" t="s">
        <v>31</v>
      </c>
      <c r="R280" s="5" t="str">
        <f aca="false">IF(OR(Q280="Steel plate",Q280="Concrete jacket"),"Steel plate or jacket",Q280)</f>
        <v>Polymer laminate</v>
      </c>
      <c r="S280" s="5" t="str">
        <f aca="false">IF(O280&lt;='Tree rules'!$C$4,IF(N280&lt;='Tree rules'!$C$5,IF(P280&lt;='Tree rules'!$C$6,"Monitor","Polymer laminate"),IF(P280&lt;='Tree rules'!$C$7,"Seal cracks","Polymer laminate")),IF(O280&lt;='Tree rules'!$C$8,IF(M280&lt;='Tree rules'!$C$9,"Steel plate or jacket","Polymer laminate"),IF(L280&lt;='Tree rules'!$C$10,"Steel plate or jacket","Polymer laminate")))</f>
        <v>Polymer laminate</v>
      </c>
      <c r="T280" s="5" t="str">
        <f aca="false">IF(S280=R280,"Yes","No")</f>
        <v>Yes</v>
      </c>
    </row>
    <row r="281" customFormat="false" ht="15" hidden="false" customHeight="false" outlineLevel="0" collapsed="false">
      <c r="A281" s="15" t="n">
        <v>398</v>
      </c>
      <c r="B281" s="16" t="n">
        <v>6.59953002421941</v>
      </c>
      <c r="C281" s="15" t="n">
        <v>230</v>
      </c>
      <c r="D281" s="15" t="n">
        <v>600</v>
      </c>
      <c r="E281" s="15" t="n">
        <v>20</v>
      </c>
      <c r="F281" s="16" t="n">
        <v>0.742342309449384</v>
      </c>
      <c r="G281" s="17" t="s">
        <v>89</v>
      </c>
      <c r="H281" s="18" t="n">
        <v>0.3</v>
      </c>
      <c r="I281" s="18" t="n">
        <v>1.5</v>
      </c>
      <c r="J281" s="19" t="n">
        <v>0.960343900839445</v>
      </c>
      <c r="K281" s="19" t="n">
        <v>0.420479235058875</v>
      </c>
      <c r="L281" s="16" t="n">
        <v>11.9556703337308</v>
      </c>
      <c r="M281" s="19" t="n">
        <v>0.935787533859333</v>
      </c>
      <c r="N281" s="19" t="n">
        <v>0.80156451423933</v>
      </c>
      <c r="O281" s="19" t="n">
        <v>1.23861351684995</v>
      </c>
      <c r="P281" s="19" t="n">
        <v>0.48128261123947</v>
      </c>
      <c r="Q281" s="17" t="s">
        <v>31</v>
      </c>
      <c r="R281" s="5" t="str">
        <f aca="false">IF(OR(Q281="Steel plate",Q281="Concrete jacket"),"Steel plate or jacket",Q281)</f>
        <v>Polymer laminate</v>
      </c>
      <c r="S281" s="5" t="str">
        <f aca="false">IF(O281&lt;='Tree rules'!$C$4,IF(N281&lt;='Tree rules'!$C$5,IF(P281&lt;='Tree rules'!$C$6,"Monitor","Polymer laminate"),IF(P281&lt;='Tree rules'!$C$7,"Seal cracks","Polymer laminate")),IF(O281&lt;='Tree rules'!$C$8,IF(M281&lt;='Tree rules'!$C$9,"Steel plate or jacket","Polymer laminate"),IF(L281&lt;='Tree rules'!$C$10,"Steel plate or jacket","Polymer laminate")))</f>
        <v>Polymer laminate</v>
      </c>
      <c r="T281" s="5" t="str">
        <f aca="false">IF(S281=R281,"Yes","No")</f>
        <v>Yes</v>
      </c>
    </row>
    <row r="282" customFormat="false" ht="15" hidden="false" customHeight="false" outlineLevel="0" collapsed="false">
      <c r="A282" s="15" t="n">
        <v>400</v>
      </c>
      <c r="B282" s="16" t="n">
        <v>5.50841285845844</v>
      </c>
      <c r="C282" s="15" t="n">
        <v>230</v>
      </c>
      <c r="D282" s="15" t="n">
        <v>550</v>
      </c>
      <c r="E282" s="15" t="n">
        <v>30</v>
      </c>
      <c r="F282" s="16" t="n">
        <v>0.816280786486175</v>
      </c>
      <c r="G282" s="17" t="s">
        <v>89</v>
      </c>
      <c r="H282" s="18" t="n">
        <v>0.3</v>
      </c>
      <c r="I282" s="18" t="n">
        <v>1</v>
      </c>
      <c r="J282" s="19" t="n">
        <v>0.960085635443931</v>
      </c>
      <c r="K282" s="19" t="n">
        <v>0.464768990764717</v>
      </c>
      <c r="L282" s="16" t="n">
        <v>10.9729339809929</v>
      </c>
      <c r="M282" s="19" t="n">
        <v>0.607292842802335</v>
      </c>
      <c r="N282" s="19" t="n">
        <v>0.677686846445917</v>
      </c>
      <c r="O282" s="19" t="n">
        <v>0.960085635443931</v>
      </c>
      <c r="P282" s="19" t="n">
        <v>0.54970204140092</v>
      </c>
      <c r="Q282" s="17" t="s">
        <v>29</v>
      </c>
      <c r="R282" s="5" t="str">
        <f aca="false">IF(OR(Q282="Steel plate",Q282="Concrete jacket"),"Steel plate or jacket",Q282)</f>
        <v>Monitor</v>
      </c>
      <c r="S282" s="5" t="str">
        <f aca="false">IF(O282&lt;='Tree rules'!$C$4,IF(N282&lt;='Tree rules'!$C$5,IF(P282&lt;='Tree rules'!$C$6,"Monitor","Polymer laminate"),IF(P282&lt;='Tree rules'!$C$7,"Seal cracks","Polymer laminate")),IF(O282&lt;='Tree rules'!$C$8,IF(M282&lt;='Tree rules'!$C$9,"Steel plate or jacket","Polymer laminate"),IF(L282&lt;='Tree rules'!$C$10,"Steel plate or jacket","Polymer laminate")))</f>
        <v>Monitor</v>
      </c>
      <c r="T282" s="5" t="str">
        <f aca="false">IF(S282=R282,"Yes","No")</f>
        <v>Yes</v>
      </c>
    </row>
    <row r="283" customFormat="false" ht="15" hidden="false" customHeight="false" outlineLevel="0" collapsed="false">
      <c r="A283" s="15" t="n">
        <v>401</v>
      </c>
      <c r="B283" s="16" t="n">
        <v>6.77385129372018</v>
      </c>
      <c r="C283" s="15" t="n">
        <v>300</v>
      </c>
      <c r="D283" s="15" t="n">
        <v>600</v>
      </c>
      <c r="E283" s="15" t="n">
        <v>30</v>
      </c>
      <c r="F283" s="16" t="n">
        <v>0.725855342345656</v>
      </c>
      <c r="G283" s="17" t="s">
        <v>91</v>
      </c>
      <c r="H283" s="18" t="n">
        <v>0.2</v>
      </c>
      <c r="I283" s="18" t="n">
        <v>2</v>
      </c>
      <c r="J283" s="19" t="n">
        <v>0.892914879197981</v>
      </c>
      <c r="K283" s="19" t="n">
        <v>0.417595263609209</v>
      </c>
      <c r="L283" s="16" t="n">
        <v>12.2271684002169</v>
      </c>
      <c r="M283" s="19" t="n">
        <v>0.47483809741616</v>
      </c>
      <c r="N283" s="19" t="n">
        <v>1.37363407082054</v>
      </c>
      <c r="O283" s="19" t="n">
        <v>1.4129527340367</v>
      </c>
      <c r="P283" s="19" t="n">
        <v>0.85521260255762</v>
      </c>
      <c r="Q283" s="17" t="s">
        <v>92</v>
      </c>
      <c r="R283" s="5" t="str">
        <f aca="false">IF(OR(Q283="Steel plate",Q283="Concrete jacket"),"Steel plate or jacket",Q283)</f>
        <v>Steel plate or jacket</v>
      </c>
      <c r="S283" s="5" t="str">
        <f aca="false">IF(O283&lt;='Tree rules'!$C$4,IF(N283&lt;='Tree rules'!$C$5,IF(P283&lt;='Tree rules'!$C$6,"Monitor","Polymer laminate"),IF(P283&lt;='Tree rules'!$C$7,"Seal cracks","Polymer laminate")),IF(O283&lt;='Tree rules'!$C$8,IF(M283&lt;='Tree rules'!$C$9,"Steel plate or jacket","Polymer laminate"),IF(L283&lt;='Tree rules'!$C$10,"Steel plate or jacket","Polymer laminate")))</f>
        <v>Steel plate or jacket</v>
      </c>
      <c r="T283" s="5" t="str">
        <f aca="false">IF(S283=R283,"Yes","No")</f>
        <v>Yes</v>
      </c>
    </row>
    <row r="284" customFormat="false" ht="15" hidden="false" customHeight="false" outlineLevel="0" collapsed="false">
      <c r="A284" s="15" t="n">
        <v>403</v>
      </c>
      <c r="B284" s="16" t="n">
        <v>6.94992557256399</v>
      </c>
      <c r="C284" s="15" t="n">
        <v>300</v>
      </c>
      <c r="D284" s="15" t="n">
        <v>550</v>
      </c>
      <c r="E284" s="15" t="n">
        <v>30</v>
      </c>
      <c r="F284" s="16" t="n">
        <v>0.625815269639401</v>
      </c>
      <c r="G284" s="17" t="s">
        <v>91</v>
      </c>
      <c r="H284" s="18" t="n">
        <v>0.2</v>
      </c>
      <c r="I284" s="18" t="n">
        <v>2</v>
      </c>
      <c r="J284" s="19" t="n">
        <v>0.886830180581846</v>
      </c>
      <c r="K284" s="19" t="n">
        <v>0.48016549514781</v>
      </c>
      <c r="L284" s="16" t="n">
        <v>13.8444732521195</v>
      </c>
      <c r="M284" s="19" t="n">
        <v>0.435004665109309</v>
      </c>
      <c r="N284" s="19" t="n">
        <v>1.74174916852587</v>
      </c>
      <c r="O284" s="19" t="n">
        <v>1.34783510839259</v>
      </c>
      <c r="P284" s="19" t="n">
        <v>0.911718716981833</v>
      </c>
      <c r="Q284" s="17" t="s">
        <v>31</v>
      </c>
      <c r="R284" s="5" t="str">
        <f aca="false">IF(OR(Q284="Steel plate",Q284="Concrete jacket"),"Steel plate or jacket",Q284)</f>
        <v>Polymer laminate</v>
      </c>
      <c r="S284" s="5" t="str">
        <f aca="false">IF(O284&lt;='Tree rules'!$C$4,IF(N284&lt;='Tree rules'!$C$5,IF(P284&lt;='Tree rules'!$C$6,"Monitor","Polymer laminate"),IF(P284&lt;='Tree rules'!$C$7,"Seal cracks","Polymer laminate")),IF(O284&lt;='Tree rules'!$C$8,IF(M284&lt;='Tree rules'!$C$9,"Steel plate or jacket","Polymer laminate"),IF(L284&lt;='Tree rules'!$C$10,"Steel plate or jacket","Polymer laminate")))</f>
        <v>Polymer laminate</v>
      </c>
      <c r="T284" s="5" t="str">
        <f aca="false">IF(S284=R284,"Yes","No")</f>
        <v>Yes</v>
      </c>
    </row>
    <row r="285" customFormat="false" ht="15" hidden="false" customHeight="false" outlineLevel="0" collapsed="false">
      <c r="A285" s="15" t="n">
        <v>404</v>
      </c>
      <c r="B285" s="16" t="n">
        <v>4.93737801946735</v>
      </c>
      <c r="C285" s="15" t="n">
        <v>230</v>
      </c>
      <c r="D285" s="15" t="n">
        <v>475</v>
      </c>
      <c r="E285" s="15" t="n">
        <v>30</v>
      </c>
      <c r="F285" s="16" t="n">
        <v>0.959655631887728</v>
      </c>
      <c r="G285" s="17" t="s">
        <v>89</v>
      </c>
      <c r="H285" s="18" t="n">
        <v>0.3</v>
      </c>
      <c r="I285" s="18" t="n">
        <v>1</v>
      </c>
      <c r="J285" s="19" t="n">
        <v>0.861570820570713</v>
      </c>
      <c r="K285" s="19" t="n">
        <v>0.547207230666931</v>
      </c>
      <c r="L285" s="16" t="n">
        <v>11.5629461814224</v>
      </c>
      <c r="M285" s="19" t="n">
        <v>0.421720477743353</v>
      </c>
      <c r="N285" s="19" t="n">
        <v>0.633633367119034</v>
      </c>
      <c r="O285" s="19" t="n">
        <v>0.861570820570713</v>
      </c>
      <c r="P285" s="19" t="n">
        <v>0.854065134934933</v>
      </c>
      <c r="Q285" s="17" t="s">
        <v>29</v>
      </c>
      <c r="R285" s="5" t="str">
        <f aca="false">IF(OR(Q285="Steel plate",Q285="Concrete jacket"),"Steel plate or jacket",Q285)</f>
        <v>Monitor</v>
      </c>
      <c r="S285" s="5" t="str">
        <f aca="false">IF(O285&lt;='Tree rules'!$C$4,IF(N285&lt;='Tree rules'!$C$5,IF(P285&lt;='Tree rules'!$C$6,"Monitor","Polymer laminate"),IF(P285&lt;='Tree rules'!$C$7,"Seal cracks","Polymer laminate")),IF(O285&lt;='Tree rules'!$C$8,IF(M285&lt;='Tree rules'!$C$9,"Steel plate or jacket","Polymer laminate"),IF(L285&lt;='Tree rules'!$C$10,"Steel plate or jacket","Polymer laminate")))</f>
        <v>Monitor</v>
      </c>
      <c r="T285" s="5" t="str">
        <f aca="false">IF(S285=R285,"Yes","No")</f>
        <v>Yes</v>
      </c>
    </row>
    <row r="286" customFormat="false" ht="15" hidden="false" customHeight="false" outlineLevel="0" collapsed="false">
      <c r="A286" s="15" t="n">
        <v>406</v>
      </c>
      <c r="B286" s="16" t="n">
        <v>3.3159017783471</v>
      </c>
      <c r="C286" s="15" t="n">
        <v>300</v>
      </c>
      <c r="D286" s="15" t="n">
        <v>300</v>
      </c>
      <c r="E286" s="15" t="n">
        <v>25</v>
      </c>
      <c r="F286" s="16" t="n">
        <v>0.791582400904515</v>
      </c>
      <c r="G286" s="17" t="s">
        <v>91</v>
      </c>
      <c r="H286" s="18" t="n">
        <v>0.2</v>
      </c>
      <c r="I286" s="18" t="n">
        <v>1</v>
      </c>
      <c r="J286" s="19" t="n">
        <v>0.872282777383785</v>
      </c>
      <c r="K286" s="19" t="n">
        <v>0.491175536144552</v>
      </c>
      <c r="L286" s="16" t="n">
        <v>13.0547314108154</v>
      </c>
      <c r="M286" s="19" t="n">
        <v>0.68201645465168</v>
      </c>
      <c r="N286" s="19" t="n">
        <v>1.05731008386704</v>
      </c>
      <c r="O286" s="19" t="n">
        <v>0.872282777383785</v>
      </c>
      <c r="P286" s="19" t="n">
        <v>0.462586581060613</v>
      </c>
      <c r="Q286" s="17" t="s">
        <v>30</v>
      </c>
      <c r="R286" s="5" t="str">
        <f aca="false">IF(OR(Q286="Steel plate",Q286="Concrete jacket"),"Steel plate or jacket",Q286)</f>
        <v>Seal cracks</v>
      </c>
      <c r="S286" s="5" t="str">
        <f aca="false">IF(O286&lt;='Tree rules'!$C$4,IF(N286&lt;='Tree rules'!$C$5,IF(P286&lt;='Tree rules'!$C$6,"Monitor","Polymer laminate"),IF(P286&lt;='Tree rules'!$C$7,"Seal cracks","Polymer laminate")),IF(O286&lt;='Tree rules'!$C$8,IF(M286&lt;='Tree rules'!$C$9,"Steel plate or jacket","Polymer laminate"),IF(L286&lt;='Tree rules'!$C$10,"Steel plate or jacket","Polymer laminate")))</f>
        <v>Seal cracks</v>
      </c>
      <c r="T286" s="5" t="str">
        <f aca="false">IF(S286=R286,"Yes","No")</f>
        <v>Yes</v>
      </c>
    </row>
    <row r="287" customFormat="false" ht="15" hidden="false" customHeight="false" outlineLevel="0" collapsed="false">
      <c r="A287" s="15" t="n">
        <v>407</v>
      </c>
      <c r="B287" s="16" t="n">
        <v>3.1352781424236</v>
      </c>
      <c r="C287" s="15" t="n">
        <v>230</v>
      </c>
      <c r="D287" s="15" t="n">
        <v>300</v>
      </c>
      <c r="E287" s="15" t="n">
        <v>20</v>
      </c>
      <c r="F287" s="16" t="n">
        <v>0.688332522525665</v>
      </c>
      <c r="G287" s="17" t="s">
        <v>89</v>
      </c>
      <c r="H287" s="18" t="n">
        <v>0.3</v>
      </c>
      <c r="I287" s="18" t="n">
        <v>1</v>
      </c>
      <c r="J287" s="19" t="n">
        <v>0.991620063068555</v>
      </c>
      <c r="K287" s="19" t="n">
        <v>0.579498662735713</v>
      </c>
      <c r="L287" s="16" t="n">
        <v>12.3436147339512</v>
      </c>
      <c r="M287" s="19" t="n">
        <v>0.292413077168204</v>
      </c>
      <c r="N287" s="19" t="n">
        <v>0.969193465474304</v>
      </c>
      <c r="O287" s="19" t="n">
        <v>0.991620063068555</v>
      </c>
      <c r="P287" s="19" t="n">
        <v>1.11349899645869</v>
      </c>
      <c r="Q287" s="17" t="s">
        <v>31</v>
      </c>
      <c r="R287" s="5" t="str">
        <f aca="false">IF(OR(Q287="Steel plate",Q287="Concrete jacket"),"Steel plate or jacket",Q287)</f>
        <v>Polymer laminate</v>
      </c>
      <c r="S287" s="5" t="str">
        <f aca="false">IF(O287&lt;='Tree rules'!$C$4,IF(N287&lt;='Tree rules'!$C$5,IF(P287&lt;='Tree rules'!$C$6,"Monitor","Polymer laminate"),IF(P287&lt;='Tree rules'!$C$7,"Seal cracks","Polymer laminate")),IF(O287&lt;='Tree rules'!$C$8,IF(M287&lt;='Tree rules'!$C$9,"Steel plate or jacket","Polymer laminate"),IF(L287&lt;='Tree rules'!$C$10,"Steel plate or jacket","Polymer laminate")))</f>
        <v>Polymer laminate</v>
      </c>
      <c r="T287" s="5" t="str">
        <f aca="false">IF(S287=R287,"Yes","No")</f>
        <v>Yes</v>
      </c>
    </row>
    <row r="288" customFormat="false" ht="15" hidden="false" customHeight="false" outlineLevel="0" collapsed="false">
      <c r="A288" s="15" t="n">
        <v>408</v>
      </c>
      <c r="B288" s="16" t="n">
        <v>4.81449826986651</v>
      </c>
      <c r="C288" s="15" t="n">
        <v>230</v>
      </c>
      <c r="D288" s="15" t="n">
        <v>400</v>
      </c>
      <c r="E288" s="15" t="n">
        <v>25</v>
      </c>
      <c r="F288" s="16" t="n">
        <v>0.740832460684402</v>
      </c>
      <c r="G288" s="17" t="s">
        <v>89</v>
      </c>
      <c r="H288" s="18" t="n">
        <v>0.3</v>
      </c>
      <c r="I288" s="18" t="n">
        <v>1</v>
      </c>
      <c r="J288" s="19" t="n">
        <v>0.869584257956348</v>
      </c>
      <c r="K288" s="19" t="n">
        <v>0.533461709136102</v>
      </c>
      <c r="L288" s="16" t="n">
        <v>13.600277598493</v>
      </c>
      <c r="M288" s="19" t="n">
        <v>0.945270521446557</v>
      </c>
      <c r="N288" s="19" t="n">
        <v>0.569861362104621</v>
      </c>
      <c r="O288" s="19" t="n">
        <v>0.869584257956348</v>
      </c>
      <c r="P288" s="19" t="n">
        <v>0.398194934382912</v>
      </c>
      <c r="Q288" s="17" t="s">
        <v>29</v>
      </c>
      <c r="R288" s="5" t="str">
        <f aca="false">IF(OR(Q288="Steel plate",Q288="Concrete jacket"),"Steel plate or jacket",Q288)</f>
        <v>Monitor</v>
      </c>
      <c r="S288" s="5" t="str">
        <f aca="false">IF(O288&lt;='Tree rules'!$C$4,IF(N288&lt;='Tree rules'!$C$5,IF(P288&lt;='Tree rules'!$C$6,"Monitor","Polymer laminate"),IF(P288&lt;='Tree rules'!$C$7,"Seal cracks","Polymer laminate")),IF(O288&lt;='Tree rules'!$C$8,IF(M288&lt;='Tree rules'!$C$9,"Steel plate or jacket","Polymer laminate"),IF(L288&lt;='Tree rules'!$C$10,"Steel plate or jacket","Polymer laminate")))</f>
        <v>Monitor</v>
      </c>
      <c r="T288" s="5" t="str">
        <f aca="false">IF(S288=R288,"Yes","No")</f>
        <v>Yes</v>
      </c>
    </row>
    <row r="289" customFormat="false" ht="15" hidden="false" customHeight="false" outlineLevel="0" collapsed="false">
      <c r="A289" s="15" t="n">
        <v>410</v>
      </c>
      <c r="B289" s="16" t="n">
        <v>6.32352848607762</v>
      </c>
      <c r="C289" s="15" t="n">
        <v>300</v>
      </c>
      <c r="D289" s="15" t="n">
        <v>575</v>
      </c>
      <c r="E289" s="15" t="n">
        <v>25</v>
      </c>
      <c r="F289" s="16" t="n">
        <v>0.596127638252333</v>
      </c>
      <c r="G289" s="17" t="s">
        <v>89</v>
      </c>
      <c r="H289" s="18" t="n">
        <v>0.3</v>
      </c>
      <c r="I289" s="18" t="n">
        <v>1.5</v>
      </c>
      <c r="J289" s="19" t="n">
        <v>0.880751930624629</v>
      </c>
      <c r="K289" s="19" t="n">
        <v>0.467084133019452</v>
      </c>
      <c r="L289" s="16" t="n">
        <v>11.9991052866748</v>
      </c>
      <c r="M289" s="19" t="n">
        <v>0.822951011206025</v>
      </c>
      <c r="N289" s="19" t="n">
        <v>0.867185378388566</v>
      </c>
      <c r="O289" s="19" t="n">
        <v>1.11543526997644</v>
      </c>
      <c r="P289" s="19" t="n">
        <v>0.403886884675176</v>
      </c>
      <c r="Q289" s="17" t="s">
        <v>31</v>
      </c>
      <c r="R289" s="5" t="str">
        <f aca="false">IF(OR(Q289="Steel plate",Q289="Concrete jacket"),"Steel plate or jacket",Q289)</f>
        <v>Polymer laminate</v>
      </c>
      <c r="S289" s="5" t="str">
        <f aca="false">IF(O289&lt;='Tree rules'!$C$4,IF(N289&lt;='Tree rules'!$C$5,IF(P289&lt;='Tree rules'!$C$6,"Monitor","Polymer laminate"),IF(P289&lt;='Tree rules'!$C$7,"Seal cracks","Polymer laminate")),IF(O289&lt;='Tree rules'!$C$8,IF(M289&lt;='Tree rules'!$C$9,"Steel plate or jacket","Polymer laminate"),IF(L289&lt;='Tree rules'!$C$10,"Steel plate or jacket","Polymer laminate")))</f>
        <v>Polymer laminate</v>
      </c>
      <c r="T289" s="5" t="str">
        <f aca="false">IF(S289=R289,"Yes","No")</f>
        <v>Yes</v>
      </c>
    </row>
    <row r="290" customFormat="false" ht="15" hidden="false" customHeight="false" outlineLevel="0" collapsed="false">
      <c r="A290" s="15" t="n">
        <v>411</v>
      </c>
      <c r="B290" s="16" t="n">
        <v>4.28631003462901</v>
      </c>
      <c r="C290" s="15" t="n">
        <v>230</v>
      </c>
      <c r="D290" s="15" t="n">
        <v>325</v>
      </c>
      <c r="E290" s="15" t="n">
        <v>25</v>
      </c>
      <c r="F290" s="16" t="n">
        <v>0.739439918465071</v>
      </c>
      <c r="G290" s="17" t="s">
        <v>90</v>
      </c>
      <c r="H290" s="18" t="n">
        <v>0.1</v>
      </c>
      <c r="I290" s="18" t="n">
        <v>1</v>
      </c>
      <c r="J290" s="19" t="n">
        <v>0.900388828458447</v>
      </c>
      <c r="K290" s="19" t="n">
        <v>0.470778826739534</v>
      </c>
      <c r="L290" s="16" t="n">
        <v>16.1139474986053</v>
      </c>
      <c r="M290" s="19" t="n">
        <v>0.865652050271383</v>
      </c>
      <c r="N290" s="19" t="n">
        <v>2.28696092165705</v>
      </c>
      <c r="O290" s="19" t="n">
        <v>0.900388828458447</v>
      </c>
      <c r="P290" s="19" t="n">
        <v>0.397552290874855</v>
      </c>
      <c r="Q290" s="17" t="s">
        <v>30</v>
      </c>
      <c r="R290" s="5" t="str">
        <f aca="false">IF(OR(Q290="Steel plate",Q290="Concrete jacket"),"Steel plate or jacket",Q290)</f>
        <v>Seal cracks</v>
      </c>
      <c r="S290" s="5" t="str">
        <f aca="false">IF(O290&lt;='Tree rules'!$C$4,IF(N290&lt;='Tree rules'!$C$5,IF(P290&lt;='Tree rules'!$C$6,"Monitor","Polymer laminate"),IF(P290&lt;='Tree rules'!$C$7,"Seal cracks","Polymer laminate")),IF(O290&lt;='Tree rules'!$C$8,IF(M290&lt;='Tree rules'!$C$9,"Steel plate or jacket","Polymer laminate"),IF(L290&lt;='Tree rules'!$C$10,"Steel plate or jacket","Polymer laminate")))</f>
        <v>Seal cracks</v>
      </c>
      <c r="T290" s="5" t="str">
        <f aca="false">IF(S290=R290,"Yes","No")</f>
        <v>Yes</v>
      </c>
    </row>
    <row r="291" customFormat="false" ht="15" hidden="false" customHeight="false" outlineLevel="0" collapsed="false">
      <c r="A291" s="15" t="n">
        <v>412</v>
      </c>
      <c r="B291" s="16" t="n">
        <v>3.70493484748905</v>
      </c>
      <c r="C291" s="15" t="n">
        <v>300</v>
      </c>
      <c r="D291" s="15" t="n">
        <v>300</v>
      </c>
      <c r="E291" s="15" t="n">
        <v>25</v>
      </c>
      <c r="F291" s="16" t="n">
        <v>0.589048622548086</v>
      </c>
      <c r="G291" s="17" t="s">
        <v>91</v>
      </c>
      <c r="H291" s="18" t="n">
        <v>0.2</v>
      </c>
      <c r="I291" s="18" t="n">
        <v>1</v>
      </c>
      <c r="J291" s="19" t="n">
        <v>0.896905076083952</v>
      </c>
      <c r="K291" s="19" t="n">
        <v>0.443981327068111</v>
      </c>
      <c r="L291" s="16" t="n">
        <v>14.4724017480041</v>
      </c>
      <c r="M291" s="19" t="n">
        <v>0.766815163426015</v>
      </c>
      <c r="N291" s="19" t="n">
        <v>0.911125048570183</v>
      </c>
      <c r="O291" s="19" t="n">
        <v>0.896905076083952</v>
      </c>
      <c r="P291" s="19" t="n">
        <v>0.361074830947916</v>
      </c>
      <c r="Q291" s="17" t="s">
        <v>29</v>
      </c>
      <c r="R291" s="5" t="str">
        <f aca="false">IF(OR(Q291="Steel plate",Q291="Concrete jacket"),"Steel plate or jacket",Q291)</f>
        <v>Monitor</v>
      </c>
      <c r="S291" s="5" t="str">
        <f aca="false">IF(O291&lt;='Tree rules'!$C$4,IF(N291&lt;='Tree rules'!$C$5,IF(P291&lt;='Tree rules'!$C$6,"Monitor","Polymer laminate"),IF(P291&lt;='Tree rules'!$C$7,"Seal cracks","Polymer laminate")),IF(O291&lt;='Tree rules'!$C$8,IF(M291&lt;='Tree rules'!$C$9,"Steel plate or jacket","Polymer laminate"),IF(L291&lt;='Tree rules'!$C$10,"Steel plate or jacket","Polymer laminate")))</f>
        <v>Monitor</v>
      </c>
      <c r="T291" s="5" t="str">
        <f aca="false">IF(S291=R291,"Yes","No")</f>
        <v>Yes</v>
      </c>
    </row>
    <row r="292" customFormat="false" ht="15" hidden="false" customHeight="false" outlineLevel="0" collapsed="false">
      <c r="A292" s="15" t="n">
        <v>414</v>
      </c>
      <c r="B292" s="16" t="n">
        <v>5.85852504827457</v>
      </c>
      <c r="C292" s="15" t="n">
        <v>300</v>
      </c>
      <c r="D292" s="15" t="n">
        <v>525</v>
      </c>
      <c r="E292" s="15" t="n">
        <v>25</v>
      </c>
      <c r="F292" s="16" t="n">
        <v>0.679998409867921</v>
      </c>
      <c r="G292" s="17" t="s">
        <v>90</v>
      </c>
      <c r="H292" s="18" t="n">
        <v>0.1</v>
      </c>
      <c r="I292" s="18" t="n">
        <v>2</v>
      </c>
      <c r="J292" s="19" t="n">
        <v>0.924623341036116</v>
      </c>
      <c r="K292" s="19" t="n">
        <v>0.635692840475221</v>
      </c>
      <c r="L292" s="16" t="n">
        <v>12.6807901477804</v>
      </c>
      <c r="M292" s="19" t="n">
        <v>0.285637085852964</v>
      </c>
      <c r="N292" s="19" t="n">
        <v>3.93722264934192</v>
      </c>
      <c r="O292" s="19" t="n">
        <v>1.2614702440393</v>
      </c>
      <c r="P292" s="19" t="n">
        <v>1.38936012785946</v>
      </c>
      <c r="Q292" s="17" t="s">
        <v>92</v>
      </c>
      <c r="R292" s="5" t="str">
        <f aca="false">IF(OR(Q292="Steel plate",Q292="Concrete jacket"),"Steel plate or jacket",Q292)</f>
        <v>Steel plate or jacket</v>
      </c>
      <c r="S292" s="5" t="str">
        <f aca="false">IF(O292&lt;='Tree rules'!$C$4,IF(N292&lt;='Tree rules'!$C$5,IF(P292&lt;='Tree rules'!$C$6,"Monitor","Polymer laminate"),IF(P292&lt;='Tree rules'!$C$7,"Seal cracks","Polymer laminate")),IF(O292&lt;='Tree rules'!$C$8,IF(M292&lt;='Tree rules'!$C$9,"Steel plate or jacket","Polymer laminate"),IF(L292&lt;='Tree rules'!$C$10,"Steel plate or jacket","Polymer laminate")))</f>
        <v>Steel plate or jacket</v>
      </c>
      <c r="T292" s="5" t="str">
        <f aca="false">IF(S292=R292,"Yes","No")</f>
        <v>Yes</v>
      </c>
    </row>
    <row r="293" customFormat="false" ht="15" hidden="false" customHeight="false" outlineLevel="0" collapsed="false">
      <c r="A293" s="15" t="n">
        <v>416</v>
      </c>
      <c r="B293" s="16" t="n">
        <v>3.11210636382904</v>
      </c>
      <c r="C293" s="15" t="n">
        <v>230</v>
      </c>
      <c r="D293" s="15" t="n">
        <v>300</v>
      </c>
      <c r="E293" s="15" t="n">
        <v>25</v>
      </c>
      <c r="F293" s="16" t="n">
        <v>0.576243217710084</v>
      </c>
      <c r="G293" s="17" t="s">
        <v>91</v>
      </c>
      <c r="H293" s="18" t="n">
        <v>0.2</v>
      </c>
      <c r="I293" s="18" t="n">
        <v>2</v>
      </c>
      <c r="J293" s="19" t="n">
        <v>0.887064844637947</v>
      </c>
      <c r="K293" s="19" t="n">
        <v>0.569946052721132</v>
      </c>
      <c r="L293" s="16" t="n">
        <v>12.1566654837072</v>
      </c>
      <c r="M293" s="19" t="n">
        <v>0.949029145725517</v>
      </c>
      <c r="N293" s="19" t="n">
        <v>1.30104966101974</v>
      </c>
      <c r="O293" s="19" t="n">
        <v>1.26855058256681</v>
      </c>
      <c r="P293" s="19" t="n">
        <v>0.315139232580601</v>
      </c>
      <c r="Q293" s="17" t="s">
        <v>31</v>
      </c>
      <c r="R293" s="5" t="str">
        <f aca="false">IF(OR(Q293="Steel plate",Q293="Concrete jacket"),"Steel plate or jacket",Q293)</f>
        <v>Polymer laminate</v>
      </c>
      <c r="S293" s="5" t="str">
        <f aca="false">IF(O293&lt;='Tree rules'!$C$4,IF(N293&lt;='Tree rules'!$C$5,IF(P293&lt;='Tree rules'!$C$6,"Monitor","Polymer laminate"),IF(P293&lt;='Tree rules'!$C$7,"Seal cracks","Polymer laminate")),IF(O293&lt;='Tree rules'!$C$8,IF(M293&lt;='Tree rules'!$C$9,"Steel plate or jacket","Polymer laminate"),IF(L293&lt;='Tree rules'!$C$10,"Steel plate or jacket","Polymer laminate")))</f>
        <v>Polymer laminate</v>
      </c>
      <c r="T293" s="5" t="str">
        <f aca="false">IF(S293=R293,"Yes","No")</f>
        <v>Yes</v>
      </c>
    </row>
    <row r="294" customFormat="false" ht="15" hidden="false" customHeight="false" outlineLevel="0" collapsed="false">
      <c r="A294" s="15" t="n">
        <v>418</v>
      </c>
      <c r="B294" s="16" t="n">
        <v>3.2582575581667</v>
      </c>
      <c r="C294" s="15" t="n">
        <v>230</v>
      </c>
      <c r="D294" s="15" t="n">
        <v>300</v>
      </c>
      <c r="E294" s="15" t="n">
        <v>25</v>
      </c>
      <c r="F294" s="16" t="n">
        <v>0.768324290280112</v>
      </c>
      <c r="G294" s="17" t="s">
        <v>89</v>
      </c>
      <c r="H294" s="18" t="n">
        <v>0.3</v>
      </c>
      <c r="I294" s="18" t="n">
        <v>1</v>
      </c>
      <c r="J294" s="19" t="n">
        <v>0.951724621195733</v>
      </c>
      <c r="K294" s="19" t="n">
        <v>0.489218449544735</v>
      </c>
      <c r="L294" s="16" t="n">
        <v>12.7275685865887</v>
      </c>
      <c r="M294" s="19" t="n">
        <v>0.78725989417917</v>
      </c>
      <c r="N294" s="19" t="n">
        <v>0.617363462039322</v>
      </c>
      <c r="O294" s="19" t="n">
        <v>0.951724621195733</v>
      </c>
      <c r="P294" s="19" t="n">
        <v>0.420228499427278</v>
      </c>
      <c r="Q294" s="17" t="s">
        <v>29</v>
      </c>
      <c r="R294" s="5" t="str">
        <f aca="false">IF(OR(Q294="Steel plate",Q294="Concrete jacket"),"Steel plate or jacket",Q294)</f>
        <v>Monitor</v>
      </c>
      <c r="S294" s="5" t="str">
        <f aca="false">IF(O294&lt;='Tree rules'!$C$4,IF(N294&lt;='Tree rules'!$C$5,IF(P294&lt;='Tree rules'!$C$6,"Monitor","Polymer laminate"),IF(P294&lt;='Tree rules'!$C$7,"Seal cracks","Polymer laminate")),IF(O294&lt;='Tree rules'!$C$8,IF(M294&lt;='Tree rules'!$C$9,"Steel plate or jacket","Polymer laminate"),IF(L294&lt;='Tree rules'!$C$10,"Steel plate or jacket","Polymer laminate")))</f>
        <v>Monitor</v>
      </c>
      <c r="T294" s="5" t="str">
        <f aca="false">IF(S294=R294,"Yes","No")</f>
        <v>Yes</v>
      </c>
    </row>
    <row r="295" customFormat="false" ht="15" hidden="false" customHeight="false" outlineLevel="0" collapsed="false">
      <c r="A295" s="15" t="n">
        <v>419</v>
      </c>
      <c r="B295" s="16" t="n">
        <v>3.49958612779678</v>
      </c>
      <c r="C295" s="15" t="n">
        <v>300</v>
      </c>
      <c r="D295" s="15" t="n">
        <v>300</v>
      </c>
      <c r="E295" s="15" t="n">
        <v>30</v>
      </c>
      <c r="F295" s="16" t="n">
        <v>0.589048622548086</v>
      </c>
      <c r="G295" s="17" t="s">
        <v>89</v>
      </c>
      <c r="H295" s="18" t="n">
        <v>0.3</v>
      </c>
      <c r="I295" s="18" t="n">
        <v>1</v>
      </c>
      <c r="J295" s="19" t="n">
        <v>0.922435708138144</v>
      </c>
      <c r="K295" s="19" t="n">
        <v>0.447282946755458</v>
      </c>
      <c r="L295" s="16" t="n">
        <v>13.6702583117062</v>
      </c>
      <c r="M295" s="19" t="n">
        <v>0.751467115516474</v>
      </c>
      <c r="N295" s="19" t="n">
        <v>0.636479852147187</v>
      </c>
      <c r="O295" s="19" t="n">
        <v>0.922435708138144</v>
      </c>
      <c r="P295" s="19" t="n">
        <v>0.335680232925188</v>
      </c>
      <c r="Q295" s="17" t="s">
        <v>29</v>
      </c>
      <c r="R295" s="5" t="str">
        <f aca="false">IF(OR(Q295="Steel plate",Q295="Concrete jacket"),"Steel plate or jacket",Q295)</f>
        <v>Monitor</v>
      </c>
      <c r="S295" s="5" t="str">
        <f aca="false">IF(O295&lt;='Tree rules'!$C$4,IF(N295&lt;='Tree rules'!$C$5,IF(P295&lt;='Tree rules'!$C$6,"Monitor","Polymer laminate"),IF(P295&lt;='Tree rules'!$C$7,"Seal cracks","Polymer laminate")),IF(O295&lt;='Tree rules'!$C$8,IF(M295&lt;='Tree rules'!$C$9,"Steel plate or jacket","Polymer laminate"),IF(L295&lt;='Tree rules'!$C$10,"Steel plate or jacket","Polymer laminate")))</f>
        <v>Monitor</v>
      </c>
      <c r="T295" s="5" t="str">
        <f aca="false">IF(S295=R295,"Yes","No")</f>
        <v>Yes</v>
      </c>
    </row>
    <row r="296" customFormat="false" ht="15" hidden="false" customHeight="false" outlineLevel="0" collapsed="false">
      <c r="A296" s="15" t="n">
        <v>420</v>
      </c>
      <c r="B296" s="16" t="n">
        <v>5.79555281749885</v>
      </c>
      <c r="C296" s="15" t="n">
        <v>230</v>
      </c>
      <c r="D296" s="15" t="n">
        <v>550</v>
      </c>
      <c r="E296" s="15" t="n">
        <v>30</v>
      </c>
      <c r="F296" s="16" t="n">
        <v>0.693795479053647</v>
      </c>
      <c r="G296" s="17" t="s">
        <v>89</v>
      </c>
      <c r="H296" s="18" t="n">
        <v>0.3</v>
      </c>
      <c r="I296" s="18" t="n">
        <v>1.5</v>
      </c>
      <c r="J296" s="19" t="n">
        <v>0.936363325988903</v>
      </c>
      <c r="K296" s="19" t="n">
        <v>0.625560053259727</v>
      </c>
      <c r="L296" s="16" t="n">
        <v>11.4991127331326</v>
      </c>
      <c r="M296" s="19" t="n">
        <v>0.355763586602248</v>
      </c>
      <c r="N296" s="19" t="n">
        <v>0.753704369064924</v>
      </c>
      <c r="O296" s="19" t="n">
        <v>1.11166924294532</v>
      </c>
      <c r="P296" s="19" t="n">
        <v>1.01540637290916</v>
      </c>
      <c r="Q296" s="17" t="s">
        <v>31</v>
      </c>
      <c r="R296" s="5" t="str">
        <f aca="false">IF(OR(Q296="Steel plate",Q296="Concrete jacket"),"Steel plate or jacket",Q296)</f>
        <v>Polymer laminate</v>
      </c>
      <c r="S296" s="5" t="str">
        <f aca="false">IF(O296&lt;='Tree rules'!$C$4,IF(N296&lt;='Tree rules'!$C$5,IF(P296&lt;='Tree rules'!$C$6,"Monitor","Polymer laminate"),IF(P296&lt;='Tree rules'!$C$7,"Seal cracks","Polymer laminate")),IF(O296&lt;='Tree rules'!$C$8,IF(M296&lt;='Tree rules'!$C$9,"Steel plate or jacket","Polymer laminate"),IF(L296&lt;='Tree rules'!$C$10,"Steel plate or jacket","Polymer laminate")))</f>
        <v>Polymer laminate</v>
      </c>
      <c r="T296" s="5" t="str">
        <f aca="false">IF(S296=R296,"Yes","No")</f>
        <v>Yes</v>
      </c>
    </row>
    <row r="297" customFormat="false" ht="15" hidden="false" customHeight="false" outlineLevel="0" collapsed="false">
      <c r="A297" s="15" t="n">
        <v>421</v>
      </c>
      <c r="B297" s="16" t="n">
        <v>3.75786966730122</v>
      </c>
      <c r="C297" s="15" t="n">
        <v>300</v>
      </c>
      <c r="D297" s="15" t="n">
        <v>300</v>
      </c>
      <c r="E297" s="15" t="n">
        <v>20</v>
      </c>
      <c r="F297" s="16" t="n">
        <v>0.589048622548086</v>
      </c>
      <c r="G297" s="17" t="s">
        <v>91</v>
      </c>
      <c r="H297" s="18" t="n">
        <v>0.2</v>
      </c>
      <c r="I297" s="18" t="n">
        <v>1</v>
      </c>
      <c r="J297" s="19" t="n">
        <v>0.967517552572046</v>
      </c>
      <c r="K297" s="19" t="n">
        <v>0.589312013523857</v>
      </c>
      <c r="L297" s="16" t="n">
        <v>14.6791783878954</v>
      </c>
      <c r="M297" s="19" t="n">
        <v>0.402720361298862</v>
      </c>
      <c r="N297" s="19" t="n">
        <v>1.09087970904707</v>
      </c>
      <c r="O297" s="19" t="n">
        <v>0.967517552572046</v>
      </c>
      <c r="P297" s="19" t="n">
        <v>0.864163944269607</v>
      </c>
      <c r="Q297" s="17" t="s">
        <v>30</v>
      </c>
      <c r="R297" s="5" t="str">
        <f aca="false">IF(OR(Q297="Steel plate",Q297="Concrete jacket"),"Steel plate or jacket",Q297)</f>
        <v>Seal cracks</v>
      </c>
      <c r="S297" s="5" t="str">
        <f aca="false">IF(O297&lt;='Tree rules'!$C$4,IF(N297&lt;='Tree rules'!$C$5,IF(P297&lt;='Tree rules'!$C$6,"Monitor","Polymer laminate"),IF(P297&lt;='Tree rules'!$C$7,"Seal cracks","Polymer laminate")),IF(O297&lt;='Tree rules'!$C$8,IF(M297&lt;='Tree rules'!$C$9,"Steel plate or jacket","Polymer laminate"),IF(L297&lt;='Tree rules'!$C$10,"Steel plate or jacket","Polymer laminate")))</f>
        <v>Seal cracks</v>
      </c>
      <c r="T297" s="5" t="str">
        <f aca="false">IF(S297=R297,"Yes","No")</f>
        <v>Yes</v>
      </c>
    </row>
    <row r="298" customFormat="false" ht="15" hidden="false" customHeight="false" outlineLevel="0" collapsed="false">
      <c r="A298" s="15" t="n">
        <v>424</v>
      </c>
      <c r="B298" s="16" t="n">
        <v>4.71557426878753</v>
      </c>
      <c r="C298" s="15" t="n">
        <v>230</v>
      </c>
      <c r="D298" s="15" t="n">
        <v>375</v>
      </c>
      <c r="E298" s="15" t="n">
        <v>30</v>
      </c>
      <c r="F298" s="16" t="n">
        <v>0.594232683721175</v>
      </c>
      <c r="G298" s="17" t="s">
        <v>91</v>
      </c>
      <c r="H298" s="18" t="n">
        <v>0.2</v>
      </c>
      <c r="I298" s="18" t="n">
        <v>1.5</v>
      </c>
      <c r="J298" s="19" t="n">
        <v>0.964967101920029</v>
      </c>
      <c r="K298" s="19" t="n">
        <v>0.632889150336008</v>
      </c>
      <c r="L298" s="16" t="n">
        <v>14.2464479419563</v>
      </c>
      <c r="M298" s="19" t="n">
        <v>0.257442531772815</v>
      </c>
      <c r="N298" s="19" t="n">
        <v>1.21962350297617</v>
      </c>
      <c r="O298" s="19" t="n">
        <v>1.14209204826186</v>
      </c>
      <c r="P298" s="19" t="n">
        <v>1.3817895095424</v>
      </c>
      <c r="Q298" s="17" t="s">
        <v>31</v>
      </c>
      <c r="R298" s="5" t="str">
        <f aca="false">IF(OR(Q298="Steel plate",Q298="Concrete jacket"),"Steel plate or jacket",Q298)</f>
        <v>Polymer laminate</v>
      </c>
      <c r="S298" s="5" t="str">
        <f aca="false">IF(O298&lt;='Tree rules'!$C$4,IF(N298&lt;='Tree rules'!$C$5,IF(P298&lt;='Tree rules'!$C$6,"Monitor","Polymer laminate"),IF(P298&lt;='Tree rules'!$C$7,"Seal cracks","Polymer laminate")),IF(O298&lt;='Tree rules'!$C$8,IF(M298&lt;='Tree rules'!$C$9,"Steel plate or jacket","Polymer laminate"),IF(L298&lt;='Tree rules'!$C$10,"Steel plate or jacket","Polymer laminate")))</f>
        <v>Steel plate or jacket</v>
      </c>
      <c r="T298" s="5" t="str">
        <f aca="false">IF(S298=R298,"Yes","No")</f>
        <v>No</v>
      </c>
    </row>
    <row r="299" customFormat="false" ht="15" hidden="false" customHeight="false" outlineLevel="0" collapsed="false">
      <c r="A299" s="15" t="n">
        <v>425</v>
      </c>
      <c r="B299" s="16" t="n">
        <v>3.07501927369194</v>
      </c>
      <c r="C299" s="15" t="n">
        <v>300</v>
      </c>
      <c r="D299" s="15" t="n">
        <v>300</v>
      </c>
      <c r="E299" s="15" t="n">
        <v>25</v>
      </c>
      <c r="F299" s="16" t="n">
        <v>0.831109167616348</v>
      </c>
      <c r="G299" s="17" t="s">
        <v>91</v>
      </c>
      <c r="H299" s="18" t="n">
        <v>0.2</v>
      </c>
      <c r="I299" s="18" t="n">
        <v>1</v>
      </c>
      <c r="J299" s="19" t="n">
        <v>0.948336759686138</v>
      </c>
      <c r="K299" s="19" t="n">
        <v>0.617574450461537</v>
      </c>
      <c r="L299" s="16" t="n">
        <v>12.2024574352855</v>
      </c>
      <c r="M299" s="19" t="n">
        <v>0.722193247564474</v>
      </c>
      <c r="N299" s="19" t="n">
        <v>1.49042263994581</v>
      </c>
      <c r="O299" s="19" t="n">
        <v>0.948336759686138</v>
      </c>
      <c r="P299" s="19" t="n">
        <v>0.497424005686508</v>
      </c>
      <c r="Q299" s="17" t="s">
        <v>30</v>
      </c>
      <c r="R299" s="5" t="str">
        <f aca="false">IF(OR(Q299="Steel plate",Q299="Concrete jacket"),"Steel plate or jacket",Q299)</f>
        <v>Seal cracks</v>
      </c>
      <c r="S299" s="5" t="str">
        <f aca="false">IF(O299&lt;='Tree rules'!$C$4,IF(N299&lt;='Tree rules'!$C$5,IF(P299&lt;='Tree rules'!$C$6,"Monitor","Polymer laminate"),IF(P299&lt;='Tree rules'!$C$7,"Seal cracks","Polymer laminate")),IF(O299&lt;='Tree rules'!$C$8,IF(M299&lt;='Tree rules'!$C$9,"Steel plate or jacket","Polymer laminate"),IF(L299&lt;='Tree rules'!$C$10,"Steel plate or jacket","Polymer laminate")))</f>
        <v>Seal cracks</v>
      </c>
      <c r="T299" s="5" t="str">
        <f aca="false">IF(S299=R299,"Yes","No")</f>
        <v>Yes</v>
      </c>
    </row>
    <row r="300" customFormat="false" ht="15" hidden="false" customHeight="false" outlineLevel="0" collapsed="false">
      <c r="A300" s="15" t="n">
        <v>426</v>
      </c>
      <c r="B300" s="16" t="n">
        <v>4.60375521854863</v>
      </c>
      <c r="C300" s="15" t="n">
        <v>230</v>
      </c>
      <c r="D300" s="15" t="n">
        <v>400</v>
      </c>
      <c r="E300" s="15" t="n">
        <v>25</v>
      </c>
      <c r="F300" s="16" t="n">
        <v>0.740832460684402</v>
      </c>
      <c r="G300" s="17" t="s">
        <v>91</v>
      </c>
      <c r="H300" s="18" t="n">
        <v>0.2</v>
      </c>
      <c r="I300" s="18" t="n">
        <v>1</v>
      </c>
      <c r="J300" s="19" t="n">
        <v>0.930759493350597</v>
      </c>
      <c r="K300" s="19" t="n">
        <v>0.43383807802294</v>
      </c>
      <c r="L300" s="16" t="n">
        <v>13.0049582444876</v>
      </c>
      <c r="M300" s="19" t="n">
        <v>0.9073074011994</v>
      </c>
      <c r="N300" s="19" t="n">
        <v>0.934047976276359</v>
      </c>
      <c r="O300" s="19" t="n">
        <v>0.930759493350597</v>
      </c>
      <c r="P300" s="19" t="n">
        <v>0.387138454595147</v>
      </c>
      <c r="Q300" s="17" t="s">
        <v>29</v>
      </c>
      <c r="R300" s="5" t="str">
        <f aca="false">IF(OR(Q300="Steel plate",Q300="Concrete jacket"),"Steel plate or jacket",Q300)</f>
        <v>Monitor</v>
      </c>
      <c r="S300" s="5" t="str">
        <f aca="false">IF(O300&lt;='Tree rules'!$C$4,IF(N300&lt;='Tree rules'!$C$5,IF(P300&lt;='Tree rules'!$C$6,"Monitor","Polymer laminate"),IF(P300&lt;='Tree rules'!$C$7,"Seal cracks","Polymer laminate")),IF(O300&lt;='Tree rules'!$C$8,IF(M300&lt;='Tree rules'!$C$9,"Steel plate or jacket","Polymer laminate"),IF(L300&lt;='Tree rules'!$C$10,"Steel plate or jacket","Polymer laminate")))</f>
        <v>Monitor</v>
      </c>
      <c r="T300" s="5" t="str">
        <f aca="false">IF(S300=R300,"Yes","No")</f>
        <v>Yes</v>
      </c>
    </row>
    <row r="301" customFormat="false" ht="15" hidden="false" customHeight="false" outlineLevel="0" collapsed="false">
      <c r="A301" s="15" t="n">
        <v>427</v>
      </c>
      <c r="B301" s="16" t="n">
        <v>3.78501369801019</v>
      </c>
      <c r="C301" s="15" t="n">
        <v>230</v>
      </c>
      <c r="D301" s="15" t="n">
        <v>375</v>
      </c>
      <c r="E301" s="15" t="n">
        <v>30</v>
      </c>
      <c r="F301" s="16" t="n">
        <v>0.835418868126524</v>
      </c>
      <c r="G301" s="17" t="s">
        <v>91</v>
      </c>
      <c r="H301" s="18" t="n">
        <v>0.2</v>
      </c>
      <c r="I301" s="18" t="n">
        <v>1</v>
      </c>
      <c r="J301" s="19" t="n">
        <v>0.921483571956704</v>
      </c>
      <c r="K301" s="19" t="n">
        <v>0.498696118985951</v>
      </c>
      <c r="L301" s="16" t="n">
        <v>11.57496543734</v>
      </c>
      <c r="M301" s="19" t="n">
        <v>0.600858032430154</v>
      </c>
      <c r="N301" s="19" t="n">
        <v>1.29379687704173</v>
      </c>
      <c r="O301" s="19" t="n">
        <v>0.921483571956704</v>
      </c>
      <c r="P301" s="19" t="n">
        <v>0.519455433362821</v>
      </c>
      <c r="Q301" s="17" t="s">
        <v>30</v>
      </c>
      <c r="R301" s="5" t="str">
        <f aca="false">IF(OR(Q301="Steel plate",Q301="Concrete jacket"),"Steel plate or jacket",Q301)</f>
        <v>Seal cracks</v>
      </c>
      <c r="S301" s="5" t="str">
        <f aca="false">IF(O301&lt;='Tree rules'!$C$4,IF(N301&lt;='Tree rules'!$C$5,IF(P301&lt;='Tree rules'!$C$6,"Monitor","Polymer laminate"),IF(P301&lt;='Tree rules'!$C$7,"Seal cracks","Polymer laminate")),IF(O301&lt;='Tree rules'!$C$8,IF(M301&lt;='Tree rules'!$C$9,"Steel plate or jacket","Polymer laminate"),IF(L301&lt;='Tree rules'!$C$10,"Steel plate or jacket","Polymer laminate")))</f>
        <v>Seal cracks</v>
      </c>
      <c r="T301" s="5" t="str">
        <f aca="false">IF(S301=R301,"Yes","No")</f>
        <v>Yes</v>
      </c>
    </row>
    <row r="302" customFormat="false" ht="15" hidden="false" customHeight="false" outlineLevel="0" collapsed="false">
      <c r="A302" s="15" t="n">
        <v>428</v>
      </c>
      <c r="B302" s="16" t="n">
        <v>3.35292090222384</v>
      </c>
      <c r="C302" s="15" t="n">
        <v>300</v>
      </c>
      <c r="D302" s="15" t="n">
        <v>300</v>
      </c>
      <c r="E302" s="15" t="n">
        <v>20</v>
      </c>
      <c r="F302" s="16" t="n">
        <v>0.589048622548086</v>
      </c>
      <c r="G302" s="17" t="s">
        <v>89</v>
      </c>
      <c r="H302" s="18" t="n">
        <v>0.3</v>
      </c>
      <c r="I302" s="18" t="n">
        <v>1</v>
      </c>
      <c r="J302" s="19" t="n">
        <v>0.970586317804001</v>
      </c>
      <c r="K302" s="19" t="n">
        <v>0.571664476442811</v>
      </c>
      <c r="L302" s="16" t="n">
        <v>13.0973472743119</v>
      </c>
      <c r="M302" s="19" t="n">
        <v>0.943442840234941</v>
      </c>
      <c r="N302" s="19" t="n">
        <v>0.624192810361228</v>
      </c>
      <c r="O302" s="19" t="n">
        <v>0.970586317804001</v>
      </c>
      <c r="P302" s="19" t="n">
        <v>0.347220621095703</v>
      </c>
      <c r="Q302" s="17" t="s">
        <v>29</v>
      </c>
      <c r="R302" s="5" t="str">
        <f aca="false">IF(OR(Q302="Steel plate",Q302="Concrete jacket"),"Steel plate or jacket",Q302)</f>
        <v>Monitor</v>
      </c>
      <c r="S302" s="5" t="str">
        <f aca="false">IF(O302&lt;='Tree rules'!$C$4,IF(N302&lt;='Tree rules'!$C$5,IF(P302&lt;='Tree rules'!$C$6,"Monitor","Polymer laminate"),IF(P302&lt;='Tree rules'!$C$7,"Seal cracks","Polymer laminate")),IF(O302&lt;='Tree rules'!$C$8,IF(M302&lt;='Tree rules'!$C$9,"Steel plate or jacket","Polymer laminate"),IF(L302&lt;='Tree rules'!$C$10,"Steel plate or jacket","Polymer laminate")))</f>
        <v>Monitor</v>
      </c>
      <c r="T302" s="5" t="str">
        <f aca="false">IF(S302=R302,"Yes","No")</f>
        <v>Yes</v>
      </c>
    </row>
    <row r="303" customFormat="false" ht="15" hidden="false" customHeight="false" outlineLevel="0" collapsed="false">
      <c r="A303" s="15" t="n">
        <v>429</v>
      </c>
      <c r="B303" s="16" t="n">
        <v>4.06171921287112</v>
      </c>
      <c r="C303" s="15" t="n">
        <v>230</v>
      </c>
      <c r="D303" s="15" t="n">
        <v>375</v>
      </c>
      <c r="E303" s="15" t="n">
        <v>30</v>
      </c>
      <c r="F303" s="16" t="n">
        <v>0.835418868126524</v>
      </c>
      <c r="G303" s="17" t="s">
        <v>91</v>
      </c>
      <c r="H303" s="18" t="n">
        <v>0.2</v>
      </c>
      <c r="I303" s="18" t="n">
        <v>1</v>
      </c>
      <c r="J303" s="19" t="n">
        <v>0.877451373628235</v>
      </c>
      <c r="K303" s="19" t="n">
        <v>0.497231463941332</v>
      </c>
      <c r="L303" s="16" t="n">
        <v>12.4211596723887</v>
      </c>
      <c r="M303" s="19" t="n">
        <v>0.316988086133451</v>
      </c>
      <c r="N303" s="19" t="n">
        <v>1.30191639738315</v>
      </c>
      <c r="O303" s="19" t="n">
        <v>0.877451373628235</v>
      </c>
      <c r="P303" s="19" t="n">
        <v>0.96459635970147</v>
      </c>
      <c r="Q303" s="17" t="s">
        <v>30</v>
      </c>
      <c r="R303" s="5" t="str">
        <f aca="false">IF(OR(Q303="Steel plate",Q303="Concrete jacket"),"Steel plate or jacket",Q303)</f>
        <v>Seal cracks</v>
      </c>
      <c r="S303" s="5" t="str">
        <f aca="false">IF(O303&lt;='Tree rules'!$C$4,IF(N303&lt;='Tree rules'!$C$5,IF(P303&lt;='Tree rules'!$C$6,"Monitor","Polymer laminate"),IF(P303&lt;='Tree rules'!$C$7,"Seal cracks","Polymer laminate")),IF(O303&lt;='Tree rules'!$C$8,IF(M303&lt;='Tree rules'!$C$9,"Steel plate or jacket","Polymer laminate"),IF(L303&lt;='Tree rules'!$C$10,"Steel plate or jacket","Polymer laminate")))</f>
        <v>Seal cracks</v>
      </c>
      <c r="T303" s="5" t="str">
        <f aca="false">IF(S303=R303,"Yes","No")</f>
        <v>Yes</v>
      </c>
    </row>
    <row r="304" customFormat="false" ht="15" hidden="false" customHeight="false" outlineLevel="0" collapsed="false">
      <c r="A304" s="15" t="n">
        <v>431</v>
      </c>
      <c r="B304" s="16" t="n">
        <v>5.05247069561141</v>
      </c>
      <c r="C304" s="15" t="n">
        <v>230</v>
      </c>
      <c r="D304" s="15" t="n">
        <v>425</v>
      </c>
      <c r="E304" s="15" t="n">
        <v>30</v>
      </c>
      <c r="F304" s="16" t="n">
        <v>0.724620609754306</v>
      </c>
      <c r="G304" s="17" t="s">
        <v>89</v>
      </c>
      <c r="H304" s="18" t="n">
        <v>0.3</v>
      </c>
      <c r="I304" s="18" t="n">
        <v>2</v>
      </c>
      <c r="J304" s="19" t="n">
        <v>0.928680671113074</v>
      </c>
      <c r="K304" s="19" t="n">
        <v>0.561639171066312</v>
      </c>
      <c r="L304" s="16" t="n">
        <v>13.401779033452</v>
      </c>
      <c r="M304" s="19" t="n">
        <v>0.513710150908375</v>
      </c>
      <c r="N304" s="19" t="n">
        <v>1.29597609771958</v>
      </c>
      <c r="O304" s="19" t="n">
        <v>1.3357778999169</v>
      </c>
      <c r="P304" s="19" t="n">
        <v>0.833294481927885</v>
      </c>
      <c r="Q304" s="17" t="s">
        <v>31</v>
      </c>
      <c r="R304" s="5" t="str">
        <f aca="false">IF(OR(Q304="Steel plate",Q304="Concrete jacket"),"Steel plate or jacket",Q304)</f>
        <v>Polymer laminate</v>
      </c>
      <c r="S304" s="5" t="str">
        <f aca="false">IF(O304&lt;='Tree rules'!$C$4,IF(N304&lt;='Tree rules'!$C$5,IF(P304&lt;='Tree rules'!$C$6,"Monitor","Polymer laminate"),IF(P304&lt;='Tree rules'!$C$7,"Seal cracks","Polymer laminate")),IF(O304&lt;='Tree rules'!$C$8,IF(M304&lt;='Tree rules'!$C$9,"Steel plate or jacket","Polymer laminate"),IF(L304&lt;='Tree rules'!$C$10,"Steel plate or jacket","Polymer laminate")))</f>
        <v>Polymer laminate</v>
      </c>
      <c r="T304" s="5" t="str">
        <f aca="false">IF(S304=R304,"Yes","No")</f>
        <v>Yes</v>
      </c>
    </row>
    <row r="305" customFormat="false" ht="15" hidden="false" customHeight="false" outlineLevel="0" collapsed="false">
      <c r="A305" s="15" t="n">
        <v>432</v>
      </c>
      <c r="B305" s="16" t="n">
        <v>5.25751838532916</v>
      </c>
      <c r="C305" s="15" t="n">
        <v>300</v>
      </c>
      <c r="D305" s="15" t="n">
        <v>450</v>
      </c>
      <c r="E305" s="15" t="n">
        <v>20</v>
      </c>
      <c r="F305" s="16" t="n">
        <v>0.557129731671096</v>
      </c>
      <c r="G305" s="17" t="s">
        <v>91</v>
      </c>
      <c r="H305" s="18" t="n">
        <v>0.2</v>
      </c>
      <c r="I305" s="18" t="n">
        <v>2</v>
      </c>
      <c r="J305" s="19" t="n">
        <v>0.898301318687404</v>
      </c>
      <c r="K305" s="19" t="n">
        <v>0.641999323975778</v>
      </c>
      <c r="L305" s="16" t="n">
        <v>12.9495526732245</v>
      </c>
      <c r="M305" s="19" t="n">
        <v>0.440393601280173</v>
      </c>
      <c r="N305" s="19" t="n">
        <v>1.19571099168194</v>
      </c>
      <c r="O305" s="19" t="n">
        <v>1.21989379805095</v>
      </c>
      <c r="P305" s="19" t="n">
        <v>0.897083001890418</v>
      </c>
      <c r="Q305" s="17" t="s">
        <v>31</v>
      </c>
      <c r="R305" s="5" t="str">
        <f aca="false">IF(OR(Q305="Steel plate",Q305="Concrete jacket"),"Steel plate or jacket",Q305)</f>
        <v>Polymer laminate</v>
      </c>
      <c r="S305" s="5" t="str">
        <f aca="false">IF(O305&lt;='Tree rules'!$C$4,IF(N305&lt;='Tree rules'!$C$5,IF(P305&lt;='Tree rules'!$C$6,"Monitor","Polymer laminate"),IF(P305&lt;='Tree rules'!$C$7,"Seal cracks","Polymer laminate")),IF(O305&lt;='Tree rules'!$C$8,IF(M305&lt;='Tree rules'!$C$9,"Steel plate or jacket","Polymer laminate"),IF(L305&lt;='Tree rules'!$C$10,"Steel plate or jacket","Polymer laminate")))</f>
        <v>Polymer laminate</v>
      </c>
      <c r="T305" s="5" t="str">
        <f aca="false">IF(S305=R305,"Yes","No")</f>
        <v>Yes</v>
      </c>
    </row>
    <row r="306" customFormat="false" ht="15" hidden="false" customHeight="false" outlineLevel="0" collapsed="false">
      <c r="A306" s="15" t="n">
        <v>433</v>
      </c>
      <c r="B306" s="16" t="n">
        <v>6.49339773201747</v>
      </c>
      <c r="C306" s="15" t="n">
        <v>300</v>
      </c>
      <c r="D306" s="15" t="n">
        <v>650</v>
      </c>
      <c r="E306" s="15" t="n">
        <v>30</v>
      </c>
      <c r="F306" s="16" t="n">
        <v>0.869765407970596</v>
      </c>
      <c r="G306" s="17" t="s">
        <v>89</v>
      </c>
      <c r="H306" s="18" t="n">
        <v>0.3</v>
      </c>
      <c r="I306" s="18" t="n">
        <v>1</v>
      </c>
      <c r="J306" s="19" t="n">
        <v>0.883893329185564</v>
      </c>
      <c r="K306" s="19" t="n">
        <v>0.633337425621449</v>
      </c>
      <c r="L306" s="16" t="n">
        <v>10.7863749701287</v>
      </c>
      <c r="M306" s="19" t="n">
        <v>0.771366005818268</v>
      </c>
      <c r="N306" s="19" t="n">
        <v>0.547684309614222</v>
      </c>
      <c r="O306" s="19" t="n">
        <v>0.883893329185564</v>
      </c>
      <c r="P306" s="19" t="n">
        <v>0.502066718078682</v>
      </c>
      <c r="Q306" s="17" t="s">
        <v>29</v>
      </c>
      <c r="R306" s="5" t="str">
        <f aca="false">IF(OR(Q306="Steel plate",Q306="Concrete jacket"),"Steel plate or jacket",Q306)</f>
        <v>Monitor</v>
      </c>
      <c r="S306" s="5" t="str">
        <f aca="false">IF(O306&lt;='Tree rules'!$C$4,IF(N306&lt;='Tree rules'!$C$5,IF(P306&lt;='Tree rules'!$C$6,"Monitor","Polymer laminate"),IF(P306&lt;='Tree rules'!$C$7,"Seal cracks","Polymer laminate")),IF(O306&lt;='Tree rules'!$C$8,IF(M306&lt;='Tree rules'!$C$9,"Steel plate or jacket","Polymer laminate"),IF(L306&lt;='Tree rules'!$C$10,"Steel plate or jacket","Polymer laminate")))</f>
        <v>Monitor</v>
      </c>
      <c r="T306" s="5" t="str">
        <f aca="false">IF(S306=R306,"Yes","No")</f>
        <v>Yes</v>
      </c>
    </row>
    <row r="307" customFormat="false" ht="15" hidden="false" customHeight="false" outlineLevel="0" collapsed="false">
      <c r="A307" s="15" t="n">
        <v>434</v>
      </c>
      <c r="B307" s="16" t="n">
        <v>5.13368893457376</v>
      </c>
      <c r="C307" s="15" t="n">
        <v>230</v>
      </c>
      <c r="D307" s="15" t="n">
        <v>425</v>
      </c>
      <c r="E307" s="15" t="n">
        <v>25</v>
      </c>
      <c r="F307" s="16" t="n">
        <v>0.691964884122107</v>
      </c>
      <c r="G307" s="17" t="s">
        <v>91</v>
      </c>
      <c r="H307" s="18" t="n">
        <v>0.2</v>
      </c>
      <c r="I307" s="18" t="n">
        <v>2</v>
      </c>
      <c r="J307" s="19" t="n">
        <v>0.880991333198357</v>
      </c>
      <c r="K307" s="19" t="n">
        <v>0.497775888552111</v>
      </c>
      <c r="L307" s="16" t="n">
        <v>13.5453533893767</v>
      </c>
      <c r="M307" s="19" t="n">
        <v>0.90038838667384</v>
      </c>
      <c r="N307" s="19" t="n">
        <v>1.37780229900162</v>
      </c>
      <c r="O307" s="19" t="n">
        <v>1.32344642270719</v>
      </c>
      <c r="P307" s="19" t="n">
        <v>0.489905689511601</v>
      </c>
      <c r="Q307" s="17" t="s">
        <v>31</v>
      </c>
      <c r="R307" s="5" t="str">
        <f aca="false">IF(OR(Q307="Steel plate",Q307="Concrete jacket"),"Steel plate or jacket",Q307)</f>
        <v>Polymer laminate</v>
      </c>
      <c r="S307" s="5" t="str">
        <f aca="false">IF(O307&lt;='Tree rules'!$C$4,IF(N307&lt;='Tree rules'!$C$5,IF(P307&lt;='Tree rules'!$C$6,"Monitor","Polymer laminate"),IF(P307&lt;='Tree rules'!$C$7,"Seal cracks","Polymer laminate")),IF(O307&lt;='Tree rules'!$C$8,IF(M307&lt;='Tree rules'!$C$9,"Steel plate or jacket","Polymer laminate"),IF(L307&lt;='Tree rules'!$C$10,"Steel plate or jacket","Polymer laminate")))</f>
        <v>Polymer laminate</v>
      </c>
      <c r="T307" s="5" t="str">
        <f aca="false">IF(S307=R307,"Yes","No")</f>
        <v>Yes</v>
      </c>
    </row>
    <row r="308" customFormat="false" ht="15" hidden="false" customHeight="false" outlineLevel="0" collapsed="false">
      <c r="A308" s="15" t="n">
        <v>435</v>
      </c>
      <c r="B308" s="16" t="n">
        <v>6.53252359408335</v>
      </c>
      <c r="C308" s="15" t="n">
        <v>300</v>
      </c>
      <c r="D308" s="15" t="n">
        <v>550</v>
      </c>
      <c r="E308" s="15" t="n">
        <v>20</v>
      </c>
      <c r="F308" s="16" t="n">
        <v>0.664887334093078</v>
      </c>
      <c r="G308" s="17" t="s">
        <v>89</v>
      </c>
      <c r="H308" s="18" t="n">
        <v>0.3</v>
      </c>
      <c r="I308" s="18" t="n">
        <v>1</v>
      </c>
      <c r="J308" s="19" t="n">
        <v>0.851608134350565</v>
      </c>
      <c r="K308" s="19" t="n">
        <v>0.486440144122228</v>
      </c>
      <c r="L308" s="16" t="n">
        <v>12.961356337467</v>
      </c>
      <c r="M308" s="19" t="n">
        <v>0.937309754413061</v>
      </c>
      <c r="N308" s="19" t="n">
        <v>0.485101212576917</v>
      </c>
      <c r="O308" s="19" t="n">
        <v>0.851608134350565</v>
      </c>
      <c r="P308" s="19" t="n">
        <v>0.393657280736215</v>
      </c>
      <c r="Q308" s="17" t="s">
        <v>29</v>
      </c>
      <c r="R308" s="5" t="str">
        <f aca="false">IF(OR(Q308="Steel plate",Q308="Concrete jacket"),"Steel plate or jacket",Q308)</f>
        <v>Monitor</v>
      </c>
      <c r="S308" s="5" t="str">
        <f aca="false">IF(O308&lt;='Tree rules'!$C$4,IF(N308&lt;='Tree rules'!$C$5,IF(P308&lt;='Tree rules'!$C$6,"Monitor","Polymer laminate"),IF(P308&lt;='Tree rules'!$C$7,"Seal cracks","Polymer laminate")),IF(O308&lt;='Tree rules'!$C$8,IF(M308&lt;='Tree rules'!$C$9,"Steel plate or jacket","Polymer laminate"),IF(L308&lt;='Tree rules'!$C$10,"Steel plate or jacket","Polymer laminate")))</f>
        <v>Monitor</v>
      </c>
      <c r="T308" s="5" t="str">
        <f aca="false">IF(S308=R308,"Yes","No")</f>
        <v>Yes</v>
      </c>
    </row>
    <row r="309" customFormat="false" ht="15" hidden="false" customHeight="false" outlineLevel="0" collapsed="false">
      <c r="A309" s="15" t="n">
        <v>438</v>
      </c>
      <c r="B309" s="16" t="n">
        <v>5.77203971248917</v>
      </c>
      <c r="C309" s="15" t="n">
        <v>300</v>
      </c>
      <c r="D309" s="15" t="n">
        <v>500</v>
      </c>
      <c r="E309" s="15" t="n">
        <v>25</v>
      </c>
      <c r="F309" s="16" t="n">
        <v>0.695042622475618</v>
      </c>
      <c r="G309" s="17" t="s">
        <v>91</v>
      </c>
      <c r="H309" s="18" t="n">
        <v>0.2</v>
      </c>
      <c r="I309" s="18" t="n">
        <v>2</v>
      </c>
      <c r="J309" s="19" t="n">
        <v>0.921372319508327</v>
      </c>
      <c r="K309" s="19" t="n">
        <v>0.458213635533355</v>
      </c>
      <c r="L309" s="16" t="n">
        <v>12.7699993639141</v>
      </c>
      <c r="M309" s="19" t="n">
        <v>0.796047077878464</v>
      </c>
      <c r="N309" s="19" t="n">
        <v>1.72458584053893</v>
      </c>
      <c r="O309" s="19" t="n">
        <v>1.42055927881494</v>
      </c>
      <c r="P309" s="19" t="n">
        <v>0.559606369555787</v>
      </c>
      <c r="Q309" s="17" t="s">
        <v>31</v>
      </c>
      <c r="R309" s="5" t="str">
        <f aca="false">IF(OR(Q309="Steel plate",Q309="Concrete jacket"),"Steel plate or jacket",Q309)</f>
        <v>Polymer laminate</v>
      </c>
      <c r="S309" s="5" t="str">
        <f aca="false">IF(O309&lt;='Tree rules'!$C$4,IF(N309&lt;='Tree rules'!$C$5,IF(P309&lt;='Tree rules'!$C$6,"Monitor","Polymer laminate"),IF(P309&lt;='Tree rules'!$C$7,"Seal cracks","Polymer laminate")),IF(O309&lt;='Tree rules'!$C$8,IF(M309&lt;='Tree rules'!$C$9,"Steel plate or jacket","Polymer laminate"),IF(L309&lt;='Tree rules'!$C$10,"Steel plate or jacket","Polymer laminate")))</f>
        <v>Steel plate or jacket</v>
      </c>
      <c r="T309" s="5" t="str">
        <f aca="false">IF(S309=R309,"Yes","No")</f>
        <v>No</v>
      </c>
    </row>
    <row r="310" customFormat="false" ht="15" hidden="false" customHeight="false" outlineLevel="0" collapsed="false">
      <c r="A310" s="15" t="n">
        <v>439</v>
      </c>
      <c r="B310" s="16" t="n">
        <v>6.50548671207442</v>
      </c>
      <c r="C310" s="15" t="n">
        <v>230</v>
      </c>
      <c r="D310" s="15" t="n">
        <v>500</v>
      </c>
      <c r="E310" s="15" t="n">
        <v>30</v>
      </c>
      <c r="F310" s="16" t="n">
        <v>0.604384889109233</v>
      </c>
      <c r="G310" s="17" t="s">
        <v>89</v>
      </c>
      <c r="H310" s="18" t="n">
        <v>0.3</v>
      </c>
      <c r="I310" s="18" t="n">
        <v>2</v>
      </c>
      <c r="J310" s="19" t="n">
        <v>0.930131074613028</v>
      </c>
      <c r="K310" s="19" t="n">
        <v>0.590030458485155</v>
      </c>
      <c r="L310" s="16" t="n">
        <v>14.3926697169788</v>
      </c>
      <c r="M310" s="19" t="n">
        <v>0.733215989393548</v>
      </c>
      <c r="N310" s="19" t="n">
        <v>1.22379283288352</v>
      </c>
      <c r="O310" s="19" t="n">
        <v>1.31145648482084</v>
      </c>
      <c r="P310" s="19" t="n">
        <v>0.588232786278712</v>
      </c>
      <c r="Q310" s="17" t="s">
        <v>31</v>
      </c>
      <c r="R310" s="5" t="str">
        <f aca="false">IF(OR(Q310="Steel plate",Q310="Concrete jacket"),"Steel plate or jacket",Q310)</f>
        <v>Polymer laminate</v>
      </c>
      <c r="S310" s="5" t="str">
        <f aca="false">IF(O310&lt;='Tree rules'!$C$4,IF(N310&lt;='Tree rules'!$C$5,IF(P310&lt;='Tree rules'!$C$6,"Monitor","Polymer laminate"),IF(P310&lt;='Tree rules'!$C$7,"Seal cracks","Polymer laminate")),IF(O310&lt;='Tree rules'!$C$8,IF(M310&lt;='Tree rules'!$C$9,"Steel plate or jacket","Polymer laminate"),IF(L310&lt;='Tree rules'!$C$10,"Steel plate or jacket","Polymer laminate")))</f>
        <v>Polymer laminate</v>
      </c>
      <c r="T310" s="5" t="str">
        <f aca="false">IF(S310=R310,"Yes","No")</f>
        <v>Yes</v>
      </c>
    </row>
    <row r="311" customFormat="false" ht="15" hidden="false" customHeight="false" outlineLevel="0" collapsed="false">
      <c r="A311" s="15" t="n">
        <v>441</v>
      </c>
      <c r="B311" s="16" t="n">
        <v>6.11637106426171</v>
      </c>
      <c r="C311" s="15" t="n">
        <v>230</v>
      </c>
      <c r="D311" s="15" t="n">
        <v>500</v>
      </c>
      <c r="E311" s="15" t="n">
        <v>30</v>
      </c>
      <c r="F311" s="16" t="n">
        <v>0.770204672782022</v>
      </c>
      <c r="G311" s="17" t="s">
        <v>89</v>
      </c>
      <c r="H311" s="18" t="n">
        <v>0.3</v>
      </c>
      <c r="I311" s="18" t="n">
        <v>1</v>
      </c>
      <c r="J311" s="19" t="n">
        <v>0.860978832298106</v>
      </c>
      <c r="K311" s="19" t="n">
        <v>0.595123560671717</v>
      </c>
      <c r="L311" s="16" t="n">
        <v>13.4721829609289</v>
      </c>
      <c r="M311" s="19" t="n">
        <v>0.446782262016565</v>
      </c>
      <c r="N311" s="19" t="n">
        <v>0.575139756963369</v>
      </c>
      <c r="O311" s="19" t="n">
        <v>0.860978832298106</v>
      </c>
      <c r="P311" s="19" t="n">
        <v>0.845444385646414</v>
      </c>
      <c r="Q311" s="17" t="s">
        <v>29</v>
      </c>
      <c r="R311" s="5" t="str">
        <f aca="false">IF(OR(Q311="Steel plate",Q311="Concrete jacket"),"Steel plate or jacket",Q311)</f>
        <v>Monitor</v>
      </c>
      <c r="S311" s="5" t="str">
        <f aca="false">IF(O311&lt;='Tree rules'!$C$4,IF(N311&lt;='Tree rules'!$C$5,IF(P311&lt;='Tree rules'!$C$6,"Monitor","Polymer laminate"),IF(P311&lt;='Tree rules'!$C$7,"Seal cracks","Polymer laminate")),IF(O311&lt;='Tree rules'!$C$8,IF(M311&lt;='Tree rules'!$C$9,"Steel plate or jacket","Polymer laminate"),IF(L311&lt;='Tree rules'!$C$10,"Steel plate or jacket","Polymer laminate")))</f>
        <v>Monitor</v>
      </c>
      <c r="T311" s="5" t="str">
        <f aca="false">IF(S311=R311,"Yes","No")</f>
        <v>Yes</v>
      </c>
    </row>
    <row r="312" customFormat="false" ht="15" hidden="false" customHeight="false" outlineLevel="0" collapsed="false">
      <c r="A312" s="15" t="n">
        <v>442</v>
      </c>
      <c r="B312" s="16" t="n">
        <v>7.59133745729218</v>
      </c>
      <c r="C312" s="15" t="n">
        <v>230</v>
      </c>
      <c r="D312" s="15" t="n">
        <v>675</v>
      </c>
      <c r="E312" s="15" t="n">
        <v>30</v>
      </c>
      <c r="F312" s="16" t="n">
        <v>0.653545382481754</v>
      </c>
      <c r="G312" s="17" t="s">
        <v>89</v>
      </c>
      <c r="H312" s="18" t="n">
        <v>0.3</v>
      </c>
      <c r="I312" s="18" t="n">
        <v>2</v>
      </c>
      <c r="J312" s="19" t="n">
        <v>0.910838838920785</v>
      </c>
      <c r="K312" s="19" t="n">
        <v>0.455669256431448</v>
      </c>
      <c r="L312" s="16" t="n">
        <v>12.1073962636239</v>
      </c>
      <c r="M312" s="19" t="n">
        <v>0.905158250553651</v>
      </c>
      <c r="N312" s="19" t="n">
        <v>0.950598649661055</v>
      </c>
      <c r="O312" s="19" t="n">
        <v>1.40663642138165</v>
      </c>
      <c r="P312" s="19" t="n">
        <v>0.450640529192875</v>
      </c>
      <c r="Q312" s="17" t="s">
        <v>92</v>
      </c>
      <c r="R312" s="5" t="str">
        <f aca="false">IF(OR(Q312="Steel plate",Q312="Concrete jacket"),"Steel plate or jacket",Q312)</f>
        <v>Steel plate or jacket</v>
      </c>
      <c r="S312" s="5" t="str">
        <f aca="false">IF(O312&lt;='Tree rules'!$C$4,IF(N312&lt;='Tree rules'!$C$5,IF(P312&lt;='Tree rules'!$C$6,"Monitor","Polymer laminate"),IF(P312&lt;='Tree rules'!$C$7,"Seal cracks","Polymer laminate")),IF(O312&lt;='Tree rules'!$C$8,IF(M312&lt;='Tree rules'!$C$9,"Steel plate or jacket","Polymer laminate"),IF(L312&lt;='Tree rules'!$C$10,"Steel plate or jacket","Polymer laminate")))</f>
        <v>Steel plate or jacket</v>
      </c>
      <c r="T312" s="5" t="str">
        <f aca="false">IF(S312=R312,"Yes","No")</f>
        <v>Yes</v>
      </c>
    </row>
    <row r="313" customFormat="false" ht="15" hidden="false" customHeight="false" outlineLevel="0" collapsed="false">
      <c r="A313" s="15" t="n">
        <v>444</v>
      </c>
      <c r="B313" s="16" t="n">
        <v>6.22701919141079</v>
      </c>
      <c r="C313" s="15" t="n">
        <v>230</v>
      </c>
      <c r="D313" s="15" t="n">
        <v>500</v>
      </c>
      <c r="E313" s="15" t="n">
        <v>25</v>
      </c>
      <c r="F313" s="16" t="n">
        <v>0.577653504586516</v>
      </c>
      <c r="G313" s="17" t="s">
        <v>91</v>
      </c>
      <c r="H313" s="18" t="n">
        <v>0.2</v>
      </c>
      <c r="I313" s="18" t="n">
        <v>1</v>
      </c>
      <c r="J313" s="19" t="n">
        <v>0.9451596710068</v>
      </c>
      <c r="K313" s="19" t="n">
        <v>0.428338535162013</v>
      </c>
      <c r="L313" s="16" t="n">
        <v>13.7159013026669</v>
      </c>
      <c r="M313" s="19" t="n">
        <v>0.542137447913179</v>
      </c>
      <c r="N313" s="19" t="n">
        <v>1.00644715109073</v>
      </c>
      <c r="O313" s="19" t="n">
        <v>0.9451596710068</v>
      </c>
      <c r="P313" s="19" t="n">
        <v>0.573787752806407</v>
      </c>
      <c r="Q313" s="17" t="s">
        <v>30</v>
      </c>
      <c r="R313" s="5" t="str">
        <f aca="false">IF(OR(Q313="Steel plate",Q313="Concrete jacket"),"Steel plate or jacket",Q313)</f>
        <v>Seal cracks</v>
      </c>
      <c r="S313" s="5" t="str">
        <f aca="false">IF(O313&lt;='Tree rules'!$C$4,IF(N313&lt;='Tree rules'!$C$5,IF(P313&lt;='Tree rules'!$C$6,"Monitor","Polymer laminate"),IF(P313&lt;='Tree rules'!$C$7,"Seal cracks","Polymer laminate")),IF(O313&lt;='Tree rules'!$C$8,IF(M313&lt;='Tree rules'!$C$9,"Steel plate or jacket","Polymer laminate"),IF(L313&lt;='Tree rules'!$C$10,"Steel plate or jacket","Polymer laminate")))</f>
        <v>Seal cracks</v>
      </c>
      <c r="T313" s="5" t="str">
        <f aca="false">IF(S313=R313,"Yes","No")</f>
        <v>Yes</v>
      </c>
    </row>
    <row r="314" customFormat="false" ht="15" hidden="false" customHeight="false" outlineLevel="0" collapsed="false">
      <c r="A314" s="15" t="n">
        <v>446</v>
      </c>
      <c r="B314" s="16" t="n">
        <v>6.11018814116742</v>
      </c>
      <c r="C314" s="15" t="n">
        <v>300</v>
      </c>
      <c r="D314" s="15" t="n">
        <v>525</v>
      </c>
      <c r="E314" s="15" t="n">
        <v>30</v>
      </c>
      <c r="F314" s="16" t="n">
        <v>0.658614812073332</v>
      </c>
      <c r="G314" s="17" t="s">
        <v>89</v>
      </c>
      <c r="H314" s="18" t="n">
        <v>0.3</v>
      </c>
      <c r="I314" s="18" t="n">
        <v>1</v>
      </c>
      <c r="J314" s="19" t="n">
        <v>0.870011063000953</v>
      </c>
      <c r="K314" s="19" t="n">
        <v>0.63261479257282</v>
      </c>
      <c r="L314" s="16" t="n">
        <v>12.8096187445858</v>
      </c>
      <c r="M314" s="19" t="n">
        <v>0.301065166020927</v>
      </c>
      <c r="N314" s="19" t="n">
        <v>0.763589684760471</v>
      </c>
      <c r="O314" s="19" t="n">
        <v>0.870011063000953</v>
      </c>
      <c r="P314" s="19" t="n">
        <v>1.07020445343863</v>
      </c>
      <c r="Q314" s="17" t="s">
        <v>31</v>
      </c>
      <c r="R314" s="5" t="str">
        <f aca="false">IF(OR(Q314="Steel plate",Q314="Concrete jacket"),"Steel plate or jacket",Q314)</f>
        <v>Polymer laminate</v>
      </c>
      <c r="S314" s="5" t="str">
        <f aca="false">IF(O314&lt;='Tree rules'!$C$4,IF(N314&lt;='Tree rules'!$C$5,IF(P314&lt;='Tree rules'!$C$6,"Monitor","Polymer laminate"),IF(P314&lt;='Tree rules'!$C$7,"Seal cracks","Polymer laminate")),IF(O314&lt;='Tree rules'!$C$8,IF(M314&lt;='Tree rules'!$C$9,"Steel plate or jacket","Polymer laminate"),IF(L314&lt;='Tree rules'!$C$10,"Steel plate or jacket","Polymer laminate")))</f>
        <v>Polymer laminate</v>
      </c>
      <c r="T314" s="5" t="str">
        <f aca="false">IF(S314=R314,"Yes","No")</f>
        <v>Yes</v>
      </c>
    </row>
    <row r="315" customFormat="false" ht="15" hidden="false" customHeight="false" outlineLevel="0" collapsed="false">
      <c r="A315" s="15" t="n">
        <v>447</v>
      </c>
      <c r="B315" s="16" t="n">
        <v>7.43325668041149</v>
      </c>
      <c r="C315" s="15" t="n">
        <v>300</v>
      </c>
      <c r="D315" s="15" t="n">
        <v>625</v>
      </c>
      <c r="E315" s="15" t="n">
        <v>20</v>
      </c>
      <c r="F315" s="16" t="n">
        <v>0.544470130604817</v>
      </c>
      <c r="G315" s="17" t="s">
        <v>89</v>
      </c>
      <c r="H315" s="18" t="n">
        <v>0.3</v>
      </c>
      <c r="I315" s="18" t="n">
        <v>1</v>
      </c>
      <c r="J315" s="19" t="n">
        <v>0.936695881875455</v>
      </c>
      <c r="K315" s="19" t="n">
        <v>0.467597506931854</v>
      </c>
      <c r="L315" s="16" t="n">
        <v>12.8825939001932</v>
      </c>
      <c r="M315" s="19" t="n">
        <v>0.554250754029568</v>
      </c>
      <c r="N315" s="19" t="n">
        <v>0.749706866968605</v>
      </c>
      <c r="O315" s="19" t="n">
        <v>0.936695881875455</v>
      </c>
      <c r="P315" s="19" t="n">
        <v>0.586523659489441</v>
      </c>
      <c r="Q315" s="17" t="s">
        <v>29</v>
      </c>
      <c r="R315" s="5" t="str">
        <f aca="false">IF(OR(Q315="Steel plate",Q315="Concrete jacket"),"Steel plate or jacket",Q315)</f>
        <v>Monitor</v>
      </c>
      <c r="S315" s="5" t="str">
        <f aca="false">IF(O315&lt;='Tree rules'!$C$4,IF(N315&lt;='Tree rules'!$C$5,IF(P315&lt;='Tree rules'!$C$6,"Monitor","Polymer laminate"),IF(P315&lt;='Tree rules'!$C$7,"Seal cracks","Polymer laminate")),IF(O315&lt;='Tree rules'!$C$8,IF(M315&lt;='Tree rules'!$C$9,"Steel plate or jacket","Polymer laminate"),IF(L315&lt;='Tree rules'!$C$10,"Steel plate or jacket","Polymer laminate")))</f>
        <v>Monitor</v>
      </c>
      <c r="T315" s="5" t="str">
        <f aca="false">IF(S315=R315,"Yes","No")</f>
        <v>Yes</v>
      </c>
    </row>
    <row r="316" customFormat="false" ht="15" hidden="false" customHeight="false" outlineLevel="0" collapsed="false">
      <c r="A316" s="15" t="n">
        <v>448</v>
      </c>
      <c r="B316" s="16" t="n">
        <v>3.31871841399455</v>
      </c>
      <c r="C316" s="15" t="n">
        <v>300</v>
      </c>
      <c r="D316" s="15" t="n">
        <v>325</v>
      </c>
      <c r="E316" s="15" t="n">
        <v>20</v>
      </c>
      <c r="F316" s="16" t="n">
        <v>0.756099314943392</v>
      </c>
      <c r="G316" s="17" t="s">
        <v>91</v>
      </c>
      <c r="H316" s="18" t="n">
        <v>0.2</v>
      </c>
      <c r="I316" s="18" t="n">
        <v>1.5</v>
      </c>
      <c r="J316" s="19" t="n">
        <v>0.866886136608718</v>
      </c>
      <c r="K316" s="19" t="n">
        <v>0.49771964419485</v>
      </c>
      <c r="L316" s="16" t="n">
        <v>11.9809329025074</v>
      </c>
      <c r="M316" s="19" t="n">
        <v>0.351881631538914</v>
      </c>
      <c r="N316" s="19" t="n">
        <v>1.84271034919214</v>
      </c>
      <c r="O316" s="19" t="n">
        <v>1.08459607517791</v>
      </c>
      <c r="P316" s="19" t="n">
        <v>0.936367722948007</v>
      </c>
      <c r="Q316" s="17" t="s">
        <v>31</v>
      </c>
      <c r="R316" s="5" t="str">
        <f aca="false">IF(OR(Q316="Steel plate",Q316="Concrete jacket"),"Steel plate or jacket",Q316)</f>
        <v>Polymer laminate</v>
      </c>
      <c r="S316" s="5" t="str">
        <f aca="false">IF(O316&lt;='Tree rules'!$C$4,IF(N316&lt;='Tree rules'!$C$5,IF(P316&lt;='Tree rules'!$C$6,"Monitor","Polymer laminate"),IF(P316&lt;='Tree rules'!$C$7,"Seal cracks","Polymer laminate")),IF(O316&lt;='Tree rules'!$C$8,IF(M316&lt;='Tree rules'!$C$9,"Steel plate or jacket","Polymer laminate"),IF(L316&lt;='Tree rules'!$C$10,"Steel plate or jacket","Polymer laminate")))</f>
        <v>Polymer laminate</v>
      </c>
      <c r="T316" s="5" t="str">
        <f aca="false">IF(S316=R316,"Yes","No")</f>
        <v>Yes</v>
      </c>
    </row>
    <row r="317" customFormat="false" ht="15" hidden="false" customHeight="false" outlineLevel="0" collapsed="false">
      <c r="A317" s="15" t="n">
        <v>449</v>
      </c>
      <c r="B317" s="16" t="n">
        <v>5.28037870309864</v>
      </c>
      <c r="C317" s="15" t="n">
        <v>300</v>
      </c>
      <c r="D317" s="15" t="n">
        <v>475</v>
      </c>
      <c r="E317" s="15" t="n">
        <v>25</v>
      </c>
      <c r="F317" s="16" t="n">
        <v>0.735735984447258</v>
      </c>
      <c r="G317" s="17" t="s">
        <v>91</v>
      </c>
      <c r="H317" s="18" t="n">
        <v>0.2</v>
      </c>
      <c r="I317" s="18" t="n">
        <v>1</v>
      </c>
      <c r="J317" s="19" t="n">
        <v>0.899797895229777</v>
      </c>
      <c r="K317" s="19" t="n">
        <v>0.642248998515716</v>
      </c>
      <c r="L317" s="16" t="n">
        <v>12.366226470957</v>
      </c>
      <c r="M317" s="19" t="n">
        <v>0.907102160882495</v>
      </c>
      <c r="N317" s="19" t="n">
        <v>1.01848555352259</v>
      </c>
      <c r="O317" s="19" t="n">
        <v>0.899797895229777</v>
      </c>
      <c r="P317" s="19" t="n">
        <v>0.439039447283118</v>
      </c>
      <c r="Q317" s="17" t="s">
        <v>30</v>
      </c>
      <c r="R317" s="5" t="str">
        <f aca="false">IF(OR(Q317="Steel plate",Q317="Concrete jacket"),"Steel plate or jacket",Q317)</f>
        <v>Seal cracks</v>
      </c>
      <c r="S317" s="5" t="str">
        <f aca="false">IF(O317&lt;='Tree rules'!$C$4,IF(N317&lt;='Tree rules'!$C$5,IF(P317&lt;='Tree rules'!$C$6,"Monitor","Polymer laminate"),IF(P317&lt;='Tree rules'!$C$7,"Seal cracks","Polymer laminate")),IF(O317&lt;='Tree rules'!$C$8,IF(M317&lt;='Tree rules'!$C$9,"Steel plate or jacket","Polymer laminate"),IF(L317&lt;='Tree rules'!$C$10,"Steel plate or jacket","Polymer laminate")))</f>
        <v>Seal cracks</v>
      </c>
      <c r="T317" s="5" t="str">
        <f aca="false">IF(S317=R317,"Yes","No")</f>
        <v>Yes</v>
      </c>
    </row>
    <row r="318" customFormat="false" ht="15" hidden="false" customHeight="false" outlineLevel="0" collapsed="false">
      <c r="A318" s="15" t="n">
        <v>450</v>
      </c>
      <c r="B318" s="16" t="n">
        <v>4.01827294123667</v>
      </c>
      <c r="C318" s="15" t="n">
        <v>300</v>
      </c>
      <c r="D318" s="15" t="n">
        <v>400</v>
      </c>
      <c r="E318" s="15" t="n">
        <v>30</v>
      </c>
      <c r="F318" s="16" t="n">
        <v>0.946619255318958</v>
      </c>
      <c r="G318" s="17" t="s">
        <v>89</v>
      </c>
      <c r="H318" s="18" t="n">
        <v>0.3</v>
      </c>
      <c r="I318" s="18" t="n">
        <v>1</v>
      </c>
      <c r="J318" s="19" t="n">
        <v>0.913078521969796</v>
      </c>
      <c r="K318" s="19" t="n">
        <v>0.549015926092284</v>
      </c>
      <c r="L318" s="16" t="n">
        <v>11.3510535063183</v>
      </c>
      <c r="M318" s="19" t="n">
        <v>0.561187670511204</v>
      </c>
      <c r="N318" s="19" t="n">
        <v>0.623141024898894</v>
      </c>
      <c r="O318" s="19" t="n">
        <v>0.913078521969796</v>
      </c>
      <c r="P318" s="19" t="n">
        <v>0.647206863511832</v>
      </c>
      <c r="Q318" s="17" t="s">
        <v>29</v>
      </c>
      <c r="R318" s="5" t="str">
        <f aca="false">IF(OR(Q318="Steel plate",Q318="Concrete jacket"),"Steel plate or jacket",Q318)</f>
        <v>Monitor</v>
      </c>
      <c r="S318" s="5" t="str">
        <f aca="false">IF(O318&lt;='Tree rules'!$C$4,IF(N318&lt;='Tree rules'!$C$5,IF(P318&lt;='Tree rules'!$C$6,"Monitor","Polymer laminate"),IF(P318&lt;='Tree rules'!$C$7,"Seal cracks","Polymer laminate")),IF(O318&lt;='Tree rules'!$C$8,IF(M318&lt;='Tree rules'!$C$9,"Steel plate or jacket","Polymer laminate"),IF(L318&lt;='Tree rules'!$C$10,"Steel plate or jacket","Polymer laminate")))</f>
        <v>Monitor</v>
      </c>
      <c r="T318" s="5" t="str">
        <f aca="false">IF(S318=R318,"Yes","No")</f>
        <v>Yes</v>
      </c>
    </row>
    <row r="319" customFormat="false" ht="15" hidden="false" customHeight="false" outlineLevel="0" collapsed="false">
      <c r="A319" s="15" t="n">
        <v>454</v>
      </c>
      <c r="B319" s="16" t="n">
        <v>5.42426935999745</v>
      </c>
      <c r="C319" s="15" t="n">
        <v>300</v>
      </c>
      <c r="D319" s="15" t="n">
        <v>500</v>
      </c>
      <c r="E319" s="15" t="n">
        <v>30</v>
      </c>
      <c r="F319" s="16" t="n">
        <v>0.71889992072993</v>
      </c>
      <c r="G319" s="17" t="s">
        <v>90</v>
      </c>
      <c r="H319" s="18" t="n">
        <v>0.1</v>
      </c>
      <c r="I319" s="18" t="n">
        <v>1</v>
      </c>
      <c r="J319" s="19" t="n">
        <v>0.983185868532774</v>
      </c>
      <c r="K319" s="19" t="n">
        <v>0.484475235468582</v>
      </c>
      <c r="L319" s="16" t="n">
        <v>12.4125156979347</v>
      </c>
      <c r="M319" s="19" t="n">
        <v>0.383698036458118</v>
      </c>
      <c r="N319" s="19" t="n">
        <v>3.04239668743868</v>
      </c>
      <c r="O319" s="19" t="n">
        <v>0.983185868532774</v>
      </c>
      <c r="P319" s="19" t="n">
        <v>0.794513046469304</v>
      </c>
      <c r="Q319" s="17" t="s">
        <v>30</v>
      </c>
      <c r="R319" s="5" t="str">
        <f aca="false">IF(OR(Q319="Steel plate",Q319="Concrete jacket"),"Steel plate or jacket",Q319)</f>
        <v>Seal cracks</v>
      </c>
      <c r="S319" s="5" t="str">
        <f aca="false">IF(O319&lt;='Tree rules'!$C$4,IF(N319&lt;='Tree rules'!$C$5,IF(P319&lt;='Tree rules'!$C$6,"Monitor","Polymer laminate"),IF(P319&lt;='Tree rules'!$C$7,"Seal cracks","Polymer laminate")),IF(O319&lt;='Tree rules'!$C$8,IF(M319&lt;='Tree rules'!$C$9,"Steel plate or jacket","Polymer laminate"),IF(L319&lt;='Tree rules'!$C$10,"Steel plate or jacket","Polymer laminate")))</f>
        <v>Seal cracks</v>
      </c>
      <c r="T319" s="5" t="str">
        <f aca="false">IF(S319=R319,"Yes","No")</f>
        <v>Yes</v>
      </c>
    </row>
    <row r="320" customFormat="false" ht="15" hidden="false" customHeight="false" outlineLevel="0" collapsed="false">
      <c r="A320" s="15" t="n">
        <v>455</v>
      </c>
      <c r="B320" s="16" t="n">
        <v>4.549251467933</v>
      </c>
      <c r="C320" s="15" t="n">
        <v>300</v>
      </c>
      <c r="D320" s="15" t="n">
        <v>350</v>
      </c>
      <c r="E320" s="15" t="n">
        <v>30</v>
      </c>
      <c r="F320" s="16" t="n">
        <v>0.693508312050727</v>
      </c>
      <c r="G320" s="17" t="s">
        <v>89</v>
      </c>
      <c r="H320" s="18" t="n">
        <v>0.3</v>
      </c>
      <c r="I320" s="18" t="n">
        <v>2</v>
      </c>
      <c r="J320" s="19" t="n">
        <v>0.887490627840212</v>
      </c>
      <c r="K320" s="19" t="n">
        <v>0.514061889007203</v>
      </c>
      <c r="L320" s="16" t="n">
        <v>15.0637465825596</v>
      </c>
      <c r="M320" s="19" t="n">
        <v>0.867058736762651</v>
      </c>
      <c r="N320" s="19" t="n">
        <v>1.43420141045608</v>
      </c>
      <c r="O320" s="19" t="n">
        <v>1.3187561470567</v>
      </c>
      <c r="P320" s="19" t="n">
        <v>0.49206062837725</v>
      </c>
      <c r="Q320" s="17" t="s">
        <v>31</v>
      </c>
      <c r="R320" s="5" t="str">
        <f aca="false">IF(OR(Q320="Steel plate",Q320="Concrete jacket"),"Steel plate or jacket",Q320)</f>
        <v>Polymer laminate</v>
      </c>
      <c r="S320" s="5" t="str">
        <f aca="false">IF(O320&lt;='Tree rules'!$C$4,IF(N320&lt;='Tree rules'!$C$5,IF(P320&lt;='Tree rules'!$C$6,"Monitor","Polymer laminate"),IF(P320&lt;='Tree rules'!$C$7,"Seal cracks","Polymer laminate")),IF(O320&lt;='Tree rules'!$C$8,IF(M320&lt;='Tree rules'!$C$9,"Steel plate or jacket","Polymer laminate"),IF(L320&lt;='Tree rules'!$C$10,"Steel plate or jacket","Polymer laminate")))</f>
        <v>Polymer laminate</v>
      </c>
      <c r="T320" s="5" t="str">
        <f aca="false">IF(S320=R320,"Yes","No")</f>
        <v>Yes</v>
      </c>
    </row>
    <row r="321" customFormat="false" ht="15" hidden="false" customHeight="false" outlineLevel="0" collapsed="false">
      <c r="A321" s="15" t="n">
        <v>456</v>
      </c>
      <c r="B321" s="16" t="n">
        <v>6.77078097301944</v>
      </c>
      <c r="C321" s="15" t="n">
        <v>230</v>
      </c>
      <c r="D321" s="15" t="n">
        <v>600</v>
      </c>
      <c r="E321" s="15" t="n">
        <v>30</v>
      </c>
      <c r="F321" s="16" t="n">
        <v>0.63117855856144</v>
      </c>
      <c r="G321" s="17" t="s">
        <v>91</v>
      </c>
      <c r="H321" s="18" t="n">
        <v>0.2</v>
      </c>
      <c r="I321" s="18" t="n">
        <v>1</v>
      </c>
      <c r="J321" s="19" t="n">
        <v>0.891481620244453</v>
      </c>
      <c r="K321" s="19" t="n">
        <v>0.51172326681693</v>
      </c>
      <c r="L321" s="16" t="n">
        <v>12.2216263050893</v>
      </c>
      <c r="M321" s="19" t="n">
        <v>0.801086240272329</v>
      </c>
      <c r="N321" s="19" t="n">
        <v>0.7981690915807</v>
      </c>
      <c r="O321" s="19" t="n">
        <v>0.891481620244453</v>
      </c>
      <c r="P321" s="19" t="n">
        <v>0.389732404694295</v>
      </c>
      <c r="Q321" s="17" t="s">
        <v>29</v>
      </c>
      <c r="R321" s="5" t="str">
        <f aca="false">IF(OR(Q321="Steel plate",Q321="Concrete jacket"),"Steel plate or jacket",Q321)</f>
        <v>Monitor</v>
      </c>
      <c r="S321" s="5" t="str">
        <f aca="false">IF(O321&lt;='Tree rules'!$C$4,IF(N321&lt;='Tree rules'!$C$5,IF(P321&lt;='Tree rules'!$C$6,"Monitor","Polymer laminate"),IF(P321&lt;='Tree rules'!$C$7,"Seal cracks","Polymer laminate")),IF(O321&lt;='Tree rules'!$C$8,IF(M321&lt;='Tree rules'!$C$9,"Steel plate or jacket","Polymer laminate"),IF(L321&lt;='Tree rules'!$C$10,"Steel plate or jacket","Polymer laminate")))</f>
        <v>Monitor</v>
      </c>
      <c r="T321" s="5" t="str">
        <f aca="false">IF(S321=R321,"Yes","No")</f>
        <v>Yes</v>
      </c>
    </row>
    <row r="322" customFormat="false" ht="15" hidden="false" customHeight="false" outlineLevel="0" collapsed="false">
      <c r="A322" s="15" t="n">
        <v>457</v>
      </c>
      <c r="B322" s="16" t="n">
        <v>3.55555737188203</v>
      </c>
      <c r="C322" s="15" t="n">
        <v>300</v>
      </c>
      <c r="D322" s="15" t="n">
        <v>300</v>
      </c>
      <c r="E322" s="15" t="n">
        <v>30</v>
      </c>
      <c r="F322" s="16" t="n">
        <v>0.791582400904515</v>
      </c>
      <c r="G322" s="17" t="s">
        <v>91</v>
      </c>
      <c r="H322" s="18" t="n">
        <v>0.2</v>
      </c>
      <c r="I322" s="18" t="n">
        <v>1</v>
      </c>
      <c r="J322" s="19" t="n">
        <v>0.907574911217585</v>
      </c>
      <c r="K322" s="19" t="n">
        <v>0.52010280313689</v>
      </c>
      <c r="L322" s="16" t="n">
        <v>13.9982573696143</v>
      </c>
      <c r="M322" s="19" t="n">
        <v>0.321822929579931</v>
      </c>
      <c r="N322" s="19" t="n">
        <v>1.20766065299303</v>
      </c>
      <c r="O322" s="19" t="n">
        <v>0.907574911217585</v>
      </c>
      <c r="P322" s="19" t="n">
        <v>0.992006176759453</v>
      </c>
      <c r="Q322" s="17" t="s">
        <v>31</v>
      </c>
      <c r="R322" s="5" t="str">
        <f aca="false">IF(OR(Q322="Steel plate",Q322="Concrete jacket"),"Steel plate or jacket",Q322)</f>
        <v>Polymer laminate</v>
      </c>
      <c r="S322" s="5" t="str">
        <f aca="false">IF(O322&lt;='Tree rules'!$C$4,IF(N322&lt;='Tree rules'!$C$5,IF(P322&lt;='Tree rules'!$C$6,"Monitor","Polymer laminate"),IF(P322&lt;='Tree rules'!$C$7,"Seal cracks","Polymer laminate")),IF(O322&lt;='Tree rules'!$C$8,IF(M322&lt;='Tree rules'!$C$9,"Steel plate or jacket","Polymer laminate"),IF(L322&lt;='Tree rules'!$C$10,"Steel plate or jacket","Polymer laminate")))</f>
        <v>Polymer laminate</v>
      </c>
      <c r="T322" s="5" t="str">
        <f aca="false">IF(S322=R322,"Yes","No")</f>
        <v>Yes</v>
      </c>
    </row>
    <row r="323" customFormat="false" ht="15" hidden="false" customHeight="false" outlineLevel="0" collapsed="false">
      <c r="A323" s="15" t="n">
        <v>458</v>
      </c>
      <c r="B323" s="16" t="n">
        <v>6.61053806478264</v>
      </c>
      <c r="C323" s="15" t="n">
        <v>300</v>
      </c>
      <c r="D323" s="15" t="n">
        <v>625</v>
      </c>
      <c r="E323" s="15" t="n">
        <v>30</v>
      </c>
      <c r="F323" s="16" t="n">
        <v>0.725960174139756</v>
      </c>
      <c r="G323" s="17" t="s">
        <v>91</v>
      </c>
      <c r="H323" s="18" t="n">
        <v>0.2</v>
      </c>
      <c r="I323" s="18" t="n">
        <v>1</v>
      </c>
      <c r="J323" s="19" t="n">
        <v>0.952329393707791</v>
      </c>
      <c r="K323" s="19" t="n">
        <v>0.615060425345277</v>
      </c>
      <c r="L323" s="16" t="n">
        <v>11.4567384138347</v>
      </c>
      <c r="M323" s="19" t="n">
        <v>0.865271568068687</v>
      </c>
      <c r="N323" s="19" t="n">
        <v>0.940425312489555</v>
      </c>
      <c r="O323" s="19" t="n">
        <v>0.952329393707791</v>
      </c>
      <c r="P323" s="19" t="n">
        <v>0.439294935987476</v>
      </c>
      <c r="Q323" s="17" t="s">
        <v>29</v>
      </c>
      <c r="R323" s="5" t="str">
        <f aca="false">IF(OR(Q323="Steel plate",Q323="Concrete jacket"),"Steel plate or jacket",Q323)</f>
        <v>Monitor</v>
      </c>
      <c r="S323" s="5" t="str">
        <f aca="false">IF(O323&lt;='Tree rules'!$C$4,IF(N323&lt;='Tree rules'!$C$5,IF(P323&lt;='Tree rules'!$C$6,"Monitor","Polymer laminate"),IF(P323&lt;='Tree rules'!$C$7,"Seal cracks","Polymer laminate")),IF(O323&lt;='Tree rules'!$C$8,IF(M323&lt;='Tree rules'!$C$9,"Steel plate or jacket","Polymer laminate"),IF(L323&lt;='Tree rules'!$C$10,"Steel plate or jacket","Polymer laminate")))</f>
        <v>Monitor</v>
      </c>
      <c r="T323" s="5" t="str">
        <f aca="false">IF(S323=R323,"Yes","No")</f>
        <v>Yes</v>
      </c>
    </row>
    <row r="324" customFormat="false" ht="15" hidden="false" customHeight="false" outlineLevel="0" collapsed="false">
      <c r="A324" s="15" t="n">
        <v>459</v>
      </c>
      <c r="B324" s="16" t="n">
        <v>5.42214162304579</v>
      </c>
      <c r="C324" s="15" t="n">
        <v>230</v>
      </c>
      <c r="D324" s="15" t="n">
        <v>425</v>
      </c>
      <c r="E324" s="15" t="n">
        <v>25</v>
      </c>
      <c r="F324" s="16" t="n">
        <v>0.691964884122107</v>
      </c>
      <c r="G324" s="17" t="s">
        <v>89</v>
      </c>
      <c r="H324" s="18" t="n">
        <v>0.3</v>
      </c>
      <c r="I324" s="18" t="n">
        <v>2</v>
      </c>
      <c r="J324" s="19" t="n">
        <v>0.868602754918564</v>
      </c>
      <c r="K324" s="19" t="n">
        <v>0.556686455217242</v>
      </c>
      <c r="L324" s="16" t="n">
        <v>14.3064422771657</v>
      </c>
      <c r="M324" s="19" t="n">
        <v>0.679027580284644</v>
      </c>
      <c r="N324" s="19" t="n">
        <v>0.899839295933094</v>
      </c>
      <c r="O324" s="19" t="n">
        <v>1.25366612120958</v>
      </c>
      <c r="P324" s="19" t="n">
        <v>0.669519114037065</v>
      </c>
      <c r="Q324" s="17" t="s">
        <v>31</v>
      </c>
      <c r="R324" s="5" t="str">
        <f aca="false">IF(OR(Q324="Steel plate",Q324="Concrete jacket"),"Steel plate or jacket",Q324)</f>
        <v>Polymer laminate</v>
      </c>
      <c r="S324" s="5" t="str">
        <f aca="false">IF(O324&lt;='Tree rules'!$C$4,IF(N324&lt;='Tree rules'!$C$5,IF(P324&lt;='Tree rules'!$C$6,"Monitor","Polymer laminate"),IF(P324&lt;='Tree rules'!$C$7,"Seal cracks","Polymer laminate")),IF(O324&lt;='Tree rules'!$C$8,IF(M324&lt;='Tree rules'!$C$9,"Steel plate or jacket","Polymer laminate"),IF(L324&lt;='Tree rules'!$C$10,"Steel plate or jacket","Polymer laminate")))</f>
        <v>Polymer laminate</v>
      </c>
      <c r="T324" s="5" t="str">
        <f aca="false">IF(S324=R324,"Yes","No")</f>
        <v>Yes</v>
      </c>
    </row>
    <row r="325" customFormat="false" ht="15" hidden="false" customHeight="false" outlineLevel="0" collapsed="false">
      <c r="A325" s="15" t="n">
        <v>461</v>
      </c>
      <c r="B325" s="16" t="n">
        <v>4.28481313603004</v>
      </c>
      <c r="C325" s="15" t="n">
        <v>300</v>
      </c>
      <c r="D325" s="15" t="n">
        <v>350</v>
      </c>
      <c r="E325" s="15" t="n">
        <v>25</v>
      </c>
      <c r="F325" s="16" t="n">
        <v>0.61599855952741</v>
      </c>
      <c r="G325" s="17" t="s">
        <v>89</v>
      </c>
      <c r="H325" s="18" t="n">
        <v>0.3</v>
      </c>
      <c r="I325" s="18" t="n">
        <v>2</v>
      </c>
      <c r="J325" s="19" t="n">
        <v>0.908936977750694</v>
      </c>
      <c r="K325" s="19" t="n">
        <v>0.462998172499501</v>
      </c>
      <c r="L325" s="16" t="n">
        <v>14.0026573072877</v>
      </c>
      <c r="M325" s="19" t="n">
        <v>0.650917286116362</v>
      </c>
      <c r="N325" s="19" t="n">
        <v>0.951723351124454</v>
      </c>
      <c r="O325" s="19" t="n">
        <v>1.3970377958856</v>
      </c>
      <c r="P325" s="19" t="n">
        <v>0.595798526674014</v>
      </c>
      <c r="Q325" s="17" t="s">
        <v>31</v>
      </c>
      <c r="R325" s="5" t="str">
        <f aca="false">IF(OR(Q325="Steel plate",Q325="Concrete jacket"),"Steel plate or jacket",Q325)</f>
        <v>Polymer laminate</v>
      </c>
      <c r="S325" s="5" t="str">
        <f aca="false">IF(O325&lt;='Tree rules'!$C$4,IF(N325&lt;='Tree rules'!$C$5,IF(P325&lt;='Tree rules'!$C$6,"Monitor","Polymer laminate"),IF(P325&lt;='Tree rules'!$C$7,"Seal cracks","Polymer laminate")),IF(O325&lt;='Tree rules'!$C$8,IF(M325&lt;='Tree rules'!$C$9,"Steel plate or jacket","Polymer laminate"),IF(L325&lt;='Tree rules'!$C$10,"Steel plate or jacket","Polymer laminate")))</f>
        <v>Polymer laminate</v>
      </c>
      <c r="T325" s="5" t="str">
        <f aca="false">IF(S325=R325,"Yes","No")</f>
        <v>Yes</v>
      </c>
    </row>
    <row r="326" customFormat="false" ht="15" hidden="false" customHeight="false" outlineLevel="0" collapsed="false">
      <c r="A326" s="15" t="n">
        <v>462</v>
      </c>
      <c r="B326" s="16" t="n">
        <v>4.66492403139215</v>
      </c>
      <c r="C326" s="15" t="n">
        <v>230</v>
      </c>
      <c r="D326" s="15" t="n">
        <v>400</v>
      </c>
      <c r="E326" s="15" t="n">
        <v>30</v>
      </c>
      <c r="F326" s="16" t="n">
        <v>0.776085141697083</v>
      </c>
      <c r="G326" s="17" t="s">
        <v>89</v>
      </c>
      <c r="H326" s="18" t="n">
        <v>0.3</v>
      </c>
      <c r="I326" s="18" t="n">
        <v>1</v>
      </c>
      <c r="J326" s="19" t="n">
        <v>0.916606153809903</v>
      </c>
      <c r="K326" s="19" t="n">
        <v>0.551437013062641</v>
      </c>
      <c r="L326" s="16" t="n">
        <v>13.2526250891822</v>
      </c>
      <c r="M326" s="19" t="n">
        <v>0.488564543438391</v>
      </c>
      <c r="N326" s="19" t="n">
        <v>0.878234197130586</v>
      </c>
      <c r="O326" s="19" t="n">
        <v>0.916606153809903</v>
      </c>
      <c r="P326" s="19" t="n">
        <v>0.721289956925564</v>
      </c>
      <c r="Q326" s="17" t="s">
        <v>29</v>
      </c>
      <c r="R326" s="5" t="str">
        <f aca="false">IF(OR(Q326="Steel plate",Q326="Concrete jacket"),"Steel plate or jacket",Q326)</f>
        <v>Monitor</v>
      </c>
      <c r="S326" s="5" t="str">
        <f aca="false">IF(O326&lt;='Tree rules'!$C$4,IF(N326&lt;='Tree rules'!$C$5,IF(P326&lt;='Tree rules'!$C$6,"Monitor","Polymer laminate"),IF(P326&lt;='Tree rules'!$C$7,"Seal cracks","Polymer laminate")),IF(O326&lt;='Tree rules'!$C$8,IF(M326&lt;='Tree rules'!$C$9,"Steel plate or jacket","Polymer laminate"),IF(L326&lt;='Tree rules'!$C$10,"Steel plate or jacket","Polymer laminate")))</f>
        <v>Monitor</v>
      </c>
      <c r="T326" s="5" t="str">
        <f aca="false">IF(S326=R326,"Yes","No")</f>
        <v>Yes</v>
      </c>
    </row>
    <row r="327" customFormat="false" ht="15" hidden="false" customHeight="false" outlineLevel="0" collapsed="false">
      <c r="A327" s="15" t="n">
        <v>465</v>
      </c>
      <c r="B327" s="16" t="n">
        <v>4.0130620569001</v>
      </c>
      <c r="C327" s="15" t="n">
        <v>300</v>
      </c>
      <c r="D327" s="15" t="n">
        <v>350</v>
      </c>
      <c r="E327" s="15" t="n">
        <v>30</v>
      </c>
      <c r="F327" s="16" t="n">
        <v>0.693508312050727</v>
      </c>
      <c r="G327" s="17" t="s">
        <v>91</v>
      </c>
      <c r="H327" s="18" t="n">
        <v>0.2</v>
      </c>
      <c r="I327" s="18" t="n">
        <v>2</v>
      </c>
      <c r="J327" s="19" t="n">
        <v>0.871485516668566</v>
      </c>
      <c r="K327" s="19" t="n">
        <v>0.52408503659992</v>
      </c>
      <c r="L327" s="16" t="n">
        <v>13.2882849566228</v>
      </c>
      <c r="M327" s="19" t="n">
        <v>0.318150068525757</v>
      </c>
      <c r="N327" s="19" t="n">
        <v>2.29553997124148</v>
      </c>
      <c r="O327" s="19" t="n">
        <v>1.28623851443759</v>
      </c>
      <c r="P327" s="19" t="n">
        <v>1.08329389528219</v>
      </c>
      <c r="Q327" s="17" t="s">
        <v>31</v>
      </c>
      <c r="R327" s="5" t="str">
        <f aca="false">IF(OR(Q327="Steel plate",Q327="Concrete jacket"),"Steel plate or jacket",Q327)</f>
        <v>Polymer laminate</v>
      </c>
      <c r="S327" s="5" t="str">
        <f aca="false">IF(O327&lt;='Tree rules'!$C$4,IF(N327&lt;='Tree rules'!$C$5,IF(P327&lt;='Tree rules'!$C$6,"Monitor","Polymer laminate"),IF(P327&lt;='Tree rules'!$C$7,"Seal cracks","Polymer laminate")),IF(O327&lt;='Tree rules'!$C$8,IF(M327&lt;='Tree rules'!$C$9,"Steel plate or jacket","Polymer laminate"),IF(L327&lt;='Tree rules'!$C$10,"Steel plate or jacket","Polymer laminate")))</f>
        <v>Polymer laminate</v>
      </c>
      <c r="T327" s="5" t="str">
        <f aca="false">IF(S327=R327,"Yes","No")</f>
        <v>Yes</v>
      </c>
    </row>
    <row r="328" customFormat="false" ht="15" hidden="false" customHeight="false" outlineLevel="0" collapsed="false">
      <c r="A328" s="15" t="n">
        <v>467</v>
      </c>
      <c r="B328" s="16" t="n">
        <v>6.9840958760552</v>
      </c>
      <c r="C328" s="15" t="n">
        <v>300</v>
      </c>
      <c r="D328" s="15" t="n">
        <v>650</v>
      </c>
      <c r="E328" s="15" t="n">
        <v>25</v>
      </c>
      <c r="F328" s="16" t="n">
        <v>0.695812326376477</v>
      </c>
      <c r="G328" s="17" t="s">
        <v>91</v>
      </c>
      <c r="H328" s="18" t="n">
        <v>0.2</v>
      </c>
      <c r="I328" s="18" t="n">
        <v>1.5</v>
      </c>
      <c r="J328" s="19" t="n">
        <v>0.926951460669792</v>
      </c>
      <c r="K328" s="19" t="n">
        <v>0.491531134464438</v>
      </c>
      <c r="L328" s="16" t="n">
        <v>11.6014881662047</v>
      </c>
      <c r="M328" s="19" t="n">
        <v>0.682407794250305</v>
      </c>
      <c r="N328" s="19" t="n">
        <v>1.19304847798178</v>
      </c>
      <c r="O328" s="19" t="n">
        <v>1.16261443947644</v>
      </c>
      <c r="P328" s="19" t="n">
        <v>0.567295735339637</v>
      </c>
      <c r="Q328" s="17" t="s">
        <v>31</v>
      </c>
      <c r="R328" s="5" t="str">
        <f aca="false">IF(OR(Q328="Steel plate",Q328="Concrete jacket"),"Steel plate or jacket",Q328)</f>
        <v>Polymer laminate</v>
      </c>
      <c r="S328" s="5" t="str">
        <f aca="false">IF(O328&lt;='Tree rules'!$C$4,IF(N328&lt;='Tree rules'!$C$5,IF(P328&lt;='Tree rules'!$C$6,"Monitor","Polymer laminate"),IF(P328&lt;='Tree rules'!$C$7,"Seal cracks","Polymer laminate")),IF(O328&lt;='Tree rules'!$C$8,IF(M328&lt;='Tree rules'!$C$9,"Steel plate or jacket","Polymer laminate"),IF(L328&lt;='Tree rules'!$C$10,"Steel plate or jacket","Polymer laminate")))</f>
        <v>Polymer laminate</v>
      </c>
      <c r="T328" s="5" t="str">
        <f aca="false">IF(S328=R328,"Yes","No")</f>
        <v>Yes</v>
      </c>
    </row>
    <row r="329" customFormat="false" ht="15" hidden="false" customHeight="false" outlineLevel="0" collapsed="false">
      <c r="A329" s="15" t="n">
        <v>469</v>
      </c>
      <c r="B329" s="16" t="n">
        <v>5.74930300930714</v>
      </c>
      <c r="C329" s="15" t="n">
        <v>300</v>
      </c>
      <c r="D329" s="15" t="n">
        <v>525</v>
      </c>
      <c r="E329" s="15" t="n">
        <v>20</v>
      </c>
      <c r="F329" s="16" t="n">
        <v>0.699589178252424</v>
      </c>
      <c r="G329" s="17" t="s">
        <v>89</v>
      </c>
      <c r="H329" s="18" t="n">
        <v>0.3</v>
      </c>
      <c r="I329" s="18" t="n">
        <v>2</v>
      </c>
      <c r="J329" s="19" t="n">
        <v>0.90644050784154</v>
      </c>
      <c r="K329" s="19" t="n">
        <v>0.448555069751611</v>
      </c>
      <c r="L329" s="16" t="n">
        <v>12.0027202699523</v>
      </c>
      <c r="M329" s="19" t="n">
        <v>0.88708904371087</v>
      </c>
      <c r="N329" s="19" t="n">
        <v>0.873640701123846</v>
      </c>
      <c r="O329" s="19" t="n">
        <v>1.40629253046253</v>
      </c>
      <c r="P329" s="19" t="n">
        <v>0.514379608521349</v>
      </c>
      <c r="Q329" s="17" t="s">
        <v>92</v>
      </c>
      <c r="R329" s="5" t="str">
        <f aca="false">IF(OR(Q329="Steel plate",Q329="Concrete jacket"),"Steel plate or jacket",Q329)</f>
        <v>Steel plate or jacket</v>
      </c>
      <c r="S329" s="5" t="str">
        <f aca="false">IF(O329&lt;='Tree rules'!$C$4,IF(N329&lt;='Tree rules'!$C$5,IF(P329&lt;='Tree rules'!$C$6,"Monitor","Polymer laminate"),IF(P329&lt;='Tree rules'!$C$7,"Seal cracks","Polymer laminate")),IF(O329&lt;='Tree rules'!$C$8,IF(M329&lt;='Tree rules'!$C$9,"Steel plate or jacket","Polymer laminate"),IF(L329&lt;='Tree rules'!$C$10,"Steel plate or jacket","Polymer laminate")))</f>
        <v>Steel plate or jacket</v>
      </c>
      <c r="T329" s="5" t="str">
        <f aca="false">IF(S329=R329,"Yes","No")</f>
        <v>Yes</v>
      </c>
    </row>
    <row r="330" customFormat="false" ht="15" hidden="false" customHeight="false" outlineLevel="0" collapsed="false">
      <c r="A330" s="15" t="n">
        <v>470</v>
      </c>
      <c r="B330" s="16" t="n">
        <v>5.70071261099109</v>
      </c>
      <c r="C330" s="15" t="n">
        <v>230</v>
      </c>
      <c r="D330" s="15" t="n">
        <v>550</v>
      </c>
      <c r="E330" s="15" t="n">
        <v>30</v>
      </c>
      <c r="F330" s="16" t="n">
        <v>0.520346609290235</v>
      </c>
      <c r="G330" s="17" t="s">
        <v>89</v>
      </c>
      <c r="H330" s="18" t="n">
        <v>0.3</v>
      </c>
      <c r="I330" s="18" t="n">
        <v>1</v>
      </c>
      <c r="J330" s="19" t="n">
        <v>0.898028806921067</v>
      </c>
      <c r="K330" s="19" t="n">
        <v>0.460674478402699</v>
      </c>
      <c r="L330" s="16" t="n">
        <v>11.3109377202204</v>
      </c>
      <c r="M330" s="19" t="n">
        <v>0.286550327208486</v>
      </c>
      <c r="N330" s="19" t="n">
        <v>0.677194642071363</v>
      </c>
      <c r="O330" s="19" t="n">
        <v>0.898028806921067</v>
      </c>
      <c r="P330" s="19" t="n">
        <v>0.739144015080531</v>
      </c>
      <c r="Q330" s="17" t="s">
        <v>29</v>
      </c>
      <c r="R330" s="5" t="str">
        <f aca="false">IF(OR(Q330="Steel plate",Q330="Concrete jacket"),"Steel plate or jacket",Q330)</f>
        <v>Monitor</v>
      </c>
      <c r="S330" s="5" t="str">
        <f aca="false">IF(O330&lt;='Tree rules'!$C$4,IF(N330&lt;='Tree rules'!$C$5,IF(P330&lt;='Tree rules'!$C$6,"Monitor","Polymer laminate"),IF(P330&lt;='Tree rules'!$C$7,"Seal cracks","Polymer laminate")),IF(O330&lt;='Tree rules'!$C$8,IF(M330&lt;='Tree rules'!$C$9,"Steel plate or jacket","Polymer laminate"),IF(L330&lt;='Tree rules'!$C$10,"Steel plate or jacket","Polymer laminate")))</f>
        <v>Monitor</v>
      </c>
      <c r="T330" s="5" t="str">
        <f aca="false">IF(S330=R330,"Yes","No")</f>
        <v>Yes</v>
      </c>
    </row>
    <row r="331" customFormat="false" ht="15" hidden="false" customHeight="false" outlineLevel="0" collapsed="false">
      <c r="A331" s="15" t="n">
        <v>471</v>
      </c>
      <c r="B331" s="16" t="n">
        <v>7.22574995881371</v>
      </c>
      <c r="C331" s="15" t="n">
        <v>300</v>
      </c>
      <c r="D331" s="15" t="n">
        <v>675</v>
      </c>
      <c r="E331" s="15" t="n">
        <v>25</v>
      </c>
      <c r="F331" s="16" t="n">
        <v>0.668068613203571</v>
      </c>
      <c r="G331" s="17" t="s">
        <v>89</v>
      </c>
      <c r="H331" s="18" t="n">
        <v>0.3</v>
      </c>
      <c r="I331" s="18" t="n">
        <v>2</v>
      </c>
      <c r="J331" s="19" t="n">
        <v>0.891865610325003</v>
      </c>
      <c r="K331" s="19" t="n">
        <v>0.423092568054602</v>
      </c>
      <c r="L331" s="16" t="n">
        <v>11.5243221033711</v>
      </c>
      <c r="M331" s="19" t="n">
        <v>0.786526484526978</v>
      </c>
      <c r="N331" s="19" t="n">
        <v>0.955914153898671</v>
      </c>
      <c r="O331" s="19" t="n">
        <v>1.40638950921802</v>
      </c>
      <c r="P331" s="19" t="n">
        <v>0.511435895846555</v>
      </c>
      <c r="Q331" s="17" t="s">
        <v>92</v>
      </c>
      <c r="R331" s="5" t="str">
        <f aca="false">IF(OR(Q331="Steel plate",Q331="Concrete jacket"),"Steel plate or jacket",Q331)</f>
        <v>Steel plate or jacket</v>
      </c>
      <c r="S331" s="5" t="str">
        <f aca="false">IF(O331&lt;='Tree rules'!$C$4,IF(N331&lt;='Tree rules'!$C$5,IF(P331&lt;='Tree rules'!$C$6,"Monitor","Polymer laminate"),IF(P331&lt;='Tree rules'!$C$7,"Seal cracks","Polymer laminate")),IF(O331&lt;='Tree rules'!$C$8,IF(M331&lt;='Tree rules'!$C$9,"Steel plate or jacket","Polymer laminate"),IF(L331&lt;='Tree rules'!$C$10,"Steel plate or jacket","Polymer laminate")))</f>
        <v>Steel plate or jacket</v>
      </c>
      <c r="T331" s="5" t="str">
        <f aca="false">IF(S331=R331,"Yes","No")</f>
        <v>Yes</v>
      </c>
    </row>
    <row r="332" customFormat="false" ht="15" hidden="false" customHeight="false" outlineLevel="0" collapsed="false">
      <c r="A332" s="15" t="n">
        <v>472</v>
      </c>
      <c r="B332" s="16" t="n">
        <v>3.43886374892569</v>
      </c>
      <c r="C332" s="15" t="n">
        <v>230</v>
      </c>
      <c r="D332" s="15" t="n">
        <v>325</v>
      </c>
      <c r="E332" s="15" t="n">
        <v>30</v>
      </c>
      <c r="F332" s="16" t="n">
        <v>0.699968036696473</v>
      </c>
      <c r="G332" s="17" t="s">
        <v>89</v>
      </c>
      <c r="H332" s="18" t="n">
        <v>0.3</v>
      </c>
      <c r="I332" s="18" t="n">
        <v>1.5</v>
      </c>
      <c r="J332" s="19" t="n">
        <v>0.878833419660816</v>
      </c>
      <c r="K332" s="19" t="n">
        <v>0.635115408835178</v>
      </c>
      <c r="L332" s="16" t="n">
        <v>12.237949284433</v>
      </c>
      <c r="M332" s="19" t="n">
        <v>0.411074816098585</v>
      </c>
      <c r="N332" s="19" t="n">
        <v>0.729795253393431</v>
      </c>
      <c r="O332" s="19" t="n">
        <v>1.03916980617828</v>
      </c>
      <c r="P332" s="19" t="n">
        <v>0.750995433925393</v>
      </c>
      <c r="Q332" s="17" t="s">
        <v>31</v>
      </c>
      <c r="R332" s="5" t="str">
        <f aca="false">IF(OR(Q332="Steel plate",Q332="Concrete jacket"),"Steel plate or jacket",Q332)</f>
        <v>Polymer laminate</v>
      </c>
      <c r="S332" s="5" t="str">
        <f aca="false">IF(O332&lt;='Tree rules'!$C$4,IF(N332&lt;='Tree rules'!$C$5,IF(P332&lt;='Tree rules'!$C$6,"Monitor","Polymer laminate"),IF(P332&lt;='Tree rules'!$C$7,"Seal cracks","Polymer laminate")),IF(O332&lt;='Tree rules'!$C$8,IF(M332&lt;='Tree rules'!$C$9,"Steel plate or jacket","Polymer laminate"),IF(L332&lt;='Tree rules'!$C$10,"Steel plate or jacket","Polymer laminate")))</f>
        <v>Polymer laminate</v>
      </c>
      <c r="T332" s="5" t="str">
        <f aca="false">IF(S332=R332,"Yes","No")</f>
        <v>Yes</v>
      </c>
    </row>
    <row r="333" customFormat="false" ht="15" hidden="false" customHeight="false" outlineLevel="0" collapsed="false">
      <c r="A333" s="15" t="n">
        <v>473</v>
      </c>
      <c r="B333" s="16" t="n">
        <v>5.97482792626481</v>
      </c>
      <c r="C333" s="15" t="n">
        <v>230</v>
      </c>
      <c r="D333" s="15" t="n">
        <v>550</v>
      </c>
      <c r="E333" s="15" t="n">
        <v>30</v>
      </c>
      <c r="F333" s="16" t="n">
        <v>0.693795479053647</v>
      </c>
      <c r="G333" s="17" t="s">
        <v>89</v>
      </c>
      <c r="H333" s="18" t="n">
        <v>0.3</v>
      </c>
      <c r="I333" s="18" t="n">
        <v>2</v>
      </c>
      <c r="J333" s="19" t="n">
        <v>0.880471724298255</v>
      </c>
      <c r="K333" s="19" t="n">
        <v>0.529935853398601</v>
      </c>
      <c r="L333" s="16" t="n">
        <v>11.8548173140175</v>
      </c>
      <c r="M333" s="19" t="n">
        <v>0.30229189357611</v>
      </c>
      <c r="N333" s="19" t="n">
        <v>0.8866392754644</v>
      </c>
      <c r="O333" s="19" t="n">
        <v>1.29434991398718</v>
      </c>
      <c r="P333" s="19" t="n">
        <v>1.21872270031973</v>
      </c>
      <c r="Q333" s="17" t="s">
        <v>92</v>
      </c>
      <c r="R333" s="5" t="str">
        <f aca="false">IF(OR(Q333="Steel plate",Q333="Concrete jacket"),"Steel plate or jacket",Q333)</f>
        <v>Steel plate or jacket</v>
      </c>
      <c r="S333" s="5" t="str">
        <f aca="false">IF(O333&lt;='Tree rules'!$C$4,IF(N333&lt;='Tree rules'!$C$5,IF(P333&lt;='Tree rules'!$C$6,"Monitor","Polymer laminate"),IF(P333&lt;='Tree rules'!$C$7,"Seal cracks","Polymer laminate")),IF(O333&lt;='Tree rules'!$C$8,IF(M333&lt;='Tree rules'!$C$9,"Steel plate or jacket","Polymer laminate"),IF(L333&lt;='Tree rules'!$C$10,"Steel plate or jacket","Polymer laminate")))</f>
        <v>Steel plate or jacket</v>
      </c>
      <c r="T333" s="5" t="str">
        <f aca="false">IF(S333=R333,"Yes","No")</f>
        <v>Yes</v>
      </c>
    </row>
    <row r="334" customFormat="false" ht="15" hidden="false" customHeight="false" outlineLevel="0" collapsed="false">
      <c r="A334" s="15" t="n">
        <v>474</v>
      </c>
      <c r="B334" s="16" t="n">
        <v>6.36364128696851</v>
      </c>
      <c r="C334" s="15" t="n">
        <v>230</v>
      </c>
      <c r="D334" s="15" t="n">
        <v>575</v>
      </c>
      <c r="E334" s="15" t="n">
        <v>30</v>
      </c>
      <c r="F334" s="16" t="n">
        <v>0.661007412935799</v>
      </c>
      <c r="G334" s="17" t="s">
        <v>91</v>
      </c>
      <c r="H334" s="18" t="n">
        <v>0.2</v>
      </c>
      <c r="I334" s="18" t="n">
        <v>1.5</v>
      </c>
      <c r="J334" s="19" t="n">
        <v>0.920508118736204</v>
      </c>
      <c r="K334" s="19" t="n">
        <v>0.609757009847091</v>
      </c>
      <c r="L334" s="16" t="n">
        <v>12.029567650224</v>
      </c>
      <c r="M334" s="19" t="n">
        <v>0.417621081449852</v>
      </c>
      <c r="N334" s="19" t="n">
        <v>1.10118699804597</v>
      </c>
      <c r="O334" s="19" t="n">
        <v>1.10011903909403</v>
      </c>
      <c r="P334" s="19" t="n">
        <v>0.865559757263331</v>
      </c>
      <c r="Q334" s="17" t="s">
        <v>31</v>
      </c>
      <c r="R334" s="5" t="str">
        <f aca="false">IF(OR(Q334="Steel plate",Q334="Concrete jacket"),"Steel plate or jacket",Q334)</f>
        <v>Polymer laminate</v>
      </c>
      <c r="S334" s="5" t="str">
        <f aca="false">IF(O334&lt;='Tree rules'!$C$4,IF(N334&lt;='Tree rules'!$C$5,IF(P334&lt;='Tree rules'!$C$6,"Monitor","Polymer laminate"),IF(P334&lt;='Tree rules'!$C$7,"Seal cracks","Polymer laminate")),IF(O334&lt;='Tree rules'!$C$8,IF(M334&lt;='Tree rules'!$C$9,"Steel plate or jacket","Polymer laminate"),IF(L334&lt;='Tree rules'!$C$10,"Steel plate or jacket","Polymer laminate")))</f>
        <v>Polymer laminate</v>
      </c>
      <c r="T334" s="5" t="str">
        <f aca="false">IF(S334=R334,"Yes","No")</f>
        <v>Yes</v>
      </c>
    </row>
    <row r="335" customFormat="false" ht="15" hidden="false" customHeight="false" outlineLevel="0" collapsed="false">
      <c r="A335" s="15" t="n">
        <v>475</v>
      </c>
      <c r="B335" s="16" t="n">
        <v>4.82831194750061</v>
      </c>
      <c r="C335" s="15" t="n">
        <v>300</v>
      </c>
      <c r="D335" s="15" t="n">
        <v>475</v>
      </c>
      <c r="E335" s="15" t="n">
        <v>25</v>
      </c>
      <c r="F335" s="16" t="n">
        <v>0.762522488735387</v>
      </c>
      <c r="G335" s="17" t="s">
        <v>90</v>
      </c>
      <c r="H335" s="18" t="n">
        <v>0.1</v>
      </c>
      <c r="I335" s="18" t="n">
        <v>2</v>
      </c>
      <c r="J335" s="19" t="n">
        <v>0.885981752975068</v>
      </c>
      <c r="K335" s="19" t="n">
        <v>0.540819330539851</v>
      </c>
      <c r="L335" s="16" t="n">
        <v>11.7192037560694</v>
      </c>
      <c r="M335" s="19" t="n">
        <v>0.757424793453246</v>
      </c>
      <c r="N335" s="19" t="n">
        <v>3.77122709744736</v>
      </c>
      <c r="O335" s="19" t="n">
        <v>1.29280744743564</v>
      </c>
      <c r="P335" s="19" t="n">
        <v>0.509419257423843</v>
      </c>
      <c r="Q335" s="17" t="s">
        <v>31</v>
      </c>
      <c r="R335" s="5" t="str">
        <f aca="false">IF(OR(Q335="Steel plate",Q335="Concrete jacket"),"Steel plate or jacket",Q335)</f>
        <v>Polymer laminate</v>
      </c>
      <c r="S335" s="5" t="str">
        <f aca="false">IF(O335&lt;='Tree rules'!$C$4,IF(N335&lt;='Tree rules'!$C$5,IF(P335&lt;='Tree rules'!$C$6,"Monitor","Polymer laminate"),IF(P335&lt;='Tree rules'!$C$7,"Seal cracks","Polymer laminate")),IF(O335&lt;='Tree rules'!$C$8,IF(M335&lt;='Tree rules'!$C$9,"Steel plate or jacket","Polymer laminate"),IF(L335&lt;='Tree rules'!$C$10,"Steel plate or jacket","Polymer laminate")))</f>
        <v>Polymer laminate</v>
      </c>
      <c r="T335" s="5" t="str">
        <f aca="false">IF(S335=R335,"Yes","No")</f>
        <v>Yes</v>
      </c>
    </row>
    <row r="336" customFormat="false" ht="15" hidden="false" customHeight="false" outlineLevel="0" collapsed="false">
      <c r="A336" s="15" t="n">
        <v>476</v>
      </c>
      <c r="B336" s="16" t="n">
        <v>4.24317169761398</v>
      </c>
      <c r="C336" s="15" t="n">
        <v>300</v>
      </c>
      <c r="D336" s="15" t="n">
        <v>400</v>
      </c>
      <c r="E336" s="15" t="n">
        <v>30</v>
      </c>
      <c r="F336" s="16" t="n">
        <v>0.635378289490071</v>
      </c>
      <c r="G336" s="17" t="s">
        <v>89</v>
      </c>
      <c r="H336" s="18" t="n">
        <v>0.3</v>
      </c>
      <c r="I336" s="18" t="n">
        <v>1</v>
      </c>
      <c r="J336" s="19" t="n">
        <v>0.913865406296207</v>
      </c>
      <c r="K336" s="19" t="n">
        <v>0.537684077686028</v>
      </c>
      <c r="L336" s="16" t="n">
        <v>11.9190216225112</v>
      </c>
      <c r="M336" s="19" t="n">
        <v>0.733291669020804</v>
      </c>
      <c r="N336" s="19" t="n">
        <v>0.562461460970296</v>
      </c>
      <c r="O336" s="19" t="n">
        <v>0.913865406296207</v>
      </c>
      <c r="P336" s="19" t="n">
        <v>0.387741923180574</v>
      </c>
      <c r="Q336" s="17" t="s">
        <v>29</v>
      </c>
      <c r="R336" s="5" t="str">
        <f aca="false">IF(OR(Q336="Steel plate",Q336="Concrete jacket"),"Steel plate or jacket",Q336)</f>
        <v>Monitor</v>
      </c>
      <c r="S336" s="5" t="str">
        <f aca="false">IF(O336&lt;='Tree rules'!$C$4,IF(N336&lt;='Tree rules'!$C$5,IF(P336&lt;='Tree rules'!$C$6,"Monitor","Polymer laminate"),IF(P336&lt;='Tree rules'!$C$7,"Seal cracks","Polymer laminate")),IF(O336&lt;='Tree rules'!$C$8,IF(M336&lt;='Tree rules'!$C$9,"Steel plate or jacket","Polymer laminate"),IF(L336&lt;='Tree rules'!$C$10,"Steel plate or jacket","Polymer laminate")))</f>
        <v>Monitor</v>
      </c>
      <c r="T336" s="5" t="str">
        <f aca="false">IF(S336=R336,"Yes","No")</f>
        <v>Yes</v>
      </c>
    </row>
    <row r="337" customFormat="false" ht="15" hidden="false" customHeight="false" outlineLevel="0" collapsed="false">
      <c r="A337" s="15" t="n">
        <v>477</v>
      </c>
      <c r="B337" s="16" t="n">
        <v>4.66953076237599</v>
      </c>
      <c r="C337" s="15" t="n">
        <v>300</v>
      </c>
      <c r="D337" s="15" t="n">
        <v>375</v>
      </c>
      <c r="E337" s="15" t="n">
        <v>30</v>
      </c>
      <c r="F337" s="16" t="n">
        <v>0.671280481536281</v>
      </c>
      <c r="G337" s="17" t="s">
        <v>90</v>
      </c>
      <c r="H337" s="18" t="n">
        <v>0.1</v>
      </c>
      <c r="I337" s="18" t="n">
        <v>1</v>
      </c>
      <c r="J337" s="19" t="n">
        <v>0.90223052598848</v>
      </c>
      <c r="K337" s="19" t="n">
        <v>0.493148218652022</v>
      </c>
      <c r="L337" s="16" t="n">
        <v>14.9664447512051</v>
      </c>
      <c r="M337" s="19" t="n">
        <v>0.939603123047839</v>
      </c>
      <c r="N337" s="19" t="n">
        <v>3.02053248419584</v>
      </c>
      <c r="O337" s="19" t="n">
        <v>0.90223052598848</v>
      </c>
      <c r="P337" s="19" t="n">
        <v>0.32842559859652</v>
      </c>
      <c r="Q337" s="17" t="s">
        <v>30</v>
      </c>
      <c r="R337" s="5" t="str">
        <f aca="false">IF(OR(Q337="Steel plate",Q337="Concrete jacket"),"Steel plate or jacket",Q337)</f>
        <v>Seal cracks</v>
      </c>
      <c r="S337" s="5" t="str">
        <f aca="false">IF(O337&lt;='Tree rules'!$C$4,IF(N337&lt;='Tree rules'!$C$5,IF(P337&lt;='Tree rules'!$C$6,"Monitor","Polymer laminate"),IF(P337&lt;='Tree rules'!$C$7,"Seal cracks","Polymer laminate")),IF(O337&lt;='Tree rules'!$C$8,IF(M337&lt;='Tree rules'!$C$9,"Steel plate or jacket","Polymer laminate"),IF(L337&lt;='Tree rules'!$C$10,"Steel plate or jacket","Polymer laminate")))</f>
        <v>Seal cracks</v>
      </c>
      <c r="T337" s="5" t="str">
        <f aca="false">IF(S337=R337,"Yes","No")</f>
        <v>Yes</v>
      </c>
    </row>
    <row r="338" customFormat="false" ht="15" hidden="false" customHeight="false" outlineLevel="0" collapsed="false">
      <c r="A338" s="15" t="n">
        <v>478</v>
      </c>
      <c r="B338" s="16" t="n">
        <v>5.41591506771666</v>
      </c>
      <c r="C338" s="15" t="n">
        <v>230</v>
      </c>
      <c r="D338" s="15" t="n">
        <v>450</v>
      </c>
      <c r="E338" s="15" t="n">
        <v>30</v>
      </c>
      <c r="F338" s="16" t="n">
        <v>0.649145274956135</v>
      </c>
      <c r="G338" s="17" t="s">
        <v>91</v>
      </c>
      <c r="H338" s="18" t="n">
        <v>0.2</v>
      </c>
      <c r="I338" s="18" t="n">
        <v>1</v>
      </c>
      <c r="J338" s="19" t="n">
        <v>0.948711556271131</v>
      </c>
      <c r="K338" s="19" t="n">
        <v>0.464469262874534</v>
      </c>
      <c r="L338" s="16" t="n">
        <v>13.4057303656353</v>
      </c>
      <c r="M338" s="19" t="n">
        <v>0.726143918008805</v>
      </c>
      <c r="N338" s="19" t="n">
        <v>0.983755831121027</v>
      </c>
      <c r="O338" s="19" t="n">
        <v>0.948711556271131</v>
      </c>
      <c r="P338" s="19" t="n">
        <v>0.445449228916721</v>
      </c>
      <c r="Q338" s="17" t="s">
        <v>29</v>
      </c>
      <c r="R338" s="5" t="str">
        <f aca="false">IF(OR(Q338="Steel plate",Q338="Concrete jacket"),"Steel plate or jacket",Q338)</f>
        <v>Monitor</v>
      </c>
      <c r="S338" s="5" t="str">
        <f aca="false">IF(O338&lt;='Tree rules'!$C$4,IF(N338&lt;='Tree rules'!$C$5,IF(P338&lt;='Tree rules'!$C$6,"Monitor","Polymer laminate"),IF(P338&lt;='Tree rules'!$C$7,"Seal cracks","Polymer laminate")),IF(O338&lt;='Tree rules'!$C$8,IF(M338&lt;='Tree rules'!$C$9,"Steel plate or jacket","Polymer laminate"),IF(L338&lt;='Tree rules'!$C$10,"Steel plate or jacket","Polymer laminate")))</f>
        <v>Monitor</v>
      </c>
      <c r="T338" s="5" t="str">
        <f aca="false">IF(S338=R338,"Yes","No")</f>
        <v>Yes</v>
      </c>
    </row>
    <row r="339" customFormat="false" ht="15" hidden="false" customHeight="false" outlineLevel="0" collapsed="false">
      <c r="A339" s="15" t="n">
        <v>479</v>
      </c>
      <c r="B339" s="16" t="n">
        <v>5.40059465833069</v>
      </c>
      <c r="C339" s="15" t="n">
        <v>300</v>
      </c>
      <c r="D339" s="15" t="n">
        <v>500</v>
      </c>
      <c r="E339" s="15" t="n">
        <v>25</v>
      </c>
      <c r="F339" s="16" t="n">
        <v>0.695042622475618</v>
      </c>
      <c r="G339" s="17" t="s">
        <v>89</v>
      </c>
      <c r="H339" s="18" t="n">
        <v>0.3</v>
      </c>
      <c r="I339" s="18" t="n">
        <v>1</v>
      </c>
      <c r="J339" s="19" t="n">
        <v>0.983730833776142</v>
      </c>
      <c r="K339" s="19" t="n">
        <v>0.519549548536148</v>
      </c>
      <c r="L339" s="16" t="n">
        <v>11.9482182706431</v>
      </c>
      <c r="M339" s="19" t="n">
        <v>0.591696522142099</v>
      </c>
      <c r="N339" s="19" t="n">
        <v>0.804593214346046</v>
      </c>
      <c r="O339" s="19" t="n">
        <v>0.983730833776142</v>
      </c>
      <c r="P339" s="19" t="n">
        <v>0.597511642499077</v>
      </c>
      <c r="Q339" s="17" t="s">
        <v>29</v>
      </c>
      <c r="R339" s="5" t="str">
        <f aca="false">IF(OR(Q339="Steel plate",Q339="Concrete jacket"),"Steel plate or jacket",Q339)</f>
        <v>Monitor</v>
      </c>
      <c r="S339" s="5" t="str">
        <f aca="false">IF(O339&lt;='Tree rules'!$C$4,IF(N339&lt;='Tree rules'!$C$5,IF(P339&lt;='Tree rules'!$C$6,"Monitor","Polymer laminate"),IF(P339&lt;='Tree rules'!$C$7,"Seal cracks","Polymer laminate")),IF(O339&lt;='Tree rules'!$C$8,IF(M339&lt;='Tree rules'!$C$9,"Steel plate or jacket","Polymer laminate"),IF(L339&lt;='Tree rules'!$C$10,"Steel plate or jacket","Polymer laminate")))</f>
        <v>Monitor</v>
      </c>
      <c r="T339" s="5" t="str">
        <f aca="false">IF(S339=R339,"Yes","No")</f>
        <v>Yes</v>
      </c>
    </row>
    <row r="340" customFormat="false" ht="15" hidden="false" customHeight="false" outlineLevel="0" collapsed="false">
      <c r="A340" s="15" t="n">
        <v>481</v>
      </c>
      <c r="B340" s="16" t="n">
        <v>3.35762479870976</v>
      </c>
      <c r="C340" s="15" t="n">
        <v>230</v>
      </c>
      <c r="D340" s="15" t="n">
        <v>300</v>
      </c>
      <c r="E340" s="15" t="n">
        <v>30</v>
      </c>
      <c r="F340" s="16" t="n">
        <v>0.768324290280112</v>
      </c>
      <c r="G340" s="17" t="s">
        <v>89</v>
      </c>
      <c r="H340" s="18" t="n">
        <v>0.3</v>
      </c>
      <c r="I340" s="18" t="n">
        <v>1</v>
      </c>
      <c r="J340" s="19" t="n">
        <v>0.976923841551832</v>
      </c>
      <c r="K340" s="19" t="n">
        <v>0.473998927517885</v>
      </c>
      <c r="L340" s="16" t="n">
        <v>13.11572186996</v>
      </c>
      <c r="M340" s="19" t="n">
        <v>0.526385144934495</v>
      </c>
      <c r="N340" s="19" t="n">
        <v>0.677288006357139</v>
      </c>
      <c r="O340" s="19" t="n">
        <v>0.976923841551832</v>
      </c>
      <c r="P340" s="19" t="n">
        <v>0.595097252495607</v>
      </c>
      <c r="Q340" s="17" t="s">
        <v>29</v>
      </c>
      <c r="R340" s="5" t="str">
        <f aca="false">IF(OR(Q340="Steel plate",Q340="Concrete jacket"),"Steel plate or jacket",Q340)</f>
        <v>Monitor</v>
      </c>
      <c r="S340" s="5" t="str">
        <f aca="false">IF(O340&lt;='Tree rules'!$C$4,IF(N340&lt;='Tree rules'!$C$5,IF(P340&lt;='Tree rules'!$C$6,"Monitor","Polymer laminate"),IF(P340&lt;='Tree rules'!$C$7,"Seal cracks","Polymer laminate")),IF(O340&lt;='Tree rules'!$C$8,IF(M340&lt;='Tree rules'!$C$9,"Steel plate or jacket","Polymer laminate"),IF(L340&lt;='Tree rules'!$C$10,"Steel plate or jacket","Polymer laminate")))</f>
        <v>Monitor</v>
      </c>
      <c r="T340" s="5" t="str">
        <f aca="false">IF(S340=R340,"Yes","No")</f>
        <v>Yes</v>
      </c>
    </row>
    <row r="341" customFormat="false" ht="15" hidden="false" customHeight="false" outlineLevel="0" collapsed="false">
      <c r="A341" s="15" t="n">
        <v>482</v>
      </c>
      <c r="B341" s="16" t="n">
        <v>5.95061857839084</v>
      </c>
      <c r="C341" s="15" t="n">
        <v>230</v>
      </c>
      <c r="D341" s="15" t="n">
        <v>525</v>
      </c>
      <c r="E341" s="15" t="n">
        <v>30</v>
      </c>
      <c r="F341" s="16" t="n">
        <v>0.57270853223768</v>
      </c>
      <c r="G341" s="17" t="s">
        <v>91</v>
      </c>
      <c r="H341" s="18" t="n">
        <v>0.2</v>
      </c>
      <c r="I341" s="18" t="n">
        <v>1</v>
      </c>
      <c r="J341" s="19" t="n">
        <v>0.850670556622595</v>
      </c>
      <c r="K341" s="19" t="n">
        <v>0.631362173282276</v>
      </c>
      <c r="L341" s="16" t="n">
        <v>12.4750913593099</v>
      </c>
      <c r="M341" s="19" t="n">
        <v>0.90525908026477</v>
      </c>
      <c r="N341" s="19" t="n">
        <v>1.06403640722525</v>
      </c>
      <c r="O341" s="19" t="n">
        <v>0.850670556622594</v>
      </c>
      <c r="P341" s="19" t="n">
        <v>0.32860973418472</v>
      </c>
      <c r="Q341" s="17" t="s">
        <v>30</v>
      </c>
      <c r="R341" s="5" t="str">
        <f aca="false">IF(OR(Q341="Steel plate",Q341="Concrete jacket"),"Steel plate or jacket",Q341)</f>
        <v>Seal cracks</v>
      </c>
      <c r="S341" s="5" t="str">
        <f aca="false">IF(O341&lt;='Tree rules'!$C$4,IF(N341&lt;='Tree rules'!$C$5,IF(P341&lt;='Tree rules'!$C$6,"Monitor","Polymer laminate"),IF(P341&lt;='Tree rules'!$C$7,"Seal cracks","Polymer laminate")),IF(O341&lt;='Tree rules'!$C$8,IF(M341&lt;='Tree rules'!$C$9,"Steel plate or jacket","Polymer laminate"),IF(L341&lt;='Tree rules'!$C$10,"Steel plate or jacket","Polymer laminate")))</f>
        <v>Seal cracks</v>
      </c>
      <c r="T341" s="5" t="str">
        <f aca="false">IF(S341=R341,"Yes","No")</f>
        <v>Yes</v>
      </c>
    </row>
    <row r="342" customFormat="false" ht="15" hidden="false" customHeight="false" outlineLevel="0" collapsed="false">
      <c r="A342" s="15" t="n">
        <v>483</v>
      </c>
      <c r="B342" s="16" t="n">
        <v>7.08942780340584</v>
      </c>
      <c r="C342" s="15" t="n">
        <v>300</v>
      </c>
      <c r="D342" s="15" t="n">
        <v>575</v>
      </c>
      <c r="E342" s="15" t="n">
        <v>30</v>
      </c>
      <c r="F342" s="16" t="n">
        <v>0.651951782846131</v>
      </c>
      <c r="G342" s="17" t="s">
        <v>90</v>
      </c>
      <c r="H342" s="18" t="n">
        <v>0.1</v>
      </c>
      <c r="I342" s="18" t="n">
        <v>2</v>
      </c>
      <c r="J342" s="19" t="n">
        <v>0.861774237140244</v>
      </c>
      <c r="K342" s="19" t="n">
        <v>0.577129242654909</v>
      </c>
      <c r="L342" s="16" t="n">
        <v>13.7926610961203</v>
      </c>
      <c r="M342" s="19" t="n">
        <v>0.840465185187589</v>
      </c>
      <c r="N342" s="19" t="n">
        <v>3.07560469673586</v>
      </c>
      <c r="O342" s="19" t="n">
        <v>1.22619336146023</v>
      </c>
      <c r="P342" s="19" t="n">
        <v>0.485022788892678</v>
      </c>
      <c r="Q342" s="17" t="s">
        <v>31</v>
      </c>
      <c r="R342" s="5" t="str">
        <f aca="false">IF(OR(Q342="Steel plate",Q342="Concrete jacket"),"Steel plate or jacket",Q342)</f>
        <v>Polymer laminate</v>
      </c>
      <c r="S342" s="5" t="str">
        <f aca="false">IF(O342&lt;='Tree rules'!$C$4,IF(N342&lt;='Tree rules'!$C$5,IF(P342&lt;='Tree rules'!$C$6,"Monitor","Polymer laminate"),IF(P342&lt;='Tree rules'!$C$7,"Seal cracks","Polymer laminate")),IF(O342&lt;='Tree rules'!$C$8,IF(M342&lt;='Tree rules'!$C$9,"Steel plate or jacket","Polymer laminate"),IF(L342&lt;='Tree rules'!$C$10,"Steel plate or jacket","Polymer laminate")))</f>
        <v>Polymer laminate</v>
      </c>
      <c r="T342" s="5" t="str">
        <f aca="false">IF(S342=R342,"Yes","No")</f>
        <v>Yes</v>
      </c>
    </row>
    <row r="343" customFormat="false" ht="15" hidden="false" customHeight="false" outlineLevel="0" collapsed="false">
      <c r="A343" s="15" t="n">
        <v>484</v>
      </c>
      <c r="B343" s="16" t="n">
        <v>3.94116972190779</v>
      </c>
      <c r="C343" s="15" t="n">
        <v>300</v>
      </c>
      <c r="D343" s="15" t="n">
        <v>350</v>
      </c>
      <c r="E343" s="15" t="n">
        <v>20</v>
      </c>
      <c r="F343" s="16" t="n">
        <v>0.661387927071535</v>
      </c>
      <c r="G343" s="17" t="s">
        <v>91</v>
      </c>
      <c r="H343" s="18" t="n">
        <v>0.2</v>
      </c>
      <c r="I343" s="18" t="n">
        <v>1.5</v>
      </c>
      <c r="J343" s="19" t="n">
        <v>0.851738490811104</v>
      </c>
      <c r="K343" s="19" t="n">
        <v>0.476992343437844</v>
      </c>
      <c r="L343" s="16" t="n">
        <v>12.964374085223</v>
      </c>
      <c r="M343" s="19" t="n">
        <v>0.880923806550308</v>
      </c>
      <c r="N343" s="19" t="n">
        <v>1.23900489969719</v>
      </c>
      <c r="O343" s="19" t="n">
        <v>1.07447136685256</v>
      </c>
      <c r="P343" s="19" t="n">
        <v>0.400076534731128</v>
      </c>
      <c r="Q343" s="17" t="s">
        <v>31</v>
      </c>
      <c r="R343" s="5" t="str">
        <f aca="false">IF(OR(Q343="Steel plate",Q343="Concrete jacket"),"Steel plate or jacket",Q343)</f>
        <v>Polymer laminate</v>
      </c>
      <c r="S343" s="5" t="str">
        <f aca="false">IF(O343&lt;='Tree rules'!$C$4,IF(N343&lt;='Tree rules'!$C$5,IF(P343&lt;='Tree rules'!$C$6,"Monitor","Polymer laminate"),IF(P343&lt;='Tree rules'!$C$7,"Seal cracks","Polymer laminate")),IF(O343&lt;='Tree rules'!$C$8,IF(M343&lt;='Tree rules'!$C$9,"Steel plate or jacket","Polymer laminate"),IF(L343&lt;='Tree rules'!$C$10,"Steel plate or jacket","Polymer laminate")))</f>
        <v>Polymer laminate</v>
      </c>
      <c r="T343" s="5" t="str">
        <f aca="false">IF(S343=R343,"Yes","No")</f>
        <v>Yes</v>
      </c>
    </row>
    <row r="344" customFormat="false" ht="15" hidden="false" customHeight="false" outlineLevel="0" collapsed="false">
      <c r="A344" s="15" t="n">
        <v>487</v>
      </c>
      <c r="B344" s="16" t="n">
        <v>3.12352818648618</v>
      </c>
      <c r="C344" s="15" t="n">
        <v>300</v>
      </c>
      <c r="D344" s="15" t="n">
        <v>300</v>
      </c>
      <c r="E344" s="15" t="n">
        <v>25</v>
      </c>
      <c r="F344" s="16" t="n">
        <v>0.831109167616348</v>
      </c>
      <c r="G344" s="17" t="s">
        <v>91</v>
      </c>
      <c r="H344" s="18" t="n">
        <v>0.2</v>
      </c>
      <c r="I344" s="18" t="n">
        <v>1</v>
      </c>
      <c r="J344" s="19" t="n">
        <v>0.866842962846302</v>
      </c>
      <c r="K344" s="19" t="n">
        <v>0.480693624508145</v>
      </c>
      <c r="L344" s="16" t="n">
        <v>12.3949531209769</v>
      </c>
      <c r="M344" s="19" t="n">
        <v>0.312334914469011</v>
      </c>
      <c r="N344" s="19" t="n">
        <v>1.47961441181229</v>
      </c>
      <c r="O344" s="19" t="n">
        <v>0.866842962846302</v>
      </c>
      <c r="P344" s="19" t="n">
        <v>0.907950128129247</v>
      </c>
      <c r="Q344" s="17" t="s">
        <v>30</v>
      </c>
      <c r="R344" s="5" t="str">
        <f aca="false">IF(OR(Q344="Steel plate",Q344="Concrete jacket"),"Steel plate or jacket",Q344)</f>
        <v>Seal cracks</v>
      </c>
      <c r="S344" s="5" t="str">
        <f aca="false">IF(O344&lt;='Tree rules'!$C$4,IF(N344&lt;='Tree rules'!$C$5,IF(P344&lt;='Tree rules'!$C$6,"Monitor","Polymer laminate"),IF(P344&lt;='Tree rules'!$C$7,"Seal cracks","Polymer laminate")),IF(O344&lt;='Tree rules'!$C$8,IF(M344&lt;='Tree rules'!$C$9,"Steel plate or jacket","Polymer laminate"),IF(L344&lt;='Tree rules'!$C$10,"Steel plate or jacket","Polymer laminate")))</f>
        <v>Seal cracks</v>
      </c>
      <c r="T344" s="5" t="str">
        <f aca="false">IF(S344=R344,"Yes","No")</f>
        <v>Yes</v>
      </c>
    </row>
    <row r="345" customFormat="false" ht="15" hidden="false" customHeight="false" outlineLevel="0" collapsed="false">
      <c r="A345" s="15" t="n">
        <v>488</v>
      </c>
      <c r="B345" s="16" t="n">
        <v>7.78513514108448</v>
      </c>
      <c r="C345" s="15" t="n">
        <v>300</v>
      </c>
      <c r="D345" s="15" t="n">
        <v>775</v>
      </c>
      <c r="E345" s="15" t="n">
        <v>20</v>
      </c>
      <c r="F345" s="16" t="n">
        <v>0.720218398347041</v>
      </c>
      <c r="G345" s="17" t="s">
        <v>91</v>
      </c>
      <c r="H345" s="18" t="n">
        <v>0.2</v>
      </c>
      <c r="I345" s="18" t="n">
        <v>1</v>
      </c>
      <c r="J345" s="19" t="n">
        <v>0.887434482004871</v>
      </c>
      <c r="K345" s="19" t="n">
        <v>0.452497449193004</v>
      </c>
      <c r="L345" s="16" t="n">
        <v>10.7085765351919</v>
      </c>
      <c r="M345" s="19" t="n">
        <v>0.710002316829144</v>
      </c>
      <c r="N345" s="19" t="n">
        <v>0.786225847771687</v>
      </c>
      <c r="O345" s="19" t="n">
        <v>0.887434482004872</v>
      </c>
      <c r="P345" s="19" t="n">
        <v>0.46851394476155</v>
      </c>
      <c r="Q345" s="17" t="s">
        <v>29</v>
      </c>
      <c r="R345" s="5" t="str">
        <f aca="false">IF(OR(Q345="Steel plate",Q345="Concrete jacket"),"Steel plate or jacket",Q345)</f>
        <v>Monitor</v>
      </c>
      <c r="S345" s="5" t="str">
        <f aca="false">IF(O345&lt;='Tree rules'!$C$4,IF(N345&lt;='Tree rules'!$C$5,IF(P345&lt;='Tree rules'!$C$6,"Monitor","Polymer laminate"),IF(P345&lt;='Tree rules'!$C$7,"Seal cracks","Polymer laminate")),IF(O345&lt;='Tree rules'!$C$8,IF(M345&lt;='Tree rules'!$C$9,"Steel plate or jacket","Polymer laminate"),IF(L345&lt;='Tree rules'!$C$10,"Steel plate or jacket","Polymer laminate")))</f>
        <v>Monitor</v>
      </c>
      <c r="T345" s="5" t="str">
        <f aca="false">IF(S345=R345,"Yes","No")</f>
        <v>Yes</v>
      </c>
    </row>
    <row r="346" customFormat="false" ht="15" hidden="false" customHeight="false" outlineLevel="0" collapsed="false">
      <c r="A346" s="15" t="n">
        <v>489</v>
      </c>
      <c r="B346" s="16" t="n">
        <v>4.37859043638058</v>
      </c>
      <c r="C346" s="15" t="n">
        <v>230</v>
      </c>
      <c r="D346" s="15" t="n">
        <v>400</v>
      </c>
      <c r="E346" s="15" t="n">
        <v>25</v>
      </c>
      <c r="F346" s="16" t="n">
        <v>0.776085141697083</v>
      </c>
      <c r="G346" s="17" t="s">
        <v>89</v>
      </c>
      <c r="H346" s="18" t="n">
        <v>0.3</v>
      </c>
      <c r="I346" s="18" t="n">
        <v>2</v>
      </c>
      <c r="J346" s="19" t="n">
        <v>0.877759157331171</v>
      </c>
      <c r="K346" s="19" t="n">
        <v>0.633849991183741</v>
      </c>
      <c r="L346" s="16" t="n">
        <v>12.4391773760812</v>
      </c>
      <c r="M346" s="19" t="n">
        <v>0.552665229359653</v>
      </c>
      <c r="N346" s="19" t="n">
        <v>1.13906672408716</v>
      </c>
      <c r="O346" s="19" t="n">
        <v>1.19915068052653</v>
      </c>
      <c r="P346" s="19" t="n">
        <v>0.768051378684381</v>
      </c>
      <c r="Q346" s="17" t="s">
        <v>31</v>
      </c>
      <c r="R346" s="5" t="str">
        <f aca="false">IF(OR(Q346="Steel plate",Q346="Concrete jacket"),"Steel plate or jacket",Q346)</f>
        <v>Polymer laminate</v>
      </c>
      <c r="S346" s="5" t="str">
        <f aca="false">IF(O346&lt;='Tree rules'!$C$4,IF(N346&lt;='Tree rules'!$C$5,IF(P346&lt;='Tree rules'!$C$6,"Monitor","Polymer laminate"),IF(P346&lt;='Tree rules'!$C$7,"Seal cracks","Polymer laminate")),IF(O346&lt;='Tree rules'!$C$8,IF(M346&lt;='Tree rules'!$C$9,"Steel plate or jacket","Polymer laminate"),IF(L346&lt;='Tree rules'!$C$10,"Steel plate or jacket","Polymer laminate")))</f>
        <v>Polymer laminate</v>
      </c>
      <c r="T346" s="5" t="str">
        <f aca="false">IF(S346=R346,"Yes","No")</f>
        <v>Yes</v>
      </c>
    </row>
    <row r="347" customFormat="false" ht="15" hidden="false" customHeight="false" outlineLevel="0" collapsed="false">
      <c r="A347" s="15" t="n">
        <v>490</v>
      </c>
      <c r="B347" s="16" t="n">
        <v>5.78781677609156</v>
      </c>
      <c r="C347" s="15" t="n">
        <v>230</v>
      </c>
      <c r="D347" s="15" t="n">
        <v>575</v>
      </c>
      <c r="E347" s="15" t="n">
        <v>25</v>
      </c>
      <c r="F347" s="16" t="n">
        <v>0.661007412935799</v>
      </c>
      <c r="G347" s="17" t="s">
        <v>91</v>
      </c>
      <c r="H347" s="18" t="n">
        <v>0.2</v>
      </c>
      <c r="I347" s="18" t="n">
        <v>2</v>
      </c>
      <c r="J347" s="19" t="n">
        <v>0.870918997099273</v>
      </c>
      <c r="K347" s="19" t="n">
        <v>0.647767057432454</v>
      </c>
      <c r="L347" s="16" t="n">
        <v>10.9410525067894</v>
      </c>
      <c r="M347" s="19" t="n">
        <v>0.672391556696201</v>
      </c>
      <c r="N347" s="19" t="n">
        <v>1.11622901441369</v>
      </c>
      <c r="O347" s="19" t="n">
        <v>1.17768535818553</v>
      </c>
      <c r="P347" s="19" t="n">
        <v>0.557549814673367</v>
      </c>
      <c r="Q347" s="17" t="s">
        <v>31</v>
      </c>
      <c r="R347" s="5" t="str">
        <f aca="false">IF(OR(Q347="Steel plate",Q347="Concrete jacket"),"Steel plate or jacket",Q347)</f>
        <v>Polymer laminate</v>
      </c>
      <c r="S347" s="5" t="str">
        <f aca="false">IF(O347&lt;='Tree rules'!$C$4,IF(N347&lt;='Tree rules'!$C$5,IF(P347&lt;='Tree rules'!$C$6,"Monitor","Polymer laminate"),IF(P347&lt;='Tree rules'!$C$7,"Seal cracks","Polymer laminate")),IF(O347&lt;='Tree rules'!$C$8,IF(M347&lt;='Tree rules'!$C$9,"Steel plate or jacket","Polymer laminate"),IF(L347&lt;='Tree rules'!$C$10,"Steel plate or jacket","Polymer laminate")))</f>
        <v>Polymer laminate</v>
      </c>
      <c r="T347" s="5" t="str">
        <f aca="false">IF(S347=R347,"Yes","No")</f>
        <v>Yes</v>
      </c>
    </row>
    <row r="348" customFormat="false" ht="15" hidden="false" customHeight="false" outlineLevel="0" collapsed="false">
      <c r="A348" s="15" t="n">
        <v>492</v>
      </c>
      <c r="B348" s="16" t="n">
        <v>3.54545597643317</v>
      </c>
      <c r="C348" s="15" t="n">
        <v>230</v>
      </c>
      <c r="D348" s="15" t="n">
        <v>300</v>
      </c>
      <c r="E348" s="15" t="n">
        <v>25</v>
      </c>
      <c r="F348" s="16" t="n">
        <v>0.768324290280112</v>
      </c>
      <c r="G348" s="17" t="s">
        <v>89</v>
      </c>
      <c r="H348" s="18" t="n">
        <v>0.3</v>
      </c>
      <c r="I348" s="18" t="n">
        <v>1.5</v>
      </c>
      <c r="J348" s="19" t="n">
        <v>0.925786393936733</v>
      </c>
      <c r="K348" s="19" t="n">
        <v>0.442121245357048</v>
      </c>
      <c r="L348" s="16" t="n">
        <v>13.8494374079421</v>
      </c>
      <c r="M348" s="19" t="n">
        <v>0.46853390641097</v>
      </c>
      <c r="N348" s="19" t="n">
        <v>0.830907324158134</v>
      </c>
      <c r="O348" s="19" t="n">
        <v>1.18402467419414</v>
      </c>
      <c r="P348" s="19" t="n">
        <v>0.795262323420171</v>
      </c>
      <c r="Q348" s="17" t="s">
        <v>31</v>
      </c>
      <c r="R348" s="5" t="str">
        <f aca="false">IF(OR(Q348="Steel plate",Q348="Concrete jacket"),"Steel plate or jacket",Q348)</f>
        <v>Polymer laminate</v>
      </c>
      <c r="S348" s="5" t="str">
        <f aca="false">IF(O348&lt;='Tree rules'!$C$4,IF(N348&lt;='Tree rules'!$C$5,IF(P348&lt;='Tree rules'!$C$6,"Monitor","Polymer laminate"),IF(P348&lt;='Tree rules'!$C$7,"Seal cracks","Polymer laminate")),IF(O348&lt;='Tree rules'!$C$8,IF(M348&lt;='Tree rules'!$C$9,"Steel plate or jacket","Polymer laminate"),IF(L348&lt;='Tree rules'!$C$10,"Steel plate or jacket","Polymer laminate")))</f>
        <v>Polymer laminate</v>
      </c>
      <c r="T348" s="5" t="str">
        <f aca="false">IF(S348=R348,"Yes","No")</f>
        <v>Yes</v>
      </c>
    </row>
    <row r="349" customFormat="false" ht="15" hidden="false" customHeight="false" outlineLevel="0" collapsed="false">
      <c r="A349" s="15" t="n">
        <v>494</v>
      </c>
      <c r="B349" s="16" t="n">
        <v>4.78559404761343</v>
      </c>
      <c r="C349" s="15" t="n">
        <v>230</v>
      </c>
      <c r="D349" s="15" t="n">
        <v>475</v>
      </c>
      <c r="E349" s="15" t="n">
        <v>20</v>
      </c>
      <c r="F349" s="16" t="n">
        <v>0.639770421258486</v>
      </c>
      <c r="G349" s="17" t="s">
        <v>91</v>
      </c>
      <c r="H349" s="18" t="n">
        <v>0.2</v>
      </c>
      <c r="I349" s="18" t="n">
        <v>2</v>
      </c>
      <c r="J349" s="19" t="n">
        <v>0.860363414628711</v>
      </c>
      <c r="K349" s="19" t="n">
        <v>0.630252785636612</v>
      </c>
      <c r="L349" s="16" t="n">
        <v>11.2074802051837</v>
      </c>
      <c r="M349" s="19" t="n">
        <v>0.561397978502999</v>
      </c>
      <c r="N349" s="19" t="n">
        <v>1.66196708635775</v>
      </c>
      <c r="O349" s="19" t="n">
        <v>1.17848039052785</v>
      </c>
      <c r="P349" s="19" t="n">
        <v>0.655004194332181</v>
      </c>
      <c r="Q349" s="17" t="s">
        <v>31</v>
      </c>
      <c r="R349" s="5" t="str">
        <f aca="false">IF(OR(Q349="Steel plate",Q349="Concrete jacket"),"Steel plate or jacket",Q349)</f>
        <v>Polymer laminate</v>
      </c>
      <c r="S349" s="5" t="str">
        <f aca="false">IF(O349&lt;='Tree rules'!$C$4,IF(N349&lt;='Tree rules'!$C$5,IF(P349&lt;='Tree rules'!$C$6,"Monitor","Polymer laminate"),IF(P349&lt;='Tree rules'!$C$7,"Seal cracks","Polymer laminate")),IF(O349&lt;='Tree rules'!$C$8,IF(M349&lt;='Tree rules'!$C$9,"Steel plate or jacket","Polymer laminate"),IF(L349&lt;='Tree rules'!$C$10,"Steel plate or jacket","Polymer laminate")))</f>
        <v>Polymer laminate</v>
      </c>
      <c r="T349" s="5" t="str">
        <f aca="false">IF(S349=R349,"Yes","No")</f>
        <v>Yes</v>
      </c>
    </row>
    <row r="350" customFormat="false" ht="15" hidden="false" customHeight="false" outlineLevel="0" collapsed="false">
      <c r="A350" s="15" t="n">
        <v>496</v>
      </c>
      <c r="B350" s="16" t="n">
        <v>4.21793435478246</v>
      </c>
      <c r="C350" s="15" t="n">
        <v>230</v>
      </c>
      <c r="D350" s="15" t="n">
        <v>375</v>
      </c>
      <c r="E350" s="15" t="n">
        <v>20</v>
      </c>
      <c r="F350" s="16" t="n">
        <v>0.556804015036685</v>
      </c>
      <c r="G350" s="17" t="s">
        <v>90</v>
      </c>
      <c r="H350" s="18" t="n">
        <v>0.1</v>
      </c>
      <c r="I350" s="18" t="n">
        <v>2</v>
      </c>
      <c r="J350" s="19" t="n">
        <v>0.97164802636324</v>
      </c>
      <c r="K350" s="19" t="n">
        <v>0.455749534297746</v>
      </c>
      <c r="L350" s="16" t="n">
        <v>13.4329119579059</v>
      </c>
      <c r="M350" s="19" t="n">
        <v>0.637880253968337</v>
      </c>
      <c r="N350" s="19" t="n">
        <v>4.7333387031478</v>
      </c>
      <c r="O350" s="19" t="n">
        <v>1.50046791721011</v>
      </c>
      <c r="P350" s="19" t="n">
        <v>0.537423929460419</v>
      </c>
      <c r="Q350" s="17" t="s">
        <v>31</v>
      </c>
      <c r="R350" s="5" t="str">
        <f aca="false">IF(OR(Q350="Steel plate",Q350="Concrete jacket"),"Steel plate or jacket",Q350)</f>
        <v>Polymer laminate</v>
      </c>
      <c r="S350" s="5" t="str">
        <f aca="false">IF(O350&lt;='Tree rules'!$C$4,IF(N350&lt;='Tree rules'!$C$5,IF(P350&lt;='Tree rules'!$C$6,"Monitor","Polymer laminate"),IF(P350&lt;='Tree rules'!$C$7,"Seal cracks","Polymer laminate")),IF(O350&lt;='Tree rules'!$C$8,IF(M350&lt;='Tree rules'!$C$9,"Steel plate or jacket","Polymer laminate"),IF(L350&lt;='Tree rules'!$C$10,"Steel plate or jacket","Polymer laminate")))</f>
        <v>Polymer laminate</v>
      </c>
      <c r="T350" s="5" t="str">
        <f aca="false">IF(S350=R350,"Yes","No")</f>
        <v>Yes</v>
      </c>
    </row>
    <row r="351" customFormat="false" ht="15" hidden="false" customHeight="false" outlineLevel="0" collapsed="false">
      <c r="A351" s="15" t="n">
        <v>497</v>
      </c>
      <c r="B351" s="16" t="n">
        <v>4.06028720797017</v>
      </c>
      <c r="C351" s="15" t="n">
        <v>230</v>
      </c>
      <c r="D351" s="15" t="n">
        <v>375</v>
      </c>
      <c r="E351" s="15" t="n">
        <v>30</v>
      </c>
      <c r="F351" s="16" t="n">
        <v>0.835418868126524</v>
      </c>
      <c r="G351" s="17" t="s">
        <v>91</v>
      </c>
      <c r="H351" s="18" t="n">
        <v>0.2</v>
      </c>
      <c r="I351" s="18" t="n">
        <v>1</v>
      </c>
      <c r="J351" s="19" t="n">
        <v>0.852514213307692</v>
      </c>
      <c r="K351" s="19" t="n">
        <v>0.453956743546906</v>
      </c>
      <c r="L351" s="16" t="n">
        <v>12.4167804525082</v>
      </c>
      <c r="M351" s="19" t="n">
        <v>0.876604132923679</v>
      </c>
      <c r="N351" s="19" t="n">
        <v>1.11874476220163</v>
      </c>
      <c r="O351" s="19" t="n">
        <v>0.852514213307692</v>
      </c>
      <c r="P351" s="19" t="n">
        <v>0.358888108144478</v>
      </c>
      <c r="Q351" s="17" t="s">
        <v>30</v>
      </c>
      <c r="R351" s="5" t="str">
        <f aca="false">IF(OR(Q351="Steel plate",Q351="Concrete jacket"),"Steel plate or jacket",Q351)</f>
        <v>Seal cracks</v>
      </c>
      <c r="S351" s="5" t="str">
        <f aca="false">IF(O351&lt;='Tree rules'!$C$4,IF(N351&lt;='Tree rules'!$C$5,IF(P351&lt;='Tree rules'!$C$6,"Monitor","Polymer laminate"),IF(P351&lt;='Tree rules'!$C$7,"Seal cracks","Polymer laminate")),IF(O351&lt;='Tree rules'!$C$8,IF(M351&lt;='Tree rules'!$C$9,"Steel plate or jacket","Polymer laminate"),IF(L351&lt;='Tree rules'!$C$10,"Steel plate or jacket","Polymer laminate")))</f>
        <v>Seal cracks</v>
      </c>
      <c r="T351" s="5" t="str">
        <f aca="false">IF(S351=R351,"Yes","No")</f>
        <v>Yes</v>
      </c>
    </row>
    <row r="352" customFormat="false" ht="15" hidden="false" customHeight="false" outlineLevel="0" collapsed="false">
      <c r="A352" s="15" t="n">
        <v>499</v>
      </c>
      <c r="B352" s="16" t="n">
        <v>3.54514038704889</v>
      </c>
      <c r="C352" s="15" t="n">
        <v>230</v>
      </c>
      <c r="D352" s="15" t="n">
        <v>300</v>
      </c>
      <c r="E352" s="15" t="n">
        <v>30</v>
      </c>
      <c r="F352" s="16" t="n">
        <v>0.688332522525665</v>
      </c>
      <c r="G352" s="17" t="s">
        <v>89</v>
      </c>
      <c r="H352" s="18" t="n">
        <v>0.3</v>
      </c>
      <c r="I352" s="18" t="n">
        <v>1</v>
      </c>
      <c r="J352" s="19" t="n">
        <v>0.978921933214218</v>
      </c>
      <c r="K352" s="19" t="n">
        <v>0.553717229669913</v>
      </c>
      <c r="L352" s="16" t="n">
        <v>13.9572456183027</v>
      </c>
      <c r="M352" s="19" t="n">
        <v>0.785868229743873</v>
      </c>
      <c r="N352" s="19" t="n">
        <v>0.8696163096443</v>
      </c>
      <c r="O352" s="19" t="n">
        <v>0.978921933214218</v>
      </c>
      <c r="P352" s="19" t="n">
        <v>0.416701463163877</v>
      </c>
      <c r="Q352" s="17" t="s">
        <v>29</v>
      </c>
      <c r="R352" s="5" t="str">
        <f aca="false">IF(OR(Q352="Steel plate",Q352="Concrete jacket"),"Steel plate or jacket",Q352)</f>
        <v>Monitor</v>
      </c>
      <c r="S352" s="5" t="str">
        <f aca="false">IF(O352&lt;='Tree rules'!$C$4,IF(N352&lt;='Tree rules'!$C$5,IF(P352&lt;='Tree rules'!$C$6,"Monitor","Polymer laminate"),IF(P352&lt;='Tree rules'!$C$7,"Seal cracks","Polymer laminate")),IF(O352&lt;='Tree rules'!$C$8,IF(M352&lt;='Tree rules'!$C$9,"Steel plate or jacket","Polymer laminate"),IF(L352&lt;='Tree rules'!$C$10,"Steel plate or jacket","Polymer laminate")))</f>
        <v>Monitor</v>
      </c>
      <c r="T352" s="5" t="str">
        <f aca="false">IF(S352=R352,"Yes","No")</f>
        <v>Yes</v>
      </c>
    </row>
    <row r="353" customFormat="false" ht="15" hidden="false" customHeight="false" outlineLevel="0" collapsed="false">
      <c r="A353" s="15" t="n">
        <v>500</v>
      </c>
      <c r="B353" s="16" t="n">
        <v>4.84434588990628</v>
      </c>
      <c r="C353" s="15" t="n">
        <v>300</v>
      </c>
      <c r="D353" s="15" t="n">
        <v>450</v>
      </c>
      <c r="E353" s="15" t="n">
        <v>25</v>
      </c>
      <c r="F353" s="16" t="n">
        <v>0.663570725510715</v>
      </c>
      <c r="G353" s="17" t="s">
        <v>89</v>
      </c>
      <c r="H353" s="18" t="n">
        <v>0.3</v>
      </c>
      <c r="I353" s="18" t="n">
        <v>2</v>
      </c>
      <c r="J353" s="19" t="n">
        <v>0.928388616446947</v>
      </c>
      <c r="K353" s="19" t="n">
        <v>0.529731438220334</v>
      </c>
      <c r="L353" s="16" t="n">
        <v>11.9909551730354</v>
      </c>
      <c r="M353" s="19" t="n">
        <v>0.546053930711915</v>
      </c>
      <c r="N353" s="19" t="n">
        <v>0.998526923859679</v>
      </c>
      <c r="O353" s="19" t="n">
        <v>1.36498059587607</v>
      </c>
      <c r="P353" s="19" t="n">
        <v>0.718811304641687</v>
      </c>
      <c r="Q353" s="17" t="s">
        <v>31</v>
      </c>
      <c r="R353" s="5" t="str">
        <f aca="false">IF(OR(Q353="Steel plate",Q353="Concrete jacket"),"Steel plate or jacket",Q353)</f>
        <v>Polymer laminate</v>
      </c>
      <c r="S353" s="5" t="str">
        <f aca="false">IF(O353&lt;='Tree rules'!$C$4,IF(N353&lt;='Tree rules'!$C$5,IF(P353&lt;='Tree rules'!$C$6,"Monitor","Polymer laminate"),IF(P353&lt;='Tree rules'!$C$7,"Seal cracks","Polymer laminate")),IF(O353&lt;='Tree rules'!$C$8,IF(M353&lt;='Tree rules'!$C$9,"Steel plate or jacket","Polymer laminate"),IF(L353&lt;='Tree rules'!$C$10,"Steel plate or jacket","Polymer laminate")))</f>
        <v>Steel plate or jacket</v>
      </c>
      <c r="T353" s="5" t="str">
        <f aca="false">IF(S353=R353,"Yes","No")</f>
        <v>No</v>
      </c>
    </row>
    <row r="354" customFormat="false" ht="15" hidden="false" customHeight="false" outlineLevel="0" collapsed="false">
      <c r="A354" s="15" t="n">
        <v>502</v>
      </c>
      <c r="B354" s="16" t="n">
        <v>4.8129193337315</v>
      </c>
      <c r="C354" s="15" t="n">
        <v>300</v>
      </c>
      <c r="D354" s="15" t="n">
        <v>425</v>
      </c>
      <c r="E354" s="15" t="n">
        <v>30</v>
      </c>
      <c r="F354" s="16" t="n">
        <v>0.833313701217452</v>
      </c>
      <c r="G354" s="17" t="s">
        <v>89</v>
      </c>
      <c r="H354" s="18" t="n">
        <v>0.3</v>
      </c>
      <c r="I354" s="18" t="n">
        <v>1</v>
      </c>
      <c r="J354" s="19" t="n">
        <v>0.933719681700635</v>
      </c>
      <c r="K354" s="19" t="n">
        <v>0.433274067972598</v>
      </c>
      <c r="L354" s="16" t="n">
        <v>12.7663642804549</v>
      </c>
      <c r="M354" s="19" t="n">
        <v>0.521198491649604</v>
      </c>
      <c r="N354" s="19" t="n">
        <v>0.787181516010561</v>
      </c>
      <c r="O354" s="19" t="n">
        <v>0.933719681700635</v>
      </c>
      <c r="P354" s="19" t="n">
        <v>0.658963044191995</v>
      </c>
      <c r="Q354" s="17" t="s">
        <v>29</v>
      </c>
      <c r="R354" s="5" t="str">
        <f aca="false">IF(OR(Q354="Steel plate",Q354="Concrete jacket"),"Steel plate or jacket",Q354)</f>
        <v>Monitor</v>
      </c>
      <c r="S354" s="5" t="str">
        <f aca="false">IF(O354&lt;='Tree rules'!$C$4,IF(N354&lt;='Tree rules'!$C$5,IF(P354&lt;='Tree rules'!$C$6,"Monitor","Polymer laminate"),IF(P354&lt;='Tree rules'!$C$7,"Seal cracks","Polymer laminate")),IF(O354&lt;='Tree rules'!$C$8,IF(M354&lt;='Tree rules'!$C$9,"Steel plate or jacket","Polymer laminate"),IF(L354&lt;='Tree rules'!$C$10,"Steel plate or jacket","Polymer laminate")))</f>
        <v>Monitor</v>
      </c>
      <c r="T354" s="5" t="str">
        <f aca="false">IF(S354=R354,"Yes","No")</f>
        <v>Yes</v>
      </c>
    </row>
    <row r="355" customFormat="false" ht="15" hidden="false" customHeight="false" outlineLevel="0" collapsed="false">
      <c r="A355" s="15" t="n">
        <v>503</v>
      </c>
      <c r="B355" s="16" t="n">
        <v>5.21401781023223</v>
      </c>
      <c r="C355" s="15" t="n">
        <v>230</v>
      </c>
      <c r="D355" s="15" t="n">
        <v>450</v>
      </c>
      <c r="E355" s="15" t="n">
        <v>25</v>
      </c>
      <c r="F355" s="16" t="n">
        <v>0.67417658375907</v>
      </c>
      <c r="G355" s="17" t="s">
        <v>90</v>
      </c>
      <c r="H355" s="18" t="n">
        <v>0.1</v>
      </c>
      <c r="I355" s="18" t="n">
        <v>1.5</v>
      </c>
      <c r="J355" s="19" t="n">
        <v>0.90832075312968</v>
      </c>
      <c r="K355" s="19" t="n">
        <v>0.493294176073052</v>
      </c>
      <c r="L355" s="16" t="n">
        <v>13.403644756381</v>
      </c>
      <c r="M355" s="19" t="n">
        <v>0.927219818621171</v>
      </c>
      <c r="N355" s="19" t="n">
        <v>2.90507117069011</v>
      </c>
      <c r="O355" s="19" t="n">
        <v>1.13844646093194</v>
      </c>
      <c r="P355" s="19" t="n">
        <v>0.393100779444386</v>
      </c>
      <c r="Q355" s="17" t="s">
        <v>31</v>
      </c>
      <c r="R355" s="5" t="str">
        <f aca="false">IF(OR(Q355="Steel plate",Q355="Concrete jacket"),"Steel plate or jacket",Q355)</f>
        <v>Polymer laminate</v>
      </c>
      <c r="S355" s="5" t="str">
        <f aca="false">IF(O355&lt;='Tree rules'!$C$4,IF(N355&lt;='Tree rules'!$C$5,IF(P355&lt;='Tree rules'!$C$6,"Monitor","Polymer laminate"),IF(P355&lt;='Tree rules'!$C$7,"Seal cracks","Polymer laminate")),IF(O355&lt;='Tree rules'!$C$8,IF(M355&lt;='Tree rules'!$C$9,"Steel plate or jacket","Polymer laminate"),IF(L355&lt;='Tree rules'!$C$10,"Steel plate or jacket","Polymer laminate")))</f>
        <v>Polymer laminate</v>
      </c>
      <c r="T355" s="5" t="str">
        <f aca="false">IF(S355=R355,"Yes","No")</f>
        <v>Yes</v>
      </c>
    </row>
    <row r="356" customFormat="false" ht="15" hidden="false" customHeight="false" outlineLevel="0" collapsed="false">
      <c r="A356" s="15" t="n">
        <v>504</v>
      </c>
      <c r="B356" s="16" t="n">
        <v>3.41889164379124</v>
      </c>
      <c r="C356" s="15" t="n">
        <v>300</v>
      </c>
      <c r="D356" s="15" t="n">
        <v>300</v>
      </c>
      <c r="E356" s="15" t="n">
        <v>30</v>
      </c>
      <c r="F356" s="16" t="n">
        <v>0.736310778185108</v>
      </c>
      <c r="G356" s="17" t="s">
        <v>89</v>
      </c>
      <c r="H356" s="18" t="n">
        <v>0.3</v>
      </c>
      <c r="I356" s="18" t="n">
        <v>1</v>
      </c>
      <c r="J356" s="19" t="n">
        <v>0.924994251732715</v>
      </c>
      <c r="K356" s="19" t="n">
        <v>0.48842571264963</v>
      </c>
      <c r="L356" s="16" t="n">
        <v>13.3550454835596</v>
      </c>
      <c r="M356" s="19" t="n">
        <v>0.436010894263327</v>
      </c>
      <c r="N356" s="19" t="n">
        <v>0.662485956542588</v>
      </c>
      <c r="O356" s="19" t="n">
        <v>0.924994251732715</v>
      </c>
      <c r="P356" s="19" t="n">
        <v>0.677444807482725</v>
      </c>
      <c r="Q356" s="17" t="s">
        <v>29</v>
      </c>
      <c r="R356" s="5" t="str">
        <f aca="false">IF(OR(Q356="Steel plate",Q356="Concrete jacket"),"Steel plate or jacket",Q356)</f>
        <v>Monitor</v>
      </c>
      <c r="S356" s="5" t="str">
        <f aca="false">IF(O356&lt;='Tree rules'!$C$4,IF(N356&lt;='Tree rules'!$C$5,IF(P356&lt;='Tree rules'!$C$6,"Monitor","Polymer laminate"),IF(P356&lt;='Tree rules'!$C$7,"Seal cracks","Polymer laminate")),IF(O356&lt;='Tree rules'!$C$8,IF(M356&lt;='Tree rules'!$C$9,"Steel plate or jacket","Polymer laminate"),IF(L356&lt;='Tree rules'!$C$10,"Steel plate or jacket","Polymer laminate")))</f>
        <v>Monitor</v>
      </c>
      <c r="T356" s="5" t="str">
        <f aca="false">IF(S356=R356,"Yes","No")</f>
        <v>Yes</v>
      </c>
    </row>
    <row r="357" customFormat="false" ht="15" hidden="false" customHeight="false" outlineLevel="0" collapsed="false">
      <c r="A357" s="15" t="n">
        <v>506</v>
      </c>
      <c r="B357" s="16" t="n">
        <v>3.46167102521798</v>
      </c>
      <c r="C357" s="15" t="n">
        <v>230</v>
      </c>
      <c r="D357" s="15" t="n">
        <v>350</v>
      </c>
      <c r="E357" s="15" t="n">
        <v>30</v>
      </c>
      <c r="F357" s="16" t="n">
        <v>0.862679904875916</v>
      </c>
      <c r="G357" s="17" t="s">
        <v>89</v>
      </c>
      <c r="H357" s="18" t="n">
        <v>0.3</v>
      </c>
      <c r="I357" s="18" t="n">
        <v>1</v>
      </c>
      <c r="J357" s="19" t="n">
        <v>0.948400427788137</v>
      </c>
      <c r="K357" s="19" t="n">
        <v>0.483351807344681</v>
      </c>
      <c r="L357" s="16" t="n">
        <v>11.3870757408486</v>
      </c>
      <c r="M357" s="19" t="n">
        <v>0.938253477564899</v>
      </c>
      <c r="N357" s="19" t="n">
        <v>0.653906435296325</v>
      </c>
      <c r="O357" s="19" t="n">
        <v>0.948400427788137</v>
      </c>
      <c r="P357" s="19" t="n">
        <v>0.352341299065557</v>
      </c>
      <c r="Q357" s="17" t="s">
        <v>29</v>
      </c>
      <c r="R357" s="5" t="str">
        <f aca="false">IF(OR(Q357="Steel plate",Q357="Concrete jacket"),"Steel plate or jacket",Q357)</f>
        <v>Monitor</v>
      </c>
      <c r="S357" s="5" t="str">
        <f aca="false">IF(O357&lt;='Tree rules'!$C$4,IF(N357&lt;='Tree rules'!$C$5,IF(P357&lt;='Tree rules'!$C$6,"Monitor","Polymer laminate"),IF(P357&lt;='Tree rules'!$C$7,"Seal cracks","Polymer laminate")),IF(O357&lt;='Tree rules'!$C$8,IF(M357&lt;='Tree rules'!$C$9,"Steel plate or jacket","Polymer laminate"),IF(L357&lt;='Tree rules'!$C$10,"Steel plate or jacket","Polymer laminate")))</f>
        <v>Monitor</v>
      </c>
      <c r="T357" s="5" t="str">
        <f aca="false">IF(S357=R357,"Yes","No")</f>
        <v>Yes</v>
      </c>
    </row>
    <row r="358" customFormat="false" ht="15" hidden="false" customHeight="false" outlineLevel="0" collapsed="false">
      <c r="A358" s="15" t="n">
        <v>508</v>
      </c>
      <c r="B358" s="16" t="n">
        <v>7.66918553957793</v>
      </c>
      <c r="C358" s="15" t="n">
        <v>300</v>
      </c>
      <c r="D358" s="15" t="n">
        <v>725</v>
      </c>
      <c r="E358" s="15" t="n">
        <v>30</v>
      </c>
      <c r="F358" s="16" t="n">
        <v>0.632747765073473</v>
      </c>
      <c r="G358" s="17" t="s">
        <v>90</v>
      </c>
      <c r="H358" s="18" t="n">
        <v>0.1</v>
      </c>
      <c r="I358" s="18" t="n">
        <v>1</v>
      </c>
      <c r="J358" s="19" t="n">
        <v>0.90929562919914</v>
      </c>
      <c r="K358" s="19" t="n">
        <v>0.404040496490401</v>
      </c>
      <c r="L358" s="16" t="n">
        <v>11.5848724162809</v>
      </c>
      <c r="M358" s="19" t="n">
        <v>0.953361764154079</v>
      </c>
      <c r="N358" s="19" t="n">
        <v>2.14856605692832</v>
      </c>
      <c r="O358" s="19" t="n">
        <v>0.90929562919914</v>
      </c>
      <c r="P358" s="19" t="n">
        <v>0.292969301992947</v>
      </c>
      <c r="Q358" s="17" t="s">
        <v>30</v>
      </c>
      <c r="R358" s="5" t="str">
        <f aca="false">IF(OR(Q358="Steel plate",Q358="Concrete jacket"),"Steel plate or jacket",Q358)</f>
        <v>Seal cracks</v>
      </c>
      <c r="S358" s="5" t="str">
        <f aca="false">IF(O358&lt;='Tree rules'!$C$4,IF(N358&lt;='Tree rules'!$C$5,IF(P358&lt;='Tree rules'!$C$6,"Monitor","Polymer laminate"),IF(P358&lt;='Tree rules'!$C$7,"Seal cracks","Polymer laminate")),IF(O358&lt;='Tree rules'!$C$8,IF(M358&lt;='Tree rules'!$C$9,"Steel plate or jacket","Polymer laminate"),IF(L358&lt;='Tree rules'!$C$10,"Steel plate or jacket","Polymer laminate")))</f>
        <v>Seal cracks</v>
      </c>
      <c r="T358" s="5" t="str">
        <f aca="false">IF(S358=R358,"Yes","No")</f>
        <v>Yes</v>
      </c>
    </row>
    <row r="359" customFormat="false" ht="15" hidden="false" customHeight="false" outlineLevel="0" collapsed="false">
      <c r="A359" s="15" t="n">
        <v>509</v>
      </c>
      <c r="B359" s="16" t="n">
        <v>4.04262807294423</v>
      </c>
      <c r="C359" s="15" t="n">
        <v>300</v>
      </c>
      <c r="D359" s="15" t="n">
        <v>400</v>
      </c>
      <c r="E359" s="15" t="n">
        <v>30</v>
      </c>
      <c r="F359" s="16" t="n">
        <v>0.892497912951646</v>
      </c>
      <c r="G359" s="17" t="s">
        <v>89</v>
      </c>
      <c r="H359" s="18" t="n">
        <v>0.3</v>
      </c>
      <c r="I359" s="18" t="n">
        <v>1</v>
      </c>
      <c r="J359" s="19" t="n">
        <v>0.868988092663532</v>
      </c>
      <c r="K359" s="19" t="n">
        <v>0.63591836109454</v>
      </c>
      <c r="L359" s="16" t="n">
        <v>11.4847388435916</v>
      </c>
      <c r="M359" s="19" t="n">
        <v>0.59699150139859</v>
      </c>
      <c r="N359" s="19" t="n">
        <v>0.720495403362866</v>
      </c>
      <c r="O359" s="19" t="n">
        <v>0.868988092663532</v>
      </c>
      <c r="P359" s="19" t="n">
        <v>0.594623524864631</v>
      </c>
      <c r="Q359" s="17" t="s">
        <v>29</v>
      </c>
      <c r="R359" s="5" t="str">
        <f aca="false">IF(OR(Q359="Steel plate",Q359="Concrete jacket"),"Steel plate or jacket",Q359)</f>
        <v>Monitor</v>
      </c>
      <c r="S359" s="5" t="str">
        <f aca="false">IF(O359&lt;='Tree rules'!$C$4,IF(N359&lt;='Tree rules'!$C$5,IF(P359&lt;='Tree rules'!$C$6,"Monitor","Polymer laminate"),IF(P359&lt;='Tree rules'!$C$7,"Seal cracks","Polymer laminate")),IF(O359&lt;='Tree rules'!$C$8,IF(M359&lt;='Tree rules'!$C$9,"Steel plate or jacket","Polymer laminate"),IF(L359&lt;='Tree rules'!$C$10,"Steel plate or jacket","Polymer laminate")))</f>
        <v>Monitor</v>
      </c>
      <c r="T359" s="5" t="str">
        <f aca="false">IF(S359=R359,"Yes","No")</f>
        <v>Yes</v>
      </c>
    </row>
    <row r="360" customFormat="false" ht="15" hidden="false" customHeight="false" outlineLevel="0" collapsed="false">
      <c r="A360" s="15" t="n">
        <v>511</v>
      </c>
      <c r="B360" s="16" t="n">
        <v>5.68908223422179</v>
      </c>
      <c r="C360" s="15" t="n">
        <v>300</v>
      </c>
      <c r="D360" s="15" t="n">
        <v>525</v>
      </c>
      <c r="E360" s="15" t="n">
        <v>20</v>
      </c>
      <c r="F360" s="16" t="n">
        <v>0.679998409867921</v>
      </c>
      <c r="G360" s="17" t="s">
        <v>90</v>
      </c>
      <c r="H360" s="18" t="n">
        <v>0.1</v>
      </c>
      <c r="I360" s="18" t="n">
        <v>1</v>
      </c>
      <c r="J360" s="19" t="n">
        <v>0.91526144876446</v>
      </c>
      <c r="K360" s="19" t="n">
        <v>0.460130359250822</v>
      </c>
      <c r="L360" s="16" t="n">
        <v>12.3140308100039</v>
      </c>
      <c r="M360" s="19" t="n">
        <v>0.458734512189996</v>
      </c>
      <c r="N360" s="19" t="n">
        <v>2.69745164023281</v>
      </c>
      <c r="O360" s="19" t="n">
        <v>0.91526144876446</v>
      </c>
      <c r="P360" s="19" t="n">
        <v>0.680440960752772</v>
      </c>
      <c r="Q360" s="17" t="s">
        <v>30</v>
      </c>
      <c r="R360" s="5" t="str">
        <f aca="false">IF(OR(Q360="Steel plate",Q360="Concrete jacket"),"Steel plate or jacket",Q360)</f>
        <v>Seal cracks</v>
      </c>
      <c r="S360" s="5" t="str">
        <f aca="false">IF(O360&lt;='Tree rules'!$C$4,IF(N360&lt;='Tree rules'!$C$5,IF(P360&lt;='Tree rules'!$C$6,"Monitor","Polymer laminate"),IF(P360&lt;='Tree rules'!$C$7,"Seal cracks","Polymer laminate")),IF(O360&lt;='Tree rules'!$C$8,IF(M360&lt;='Tree rules'!$C$9,"Steel plate or jacket","Polymer laminate"),IF(L360&lt;='Tree rules'!$C$10,"Steel plate or jacket","Polymer laminate")))</f>
        <v>Seal cracks</v>
      </c>
      <c r="T360" s="5" t="str">
        <f aca="false">IF(S360=R360,"Yes","No")</f>
        <v>Yes</v>
      </c>
    </row>
    <row r="361" customFormat="false" ht="15" hidden="false" customHeight="false" outlineLevel="0" collapsed="false">
      <c r="A361" s="15" t="n">
        <v>513</v>
      </c>
      <c r="B361" s="16" t="n">
        <v>6.3442289480535</v>
      </c>
      <c r="C361" s="15" t="n">
        <v>300</v>
      </c>
      <c r="D361" s="15" t="n">
        <v>550</v>
      </c>
      <c r="E361" s="15" t="n">
        <v>30</v>
      </c>
      <c r="F361" s="16" t="n">
        <v>0.664887334093078</v>
      </c>
      <c r="G361" s="17" t="s">
        <v>91</v>
      </c>
      <c r="H361" s="18" t="n">
        <v>0.2</v>
      </c>
      <c r="I361" s="18" t="n">
        <v>1.5</v>
      </c>
      <c r="J361" s="19" t="n">
        <v>0.952617730551988</v>
      </c>
      <c r="K361" s="19" t="n">
        <v>0.499398879767549</v>
      </c>
      <c r="L361" s="16" t="n">
        <v>12.5877558493125</v>
      </c>
      <c r="M361" s="19" t="n">
        <v>0.927726927010713</v>
      </c>
      <c r="N361" s="19" t="n">
        <v>1.11413475851483</v>
      </c>
      <c r="O361" s="19" t="n">
        <v>1.1910584820858</v>
      </c>
      <c r="P361" s="19" t="n">
        <v>0.426772217357159</v>
      </c>
      <c r="Q361" s="17" t="s">
        <v>31</v>
      </c>
      <c r="R361" s="5" t="str">
        <f aca="false">IF(OR(Q361="Steel plate",Q361="Concrete jacket"),"Steel plate or jacket",Q361)</f>
        <v>Polymer laminate</v>
      </c>
      <c r="S361" s="5" t="str">
        <f aca="false">IF(O361&lt;='Tree rules'!$C$4,IF(N361&lt;='Tree rules'!$C$5,IF(P361&lt;='Tree rules'!$C$6,"Monitor","Polymer laminate"),IF(P361&lt;='Tree rules'!$C$7,"Seal cracks","Polymer laminate")),IF(O361&lt;='Tree rules'!$C$8,IF(M361&lt;='Tree rules'!$C$9,"Steel plate or jacket","Polymer laminate"),IF(L361&lt;='Tree rules'!$C$10,"Steel plate or jacket","Polymer laminate")))</f>
        <v>Polymer laminate</v>
      </c>
      <c r="T361" s="5" t="str">
        <f aca="false">IF(S361=R361,"Yes","No")</f>
        <v>Yes</v>
      </c>
    </row>
    <row r="362" customFormat="false" ht="15" hidden="false" customHeight="false" outlineLevel="0" collapsed="false">
      <c r="A362" s="15" t="n">
        <v>514</v>
      </c>
      <c r="B362" s="16" t="n">
        <v>3.42323812659796</v>
      </c>
      <c r="C362" s="15" t="n">
        <v>300</v>
      </c>
      <c r="D362" s="15" t="n">
        <v>325</v>
      </c>
      <c r="E362" s="15" t="n">
        <v>30</v>
      </c>
      <c r="F362" s="16" t="n">
        <v>0.756099314943392</v>
      </c>
      <c r="G362" s="17" t="s">
        <v>89</v>
      </c>
      <c r="H362" s="18" t="n">
        <v>0.3</v>
      </c>
      <c r="I362" s="18" t="n">
        <v>1.5</v>
      </c>
      <c r="J362" s="19" t="n">
        <v>0.892533218246353</v>
      </c>
      <c r="K362" s="19" t="n">
        <v>0.490326309045384</v>
      </c>
      <c r="L362" s="16" t="n">
        <v>12.3582603848302</v>
      </c>
      <c r="M362" s="19" t="n">
        <v>0.553546197668126</v>
      </c>
      <c r="N362" s="19" t="n">
        <v>1.25918759369834</v>
      </c>
      <c r="O362" s="19" t="n">
        <v>1.11998356806796</v>
      </c>
      <c r="P362" s="19" t="n">
        <v>0.564825284855352</v>
      </c>
      <c r="Q362" s="17" t="s">
        <v>31</v>
      </c>
      <c r="R362" s="5" t="str">
        <f aca="false">IF(OR(Q362="Steel plate",Q362="Concrete jacket"),"Steel plate or jacket",Q362)</f>
        <v>Polymer laminate</v>
      </c>
      <c r="S362" s="5" t="str">
        <f aca="false">IF(O362&lt;='Tree rules'!$C$4,IF(N362&lt;='Tree rules'!$C$5,IF(P362&lt;='Tree rules'!$C$6,"Monitor","Polymer laminate"),IF(P362&lt;='Tree rules'!$C$7,"Seal cracks","Polymer laminate")),IF(O362&lt;='Tree rules'!$C$8,IF(M362&lt;='Tree rules'!$C$9,"Steel plate or jacket","Polymer laminate"),IF(L362&lt;='Tree rules'!$C$10,"Steel plate or jacket","Polymer laminate")))</f>
        <v>Polymer laminate</v>
      </c>
      <c r="T362" s="5" t="str">
        <f aca="false">IF(S362=R362,"Yes","No")</f>
        <v>Yes</v>
      </c>
    </row>
    <row r="363" customFormat="false" ht="15" hidden="false" customHeight="false" outlineLevel="0" collapsed="false">
      <c r="A363" s="15" t="n">
        <v>517</v>
      </c>
      <c r="B363" s="16" t="n">
        <v>4.12227001897344</v>
      </c>
      <c r="C363" s="15" t="n">
        <v>300</v>
      </c>
      <c r="D363" s="15" t="n">
        <v>350</v>
      </c>
      <c r="E363" s="15" t="n">
        <v>25</v>
      </c>
      <c r="F363" s="16" t="n">
        <v>0.61599855952741</v>
      </c>
      <c r="G363" s="17" t="s">
        <v>91</v>
      </c>
      <c r="H363" s="18" t="n">
        <v>0.2</v>
      </c>
      <c r="I363" s="18" t="n">
        <v>1</v>
      </c>
      <c r="J363" s="19" t="n">
        <v>0.955610426373365</v>
      </c>
      <c r="K363" s="19" t="n">
        <v>0.441840481976462</v>
      </c>
      <c r="L363" s="16" t="n">
        <v>13.47147065024</v>
      </c>
      <c r="M363" s="19" t="n">
        <v>0.81603790042866</v>
      </c>
      <c r="N363" s="19" t="n">
        <v>0.902139991709573</v>
      </c>
      <c r="O363" s="19" t="n">
        <v>0.955610426373365</v>
      </c>
      <c r="P363" s="19" t="n">
        <v>0.376966257277599</v>
      </c>
      <c r="Q363" s="17" t="s">
        <v>29</v>
      </c>
      <c r="R363" s="5" t="str">
        <f aca="false">IF(OR(Q363="Steel plate",Q363="Concrete jacket"),"Steel plate or jacket",Q363)</f>
        <v>Monitor</v>
      </c>
      <c r="S363" s="5" t="str">
        <f aca="false">IF(O363&lt;='Tree rules'!$C$4,IF(N363&lt;='Tree rules'!$C$5,IF(P363&lt;='Tree rules'!$C$6,"Monitor","Polymer laminate"),IF(P363&lt;='Tree rules'!$C$7,"Seal cracks","Polymer laminate")),IF(O363&lt;='Tree rules'!$C$8,IF(M363&lt;='Tree rules'!$C$9,"Steel plate or jacket","Polymer laminate"),IF(L363&lt;='Tree rules'!$C$10,"Steel plate or jacket","Polymer laminate")))</f>
        <v>Monitor</v>
      </c>
      <c r="T363" s="5" t="str">
        <f aca="false">IF(S363=R363,"Yes","No")</f>
        <v>Yes</v>
      </c>
    </row>
    <row r="364" customFormat="false" ht="15" hidden="false" customHeight="false" outlineLevel="0" collapsed="false">
      <c r="A364" s="15" t="n">
        <v>519</v>
      </c>
      <c r="B364" s="16" t="n">
        <v>5.75373803439871</v>
      </c>
      <c r="C364" s="15" t="n">
        <v>300</v>
      </c>
      <c r="D364" s="15" t="n">
        <v>525</v>
      </c>
      <c r="E364" s="15" t="n">
        <v>25</v>
      </c>
      <c r="F364" s="16" t="n">
        <v>0.699589178252424</v>
      </c>
      <c r="G364" s="17" t="s">
        <v>89</v>
      </c>
      <c r="H364" s="18" t="n">
        <v>0.3</v>
      </c>
      <c r="I364" s="18" t="n">
        <v>1.5</v>
      </c>
      <c r="J364" s="19" t="n">
        <v>0.94725323970314</v>
      </c>
      <c r="K364" s="19" t="n">
        <v>0.450534324432691</v>
      </c>
      <c r="L364" s="16" t="n">
        <v>12.0119791949869</v>
      </c>
      <c r="M364" s="19" t="n">
        <v>0.592975447348641</v>
      </c>
      <c r="N364" s="19" t="n">
        <v>0.797176236926126</v>
      </c>
      <c r="O364" s="19" t="n">
        <v>1.20749481034654</v>
      </c>
      <c r="P364" s="19" t="n">
        <v>0.644702526278698</v>
      </c>
      <c r="Q364" s="17" t="s">
        <v>31</v>
      </c>
      <c r="R364" s="5" t="str">
        <f aca="false">IF(OR(Q364="Steel plate",Q364="Concrete jacket"),"Steel plate or jacket",Q364)</f>
        <v>Polymer laminate</v>
      </c>
      <c r="S364" s="5" t="str">
        <f aca="false">IF(O364&lt;='Tree rules'!$C$4,IF(N364&lt;='Tree rules'!$C$5,IF(P364&lt;='Tree rules'!$C$6,"Monitor","Polymer laminate"),IF(P364&lt;='Tree rules'!$C$7,"Seal cracks","Polymer laminate")),IF(O364&lt;='Tree rules'!$C$8,IF(M364&lt;='Tree rules'!$C$9,"Steel plate or jacket","Polymer laminate"),IF(L364&lt;='Tree rules'!$C$10,"Steel plate or jacket","Polymer laminate")))</f>
        <v>Polymer laminate</v>
      </c>
      <c r="T364" s="5" t="str">
        <f aca="false">IF(S364=R364,"Yes","No")</f>
        <v>Yes</v>
      </c>
    </row>
    <row r="365" customFormat="false" ht="15" hidden="false" customHeight="false" outlineLevel="0" collapsed="false">
      <c r="A365" s="15" t="n">
        <v>520</v>
      </c>
      <c r="B365" s="16" t="n">
        <v>3.72610609699077</v>
      </c>
      <c r="C365" s="15" t="n">
        <v>300</v>
      </c>
      <c r="D365" s="15" t="n">
        <v>300</v>
      </c>
      <c r="E365" s="15" t="n">
        <v>30</v>
      </c>
      <c r="F365" s="16" t="n">
        <v>0.831109167616348</v>
      </c>
      <c r="G365" s="17" t="s">
        <v>91</v>
      </c>
      <c r="H365" s="18" t="n">
        <v>0.2</v>
      </c>
      <c r="I365" s="18" t="n">
        <v>2</v>
      </c>
      <c r="J365" s="19" t="n">
        <v>0.897012613597393</v>
      </c>
      <c r="K365" s="19" t="n">
        <v>0.540283486141964</v>
      </c>
      <c r="L365" s="16" t="n">
        <v>14.7861353055189</v>
      </c>
      <c r="M365" s="19" t="n">
        <v>0.906906792769029</v>
      </c>
      <c r="N365" s="19" t="n">
        <v>2.08731046892434</v>
      </c>
      <c r="O365" s="19" t="n">
        <v>1.30938412520707</v>
      </c>
      <c r="P365" s="19" t="n">
        <v>0.50750824427767</v>
      </c>
      <c r="Q365" s="17" t="s">
        <v>31</v>
      </c>
      <c r="R365" s="5" t="str">
        <f aca="false">IF(OR(Q365="Steel plate",Q365="Concrete jacket"),"Steel plate or jacket",Q365)</f>
        <v>Polymer laminate</v>
      </c>
      <c r="S365" s="5" t="str">
        <f aca="false">IF(O365&lt;='Tree rules'!$C$4,IF(N365&lt;='Tree rules'!$C$5,IF(P365&lt;='Tree rules'!$C$6,"Monitor","Polymer laminate"),IF(P365&lt;='Tree rules'!$C$7,"Seal cracks","Polymer laminate")),IF(O365&lt;='Tree rules'!$C$8,IF(M365&lt;='Tree rules'!$C$9,"Steel plate or jacket","Polymer laminate"),IF(L365&lt;='Tree rules'!$C$10,"Steel plate or jacket","Polymer laminate")))</f>
        <v>Polymer laminate</v>
      </c>
      <c r="T365" s="5" t="str">
        <f aca="false">IF(S365=R365,"Yes","No")</f>
        <v>Yes</v>
      </c>
    </row>
    <row r="366" customFormat="false" ht="15" hidden="false" customHeight="false" outlineLevel="0" collapsed="false">
      <c r="A366" s="15" t="n">
        <v>522</v>
      </c>
      <c r="B366" s="16" t="n">
        <v>4.78624029500612</v>
      </c>
      <c r="C366" s="15" t="n">
        <v>300</v>
      </c>
      <c r="D366" s="15" t="n">
        <v>375</v>
      </c>
      <c r="E366" s="15" t="n">
        <v>30</v>
      </c>
      <c r="F366" s="16" t="n">
        <v>0.640487798897002</v>
      </c>
      <c r="G366" s="17" t="s">
        <v>91</v>
      </c>
      <c r="H366" s="18" t="n">
        <v>0.2</v>
      </c>
      <c r="I366" s="18" t="n">
        <v>1</v>
      </c>
      <c r="J366" s="19" t="n">
        <v>0.945837108863319</v>
      </c>
      <c r="K366" s="19" t="n">
        <v>0.436317559957663</v>
      </c>
      <c r="L366" s="16" t="n">
        <v>14.6368204740248</v>
      </c>
      <c r="M366" s="19" t="n">
        <v>0.80246065877222</v>
      </c>
      <c r="N366" s="19" t="n">
        <v>1.50498905838398</v>
      </c>
      <c r="O366" s="19" t="n">
        <v>0.945837108863319</v>
      </c>
      <c r="P366" s="19" t="n">
        <v>0.398307538679016</v>
      </c>
      <c r="Q366" s="17" t="s">
        <v>30</v>
      </c>
      <c r="R366" s="5" t="str">
        <f aca="false">IF(OR(Q366="Steel plate",Q366="Concrete jacket"),"Steel plate or jacket",Q366)</f>
        <v>Seal cracks</v>
      </c>
      <c r="S366" s="5" t="str">
        <f aca="false">IF(O366&lt;='Tree rules'!$C$4,IF(N366&lt;='Tree rules'!$C$5,IF(P366&lt;='Tree rules'!$C$6,"Monitor","Polymer laminate"),IF(P366&lt;='Tree rules'!$C$7,"Seal cracks","Polymer laminate")),IF(O366&lt;='Tree rules'!$C$8,IF(M366&lt;='Tree rules'!$C$9,"Steel plate or jacket","Polymer laminate"),IF(L366&lt;='Tree rules'!$C$10,"Steel plate or jacket","Polymer laminate")))</f>
        <v>Seal cracks</v>
      </c>
      <c r="T366" s="5" t="str">
        <f aca="false">IF(S366=R366,"Yes","No")</f>
        <v>Yes</v>
      </c>
    </row>
    <row r="367" customFormat="false" ht="15" hidden="false" customHeight="false" outlineLevel="0" collapsed="false">
      <c r="A367" s="15" t="n">
        <v>523</v>
      </c>
      <c r="B367" s="16" t="n">
        <v>4.85328615102181</v>
      </c>
      <c r="C367" s="15" t="n">
        <v>300</v>
      </c>
      <c r="D367" s="15" t="n">
        <v>450</v>
      </c>
      <c r="E367" s="15" t="n">
        <v>25</v>
      </c>
      <c r="F367" s="16" t="n">
        <v>0.781490709848207</v>
      </c>
      <c r="G367" s="17" t="s">
        <v>89</v>
      </c>
      <c r="H367" s="18" t="n">
        <v>0.3</v>
      </c>
      <c r="I367" s="18" t="n">
        <v>1</v>
      </c>
      <c r="J367" s="19" t="n">
        <v>0.887657929527888</v>
      </c>
      <c r="K367" s="19" t="n">
        <v>0.509010392425832</v>
      </c>
      <c r="L367" s="16" t="n">
        <v>12.0728511219448</v>
      </c>
      <c r="M367" s="19" t="n">
        <v>0.558089011999821</v>
      </c>
      <c r="N367" s="19" t="n">
        <v>0.729470746868203</v>
      </c>
      <c r="O367" s="19" t="n">
        <v>0.887657929527888</v>
      </c>
      <c r="P367" s="19" t="n">
        <v>0.61037869889489</v>
      </c>
      <c r="Q367" s="17" t="s">
        <v>29</v>
      </c>
      <c r="R367" s="5" t="str">
        <f aca="false">IF(OR(Q367="Steel plate",Q367="Concrete jacket"),"Steel plate or jacket",Q367)</f>
        <v>Monitor</v>
      </c>
      <c r="S367" s="5" t="str">
        <f aca="false">IF(O367&lt;='Tree rules'!$C$4,IF(N367&lt;='Tree rules'!$C$5,IF(P367&lt;='Tree rules'!$C$6,"Monitor","Polymer laminate"),IF(P367&lt;='Tree rules'!$C$7,"Seal cracks","Polymer laminate")),IF(O367&lt;='Tree rules'!$C$8,IF(M367&lt;='Tree rules'!$C$9,"Steel plate or jacket","Polymer laminate"),IF(L367&lt;='Tree rules'!$C$10,"Steel plate or jacket","Polymer laminate")))</f>
        <v>Monitor</v>
      </c>
      <c r="T367" s="5" t="str">
        <f aca="false">IF(S367=R367,"Yes","No")</f>
        <v>Yes</v>
      </c>
    </row>
    <row r="368" customFormat="false" ht="15" hidden="false" customHeight="false" outlineLevel="0" collapsed="false">
      <c r="A368" s="15" t="n">
        <v>524</v>
      </c>
      <c r="B368" s="16" t="n">
        <v>6.03462393325789</v>
      </c>
      <c r="C368" s="15" t="n">
        <v>300</v>
      </c>
      <c r="D368" s="15" t="n">
        <v>575</v>
      </c>
      <c r="E368" s="15" t="n">
        <v>25</v>
      </c>
      <c r="F368" s="16" t="n">
        <v>0.596127638252333</v>
      </c>
      <c r="G368" s="17" t="s">
        <v>91</v>
      </c>
      <c r="H368" s="18" t="n">
        <v>0.2</v>
      </c>
      <c r="I368" s="18" t="n">
        <v>1</v>
      </c>
      <c r="J368" s="19" t="n">
        <v>0.975703126029397</v>
      </c>
      <c r="K368" s="19" t="n">
        <v>0.478487300067279</v>
      </c>
      <c r="L368" s="16" t="n">
        <v>11.4508993040947</v>
      </c>
      <c r="M368" s="19" t="n">
        <v>0.940128786427119</v>
      </c>
      <c r="N368" s="19" t="n">
        <v>1.08108884052777</v>
      </c>
      <c r="O368" s="19" t="n">
        <v>0.975703126029397</v>
      </c>
      <c r="P368" s="19" t="n">
        <v>0.334525696260114</v>
      </c>
      <c r="Q368" s="17" t="s">
        <v>30</v>
      </c>
      <c r="R368" s="5" t="str">
        <f aca="false">IF(OR(Q368="Steel plate",Q368="Concrete jacket"),"Steel plate or jacket",Q368)</f>
        <v>Seal cracks</v>
      </c>
      <c r="S368" s="5" t="str">
        <f aca="false">IF(O368&lt;='Tree rules'!$C$4,IF(N368&lt;='Tree rules'!$C$5,IF(P368&lt;='Tree rules'!$C$6,"Monitor","Polymer laminate"),IF(P368&lt;='Tree rules'!$C$7,"Seal cracks","Polymer laminate")),IF(O368&lt;='Tree rules'!$C$8,IF(M368&lt;='Tree rules'!$C$9,"Steel plate or jacket","Polymer laminate"),IF(L368&lt;='Tree rules'!$C$10,"Steel plate or jacket","Polymer laminate")))</f>
        <v>Seal cracks</v>
      </c>
      <c r="T368" s="5" t="str">
        <f aca="false">IF(S368=R368,"Yes","No")</f>
        <v>Yes</v>
      </c>
    </row>
    <row r="369" customFormat="false" ht="15" hidden="false" customHeight="false" outlineLevel="0" collapsed="false">
      <c r="A369" s="15" t="n">
        <v>525</v>
      </c>
      <c r="B369" s="16" t="n">
        <v>5.39482313849803</v>
      </c>
      <c r="C369" s="15" t="n">
        <v>230</v>
      </c>
      <c r="D369" s="15" t="n">
        <v>525</v>
      </c>
      <c r="E369" s="15" t="n">
        <v>20</v>
      </c>
      <c r="F369" s="16" t="n">
        <v>0.730006099046008</v>
      </c>
      <c r="G369" s="17" t="s">
        <v>89</v>
      </c>
      <c r="H369" s="18" t="n">
        <v>0.3</v>
      </c>
      <c r="I369" s="18" t="n">
        <v>1</v>
      </c>
      <c r="J369" s="19" t="n">
        <v>0.918947917689494</v>
      </c>
      <c r="K369" s="19" t="n">
        <v>0.504926202421055</v>
      </c>
      <c r="L369" s="16" t="n">
        <v>11.2626787860084</v>
      </c>
      <c r="M369" s="19" t="n">
        <v>0.359683804336276</v>
      </c>
      <c r="N369" s="19" t="n">
        <v>0.607830249219679</v>
      </c>
      <c r="O369" s="19" t="n">
        <v>0.918947917689494</v>
      </c>
      <c r="P369" s="19" t="n">
        <v>0.94450966430149</v>
      </c>
      <c r="Q369" s="17" t="s">
        <v>29</v>
      </c>
      <c r="R369" s="5" t="str">
        <f aca="false">IF(OR(Q369="Steel plate",Q369="Concrete jacket"),"Steel plate or jacket",Q369)</f>
        <v>Monitor</v>
      </c>
      <c r="S369" s="5" t="str">
        <f aca="false">IF(O369&lt;='Tree rules'!$C$4,IF(N369&lt;='Tree rules'!$C$5,IF(P369&lt;='Tree rules'!$C$6,"Monitor","Polymer laminate"),IF(P369&lt;='Tree rules'!$C$7,"Seal cracks","Polymer laminate")),IF(O369&lt;='Tree rules'!$C$8,IF(M369&lt;='Tree rules'!$C$9,"Steel plate or jacket","Polymer laminate"),IF(L369&lt;='Tree rules'!$C$10,"Steel plate or jacket","Polymer laminate")))</f>
        <v>Monitor</v>
      </c>
      <c r="T369" s="5" t="str">
        <f aca="false">IF(S369=R369,"Yes","No")</f>
        <v>Yes</v>
      </c>
    </row>
    <row r="370" customFormat="false" ht="15" hidden="false" customHeight="false" outlineLevel="0" collapsed="false">
      <c r="A370" s="15" t="n">
        <v>526</v>
      </c>
      <c r="B370" s="16" t="n">
        <v>7.47675458810461</v>
      </c>
      <c r="C370" s="15" t="n">
        <v>300</v>
      </c>
      <c r="D370" s="15" t="n">
        <v>625</v>
      </c>
      <c r="E370" s="15" t="n">
        <v>25</v>
      </c>
      <c r="F370" s="16" t="n">
        <v>0.694514438099298</v>
      </c>
      <c r="G370" s="17" t="s">
        <v>91</v>
      </c>
      <c r="H370" s="18" t="n">
        <v>0.2</v>
      </c>
      <c r="I370" s="18" t="n">
        <v>1</v>
      </c>
      <c r="J370" s="19" t="n">
        <v>0.853273584337147</v>
      </c>
      <c r="K370" s="19" t="n">
        <v>0.473883608280586</v>
      </c>
      <c r="L370" s="16" t="n">
        <v>12.9132203594208</v>
      </c>
      <c r="M370" s="19" t="n">
        <v>0.339117068750139</v>
      </c>
      <c r="N370" s="19" t="n">
        <v>0.829919051467398</v>
      </c>
      <c r="O370" s="19" t="n">
        <v>0.853273584337147</v>
      </c>
      <c r="P370" s="19" t="n">
        <v>0.971728916197109</v>
      </c>
      <c r="Q370" s="17" t="s">
        <v>31</v>
      </c>
      <c r="R370" s="5" t="str">
        <f aca="false">IF(OR(Q370="Steel plate",Q370="Concrete jacket"),"Steel plate or jacket",Q370)</f>
        <v>Polymer laminate</v>
      </c>
      <c r="S370" s="5" t="str">
        <f aca="false">IF(O370&lt;='Tree rules'!$C$4,IF(N370&lt;='Tree rules'!$C$5,IF(P370&lt;='Tree rules'!$C$6,"Monitor","Polymer laminate"),IF(P370&lt;='Tree rules'!$C$7,"Seal cracks","Polymer laminate")),IF(O370&lt;='Tree rules'!$C$8,IF(M370&lt;='Tree rules'!$C$9,"Steel plate or jacket","Polymer laminate"),IF(L370&lt;='Tree rules'!$C$10,"Steel plate or jacket","Polymer laminate")))</f>
        <v>Polymer laminate</v>
      </c>
      <c r="T370" s="5" t="str">
        <f aca="false">IF(S370=R370,"Yes","No")</f>
        <v>Yes</v>
      </c>
    </row>
    <row r="371" customFormat="false" ht="15" hidden="false" customHeight="false" outlineLevel="0" collapsed="false">
      <c r="A371" s="15" t="n">
        <v>529</v>
      </c>
      <c r="B371" s="16" t="n">
        <v>4.64761014415085</v>
      </c>
      <c r="C371" s="15" t="n">
        <v>300</v>
      </c>
      <c r="D371" s="15" t="n">
        <v>450</v>
      </c>
      <c r="E371" s="15" t="n">
        <v>25</v>
      </c>
      <c r="F371" s="16" t="n">
        <v>0.811781047439223</v>
      </c>
      <c r="G371" s="17" t="s">
        <v>90</v>
      </c>
      <c r="H371" s="18" t="n">
        <v>0.1</v>
      </c>
      <c r="I371" s="18" t="n">
        <v>1</v>
      </c>
      <c r="J371" s="19" t="n">
        <v>0.916307685786396</v>
      </c>
      <c r="K371" s="19" t="n">
        <v>0.502603250594232</v>
      </c>
      <c r="L371" s="16" t="n">
        <v>12.0093285378575</v>
      </c>
      <c r="M371" s="19" t="n">
        <v>0.950239115819322</v>
      </c>
      <c r="N371" s="19" t="n">
        <v>2.49558487533285</v>
      </c>
      <c r="O371" s="19" t="n">
        <v>0.916307685786396</v>
      </c>
      <c r="P371" s="19" t="n">
        <v>0.361595904597692</v>
      </c>
      <c r="Q371" s="17" t="s">
        <v>30</v>
      </c>
      <c r="R371" s="5" t="str">
        <f aca="false">IF(OR(Q371="Steel plate",Q371="Concrete jacket"),"Steel plate or jacket",Q371)</f>
        <v>Seal cracks</v>
      </c>
      <c r="S371" s="5" t="str">
        <f aca="false">IF(O371&lt;='Tree rules'!$C$4,IF(N371&lt;='Tree rules'!$C$5,IF(P371&lt;='Tree rules'!$C$6,"Monitor","Polymer laminate"),IF(P371&lt;='Tree rules'!$C$7,"Seal cracks","Polymer laminate")),IF(O371&lt;='Tree rules'!$C$8,IF(M371&lt;='Tree rules'!$C$9,"Steel plate or jacket","Polymer laminate"),IF(L371&lt;='Tree rules'!$C$10,"Steel plate or jacket","Polymer laminate")))</f>
        <v>Seal cracks</v>
      </c>
      <c r="T371" s="5" t="str">
        <f aca="false">IF(S371=R371,"Yes","No")</f>
        <v>Yes</v>
      </c>
    </row>
    <row r="372" customFormat="false" ht="15" hidden="false" customHeight="false" outlineLevel="0" collapsed="false">
      <c r="A372" s="15" t="n">
        <v>530</v>
      </c>
      <c r="B372" s="16" t="n">
        <v>6.54894375350225</v>
      </c>
      <c r="C372" s="15" t="n">
        <v>300</v>
      </c>
      <c r="D372" s="15" t="n">
        <v>600</v>
      </c>
      <c r="E372" s="15" t="n">
        <v>30</v>
      </c>
      <c r="F372" s="16" t="n">
        <v>0.569129103911194</v>
      </c>
      <c r="G372" s="17" t="s">
        <v>91</v>
      </c>
      <c r="H372" s="18" t="n">
        <v>0.2</v>
      </c>
      <c r="I372" s="18" t="n">
        <v>1</v>
      </c>
      <c r="J372" s="19" t="n">
        <v>0.926196400361367</v>
      </c>
      <c r="K372" s="19" t="n">
        <v>0.441004912328906</v>
      </c>
      <c r="L372" s="16" t="n">
        <v>11.8640285389534</v>
      </c>
      <c r="M372" s="19" t="n">
        <v>0.303871828416439</v>
      </c>
      <c r="N372" s="19" t="n">
        <v>1.21546838430716</v>
      </c>
      <c r="O372" s="19" t="n">
        <v>0.926196400361367</v>
      </c>
      <c r="P372" s="19" t="n">
        <v>0.816855714592611</v>
      </c>
      <c r="Q372" s="17" t="s">
        <v>30</v>
      </c>
      <c r="R372" s="5" t="str">
        <f aca="false">IF(OR(Q372="Steel plate",Q372="Concrete jacket"),"Steel plate or jacket",Q372)</f>
        <v>Seal cracks</v>
      </c>
      <c r="S372" s="5" t="str">
        <f aca="false">IF(O372&lt;='Tree rules'!$C$4,IF(N372&lt;='Tree rules'!$C$5,IF(P372&lt;='Tree rules'!$C$6,"Monitor","Polymer laminate"),IF(P372&lt;='Tree rules'!$C$7,"Seal cracks","Polymer laminate")),IF(O372&lt;='Tree rules'!$C$8,IF(M372&lt;='Tree rules'!$C$9,"Steel plate or jacket","Polymer laminate"),IF(L372&lt;='Tree rules'!$C$10,"Steel plate or jacket","Polymer laminate")))</f>
        <v>Seal cracks</v>
      </c>
      <c r="T372" s="5" t="str">
        <f aca="false">IF(S372=R372,"Yes","No")</f>
        <v>Yes</v>
      </c>
    </row>
    <row r="373" customFormat="false" ht="15" hidden="false" customHeight="false" outlineLevel="0" collapsed="false">
      <c r="A373" s="15" t="n">
        <v>531</v>
      </c>
      <c r="B373" s="16" t="n">
        <v>6.82095971702967</v>
      </c>
      <c r="C373" s="15" t="n">
        <v>300</v>
      </c>
      <c r="D373" s="15" t="n">
        <v>600</v>
      </c>
      <c r="E373" s="15" t="n">
        <v>20</v>
      </c>
      <c r="F373" s="16" t="n">
        <v>0.604879451954714</v>
      </c>
      <c r="G373" s="17" t="s">
        <v>89</v>
      </c>
      <c r="H373" s="18" t="n">
        <v>0.3</v>
      </c>
      <c r="I373" s="18" t="n">
        <v>2</v>
      </c>
      <c r="J373" s="19" t="n">
        <v>0.875874588026598</v>
      </c>
      <c r="K373" s="19" t="n">
        <v>0.44473369194236</v>
      </c>
      <c r="L373" s="16" t="n">
        <v>12.3122016552882</v>
      </c>
      <c r="M373" s="19" t="n">
        <v>0.624073553537873</v>
      </c>
      <c r="N373" s="19" t="n">
        <v>0.87439964740763</v>
      </c>
      <c r="O373" s="19" t="n">
        <v>1.36221823684163</v>
      </c>
      <c r="P373" s="19" t="n">
        <v>0.650786745151783</v>
      </c>
      <c r="Q373" s="17" t="s">
        <v>92</v>
      </c>
      <c r="R373" s="5" t="str">
        <f aca="false">IF(OR(Q373="Steel plate",Q373="Concrete jacket"),"Steel plate or jacket",Q373)</f>
        <v>Steel plate or jacket</v>
      </c>
      <c r="S373" s="5" t="str">
        <f aca="false">IF(O373&lt;='Tree rules'!$C$4,IF(N373&lt;='Tree rules'!$C$5,IF(P373&lt;='Tree rules'!$C$6,"Monitor","Polymer laminate"),IF(P373&lt;='Tree rules'!$C$7,"Seal cracks","Polymer laminate")),IF(O373&lt;='Tree rules'!$C$8,IF(M373&lt;='Tree rules'!$C$9,"Steel plate or jacket","Polymer laminate"),IF(L373&lt;='Tree rules'!$C$10,"Steel plate or jacket","Polymer laminate")))</f>
        <v>Steel plate or jacket</v>
      </c>
      <c r="T373" s="5" t="str">
        <f aca="false">IF(S373=R373,"Yes","No")</f>
        <v>Yes</v>
      </c>
    </row>
    <row r="374" customFormat="false" ht="15" hidden="false" customHeight="false" outlineLevel="0" collapsed="false">
      <c r="A374" s="15" t="n">
        <v>532</v>
      </c>
      <c r="B374" s="16" t="n">
        <v>3.47390913094961</v>
      </c>
      <c r="C374" s="15" t="n">
        <v>230</v>
      </c>
      <c r="D374" s="15" t="n">
        <v>325</v>
      </c>
      <c r="E374" s="15" t="n">
        <v>30</v>
      </c>
      <c r="F374" s="16" t="n">
        <v>1.04267927434112</v>
      </c>
      <c r="G374" s="17" t="s">
        <v>90</v>
      </c>
      <c r="H374" s="18" t="n">
        <v>0.1</v>
      </c>
      <c r="I374" s="18" t="n">
        <v>1.5</v>
      </c>
      <c r="J374" s="19" t="n">
        <v>0.854505669082007</v>
      </c>
      <c r="K374" s="19" t="n">
        <v>0.481886935406943</v>
      </c>
      <c r="L374" s="16" t="n">
        <v>13.2591951562962</v>
      </c>
      <c r="M374" s="19" t="n">
        <v>0.948352851645</v>
      </c>
      <c r="N374" s="19" t="n">
        <v>3.3493267571475</v>
      </c>
      <c r="O374" s="19" t="n">
        <v>1.07587094454212</v>
      </c>
      <c r="P374" s="19" t="n">
        <v>0.398460702449627</v>
      </c>
      <c r="Q374" s="17" t="s">
        <v>31</v>
      </c>
      <c r="R374" s="5" t="str">
        <f aca="false">IF(OR(Q374="Steel plate",Q374="Concrete jacket"),"Steel plate or jacket",Q374)</f>
        <v>Polymer laminate</v>
      </c>
      <c r="S374" s="5" t="str">
        <f aca="false">IF(O374&lt;='Tree rules'!$C$4,IF(N374&lt;='Tree rules'!$C$5,IF(P374&lt;='Tree rules'!$C$6,"Monitor","Polymer laminate"),IF(P374&lt;='Tree rules'!$C$7,"Seal cracks","Polymer laminate")),IF(O374&lt;='Tree rules'!$C$8,IF(M374&lt;='Tree rules'!$C$9,"Steel plate or jacket","Polymer laminate"),IF(L374&lt;='Tree rules'!$C$10,"Steel plate or jacket","Polymer laminate")))</f>
        <v>Polymer laminate</v>
      </c>
      <c r="T374" s="5" t="str">
        <f aca="false">IF(S374=R374,"Yes","No")</f>
        <v>Yes</v>
      </c>
    </row>
    <row r="375" customFormat="false" ht="15" hidden="false" customHeight="false" outlineLevel="0" collapsed="false">
      <c r="A375" s="15" t="n">
        <v>533</v>
      </c>
      <c r="B375" s="16" t="n">
        <v>5.57707489850365</v>
      </c>
      <c r="C375" s="15" t="n">
        <v>230</v>
      </c>
      <c r="D375" s="15" t="n">
        <v>475</v>
      </c>
      <c r="E375" s="15" t="n">
        <v>20</v>
      </c>
      <c r="F375" s="16" t="n">
        <v>0.611316296229087</v>
      </c>
      <c r="G375" s="17" t="s">
        <v>89</v>
      </c>
      <c r="H375" s="18" t="n">
        <v>0.3</v>
      </c>
      <c r="I375" s="18" t="n">
        <v>1</v>
      </c>
      <c r="J375" s="19" t="n">
        <v>0.906185121823484</v>
      </c>
      <c r="K375" s="19" t="n">
        <v>0.631330929488447</v>
      </c>
      <c r="L375" s="16" t="n">
        <v>13.0001745885866</v>
      </c>
      <c r="M375" s="19" t="n">
        <v>0.391223384339209</v>
      </c>
      <c r="N375" s="19" t="n">
        <v>0.667558633146383</v>
      </c>
      <c r="O375" s="19" t="n">
        <v>0.906185121823484</v>
      </c>
      <c r="P375" s="19" t="n">
        <v>0.93448458908093</v>
      </c>
      <c r="Q375" s="17" t="s">
        <v>29</v>
      </c>
      <c r="R375" s="5" t="str">
        <f aca="false">IF(OR(Q375="Steel plate",Q375="Concrete jacket"),"Steel plate or jacket",Q375)</f>
        <v>Monitor</v>
      </c>
      <c r="S375" s="5" t="str">
        <f aca="false">IF(O375&lt;='Tree rules'!$C$4,IF(N375&lt;='Tree rules'!$C$5,IF(P375&lt;='Tree rules'!$C$6,"Monitor","Polymer laminate"),IF(P375&lt;='Tree rules'!$C$7,"Seal cracks","Polymer laminate")),IF(O375&lt;='Tree rules'!$C$8,IF(M375&lt;='Tree rules'!$C$9,"Steel plate or jacket","Polymer laminate"),IF(L375&lt;='Tree rules'!$C$10,"Steel plate or jacket","Polymer laminate")))</f>
        <v>Monitor</v>
      </c>
      <c r="T375" s="5" t="str">
        <f aca="false">IF(S375=R375,"Yes","No")</f>
        <v>Yes</v>
      </c>
    </row>
    <row r="376" customFormat="false" ht="15" hidden="false" customHeight="false" outlineLevel="0" collapsed="false">
      <c r="A376" s="15" t="n">
        <v>535</v>
      </c>
      <c r="B376" s="16" t="n">
        <v>5.34774012751353</v>
      </c>
      <c r="C376" s="15" t="n">
        <v>230</v>
      </c>
      <c r="D376" s="15" t="n">
        <v>425</v>
      </c>
      <c r="E376" s="15" t="n">
        <v>25</v>
      </c>
      <c r="F376" s="16" t="n">
        <v>0.72047992055571</v>
      </c>
      <c r="G376" s="17" t="s">
        <v>90</v>
      </c>
      <c r="H376" s="18" t="n">
        <v>0.1</v>
      </c>
      <c r="I376" s="18" t="n">
        <v>1.5</v>
      </c>
      <c r="J376" s="19" t="n">
        <v>0.901984879974277</v>
      </c>
      <c r="K376" s="19" t="n">
        <v>0.558706345380489</v>
      </c>
      <c r="L376" s="16" t="n">
        <v>14.6915937569053</v>
      </c>
      <c r="M376" s="19" t="n">
        <v>0.912160518703957</v>
      </c>
      <c r="N376" s="19" t="n">
        <v>2.84554419220587</v>
      </c>
      <c r="O376" s="19" t="n">
        <v>1.10100498202197</v>
      </c>
      <c r="P376" s="19" t="n">
        <v>0.460611693267788</v>
      </c>
      <c r="Q376" s="17" t="s">
        <v>31</v>
      </c>
      <c r="R376" s="5" t="str">
        <f aca="false">IF(OR(Q376="Steel plate",Q376="Concrete jacket"),"Steel plate or jacket",Q376)</f>
        <v>Polymer laminate</v>
      </c>
      <c r="S376" s="5" t="str">
        <f aca="false">IF(O376&lt;='Tree rules'!$C$4,IF(N376&lt;='Tree rules'!$C$5,IF(P376&lt;='Tree rules'!$C$6,"Monitor","Polymer laminate"),IF(P376&lt;='Tree rules'!$C$7,"Seal cracks","Polymer laminate")),IF(O376&lt;='Tree rules'!$C$8,IF(M376&lt;='Tree rules'!$C$9,"Steel plate or jacket","Polymer laminate"),IF(L376&lt;='Tree rules'!$C$10,"Steel plate or jacket","Polymer laminate")))</f>
        <v>Polymer laminate</v>
      </c>
      <c r="T376" s="5" t="str">
        <f aca="false">IF(S376=R376,"Yes","No")</f>
        <v>Yes</v>
      </c>
    </row>
    <row r="377" customFormat="false" ht="15" hidden="false" customHeight="false" outlineLevel="0" collapsed="false">
      <c r="A377" s="15" t="n">
        <v>536</v>
      </c>
      <c r="B377" s="16" t="n">
        <v>3.25583366675317</v>
      </c>
      <c r="C377" s="15" t="n">
        <v>230</v>
      </c>
      <c r="D377" s="15" t="n">
        <v>300</v>
      </c>
      <c r="E377" s="15" t="n">
        <v>25</v>
      </c>
      <c r="F377" s="16" t="n">
        <v>0.688332522525665</v>
      </c>
      <c r="G377" s="17" t="s">
        <v>91</v>
      </c>
      <c r="H377" s="18" t="n">
        <v>0.2</v>
      </c>
      <c r="I377" s="18" t="n">
        <v>1.5</v>
      </c>
      <c r="J377" s="19" t="n">
        <v>0.969646397483078</v>
      </c>
      <c r="K377" s="19" t="n">
        <v>0.472924219162633</v>
      </c>
      <c r="L377" s="16" t="n">
        <v>12.8182427824928</v>
      </c>
      <c r="M377" s="19" t="n">
        <v>0.545135012774047</v>
      </c>
      <c r="N377" s="19" t="n">
        <v>1.7369316740322</v>
      </c>
      <c r="O377" s="19" t="n">
        <v>1.22518496352784</v>
      </c>
      <c r="P377" s="19" t="n">
        <v>0.603360037856416</v>
      </c>
      <c r="Q377" s="17" t="s">
        <v>31</v>
      </c>
      <c r="R377" s="5" t="str">
        <f aca="false">IF(OR(Q377="Steel plate",Q377="Concrete jacket"),"Steel plate or jacket",Q377)</f>
        <v>Polymer laminate</v>
      </c>
      <c r="S377" s="5" t="str">
        <f aca="false">IF(O377&lt;='Tree rules'!$C$4,IF(N377&lt;='Tree rules'!$C$5,IF(P377&lt;='Tree rules'!$C$6,"Monitor","Polymer laminate"),IF(P377&lt;='Tree rules'!$C$7,"Seal cracks","Polymer laminate")),IF(O377&lt;='Tree rules'!$C$8,IF(M377&lt;='Tree rules'!$C$9,"Steel plate or jacket","Polymer laminate"),IF(L377&lt;='Tree rules'!$C$10,"Steel plate or jacket","Polymer laminate")))</f>
        <v>Polymer laminate</v>
      </c>
      <c r="T377" s="5" t="str">
        <f aca="false">IF(S377=R377,"Yes","No")</f>
        <v>Yes</v>
      </c>
    </row>
    <row r="378" customFormat="false" ht="15" hidden="false" customHeight="false" outlineLevel="0" collapsed="false">
      <c r="A378" s="15" t="n">
        <v>538</v>
      </c>
      <c r="B378" s="16" t="n">
        <v>6.21184549987395</v>
      </c>
      <c r="C378" s="15" t="n">
        <v>300</v>
      </c>
      <c r="D378" s="15" t="n">
        <v>550</v>
      </c>
      <c r="E378" s="15" t="n">
        <v>30</v>
      </c>
      <c r="F378" s="16" t="n">
        <v>0.797864800911693</v>
      </c>
      <c r="G378" s="17" t="s">
        <v>91</v>
      </c>
      <c r="H378" s="18" t="n">
        <v>0.2</v>
      </c>
      <c r="I378" s="18" t="n">
        <v>1</v>
      </c>
      <c r="J378" s="19" t="n">
        <v>0.930133536031475</v>
      </c>
      <c r="K378" s="19" t="n">
        <v>0.462669881812207</v>
      </c>
      <c r="L378" s="16" t="n">
        <v>12.3250902775277</v>
      </c>
      <c r="M378" s="19" t="n">
        <v>0.522545382279562</v>
      </c>
      <c r="N378" s="19" t="n">
        <v>0.890968249742471</v>
      </c>
      <c r="O378" s="19" t="n">
        <v>0.930133536031475</v>
      </c>
      <c r="P378" s="19" t="n">
        <v>0.682322842535691</v>
      </c>
      <c r="Q378" s="17" t="s">
        <v>29</v>
      </c>
      <c r="R378" s="5" t="str">
        <f aca="false">IF(OR(Q378="Steel plate",Q378="Concrete jacket"),"Steel plate or jacket",Q378)</f>
        <v>Monitor</v>
      </c>
      <c r="S378" s="5" t="str">
        <f aca="false">IF(O378&lt;='Tree rules'!$C$4,IF(N378&lt;='Tree rules'!$C$5,IF(P378&lt;='Tree rules'!$C$6,"Monitor","Polymer laminate"),IF(P378&lt;='Tree rules'!$C$7,"Seal cracks","Polymer laminate")),IF(O378&lt;='Tree rules'!$C$8,IF(M378&lt;='Tree rules'!$C$9,"Steel plate or jacket","Polymer laminate"),IF(L378&lt;='Tree rules'!$C$10,"Steel plate or jacket","Polymer laminate")))</f>
        <v>Monitor</v>
      </c>
      <c r="T378" s="5" t="str">
        <f aca="false">IF(S378=R378,"Yes","No")</f>
        <v>Yes</v>
      </c>
    </row>
    <row r="379" customFormat="false" ht="15" hidden="false" customHeight="false" outlineLevel="0" collapsed="false">
      <c r="A379" s="15" t="n">
        <v>540</v>
      </c>
      <c r="B379" s="16" t="n">
        <v>3.48994798098674</v>
      </c>
      <c r="C379" s="15" t="n">
        <v>230</v>
      </c>
      <c r="D379" s="15" t="n">
        <v>300</v>
      </c>
      <c r="E379" s="15" t="n">
        <v>25</v>
      </c>
      <c r="F379" s="16" t="n">
        <v>0.816145304197962</v>
      </c>
      <c r="G379" s="17" t="s">
        <v>90</v>
      </c>
      <c r="H379" s="18" t="n">
        <v>0.1</v>
      </c>
      <c r="I379" s="18" t="n">
        <v>1</v>
      </c>
      <c r="J379" s="19" t="n">
        <v>0.908658444838854</v>
      </c>
      <c r="K379" s="19" t="n">
        <v>0.484592724801328</v>
      </c>
      <c r="L379" s="16" t="n">
        <v>14.4811119543018</v>
      </c>
      <c r="M379" s="19" t="n">
        <v>0.906208324792506</v>
      </c>
      <c r="N379" s="19" t="n">
        <v>2.35059269615854</v>
      </c>
      <c r="O379" s="19" t="n">
        <v>0.908658444838854</v>
      </c>
      <c r="P379" s="19" t="n">
        <v>0.359529479835662</v>
      </c>
      <c r="Q379" s="17" t="s">
        <v>30</v>
      </c>
      <c r="R379" s="5" t="str">
        <f aca="false">IF(OR(Q379="Steel plate",Q379="Concrete jacket"),"Steel plate or jacket",Q379)</f>
        <v>Seal cracks</v>
      </c>
      <c r="S379" s="5" t="str">
        <f aca="false">IF(O379&lt;='Tree rules'!$C$4,IF(N379&lt;='Tree rules'!$C$5,IF(P379&lt;='Tree rules'!$C$6,"Monitor","Polymer laminate"),IF(P379&lt;='Tree rules'!$C$7,"Seal cracks","Polymer laminate")),IF(O379&lt;='Tree rules'!$C$8,IF(M379&lt;='Tree rules'!$C$9,"Steel plate or jacket","Polymer laminate"),IF(L379&lt;='Tree rules'!$C$10,"Steel plate or jacket","Polymer laminate")))</f>
        <v>Seal cracks</v>
      </c>
      <c r="T379" s="5" t="str">
        <f aca="false">IF(S379=R379,"Yes","No")</f>
        <v>Yes</v>
      </c>
    </row>
    <row r="380" customFormat="false" ht="15" hidden="false" customHeight="false" outlineLevel="0" collapsed="false">
      <c r="A380" s="15" t="n">
        <v>541</v>
      </c>
      <c r="B380" s="16" t="n">
        <v>5.10999917381006</v>
      </c>
      <c r="C380" s="15" t="n">
        <v>300</v>
      </c>
      <c r="D380" s="15" t="n">
        <v>425</v>
      </c>
      <c r="E380" s="15" t="n">
        <v>25</v>
      </c>
      <c r="F380" s="16" t="n">
        <v>0.707341881547042</v>
      </c>
      <c r="G380" s="17" t="s">
        <v>89</v>
      </c>
      <c r="H380" s="18" t="n">
        <v>0.3</v>
      </c>
      <c r="I380" s="18" t="n">
        <v>1.5</v>
      </c>
      <c r="J380" s="19" t="n">
        <v>0.89867083920609</v>
      </c>
      <c r="K380" s="19" t="n">
        <v>0.442238608378534</v>
      </c>
      <c r="L380" s="16" t="n">
        <v>13.482847424301</v>
      </c>
      <c r="M380" s="19" t="n">
        <v>0.820738017581755</v>
      </c>
      <c r="N380" s="19" t="n">
        <v>0.795161836977749</v>
      </c>
      <c r="O380" s="19" t="n">
        <v>1.1492927881487</v>
      </c>
      <c r="P380" s="19" t="n">
        <v>0.48565108052502</v>
      </c>
      <c r="Q380" s="17" t="s">
        <v>31</v>
      </c>
      <c r="R380" s="5" t="str">
        <f aca="false">IF(OR(Q380="Steel plate",Q380="Concrete jacket"),"Steel plate or jacket",Q380)</f>
        <v>Polymer laminate</v>
      </c>
      <c r="S380" s="5" t="str">
        <f aca="false">IF(O380&lt;='Tree rules'!$C$4,IF(N380&lt;='Tree rules'!$C$5,IF(P380&lt;='Tree rules'!$C$6,"Monitor","Polymer laminate"),IF(P380&lt;='Tree rules'!$C$7,"Seal cracks","Polymer laminate")),IF(O380&lt;='Tree rules'!$C$8,IF(M380&lt;='Tree rules'!$C$9,"Steel plate or jacket","Polymer laminate"),IF(L380&lt;='Tree rules'!$C$10,"Steel plate or jacket","Polymer laminate")))</f>
        <v>Polymer laminate</v>
      </c>
      <c r="T380" s="5" t="str">
        <f aca="false">IF(S380=R380,"Yes","No")</f>
        <v>Yes</v>
      </c>
    </row>
    <row r="381" customFormat="false" ht="15" hidden="false" customHeight="false" outlineLevel="0" collapsed="false">
      <c r="A381" s="15" t="n">
        <v>543</v>
      </c>
      <c r="B381" s="16" t="n">
        <v>6.19813006297635</v>
      </c>
      <c r="C381" s="15" t="n">
        <v>300</v>
      </c>
      <c r="D381" s="15" t="n">
        <v>600</v>
      </c>
      <c r="E381" s="15" t="n">
        <v>25</v>
      </c>
      <c r="F381" s="16" t="n">
        <v>0.758838805214926</v>
      </c>
      <c r="G381" s="17" t="s">
        <v>89</v>
      </c>
      <c r="H381" s="18" t="n">
        <v>0.3</v>
      </c>
      <c r="I381" s="18" t="n">
        <v>2</v>
      </c>
      <c r="J381" s="19" t="n">
        <v>0.896218211180069</v>
      </c>
      <c r="K381" s="19" t="n">
        <v>0.468685711559239</v>
      </c>
      <c r="L381" s="16" t="n">
        <v>11.2284964908992</v>
      </c>
      <c r="M381" s="19" t="n">
        <v>0.703708232630948</v>
      </c>
      <c r="N381" s="19" t="n">
        <v>0.949866680107713</v>
      </c>
      <c r="O381" s="19" t="n">
        <v>1.37239175234086</v>
      </c>
      <c r="P381" s="19" t="n">
        <v>0.60161039255182</v>
      </c>
      <c r="Q381" s="17" t="s">
        <v>92</v>
      </c>
      <c r="R381" s="5" t="str">
        <f aca="false">IF(OR(Q381="Steel plate",Q381="Concrete jacket"),"Steel plate or jacket",Q381)</f>
        <v>Steel plate or jacket</v>
      </c>
      <c r="S381" s="5" t="str">
        <f aca="false">IF(O381&lt;='Tree rules'!$C$4,IF(N381&lt;='Tree rules'!$C$5,IF(P381&lt;='Tree rules'!$C$6,"Monitor","Polymer laminate"),IF(P381&lt;='Tree rules'!$C$7,"Seal cracks","Polymer laminate")),IF(O381&lt;='Tree rules'!$C$8,IF(M381&lt;='Tree rules'!$C$9,"Steel plate or jacket","Polymer laminate"),IF(L381&lt;='Tree rules'!$C$10,"Steel plate or jacket","Polymer laminate")))</f>
        <v>Steel plate or jacket</v>
      </c>
      <c r="T381" s="5" t="str">
        <f aca="false">IF(S381=R381,"Yes","No")</f>
        <v>Yes</v>
      </c>
    </row>
    <row r="382" customFormat="false" ht="15" hidden="false" customHeight="false" outlineLevel="0" collapsed="false">
      <c r="A382" s="15" t="n">
        <v>544</v>
      </c>
      <c r="B382" s="16" t="n">
        <v>5.01902210202659</v>
      </c>
      <c r="C382" s="15" t="n">
        <v>230</v>
      </c>
      <c r="D382" s="15" t="n">
        <v>500</v>
      </c>
      <c r="E382" s="15" t="n">
        <v>30</v>
      </c>
      <c r="F382" s="16" t="n">
        <v>0.577653504586516</v>
      </c>
      <c r="G382" s="17" t="s">
        <v>89</v>
      </c>
      <c r="H382" s="18" t="n">
        <v>0.3</v>
      </c>
      <c r="I382" s="18" t="n">
        <v>1</v>
      </c>
      <c r="J382" s="19" t="n">
        <v>0.989011419080536</v>
      </c>
      <c r="K382" s="19" t="n">
        <v>0.584756835209367</v>
      </c>
      <c r="L382" s="16" t="n">
        <v>11.0551147621731</v>
      </c>
      <c r="M382" s="19" t="n">
        <v>0.933801181127614</v>
      </c>
      <c r="N382" s="19" t="n">
        <v>0.637371005554673</v>
      </c>
      <c r="O382" s="19" t="n">
        <v>0.989011419080536</v>
      </c>
      <c r="P382" s="19" t="n">
        <v>0.313552815196274</v>
      </c>
      <c r="Q382" s="17" t="s">
        <v>29</v>
      </c>
      <c r="R382" s="5" t="str">
        <f aca="false">IF(OR(Q382="Steel plate",Q382="Concrete jacket"),"Steel plate or jacket",Q382)</f>
        <v>Monitor</v>
      </c>
      <c r="S382" s="5" t="str">
        <f aca="false">IF(O382&lt;='Tree rules'!$C$4,IF(N382&lt;='Tree rules'!$C$5,IF(P382&lt;='Tree rules'!$C$6,"Monitor","Polymer laminate"),IF(P382&lt;='Tree rules'!$C$7,"Seal cracks","Polymer laminate")),IF(O382&lt;='Tree rules'!$C$8,IF(M382&lt;='Tree rules'!$C$9,"Steel plate or jacket","Polymer laminate"),IF(L382&lt;='Tree rules'!$C$10,"Steel plate or jacket","Polymer laminate")))</f>
        <v>Monitor</v>
      </c>
      <c r="T382" s="5" t="str">
        <f aca="false">IF(S382=R382,"Yes","No")</f>
        <v>Yes</v>
      </c>
    </row>
    <row r="383" customFormat="false" ht="15" hidden="false" customHeight="false" outlineLevel="0" collapsed="false">
      <c r="A383" s="15" t="n">
        <v>545</v>
      </c>
      <c r="B383" s="16" t="n">
        <v>3.94942579839323</v>
      </c>
      <c r="C383" s="15" t="n">
        <v>300</v>
      </c>
      <c r="D383" s="15" t="n">
        <v>325</v>
      </c>
      <c r="E383" s="15" t="n">
        <v>30</v>
      </c>
      <c r="F383" s="16" t="n">
        <v>0.72065207824282</v>
      </c>
      <c r="G383" s="17" t="s">
        <v>89</v>
      </c>
      <c r="H383" s="18" t="n">
        <v>0.3</v>
      </c>
      <c r="I383" s="18" t="n">
        <v>1</v>
      </c>
      <c r="J383" s="19" t="n">
        <v>0.887802153425032</v>
      </c>
      <c r="K383" s="19" t="n">
        <v>0.494738744039334</v>
      </c>
      <c r="L383" s="16" t="n">
        <v>14.1556480229148</v>
      </c>
      <c r="M383" s="19" t="n">
        <v>0.706353437845377</v>
      </c>
      <c r="N383" s="19" t="n">
        <v>0.716932912757474</v>
      </c>
      <c r="O383" s="19" t="n">
        <v>0.887802153425032</v>
      </c>
      <c r="P383" s="19" t="n">
        <v>0.449568676443959</v>
      </c>
      <c r="Q383" s="17" t="s">
        <v>29</v>
      </c>
      <c r="R383" s="5" t="str">
        <f aca="false">IF(OR(Q383="Steel plate",Q383="Concrete jacket"),"Steel plate or jacket",Q383)</f>
        <v>Monitor</v>
      </c>
      <c r="S383" s="5" t="str">
        <f aca="false">IF(O383&lt;='Tree rules'!$C$4,IF(N383&lt;='Tree rules'!$C$5,IF(P383&lt;='Tree rules'!$C$6,"Monitor","Polymer laminate"),IF(P383&lt;='Tree rules'!$C$7,"Seal cracks","Polymer laminate")),IF(O383&lt;='Tree rules'!$C$8,IF(M383&lt;='Tree rules'!$C$9,"Steel plate or jacket","Polymer laminate"),IF(L383&lt;='Tree rules'!$C$10,"Steel plate or jacket","Polymer laminate")))</f>
        <v>Monitor</v>
      </c>
      <c r="T383" s="5" t="str">
        <f aca="false">IF(S383=R383,"Yes","No")</f>
        <v>Yes</v>
      </c>
    </row>
    <row r="384" customFormat="false" ht="15" hidden="false" customHeight="false" outlineLevel="0" collapsed="false">
      <c r="A384" s="15" t="n">
        <v>547</v>
      </c>
      <c r="B384" s="16" t="n">
        <v>3.86336574491293</v>
      </c>
      <c r="C384" s="15" t="n">
        <v>230</v>
      </c>
      <c r="D384" s="15" t="n">
        <v>375</v>
      </c>
      <c r="E384" s="15" t="n">
        <v>30</v>
      </c>
      <c r="F384" s="16" t="n">
        <v>0.797126720614828</v>
      </c>
      <c r="G384" s="17" t="s">
        <v>89</v>
      </c>
      <c r="H384" s="18" t="n">
        <v>0.3</v>
      </c>
      <c r="I384" s="18" t="n">
        <v>1</v>
      </c>
      <c r="J384" s="19" t="n">
        <v>0.944693885317668</v>
      </c>
      <c r="K384" s="19" t="n">
        <v>0.628793090263927</v>
      </c>
      <c r="L384" s="16" t="n">
        <v>11.7427530240515</v>
      </c>
      <c r="M384" s="19" t="n">
        <v>0.392827762943699</v>
      </c>
      <c r="N384" s="19" t="n">
        <v>0.719268431904113</v>
      </c>
      <c r="O384" s="19" t="n">
        <v>0.944693885317668</v>
      </c>
      <c r="P384" s="19" t="n">
        <v>0.865862892651156</v>
      </c>
      <c r="Q384" s="17" t="s">
        <v>29</v>
      </c>
      <c r="R384" s="5" t="str">
        <f aca="false">IF(OR(Q384="Steel plate",Q384="Concrete jacket"),"Steel plate or jacket",Q384)</f>
        <v>Monitor</v>
      </c>
      <c r="S384" s="5" t="str">
        <f aca="false">IF(O384&lt;='Tree rules'!$C$4,IF(N384&lt;='Tree rules'!$C$5,IF(P384&lt;='Tree rules'!$C$6,"Monitor","Polymer laminate"),IF(P384&lt;='Tree rules'!$C$7,"Seal cracks","Polymer laminate")),IF(O384&lt;='Tree rules'!$C$8,IF(M384&lt;='Tree rules'!$C$9,"Steel plate or jacket","Polymer laminate"),IF(L384&lt;='Tree rules'!$C$10,"Steel plate or jacket","Polymer laminate")))</f>
        <v>Monitor</v>
      </c>
      <c r="T384" s="5" t="str">
        <f aca="false">IF(S384=R384,"Yes","No")</f>
        <v>Yes</v>
      </c>
    </row>
    <row r="385" customFormat="false" ht="15" hidden="false" customHeight="false" outlineLevel="0" collapsed="false">
      <c r="A385" s="15" t="n">
        <v>549</v>
      </c>
      <c r="B385" s="16" t="n">
        <v>4.65082323273983</v>
      </c>
      <c r="C385" s="15" t="n">
        <v>300</v>
      </c>
      <c r="D385" s="15" t="n">
        <v>375</v>
      </c>
      <c r="E385" s="15" t="n">
        <v>20</v>
      </c>
      <c r="F385" s="16" t="n">
        <v>0.611130485804701</v>
      </c>
      <c r="G385" s="17" t="s">
        <v>91</v>
      </c>
      <c r="H385" s="18" t="n">
        <v>0.2</v>
      </c>
      <c r="I385" s="18" t="n">
        <v>1</v>
      </c>
      <c r="J385" s="19" t="n">
        <v>0.863330958454302</v>
      </c>
      <c r="K385" s="19" t="n">
        <v>0.460136624789806</v>
      </c>
      <c r="L385" s="16" t="n">
        <v>14.1362408289964</v>
      </c>
      <c r="M385" s="19" t="n">
        <v>0.580947757156963</v>
      </c>
      <c r="N385" s="19" t="n">
        <v>1.04391776934253</v>
      </c>
      <c r="O385" s="19" t="n">
        <v>0.863330958454302</v>
      </c>
      <c r="P385" s="19" t="n">
        <v>0.539816195036296</v>
      </c>
      <c r="Q385" s="17" t="s">
        <v>30</v>
      </c>
      <c r="R385" s="5" t="str">
        <f aca="false">IF(OR(Q385="Steel plate",Q385="Concrete jacket"),"Steel plate or jacket",Q385)</f>
        <v>Seal cracks</v>
      </c>
      <c r="S385" s="5" t="str">
        <f aca="false">IF(O385&lt;='Tree rules'!$C$4,IF(N385&lt;='Tree rules'!$C$5,IF(P385&lt;='Tree rules'!$C$6,"Monitor","Polymer laminate"),IF(P385&lt;='Tree rules'!$C$7,"Seal cracks","Polymer laminate")),IF(O385&lt;='Tree rules'!$C$8,IF(M385&lt;='Tree rules'!$C$9,"Steel plate or jacket","Polymer laminate"),IF(L385&lt;='Tree rules'!$C$10,"Steel plate or jacket","Polymer laminate")))</f>
        <v>Seal cracks</v>
      </c>
      <c r="T385" s="5" t="str">
        <f aca="false">IF(S385=R385,"Yes","No")</f>
        <v>Yes</v>
      </c>
    </row>
    <row r="386" customFormat="false" ht="15" hidden="false" customHeight="false" outlineLevel="0" collapsed="false">
      <c r="A386" s="15" t="n">
        <v>551</v>
      </c>
      <c r="B386" s="16" t="n">
        <v>5.42496875951075</v>
      </c>
      <c r="C386" s="15" t="n">
        <v>300</v>
      </c>
      <c r="D386" s="15" t="n">
        <v>550</v>
      </c>
      <c r="E386" s="15" t="n">
        <v>25</v>
      </c>
      <c r="F386" s="16" t="n">
        <v>0.834420359519201</v>
      </c>
      <c r="G386" s="17" t="s">
        <v>91</v>
      </c>
      <c r="H386" s="18" t="n">
        <v>0.2</v>
      </c>
      <c r="I386" s="18" t="n">
        <v>2</v>
      </c>
      <c r="J386" s="19" t="n">
        <v>0.878504587053162</v>
      </c>
      <c r="K386" s="19" t="n">
        <v>0.517631106822074</v>
      </c>
      <c r="L386" s="16" t="n">
        <v>10.8067106763162</v>
      </c>
      <c r="M386" s="19" t="n">
        <v>0.824646276285492</v>
      </c>
      <c r="N386" s="19" t="n">
        <v>1.32901332885566</v>
      </c>
      <c r="O386" s="19" t="n">
        <v>1.30226787236173</v>
      </c>
      <c r="P386" s="19" t="n">
        <v>0.524060776705389</v>
      </c>
      <c r="Q386" s="17" t="s">
        <v>31</v>
      </c>
      <c r="R386" s="5" t="str">
        <f aca="false">IF(OR(Q386="Steel plate",Q386="Concrete jacket"),"Steel plate or jacket",Q386)</f>
        <v>Polymer laminate</v>
      </c>
      <c r="S386" s="5" t="str">
        <f aca="false">IF(O386&lt;='Tree rules'!$C$4,IF(N386&lt;='Tree rules'!$C$5,IF(P386&lt;='Tree rules'!$C$6,"Monitor","Polymer laminate"),IF(P386&lt;='Tree rules'!$C$7,"Seal cracks","Polymer laminate")),IF(O386&lt;='Tree rules'!$C$8,IF(M386&lt;='Tree rules'!$C$9,"Steel plate or jacket","Polymer laminate"),IF(L386&lt;='Tree rules'!$C$10,"Steel plate or jacket","Polymer laminate")))</f>
        <v>Steel plate or jacket</v>
      </c>
      <c r="T386" s="5" t="str">
        <f aca="false">IF(S386=R386,"Yes","No")</f>
        <v>No</v>
      </c>
    </row>
    <row r="387" customFormat="false" ht="15" hidden="false" customHeight="false" outlineLevel="0" collapsed="false">
      <c r="A387" s="15" t="n">
        <v>555</v>
      </c>
      <c r="B387" s="16" t="n">
        <v>3.24989648941212</v>
      </c>
      <c r="C387" s="15" t="n">
        <v>300</v>
      </c>
      <c r="D387" s="15" t="n">
        <v>300</v>
      </c>
      <c r="E387" s="15" t="n">
        <v>25</v>
      </c>
      <c r="F387" s="16" t="n">
        <v>0.831109167616348</v>
      </c>
      <c r="G387" s="17" t="s">
        <v>89</v>
      </c>
      <c r="H387" s="18" t="n">
        <v>0.3</v>
      </c>
      <c r="I387" s="18" t="n">
        <v>1</v>
      </c>
      <c r="J387" s="19" t="n">
        <v>0.853596198448978</v>
      </c>
      <c r="K387" s="19" t="n">
        <v>0.506509945333148</v>
      </c>
      <c r="L387" s="16" t="n">
        <v>12.8964146405243</v>
      </c>
      <c r="M387" s="19" t="n">
        <v>0.732015520191136</v>
      </c>
      <c r="N387" s="19" t="n">
        <v>0.882651266202818</v>
      </c>
      <c r="O387" s="19" t="n">
        <v>0.853596198448978</v>
      </c>
      <c r="P387" s="19" t="n">
        <v>0.434682995762175</v>
      </c>
      <c r="Q387" s="17" t="s">
        <v>29</v>
      </c>
      <c r="R387" s="5" t="str">
        <f aca="false">IF(OR(Q387="Steel plate",Q387="Concrete jacket"),"Steel plate or jacket",Q387)</f>
        <v>Monitor</v>
      </c>
      <c r="S387" s="5" t="str">
        <f aca="false">IF(O387&lt;='Tree rules'!$C$4,IF(N387&lt;='Tree rules'!$C$5,IF(P387&lt;='Tree rules'!$C$6,"Monitor","Polymer laminate"),IF(P387&lt;='Tree rules'!$C$7,"Seal cracks","Polymer laminate")),IF(O387&lt;='Tree rules'!$C$8,IF(M387&lt;='Tree rules'!$C$9,"Steel plate or jacket","Polymer laminate"),IF(L387&lt;='Tree rules'!$C$10,"Steel plate or jacket","Polymer laminate")))</f>
        <v>Monitor</v>
      </c>
      <c r="T387" s="5" t="str">
        <f aca="false">IF(S387=R387,"Yes","No")</f>
        <v>Yes</v>
      </c>
    </row>
    <row r="388" customFormat="false" ht="15" hidden="false" customHeight="false" outlineLevel="0" collapsed="false">
      <c r="A388" s="15" t="n">
        <v>558</v>
      </c>
      <c r="B388" s="16" t="n">
        <v>3.06097562347379</v>
      </c>
      <c r="C388" s="15" t="n">
        <v>300</v>
      </c>
      <c r="D388" s="15" t="n">
        <v>300</v>
      </c>
      <c r="E388" s="15" t="n">
        <v>30</v>
      </c>
      <c r="F388" s="16" t="n">
        <v>0.625711399885104</v>
      </c>
      <c r="G388" s="17" t="s">
        <v>90</v>
      </c>
      <c r="H388" s="18" t="n">
        <v>0.1</v>
      </c>
      <c r="I388" s="18" t="n">
        <v>1</v>
      </c>
      <c r="J388" s="19" t="n">
        <v>0.9048098908929</v>
      </c>
      <c r="K388" s="19" t="n">
        <v>0.543560941249435</v>
      </c>
      <c r="L388" s="16" t="n">
        <v>12.7011436658664</v>
      </c>
      <c r="M388" s="19" t="n">
        <v>0.208229439812551</v>
      </c>
      <c r="N388" s="19" t="n">
        <v>2.8958170634355</v>
      </c>
      <c r="O388" s="19" t="n">
        <v>0.9048098908929</v>
      </c>
      <c r="P388" s="19" t="n">
        <v>0.982426102266755</v>
      </c>
      <c r="Q388" s="17" t="s">
        <v>30</v>
      </c>
      <c r="R388" s="5" t="str">
        <f aca="false">IF(OR(Q388="Steel plate",Q388="Concrete jacket"),"Steel plate or jacket",Q388)</f>
        <v>Seal cracks</v>
      </c>
      <c r="S388" s="5" t="str">
        <f aca="false">IF(O388&lt;='Tree rules'!$C$4,IF(N388&lt;='Tree rules'!$C$5,IF(P388&lt;='Tree rules'!$C$6,"Monitor","Polymer laminate"),IF(P388&lt;='Tree rules'!$C$7,"Seal cracks","Polymer laminate")),IF(O388&lt;='Tree rules'!$C$8,IF(M388&lt;='Tree rules'!$C$9,"Steel plate or jacket","Polymer laminate"),IF(L388&lt;='Tree rules'!$C$10,"Steel plate or jacket","Polymer laminate")))</f>
        <v>Seal cracks</v>
      </c>
      <c r="T388" s="5" t="str">
        <f aca="false">IF(S388=R388,"Yes","No")</f>
        <v>Yes</v>
      </c>
    </row>
    <row r="389" customFormat="false" ht="15" hidden="false" customHeight="false" outlineLevel="0" collapsed="false">
      <c r="A389" s="15" t="n">
        <v>559</v>
      </c>
      <c r="B389" s="16" t="n">
        <v>7.06544502710379</v>
      </c>
      <c r="C389" s="15" t="n">
        <v>230</v>
      </c>
      <c r="D389" s="15" t="n">
        <v>675</v>
      </c>
      <c r="E389" s="15" t="n">
        <v>25</v>
      </c>
      <c r="F389" s="16" t="n">
        <v>0.653545382481754</v>
      </c>
      <c r="G389" s="17" t="s">
        <v>91</v>
      </c>
      <c r="H389" s="18" t="n">
        <v>0.2</v>
      </c>
      <c r="I389" s="18" t="n">
        <v>1</v>
      </c>
      <c r="J389" s="19" t="n">
        <v>0.924376345166547</v>
      </c>
      <c r="K389" s="19" t="n">
        <v>0.431864189863289</v>
      </c>
      <c r="L389" s="16" t="n">
        <v>11.2686523558274</v>
      </c>
      <c r="M389" s="19" t="n">
        <v>0.954086397167438</v>
      </c>
      <c r="N389" s="19" t="n">
        <v>0.864608564463345</v>
      </c>
      <c r="O389" s="19" t="n">
        <v>0.924376345166547</v>
      </c>
      <c r="P389" s="19" t="n">
        <v>0.331740348111634</v>
      </c>
      <c r="Q389" s="17" t="s">
        <v>29</v>
      </c>
      <c r="R389" s="5" t="str">
        <f aca="false">IF(OR(Q389="Steel plate",Q389="Concrete jacket"),"Steel plate or jacket",Q389)</f>
        <v>Monitor</v>
      </c>
      <c r="S389" s="5" t="str">
        <f aca="false">IF(O389&lt;='Tree rules'!$C$4,IF(N389&lt;='Tree rules'!$C$5,IF(P389&lt;='Tree rules'!$C$6,"Monitor","Polymer laminate"),IF(P389&lt;='Tree rules'!$C$7,"Seal cracks","Polymer laminate")),IF(O389&lt;='Tree rules'!$C$8,IF(M389&lt;='Tree rules'!$C$9,"Steel plate or jacket","Polymer laminate"),IF(L389&lt;='Tree rules'!$C$10,"Steel plate or jacket","Polymer laminate")))</f>
        <v>Monitor</v>
      </c>
      <c r="T389" s="5" t="str">
        <f aca="false">IF(S389=R389,"Yes","No")</f>
        <v>Yes</v>
      </c>
    </row>
    <row r="390" customFormat="false" ht="15" hidden="false" customHeight="false" outlineLevel="0" collapsed="false">
      <c r="A390" s="15" t="n">
        <v>560</v>
      </c>
      <c r="B390" s="16" t="n">
        <v>4.16019917381515</v>
      </c>
      <c r="C390" s="15" t="n">
        <v>230</v>
      </c>
      <c r="D390" s="15" t="n">
        <v>375</v>
      </c>
      <c r="E390" s="15" t="n">
        <v>25</v>
      </c>
      <c r="F390" s="16" t="n">
        <v>0.797126720614828</v>
      </c>
      <c r="G390" s="17" t="s">
        <v>89</v>
      </c>
      <c r="H390" s="18" t="n">
        <v>0.3</v>
      </c>
      <c r="I390" s="18" t="n">
        <v>1.5</v>
      </c>
      <c r="J390" s="19" t="n">
        <v>0.919826438616333</v>
      </c>
      <c r="K390" s="19" t="n">
        <v>0.42743806665865</v>
      </c>
      <c r="L390" s="16" t="n">
        <v>12.6449822912315</v>
      </c>
      <c r="M390" s="19" t="n">
        <v>0.614073840930874</v>
      </c>
      <c r="N390" s="19" t="n">
        <v>0.866696390806809</v>
      </c>
      <c r="O390" s="19" t="n">
        <v>1.18315524063266</v>
      </c>
      <c r="P390" s="19" t="n">
        <v>0.62680292475841</v>
      </c>
      <c r="Q390" s="17" t="s">
        <v>31</v>
      </c>
      <c r="R390" s="5" t="str">
        <f aca="false">IF(OR(Q390="Steel plate",Q390="Concrete jacket"),"Steel plate or jacket",Q390)</f>
        <v>Polymer laminate</v>
      </c>
      <c r="S390" s="5" t="str">
        <f aca="false">IF(O390&lt;='Tree rules'!$C$4,IF(N390&lt;='Tree rules'!$C$5,IF(P390&lt;='Tree rules'!$C$6,"Monitor","Polymer laminate"),IF(P390&lt;='Tree rules'!$C$7,"Seal cracks","Polymer laminate")),IF(O390&lt;='Tree rules'!$C$8,IF(M390&lt;='Tree rules'!$C$9,"Steel plate or jacket","Polymer laminate"),IF(L390&lt;='Tree rules'!$C$10,"Steel plate or jacket","Polymer laminate")))</f>
        <v>Polymer laminate</v>
      </c>
      <c r="T390" s="5" t="str">
        <f aca="false">IF(S390=R390,"Yes","No")</f>
        <v>Yes</v>
      </c>
    </row>
    <row r="391" customFormat="false" ht="15" hidden="false" customHeight="false" outlineLevel="0" collapsed="false">
      <c r="A391" s="15" t="n">
        <v>562</v>
      </c>
      <c r="B391" s="16" t="n">
        <v>4.02904612317582</v>
      </c>
      <c r="C391" s="15" t="n">
        <v>300</v>
      </c>
      <c r="D391" s="15" t="n">
        <v>325</v>
      </c>
      <c r="E391" s="15" t="n">
        <v>20</v>
      </c>
      <c r="F391" s="16" t="n">
        <v>0.72065207824282</v>
      </c>
      <c r="G391" s="17" t="s">
        <v>89</v>
      </c>
      <c r="H391" s="18" t="n">
        <v>0.3</v>
      </c>
      <c r="I391" s="18" t="n">
        <v>1</v>
      </c>
      <c r="J391" s="19" t="n">
        <v>0.859971818574104</v>
      </c>
      <c r="K391" s="19" t="n">
        <v>0.470770495060454</v>
      </c>
      <c r="L391" s="16" t="n">
        <v>14.4410255310961</v>
      </c>
      <c r="M391" s="19" t="n">
        <v>0.62562252599291</v>
      </c>
      <c r="N391" s="19" t="n">
        <v>0.690200556431432</v>
      </c>
      <c r="O391" s="19" t="n">
        <v>0.859971818574104</v>
      </c>
      <c r="P391" s="19" t="n">
        <v>0.556033706531634</v>
      </c>
      <c r="Q391" s="17" t="s">
        <v>29</v>
      </c>
      <c r="R391" s="5" t="str">
        <f aca="false">IF(OR(Q391="Steel plate",Q391="Concrete jacket"),"Steel plate or jacket",Q391)</f>
        <v>Monitor</v>
      </c>
      <c r="S391" s="5" t="str">
        <f aca="false">IF(O391&lt;='Tree rules'!$C$4,IF(N391&lt;='Tree rules'!$C$5,IF(P391&lt;='Tree rules'!$C$6,"Monitor","Polymer laminate"),IF(P391&lt;='Tree rules'!$C$7,"Seal cracks","Polymer laminate")),IF(O391&lt;='Tree rules'!$C$8,IF(M391&lt;='Tree rules'!$C$9,"Steel plate or jacket","Polymer laminate"),IF(L391&lt;='Tree rules'!$C$10,"Steel plate or jacket","Polymer laminate")))</f>
        <v>Monitor</v>
      </c>
      <c r="T391" s="5" t="str">
        <f aca="false">IF(S391=R391,"Yes","No")</f>
        <v>Yes</v>
      </c>
    </row>
    <row r="392" customFormat="false" ht="15" hidden="false" customHeight="false" outlineLevel="0" collapsed="false">
      <c r="A392" s="15" t="n">
        <v>563</v>
      </c>
      <c r="B392" s="16" t="n">
        <v>3.4412579045798</v>
      </c>
      <c r="C392" s="15" t="n">
        <v>300</v>
      </c>
      <c r="D392" s="15" t="n">
        <v>325</v>
      </c>
      <c r="E392" s="15" t="n">
        <v>25</v>
      </c>
      <c r="F392" s="16" t="n">
        <v>0.761598219052071</v>
      </c>
      <c r="G392" s="17" t="s">
        <v>90</v>
      </c>
      <c r="H392" s="18" t="n">
        <v>0.1</v>
      </c>
      <c r="I392" s="18" t="n">
        <v>2</v>
      </c>
      <c r="J392" s="19" t="n">
        <v>0.941236432377062</v>
      </c>
      <c r="K392" s="19" t="n">
        <v>0.608762303432633</v>
      </c>
      <c r="L392" s="16" t="n">
        <v>13.035067820378</v>
      </c>
      <c r="M392" s="19" t="n">
        <v>0.866217955274526</v>
      </c>
      <c r="N392" s="19" t="n">
        <v>3.91236603965393</v>
      </c>
      <c r="O392" s="19" t="n">
        <v>1.30948360610555</v>
      </c>
      <c r="P392" s="19" t="n">
        <v>0.445082268630993</v>
      </c>
      <c r="Q392" s="17" t="s">
        <v>31</v>
      </c>
      <c r="R392" s="5" t="str">
        <f aca="false">IF(OR(Q392="Steel plate",Q392="Concrete jacket"),"Steel plate or jacket",Q392)</f>
        <v>Polymer laminate</v>
      </c>
      <c r="S392" s="5" t="str">
        <f aca="false">IF(O392&lt;='Tree rules'!$C$4,IF(N392&lt;='Tree rules'!$C$5,IF(P392&lt;='Tree rules'!$C$6,"Monitor","Polymer laminate"),IF(P392&lt;='Tree rules'!$C$7,"Seal cracks","Polymer laminate")),IF(O392&lt;='Tree rules'!$C$8,IF(M392&lt;='Tree rules'!$C$9,"Steel plate or jacket","Polymer laminate"),IF(L392&lt;='Tree rules'!$C$10,"Steel plate or jacket","Polymer laminate")))</f>
        <v>Polymer laminate</v>
      </c>
      <c r="T392" s="5" t="str">
        <f aca="false">IF(S392=R392,"Yes","No")</f>
        <v>Yes</v>
      </c>
    </row>
    <row r="393" customFormat="false" ht="15" hidden="false" customHeight="false" outlineLevel="0" collapsed="false">
      <c r="A393" s="15" t="n">
        <v>564</v>
      </c>
      <c r="B393" s="16" t="n">
        <v>5.55824532647074</v>
      </c>
      <c r="C393" s="15" t="n">
        <v>300</v>
      </c>
      <c r="D393" s="15" t="n">
        <v>500</v>
      </c>
      <c r="E393" s="15" t="n">
        <v>25</v>
      </c>
      <c r="F393" s="16" t="n">
        <v>0.590490249132883</v>
      </c>
      <c r="G393" s="17" t="s">
        <v>89</v>
      </c>
      <c r="H393" s="18" t="n">
        <v>0.3</v>
      </c>
      <c r="I393" s="18" t="n">
        <v>1.5</v>
      </c>
      <c r="J393" s="19" t="n">
        <v>0.962513761747478</v>
      </c>
      <c r="K393" s="19" t="n">
        <v>0.414774680154025</v>
      </c>
      <c r="L393" s="16" t="n">
        <v>12.2428311155743</v>
      </c>
      <c r="M393" s="19" t="n">
        <v>0.559021571763454</v>
      </c>
      <c r="N393" s="19" t="n">
        <v>0.895397328650432</v>
      </c>
      <c r="O393" s="19" t="n">
        <v>1.24415747378489</v>
      </c>
      <c r="P393" s="19" t="n">
        <v>0.595234734725078</v>
      </c>
      <c r="Q393" s="17" t="s">
        <v>31</v>
      </c>
      <c r="R393" s="5" t="str">
        <f aca="false">IF(OR(Q393="Steel plate",Q393="Concrete jacket"),"Steel plate or jacket",Q393)</f>
        <v>Polymer laminate</v>
      </c>
      <c r="S393" s="5" t="str">
        <f aca="false">IF(O393&lt;='Tree rules'!$C$4,IF(N393&lt;='Tree rules'!$C$5,IF(P393&lt;='Tree rules'!$C$6,"Monitor","Polymer laminate"),IF(P393&lt;='Tree rules'!$C$7,"Seal cracks","Polymer laminate")),IF(O393&lt;='Tree rules'!$C$8,IF(M393&lt;='Tree rules'!$C$9,"Steel plate or jacket","Polymer laminate"),IF(L393&lt;='Tree rules'!$C$10,"Steel plate or jacket","Polymer laminate")))</f>
        <v>Polymer laminate</v>
      </c>
      <c r="T393" s="5" t="str">
        <f aca="false">IF(S393=R393,"Yes","No")</f>
        <v>Yes</v>
      </c>
    </row>
    <row r="394" customFormat="false" ht="15" hidden="false" customHeight="false" outlineLevel="0" collapsed="false">
      <c r="A394" s="15" t="n">
        <v>566</v>
      </c>
      <c r="B394" s="16" t="n">
        <v>7.45525427972478</v>
      </c>
      <c r="C394" s="15" t="n">
        <v>300</v>
      </c>
      <c r="D394" s="15" t="n">
        <v>675</v>
      </c>
      <c r="E394" s="15" t="n">
        <v>25</v>
      </c>
      <c r="F394" s="16" t="n">
        <v>0.63930661313115</v>
      </c>
      <c r="G394" s="17" t="s">
        <v>89</v>
      </c>
      <c r="H394" s="18" t="n">
        <v>0.3</v>
      </c>
      <c r="I394" s="18" t="n">
        <v>1.5</v>
      </c>
      <c r="J394" s="19" t="n">
        <v>0.929337797988073</v>
      </c>
      <c r="K394" s="19" t="n">
        <v>0.565961165439055</v>
      </c>
      <c r="L394" s="16" t="n">
        <v>11.8525505242047</v>
      </c>
      <c r="M394" s="19" t="n">
        <v>0.463045393047694</v>
      </c>
      <c r="N394" s="19" t="n">
        <v>0.714612547896864</v>
      </c>
      <c r="O394" s="19" t="n">
        <v>1.13102214536416</v>
      </c>
      <c r="P394" s="19" t="n">
        <v>0.819452991594896</v>
      </c>
      <c r="Q394" s="17" t="s">
        <v>31</v>
      </c>
      <c r="R394" s="5" t="str">
        <f aca="false">IF(OR(Q394="Steel plate",Q394="Concrete jacket"),"Steel plate or jacket",Q394)</f>
        <v>Polymer laminate</v>
      </c>
      <c r="S394" s="5" t="str">
        <f aca="false">IF(O394&lt;='Tree rules'!$C$4,IF(N394&lt;='Tree rules'!$C$5,IF(P394&lt;='Tree rules'!$C$6,"Monitor","Polymer laminate"),IF(P394&lt;='Tree rules'!$C$7,"Seal cracks","Polymer laminate")),IF(O394&lt;='Tree rules'!$C$8,IF(M394&lt;='Tree rules'!$C$9,"Steel plate or jacket","Polymer laminate"),IF(L394&lt;='Tree rules'!$C$10,"Steel plate or jacket","Polymer laminate")))</f>
        <v>Polymer laminate</v>
      </c>
      <c r="T394" s="5" t="str">
        <f aca="false">IF(S394=R394,"Yes","No")</f>
        <v>Yes</v>
      </c>
    </row>
    <row r="395" customFormat="false" ht="15" hidden="false" customHeight="false" outlineLevel="0" collapsed="false">
      <c r="A395" s="15" t="n">
        <v>568</v>
      </c>
      <c r="B395" s="16" t="n">
        <v>3.17464965526594</v>
      </c>
      <c r="C395" s="15" t="n">
        <v>230</v>
      </c>
      <c r="D395" s="15" t="n">
        <v>300</v>
      </c>
      <c r="E395" s="15" t="n">
        <v>25</v>
      </c>
      <c r="F395" s="16" t="n">
        <v>0.768324290280112</v>
      </c>
      <c r="G395" s="17" t="s">
        <v>91</v>
      </c>
      <c r="H395" s="18" t="n">
        <v>0.2</v>
      </c>
      <c r="I395" s="18" t="n">
        <v>1</v>
      </c>
      <c r="J395" s="19" t="n">
        <v>0.963819961193641</v>
      </c>
      <c r="K395" s="19" t="n">
        <v>0.497882894752362</v>
      </c>
      <c r="L395" s="16" t="n">
        <v>12.4009752158826</v>
      </c>
      <c r="M395" s="19" t="n">
        <v>0.667248868768827</v>
      </c>
      <c r="N395" s="19" t="n">
        <v>0.964519497109002</v>
      </c>
      <c r="O395" s="19" t="n">
        <v>0.963819961193641</v>
      </c>
      <c r="P395" s="19" t="n">
        <v>0.48468812566361</v>
      </c>
      <c r="Q395" s="17" t="s">
        <v>29</v>
      </c>
      <c r="R395" s="5" t="str">
        <f aca="false">IF(OR(Q395="Steel plate",Q395="Concrete jacket"),"Steel plate or jacket",Q395)</f>
        <v>Monitor</v>
      </c>
      <c r="S395" s="5" t="str">
        <f aca="false">IF(O395&lt;='Tree rules'!$C$4,IF(N395&lt;='Tree rules'!$C$5,IF(P395&lt;='Tree rules'!$C$6,"Monitor","Polymer laminate"),IF(P395&lt;='Tree rules'!$C$7,"Seal cracks","Polymer laminate")),IF(O395&lt;='Tree rules'!$C$8,IF(M395&lt;='Tree rules'!$C$9,"Steel plate or jacket","Polymer laminate"),IF(L395&lt;='Tree rules'!$C$10,"Steel plate or jacket","Polymer laminate")))</f>
        <v>Monitor</v>
      </c>
      <c r="T395" s="5" t="str">
        <f aca="false">IF(S395=R395,"Yes","No")</f>
        <v>Yes</v>
      </c>
    </row>
    <row r="396" customFormat="false" ht="15" hidden="false" customHeight="false" outlineLevel="0" collapsed="false">
      <c r="A396" s="15" t="n">
        <v>570</v>
      </c>
      <c r="B396" s="16" t="n">
        <v>6.40962551982178</v>
      </c>
      <c r="C396" s="15" t="n">
        <v>300</v>
      </c>
      <c r="D396" s="15" t="n">
        <v>575</v>
      </c>
      <c r="E396" s="15" t="n">
        <v>30</v>
      </c>
      <c r="F396" s="16" t="n">
        <v>0.633465437396808</v>
      </c>
      <c r="G396" s="17" t="s">
        <v>89</v>
      </c>
      <c r="H396" s="18" t="n">
        <v>0.3</v>
      </c>
      <c r="I396" s="18" t="n">
        <v>1.5</v>
      </c>
      <c r="J396" s="19" t="n">
        <v>0.915245550652916</v>
      </c>
      <c r="K396" s="19" t="n">
        <v>0.495579561556122</v>
      </c>
      <c r="L396" s="16" t="n">
        <v>12.1164943663928</v>
      </c>
      <c r="M396" s="19" t="n">
        <v>0.48120098044582</v>
      </c>
      <c r="N396" s="19" t="n">
        <v>0.772241242275486</v>
      </c>
      <c r="O396" s="19" t="n">
        <v>1.14607983162499</v>
      </c>
      <c r="P396" s="19" t="n">
        <v>0.695223050554047</v>
      </c>
      <c r="Q396" s="17" t="s">
        <v>31</v>
      </c>
      <c r="R396" s="5" t="str">
        <f aca="false">IF(OR(Q396="Steel plate",Q396="Concrete jacket"),"Steel plate or jacket",Q396)</f>
        <v>Polymer laminate</v>
      </c>
      <c r="S396" s="5" t="str">
        <f aca="false">IF(O396&lt;='Tree rules'!$C$4,IF(N396&lt;='Tree rules'!$C$5,IF(P396&lt;='Tree rules'!$C$6,"Monitor","Polymer laminate"),IF(P396&lt;='Tree rules'!$C$7,"Seal cracks","Polymer laminate")),IF(O396&lt;='Tree rules'!$C$8,IF(M396&lt;='Tree rules'!$C$9,"Steel plate or jacket","Polymer laminate"),IF(L396&lt;='Tree rules'!$C$10,"Steel plate or jacket","Polymer laminate")))</f>
        <v>Polymer laminate</v>
      </c>
      <c r="T396" s="5" t="str">
        <f aca="false">IF(S396=R396,"Yes","No")</f>
        <v>Yes</v>
      </c>
    </row>
    <row r="397" customFormat="false" ht="15" hidden="false" customHeight="false" outlineLevel="0" collapsed="false">
      <c r="A397" s="15" t="n">
        <v>572</v>
      </c>
      <c r="B397" s="16" t="n">
        <v>5.76828372599538</v>
      </c>
      <c r="C397" s="15" t="n">
        <v>300</v>
      </c>
      <c r="D397" s="15" t="n">
        <v>575</v>
      </c>
      <c r="E397" s="15" t="n">
        <v>20</v>
      </c>
      <c r="F397" s="16" t="n">
        <v>0.596127638252333</v>
      </c>
      <c r="G397" s="17" t="s">
        <v>89</v>
      </c>
      <c r="H397" s="18" t="n">
        <v>0.3</v>
      </c>
      <c r="I397" s="18" t="n">
        <v>1.5</v>
      </c>
      <c r="J397" s="19" t="n">
        <v>0.946001430168152</v>
      </c>
      <c r="K397" s="19" t="n">
        <v>0.424265598586005</v>
      </c>
      <c r="L397" s="16" t="n">
        <v>10.9455099164998</v>
      </c>
      <c r="M397" s="19" t="n">
        <v>0.509226435692211</v>
      </c>
      <c r="N397" s="19" t="n">
        <v>1.00498419789729</v>
      </c>
      <c r="O397" s="19" t="n">
        <v>1.21832421373547</v>
      </c>
      <c r="P397" s="19" t="n">
        <v>0.638560402748052</v>
      </c>
      <c r="Q397" s="17" t="s">
        <v>31</v>
      </c>
      <c r="R397" s="5" t="str">
        <f aca="false">IF(OR(Q397="Steel plate",Q397="Concrete jacket"),"Steel plate or jacket",Q397)</f>
        <v>Polymer laminate</v>
      </c>
      <c r="S397" s="5" t="str">
        <f aca="false">IF(O397&lt;='Tree rules'!$C$4,IF(N397&lt;='Tree rules'!$C$5,IF(P397&lt;='Tree rules'!$C$6,"Monitor","Polymer laminate"),IF(P397&lt;='Tree rules'!$C$7,"Seal cracks","Polymer laminate")),IF(O397&lt;='Tree rules'!$C$8,IF(M397&lt;='Tree rules'!$C$9,"Steel plate or jacket","Polymer laminate"),IF(L397&lt;='Tree rules'!$C$10,"Steel plate or jacket","Polymer laminate")))</f>
        <v>Polymer laminate</v>
      </c>
      <c r="T397" s="5" t="str">
        <f aca="false">IF(S397=R397,"Yes","No")</f>
        <v>Yes</v>
      </c>
    </row>
    <row r="398" customFormat="false" ht="15" hidden="false" customHeight="false" outlineLevel="0" collapsed="false">
      <c r="A398" s="15" t="n">
        <v>574</v>
      </c>
      <c r="B398" s="16" t="n">
        <v>3.38238804510169</v>
      </c>
      <c r="C398" s="15" t="n">
        <v>230</v>
      </c>
      <c r="D398" s="15" t="n">
        <v>300</v>
      </c>
      <c r="E398" s="15" t="n">
        <v>20</v>
      </c>
      <c r="F398" s="16" t="n">
        <v>0.576243217710084</v>
      </c>
      <c r="G398" s="17" t="s">
        <v>91</v>
      </c>
      <c r="H398" s="18" t="n">
        <v>0.2</v>
      </c>
      <c r="I398" s="18" t="n">
        <v>1</v>
      </c>
      <c r="J398" s="19" t="n">
        <v>0.857278168330038</v>
      </c>
      <c r="K398" s="19" t="n">
        <v>0.591182060056606</v>
      </c>
      <c r="L398" s="16" t="n">
        <v>13.2124533011785</v>
      </c>
      <c r="M398" s="19" t="n">
        <v>0.811243667709708</v>
      </c>
      <c r="N398" s="19" t="n">
        <v>0.841352497556561</v>
      </c>
      <c r="O398" s="19" t="n">
        <v>0.857278168330038</v>
      </c>
      <c r="P398" s="19" t="n">
        <v>0.349633412657298</v>
      </c>
      <c r="Q398" s="17" t="s">
        <v>29</v>
      </c>
      <c r="R398" s="5" t="str">
        <f aca="false">IF(OR(Q398="Steel plate",Q398="Concrete jacket"),"Steel plate or jacket",Q398)</f>
        <v>Monitor</v>
      </c>
      <c r="S398" s="5" t="str">
        <f aca="false">IF(O398&lt;='Tree rules'!$C$4,IF(N398&lt;='Tree rules'!$C$5,IF(P398&lt;='Tree rules'!$C$6,"Monitor","Polymer laminate"),IF(P398&lt;='Tree rules'!$C$7,"Seal cracks","Polymer laminate")),IF(O398&lt;='Tree rules'!$C$8,IF(M398&lt;='Tree rules'!$C$9,"Steel plate or jacket","Polymer laminate"),IF(L398&lt;='Tree rules'!$C$10,"Steel plate or jacket","Polymer laminate")))</f>
        <v>Monitor</v>
      </c>
      <c r="T398" s="5" t="str">
        <f aca="false">IF(S398=R398,"Yes","No")</f>
        <v>Yes</v>
      </c>
    </row>
    <row r="399" customFormat="false" ht="15" hidden="false" customHeight="false" outlineLevel="0" collapsed="false">
      <c r="A399" s="15" t="n">
        <v>575</v>
      </c>
      <c r="B399" s="16" t="n">
        <v>6.69638028590331</v>
      </c>
      <c r="C399" s="15" t="n">
        <v>230</v>
      </c>
      <c r="D399" s="15" t="n">
        <v>525</v>
      </c>
      <c r="E399" s="15" t="n">
        <v>30</v>
      </c>
      <c r="F399" s="16" t="n">
        <v>0.730006099046008</v>
      </c>
      <c r="G399" s="17" t="s">
        <v>91</v>
      </c>
      <c r="H399" s="18" t="n">
        <v>0.2</v>
      </c>
      <c r="I399" s="18" t="n">
        <v>1</v>
      </c>
      <c r="J399" s="19" t="n">
        <v>0.893487289945023</v>
      </c>
      <c r="K399" s="19" t="n">
        <v>0.403617778498736</v>
      </c>
      <c r="L399" s="16" t="n">
        <v>13.9799170895685</v>
      </c>
      <c r="M399" s="19" t="n">
        <v>0.556822428568446</v>
      </c>
      <c r="N399" s="19" t="n">
        <v>0.869892053821499</v>
      </c>
      <c r="O399" s="19" t="n">
        <v>0.893487289945023</v>
      </c>
      <c r="P399" s="19" t="n">
        <v>0.615184398918987</v>
      </c>
      <c r="Q399" s="17" t="s">
        <v>29</v>
      </c>
      <c r="R399" s="5" t="str">
        <f aca="false">IF(OR(Q399="Steel plate",Q399="Concrete jacket"),"Steel plate or jacket",Q399)</f>
        <v>Monitor</v>
      </c>
      <c r="S399" s="5" t="str">
        <f aca="false">IF(O399&lt;='Tree rules'!$C$4,IF(N399&lt;='Tree rules'!$C$5,IF(P399&lt;='Tree rules'!$C$6,"Monitor","Polymer laminate"),IF(P399&lt;='Tree rules'!$C$7,"Seal cracks","Polymer laminate")),IF(O399&lt;='Tree rules'!$C$8,IF(M399&lt;='Tree rules'!$C$9,"Steel plate or jacket","Polymer laminate"),IF(L399&lt;='Tree rules'!$C$10,"Steel plate or jacket","Polymer laminate")))</f>
        <v>Monitor</v>
      </c>
      <c r="T399" s="5" t="str">
        <f aca="false">IF(S399=R399,"Yes","No")</f>
        <v>Yes</v>
      </c>
    </row>
    <row r="400" customFormat="false" ht="15" hidden="false" customHeight="false" outlineLevel="0" collapsed="false">
      <c r="A400" s="15" t="n">
        <v>576</v>
      </c>
      <c r="B400" s="16" t="n">
        <v>3.7498547696408</v>
      </c>
      <c r="C400" s="15" t="n">
        <v>300</v>
      </c>
      <c r="D400" s="15" t="n">
        <v>325</v>
      </c>
      <c r="E400" s="15" t="n">
        <v>30</v>
      </c>
      <c r="F400" s="16" t="n">
        <v>0.67080270183412</v>
      </c>
      <c r="G400" s="17" t="s">
        <v>91</v>
      </c>
      <c r="H400" s="18" t="n">
        <v>0.2</v>
      </c>
      <c r="I400" s="18" t="n">
        <v>1</v>
      </c>
      <c r="J400" s="19" t="n">
        <v>0.948742044896311</v>
      </c>
      <c r="K400" s="19" t="n">
        <v>0.41365169967436</v>
      </c>
      <c r="L400" s="16" t="n">
        <v>13.3446788955189</v>
      </c>
      <c r="M400" s="19" t="n">
        <v>0.934241399300534</v>
      </c>
      <c r="N400" s="19" t="n">
        <v>0.89096793258559</v>
      </c>
      <c r="O400" s="19" t="n">
        <v>0.948742044896311</v>
      </c>
      <c r="P400" s="19" t="n">
        <v>0.315714166217588</v>
      </c>
      <c r="Q400" s="17" t="s">
        <v>29</v>
      </c>
      <c r="R400" s="5" t="str">
        <f aca="false">IF(OR(Q400="Steel plate",Q400="Concrete jacket"),"Steel plate or jacket",Q400)</f>
        <v>Monitor</v>
      </c>
      <c r="S400" s="5" t="str">
        <f aca="false">IF(O400&lt;='Tree rules'!$C$4,IF(N400&lt;='Tree rules'!$C$5,IF(P400&lt;='Tree rules'!$C$6,"Monitor","Polymer laminate"),IF(P400&lt;='Tree rules'!$C$7,"Seal cracks","Polymer laminate")),IF(O400&lt;='Tree rules'!$C$8,IF(M400&lt;='Tree rules'!$C$9,"Steel plate or jacket","Polymer laminate"),IF(L400&lt;='Tree rules'!$C$10,"Steel plate or jacket","Polymer laminate")))</f>
        <v>Monitor</v>
      </c>
      <c r="T400" s="5" t="str">
        <f aca="false">IF(S400=R400,"Yes","No")</f>
        <v>Yes</v>
      </c>
    </row>
    <row r="401" customFormat="false" ht="15" hidden="false" customHeight="false" outlineLevel="0" collapsed="false">
      <c r="A401" s="15" t="n">
        <v>580</v>
      </c>
      <c r="B401" s="16" t="n">
        <v>6.201659893466</v>
      </c>
      <c r="C401" s="15" t="n">
        <v>300</v>
      </c>
      <c r="D401" s="15" t="n">
        <v>525</v>
      </c>
      <c r="E401" s="15" t="n">
        <v>30</v>
      </c>
      <c r="F401" s="16" t="n">
        <v>0.679998409867921</v>
      </c>
      <c r="G401" s="17" t="s">
        <v>90</v>
      </c>
      <c r="H401" s="18" t="n">
        <v>0.1</v>
      </c>
      <c r="I401" s="18" t="n">
        <v>1.5</v>
      </c>
      <c r="J401" s="19" t="n">
        <v>0.893351653523012</v>
      </c>
      <c r="K401" s="19" t="n">
        <v>0.509067005720112</v>
      </c>
      <c r="L401" s="16" t="n">
        <v>13.4235062629134</v>
      </c>
      <c r="M401" s="19" t="n">
        <v>0.48135366312763</v>
      </c>
      <c r="N401" s="19" t="n">
        <v>3.37336381981368</v>
      </c>
      <c r="O401" s="19" t="n">
        <v>1.11263955462748</v>
      </c>
      <c r="P401" s="19" t="n">
        <v>0.711697346125249</v>
      </c>
      <c r="Q401" s="17" t="s">
        <v>31</v>
      </c>
      <c r="R401" s="5" t="str">
        <f aca="false">IF(OR(Q401="Steel plate",Q401="Concrete jacket"),"Steel plate or jacket",Q401)</f>
        <v>Polymer laminate</v>
      </c>
      <c r="S401" s="5" t="str">
        <f aca="false">IF(O401&lt;='Tree rules'!$C$4,IF(N401&lt;='Tree rules'!$C$5,IF(P401&lt;='Tree rules'!$C$6,"Monitor","Polymer laminate"),IF(P401&lt;='Tree rules'!$C$7,"Seal cracks","Polymer laminate")),IF(O401&lt;='Tree rules'!$C$8,IF(M401&lt;='Tree rules'!$C$9,"Steel plate or jacket","Polymer laminate"),IF(L401&lt;='Tree rules'!$C$10,"Steel plate or jacket","Polymer laminate")))</f>
        <v>Polymer laminate</v>
      </c>
      <c r="T401" s="5" t="str">
        <f aca="false">IF(S401=R401,"Yes","No")</f>
        <v>Yes</v>
      </c>
    </row>
    <row r="402" customFormat="false" ht="15" hidden="false" customHeight="false" outlineLevel="0" collapsed="false">
      <c r="A402" s="15" t="n">
        <v>582</v>
      </c>
      <c r="B402" s="16" t="n">
        <v>3.21552835045263</v>
      </c>
      <c r="C402" s="15" t="n">
        <v>230</v>
      </c>
      <c r="D402" s="15" t="n">
        <v>300</v>
      </c>
      <c r="E402" s="15" t="n">
        <v>25</v>
      </c>
      <c r="F402" s="16" t="n">
        <v>0.768324290280112</v>
      </c>
      <c r="G402" s="17" t="s">
        <v>91</v>
      </c>
      <c r="H402" s="18" t="n">
        <v>0.2</v>
      </c>
      <c r="I402" s="18" t="n">
        <v>1</v>
      </c>
      <c r="J402" s="19" t="n">
        <v>0.86321331002125</v>
      </c>
      <c r="K402" s="19" t="n">
        <v>0.501975629981849</v>
      </c>
      <c r="L402" s="16" t="n">
        <v>12.5606576189556</v>
      </c>
      <c r="M402" s="19" t="n">
        <v>0.451489974426613</v>
      </c>
      <c r="N402" s="19" t="n">
        <v>0.90036116089457</v>
      </c>
      <c r="O402" s="19" t="n">
        <v>0.86321331002125</v>
      </c>
      <c r="P402" s="19" t="n">
        <v>0.638573607690778</v>
      </c>
      <c r="Q402" s="17" t="s">
        <v>29</v>
      </c>
      <c r="R402" s="5" t="str">
        <f aca="false">IF(OR(Q402="Steel plate",Q402="Concrete jacket"),"Steel plate or jacket",Q402)</f>
        <v>Monitor</v>
      </c>
      <c r="S402" s="5" t="str">
        <f aca="false">IF(O402&lt;='Tree rules'!$C$4,IF(N402&lt;='Tree rules'!$C$5,IF(P402&lt;='Tree rules'!$C$6,"Monitor","Polymer laminate"),IF(P402&lt;='Tree rules'!$C$7,"Seal cracks","Polymer laminate")),IF(O402&lt;='Tree rules'!$C$8,IF(M402&lt;='Tree rules'!$C$9,"Steel plate or jacket","Polymer laminate"),IF(L402&lt;='Tree rules'!$C$10,"Steel plate or jacket","Polymer laminate")))</f>
        <v>Monitor</v>
      </c>
      <c r="T402" s="5" t="str">
        <f aca="false">IF(S402=R402,"Yes","No")</f>
        <v>Yes</v>
      </c>
    </row>
    <row r="403" customFormat="false" ht="15" hidden="false" customHeight="false" outlineLevel="0" collapsed="false">
      <c r="A403" s="15" t="n">
        <v>584</v>
      </c>
      <c r="B403" s="16" t="n">
        <v>7.59583660698458</v>
      </c>
      <c r="C403" s="15" t="n">
        <v>300</v>
      </c>
      <c r="D403" s="15" t="n">
        <v>700</v>
      </c>
      <c r="E403" s="15" t="n">
        <v>30</v>
      </c>
      <c r="F403" s="16" t="n">
        <v>0.642452485396686</v>
      </c>
      <c r="G403" s="17" t="s">
        <v>89</v>
      </c>
      <c r="H403" s="18" t="n">
        <v>0.3</v>
      </c>
      <c r="I403" s="18" t="n">
        <v>1.5</v>
      </c>
      <c r="J403" s="19" t="n">
        <v>0.86028599427752</v>
      </c>
      <c r="K403" s="19" t="n">
        <v>0.625203730334011</v>
      </c>
      <c r="L403" s="16" t="n">
        <v>11.6500561456819</v>
      </c>
      <c r="M403" s="19" t="n">
        <v>0.620006267034094</v>
      </c>
      <c r="N403" s="19" t="n">
        <v>0.705793289247188</v>
      </c>
      <c r="O403" s="19" t="n">
        <v>1.02150198502808</v>
      </c>
      <c r="P403" s="19" t="n">
        <v>0.557049747216363</v>
      </c>
      <c r="Q403" s="17" t="s">
        <v>31</v>
      </c>
      <c r="R403" s="5" t="str">
        <f aca="false">IF(OR(Q403="Steel plate",Q403="Concrete jacket"),"Steel plate or jacket",Q403)</f>
        <v>Polymer laminate</v>
      </c>
      <c r="S403" s="5" t="str">
        <f aca="false">IF(O403&lt;='Tree rules'!$C$4,IF(N403&lt;='Tree rules'!$C$5,IF(P403&lt;='Tree rules'!$C$6,"Monitor","Polymer laminate"),IF(P403&lt;='Tree rules'!$C$7,"Seal cracks","Polymer laminate")),IF(O403&lt;='Tree rules'!$C$8,IF(M403&lt;='Tree rules'!$C$9,"Steel plate or jacket","Polymer laminate"),IF(L403&lt;='Tree rules'!$C$10,"Steel plate or jacket","Polymer laminate")))</f>
        <v>Polymer laminate</v>
      </c>
      <c r="T403" s="5" t="str">
        <f aca="false">IF(S403=R403,"Yes","No")</f>
        <v>Yes</v>
      </c>
    </row>
    <row r="404" customFormat="false" ht="15" hidden="false" customHeight="false" outlineLevel="0" collapsed="false">
      <c r="A404" s="15" t="n">
        <v>587</v>
      </c>
      <c r="B404" s="16" t="n">
        <v>5.66478829351565</v>
      </c>
      <c r="C404" s="15" t="n">
        <v>300</v>
      </c>
      <c r="D404" s="15" t="n">
        <v>500</v>
      </c>
      <c r="E404" s="15" t="n">
        <v>20</v>
      </c>
      <c r="F404" s="16" t="n">
        <v>0.695042622475618</v>
      </c>
      <c r="G404" s="17" t="s">
        <v>91</v>
      </c>
      <c r="H404" s="18" t="n">
        <v>0.2</v>
      </c>
      <c r="I404" s="18" t="n">
        <v>1</v>
      </c>
      <c r="J404" s="19" t="n">
        <v>0.94417474605199</v>
      </c>
      <c r="K404" s="19" t="n">
        <v>0.463251973785131</v>
      </c>
      <c r="L404" s="16" t="n">
        <v>12.5327174635302</v>
      </c>
      <c r="M404" s="19" t="n">
        <v>0.603615854494643</v>
      </c>
      <c r="N404" s="19" t="n">
        <v>1.12895337663057</v>
      </c>
      <c r="O404" s="19" t="n">
        <v>0.94417474605199</v>
      </c>
      <c r="P404" s="19" t="n">
        <v>0.604681114278675</v>
      </c>
      <c r="Q404" s="17" t="s">
        <v>30</v>
      </c>
      <c r="R404" s="5" t="str">
        <f aca="false">IF(OR(Q404="Steel plate",Q404="Concrete jacket"),"Steel plate or jacket",Q404)</f>
        <v>Seal cracks</v>
      </c>
      <c r="S404" s="5" t="str">
        <f aca="false">IF(O404&lt;='Tree rules'!$C$4,IF(N404&lt;='Tree rules'!$C$5,IF(P404&lt;='Tree rules'!$C$6,"Monitor","Polymer laminate"),IF(P404&lt;='Tree rules'!$C$7,"Seal cracks","Polymer laminate")),IF(O404&lt;='Tree rules'!$C$8,IF(M404&lt;='Tree rules'!$C$9,"Steel plate or jacket","Polymer laminate"),IF(L404&lt;='Tree rules'!$C$10,"Steel plate or jacket","Polymer laminate")))</f>
        <v>Seal cracks</v>
      </c>
      <c r="T404" s="5" t="str">
        <f aca="false">IF(S404=R404,"Yes","No")</f>
        <v>Yes</v>
      </c>
    </row>
    <row r="405" customFormat="false" ht="15" hidden="false" customHeight="false" outlineLevel="0" collapsed="false">
      <c r="A405" s="15" t="n">
        <v>589</v>
      </c>
      <c r="B405" s="16" t="n">
        <v>5.52342217198474</v>
      </c>
      <c r="C405" s="15" t="n">
        <v>300</v>
      </c>
      <c r="D405" s="15" t="n">
        <v>475</v>
      </c>
      <c r="E405" s="15" t="n">
        <v>20</v>
      </c>
      <c r="F405" s="16" t="n">
        <v>0.524813621945395</v>
      </c>
      <c r="G405" s="17" t="s">
        <v>91</v>
      </c>
      <c r="H405" s="18" t="n">
        <v>0.2</v>
      </c>
      <c r="I405" s="18" t="n">
        <v>1.5</v>
      </c>
      <c r="J405" s="19" t="n">
        <v>0.871268647865773</v>
      </c>
      <c r="K405" s="19" t="n">
        <v>0.45583711040752</v>
      </c>
      <c r="L405" s="16" t="n">
        <v>12.815364668178</v>
      </c>
      <c r="M405" s="19" t="n">
        <v>0.769186267085382</v>
      </c>
      <c r="N405" s="19" t="n">
        <v>0.98747827104101</v>
      </c>
      <c r="O405" s="19" t="n">
        <v>1.10832468038276</v>
      </c>
      <c r="P405" s="19" t="n">
        <v>0.423640459380823</v>
      </c>
      <c r="Q405" s="17" t="s">
        <v>31</v>
      </c>
      <c r="R405" s="5" t="str">
        <f aca="false">IF(OR(Q405="Steel plate",Q405="Concrete jacket"),"Steel plate or jacket",Q405)</f>
        <v>Polymer laminate</v>
      </c>
      <c r="S405" s="5" t="str">
        <f aca="false">IF(O405&lt;='Tree rules'!$C$4,IF(N405&lt;='Tree rules'!$C$5,IF(P405&lt;='Tree rules'!$C$6,"Monitor","Polymer laminate"),IF(P405&lt;='Tree rules'!$C$7,"Seal cracks","Polymer laminate")),IF(O405&lt;='Tree rules'!$C$8,IF(M405&lt;='Tree rules'!$C$9,"Steel plate or jacket","Polymer laminate"),IF(L405&lt;='Tree rules'!$C$10,"Steel plate or jacket","Polymer laminate")))</f>
        <v>Polymer laminate</v>
      </c>
      <c r="T405" s="5" t="str">
        <f aca="false">IF(S405=R405,"Yes","No")</f>
        <v>Yes</v>
      </c>
    </row>
    <row r="406" customFormat="false" ht="15" hidden="false" customHeight="false" outlineLevel="0" collapsed="false">
      <c r="A406" s="15" t="n">
        <v>591</v>
      </c>
      <c r="B406" s="16" t="n">
        <v>3.73886054334328</v>
      </c>
      <c r="C406" s="15" t="n">
        <v>230</v>
      </c>
      <c r="D406" s="15" t="n">
        <v>325</v>
      </c>
      <c r="E406" s="15" t="n">
        <v>25</v>
      </c>
      <c r="F406" s="16" t="n">
        <v>0.626653981080713</v>
      </c>
      <c r="G406" s="17" t="s">
        <v>91</v>
      </c>
      <c r="H406" s="18" t="n">
        <v>0.2</v>
      </c>
      <c r="I406" s="18" t="n">
        <v>1</v>
      </c>
      <c r="J406" s="19" t="n">
        <v>0.944720279146466</v>
      </c>
      <c r="K406" s="19" t="n">
        <v>0.524098635079183</v>
      </c>
      <c r="L406" s="16" t="n">
        <v>13.4009338471085</v>
      </c>
      <c r="M406" s="19" t="n">
        <v>0.47447930830559</v>
      </c>
      <c r="N406" s="19" t="n">
        <v>1.34131562219632</v>
      </c>
      <c r="O406" s="19" t="n">
        <v>0.944720279146466</v>
      </c>
      <c r="P406" s="19" t="n">
        <v>0.617537550463755</v>
      </c>
      <c r="Q406" s="17" t="s">
        <v>30</v>
      </c>
      <c r="R406" s="5" t="str">
        <f aca="false">IF(OR(Q406="Steel plate",Q406="Concrete jacket"),"Steel plate or jacket",Q406)</f>
        <v>Seal cracks</v>
      </c>
      <c r="S406" s="5" t="str">
        <f aca="false">IF(O406&lt;='Tree rules'!$C$4,IF(N406&lt;='Tree rules'!$C$5,IF(P406&lt;='Tree rules'!$C$6,"Monitor","Polymer laminate"),IF(P406&lt;='Tree rules'!$C$7,"Seal cracks","Polymer laminate")),IF(O406&lt;='Tree rules'!$C$8,IF(M406&lt;='Tree rules'!$C$9,"Steel plate or jacket","Polymer laminate"),IF(L406&lt;='Tree rules'!$C$10,"Steel plate or jacket","Polymer laminate")))</f>
        <v>Seal cracks</v>
      </c>
      <c r="T406" s="5" t="str">
        <f aca="false">IF(S406=R406,"Yes","No")</f>
        <v>Yes</v>
      </c>
    </row>
    <row r="407" customFormat="false" ht="15" hidden="false" customHeight="false" outlineLevel="0" collapsed="false">
      <c r="A407" s="15" t="n">
        <v>592</v>
      </c>
      <c r="B407" s="16" t="n">
        <v>4.37517789990402</v>
      </c>
      <c r="C407" s="15" t="n">
        <v>300</v>
      </c>
      <c r="D407" s="15" t="n">
        <v>400</v>
      </c>
      <c r="E407" s="15" t="n">
        <v>30</v>
      </c>
      <c r="F407" s="16" t="n">
        <v>0.892497912951646</v>
      </c>
      <c r="G407" s="17" t="s">
        <v>91</v>
      </c>
      <c r="H407" s="18" t="n">
        <v>0.2</v>
      </c>
      <c r="I407" s="18" t="n">
        <v>1.5</v>
      </c>
      <c r="J407" s="19" t="n">
        <v>0.872186085735334</v>
      </c>
      <c r="K407" s="19" t="n">
        <v>0.631504569468319</v>
      </c>
      <c r="L407" s="16" t="n">
        <v>12.4294826701819</v>
      </c>
      <c r="M407" s="19" t="n">
        <v>0.811040799588369</v>
      </c>
      <c r="N407" s="19" t="n">
        <v>1.2501432758469</v>
      </c>
      <c r="O407" s="19" t="n">
        <v>1.03288437931873</v>
      </c>
      <c r="P407" s="19" t="n">
        <v>0.528606146663276</v>
      </c>
      <c r="Q407" s="17" t="s">
        <v>31</v>
      </c>
      <c r="R407" s="5" t="str">
        <f aca="false">IF(OR(Q407="Steel plate",Q407="Concrete jacket"),"Steel plate or jacket",Q407)</f>
        <v>Polymer laminate</v>
      </c>
      <c r="S407" s="5" t="str">
        <f aca="false">IF(O407&lt;='Tree rules'!$C$4,IF(N407&lt;='Tree rules'!$C$5,IF(P407&lt;='Tree rules'!$C$6,"Monitor","Polymer laminate"),IF(P407&lt;='Tree rules'!$C$7,"Seal cracks","Polymer laminate")),IF(O407&lt;='Tree rules'!$C$8,IF(M407&lt;='Tree rules'!$C$9,"Steel plate or jacket","Polymer laminate"),IF(L407&lt;='Tree rules'!$C$10,"Steel plate or jacket","Polymer laminate")))</f>
        <v>Polymer laminate</v>
      </c>
      <c r="T407" s="5" t="str">
        <f aca="false">IF(S407=R407,"Yes","No")</f>
        <v>Yes</v>
      </c>
    </row>
    <row r="408" customFormat="false" ht="15" hidden="false" customHeight="false" outlineLevel="0" collapsed="false">
      <c r="A408" s="15" t="n">
        <v>594</v>
      </c>
      <c r="B408" s="16" t="n">
        <v>3.16747991085526</v>
      </c>
      <c r="C408" s="15" t="n">
        <v>230</v>
      </c>
      <c r="D408" s="15" t="n">
        <v>300</v>
      </c>
      <c r="E408" s="15" t="n">
        <v>30</v>
      </c>
      <c r="F408" s="16" t="n">
        <v>0.816145304197962</v>
      </c>
      <c r="G408" s="17" t="s">
        <v>90</v>
      </c>
      <c r="H408" s="18" t="n">
        <v>0.1</v>
      </c>
      <c r="I408" s="18" t="n">
        <v>1.5</v>
      </c>
      <c r="J408" s="19" t="n">
        <v>0.973417562179254</v>
      </c>
      <c r="K408" s="19" t="n">
        <v>0.46249240475995</v>
      </c>
      <c r="L408" s="16" t="n">
        <v>13.1430701695239</v>
      </c>
      <c r="M408" s="19" t="n">
        <v>0.225052490017973</v>
      </c>
      <c r="N408" s="19" t="n">
        <v>3.77676921128138</v>
      </c>
      <c r="O408" s="19" t="n">
        <v>1.23502722868496</v>
      </c>
      <c r="P408" s="19" t="n">
        <v>1.34619800343059</v>
      </c>
      <c r="Q408" s="17" t="s">
        <v>31</v>
      </c>
      <c r="R408" s="5" t="str">
        <f aca="false">IF(OR(Q408="Steel plate",Q408="Concrete jacket"),"Steel plate or jacket",Q408)</f>
        <v>Polymer laminate</v>
      </c>
      <c r="S408" s="5" t="str">
        <f aca="false">IF(O408&lt;='Tree rules'!$C$4,IF(N408&lt;='Tree rules'!$C$5,IF(P408&lt;='Tree rules'!$C$6,"Monitor","Polymer laminate"),IF(P408&lt;='Tree rules'!$C$7,"Seal cracks","Polymer laminate")),IF(O408&lt;='Tree rules'!$C$8,IF(M408&lt;='Tree rules'!$C$9,"Steel plate or jacket","Polymer laminate"),IF(L408&lt;='Tree rules'!$C$10,"Steel plate or jacket","Polymer laminate")))</f>
        <v>Steel plate or jacket</v>
      </c>
      <c r="T408" s="5" t="str">
        <f aca="false">IF(S408=R408,"Yes","No")</f>
        <v>No</v>
      </c>
    </row>
    <row r="409" customFormat="false" ht="15" hidden="false" customHeight="false" outlineLevel="0" collapsed="false">
      <c r="A409" s="15" t="n">
        <v>595</v>
      </c>
      <c r="B409" s="16" t="n">
        <v>3.31840631570178</v>
      </c>
      <c r="C409" s="15" t="n">
        <v>230</v>
      </c>
      <c r="D409" s="15" t="n">
        <v>300</v>
      </c>
      <c r="E409" s="15" t="n">
        <v>20</v>
      </c>
      <c r="F409" s="16" t="n">
        <v>0.576243217710084</v>
      </c>
      <c r="G409" s="17" t="s">
        <v>91</v>
      </c>
      <c r="H409" s="18" t="n">
        <v>0.2</v>
      </c>
      <c r="I409" s="18" t="n">
        <v>1.5</v>
      </c>
      <c r="J409" s="19" t="n">
        <v>0.921472630678801</v>
      </c>
      <c r="K409" s="19" t="n">
        <v>0.483423591361189</v>
      </c>
      <c r="L409" s="16" t="n">
        <v>12.9625246707101</v>
      </c>
      <c r="M409" s="19" t="n">
        <v>0.399603726976197</v>
      </c>
      <c r="N409" s="19" t="n">
        <v>1.322285832215</v>
      </c>
      <c r="O409" s="19" t="n">
        <v>1.15947814178631</v>
      </c>
      <c r="P409" s="19" t="n">
        <v>0.742636318290844</v>
      </c>
      <c r="Q409" s="17" t="s">
        <v>31</v>
      </c>
      <c r="R409" s="5" t="str">
        <f aca="false">IF(OR(Q409="Steel plate",Q409="Concrete jacket"),"Steel plate or jacket",Q409)</f>
        <v>Polymer laminate</v>
      </c>
      <c r="S409" s="5" t="str">
        <f aca="false">IF(O409&lt;='Tree rules'!$C$4,IF(N409&lt;='Tree rules'!$C$5,IF(P409&lt;='Tree rules'!$C$6,"Monitor","Polymer laminate"),IF(P409&lt;='Tree rules'!$C$7,"Seal cracks","Polymer laminate")),IF(O409&lt;='Tree rules'!$C$8,IF(M409&lt;='Tree rules'!$C$9,"Steel plate or jacket","Polymer laminate"),IF(L409&lt;='Tree rules'!$C$10,"Steel plate or jacket","Polymer laminate")))</f>
        <v>Polymer laminate</v>
      </c>
      <c r="T409" s="5" t="str">
        <f aca="false">IF(S409=R409,"Yes","No")</f>
        <v>Yes</v>
      </c>
    </row>
    <row r="410" customFormat="false" ht="15" hidden="false" customHeight="false" outlineLevel="0" collapsed="false">
      <c r="A410" s="15" t="n">
        <v>596</v>
      </c>
      <c r="B410" s="16" t="n">
        <v>6.58238080140764</v>
      </c>
      <c r="C410" s="15" t="n">
        <v>230</v>
      </c>
      <c r="D410" s="15" t="n">
        <v>575</v>
      </c>
      <c r="E410" s="15" t="n">
        <v>20</v>
      </c>
      <c r="F410" s="16" t="n">
        <v>0.518371859349855</v>
      </c>
      <c r="G410" s="17" t="s">
        <v>91</v>
      </c>
      <c r="H410" s="18" t="n">
        <v>0.2</v>
      </c>
      <c r="I410" s="18" t="n">
        <v>1</v>
      </c>
      <c r="J410" s="19" t="n">
        <v>0.934279778003475</v>
      </c>
      <c r="K410" s="19" t="n">
        <v>0.574126980095837</v>
      </c>
      <c r="L410" s="16" t="n">
        <v>12.4902861506786</v>
      </c>
      <c r="M410" s="19" t="n">
        <v>0.676335212859891</v>
      </c>
      <c r="N410" s="19" t="n">
        <v>1.24817502748928</v>
      </c>
      <c r="O410" s="19" t="n">
        <v>0.934279778003475</v>
      </c>
      <c r="P410" s="19" t="n">
        <v>0.484001330209343</v>
      </c>
      <c r="Q410" s="17" t="s">
        <v>30</v>
      </c>
      <c r="R410" s="5" t="str">
        <f aca="false">IF(OR(Q410="Steel plate",Q410="Concrete jacket"),"Steel plate or jacket",Q410)</f>
        <v>Seal cracks</v>
      </c>
      <c r="S410" s="5" t="str">
        <f aca="false">IF(O410&lt;='Tree rules'!$C$4,IF(N410&lt;='Tree rules'!$C$5,IF(P410&lt;='Tree rules'!$C$6,"Monitor","Polymer laminate"),IF(P410&lt;='Tree rules'!$C$7,"Seal cracks","Polymer laminate")),IF(O410&lt;='Tree rules'!$C$8,IF(M410&lt;='Tree rules'!$C$9,"Steel plate or jacket","Polymer laminate"),IF(L410&lt;='Tree rules'!$C$10,"Steel plate or jacket","Polymer laminate")))</f>
        <v>Seal cracks</v>
      </c>
      <c r="T410" s="5" t="str">
        <f aca="false">IF(S410=R410,"Yes","No")</f>
        <v>Yes</v>
      </c>
    </row>
    <row r="411" customFormat="false" ht="15" hidden="false" customHeight="false" outlineLevel="0" collapsed="false">
      <c r="A411" s="15" t="n">
        <v>597</v>
      </c>
      <c r="B411" s="16" t="n">
        <v>4.32095219449846</v>
      </c>
      <c r="C411" s="15" t="n">
        <v>230</v>
      </c>
      <c r="D411" s="15" t="n">
        <v>375</v>
      </c>
      <c r="E411" s="15" t="n">
        <v>30</v>
      </c>
      <c r="F411" s="16" t="n">
        <v>0.556804015036685</v>
      </c>
      <c r="G411" s="17" t="s">
        <v>90</v>
      </c>
      <c r="H411" s="18" t="n">
        <v>0.1</v>
      </c>
      <c r="I411" s="18" t="n">
        <v>1</v>
      </c>
      <c r="J411" s="19" t="n">
        <v>0.903391979964117</v>
      </c>
      <c r="K411" s="19" t="n">
        <v>0.583416970443431</v>
      </c>
      <c r="L411" s="16" t="n">
        <v>13.7609942499951</v>
      </c>
      <c r="M411" s="19" t="n">
        <v>0.929315153057183</v>
      </c>
      <c r="N411" s="19" t="n">
        <v>2.50082407846768</v>
      </c>
      <c r="O411" s="19" t="n">
        <v>0.903391979964117</v>
      </c>
      <c r="P411" s="19" t="n">
        <v>0.27553342043557</v>
      </c>
      <c r="Q411" s="17" t="s">
        <v>30</v>
      </c>
      <c r="R411" s="5" t="str">
        <f aca="false">IF(OR(Q411="Steel plate",Q411="Concrete jacket"),"Steel plate or jacket",Q411)</f>
        <v>Seal cracks</v>
      </c>
      <c r="S411" s="5" t="str">
        <f aca="false">IF(O411&lt;='Tree rules'!$C$4,IF(N411&lt;='Tree rules'!$C$5,IF(P411&lt;='Tree rules'!$C$6,"Monitor","Polymer laminate"),IF(P411&lt;='Tree rules'!$C$7,"Seal cracks","Polymer laminate")),IF(O411&lt;='Tree rules'!$C$8,IF(M411&lt;='Tree rules'!$C$9,"Steel plate or jacket","Polymer laminate"),IF(L411&lt;='Tree rules'!$C$10,"Steel plate or jacket","Polymer laminate")))</f>
        <v>Seal cracks</v>
      </c>
      <c r="T411" s="5" t="str">
        <f aca="false">IF(S411=R411,"Yes","No")</f>
        <v>Yes</v>
      </c>
    </row>
    <row r="412" customFormat="false" ht="15" hidden="false" customHeight="false" outlineLevel="0" collapsed="false">
      <c r="A412" s="15" t="n">
        <v>598</v>
      </c>
      <c r="B412" s="16" t="n">
        <v>7.17553032858028</v>
      </c>
      <c r="C412" s="15" t="n">
        <v>230</v>
      </c>
      <c r="D412" s="15" t="n">
        <v>600</v>
      </c>
      <c r="E412" s="15" t="n">
        <v>25</v>
      </c>
      <c r="F412" s="16" t="n">
        <v>0.63117855856144</v>
      </c>
      <c r="G412" s="17" t="s">
        <v>89</v>
      </c>
      <c r="H412" s="18" t="n">
        <v>0.3</v>
      </c>
      <c r="I412" s="18" t="n">
        <v>1</v>
      </c>
      <c r="J412" s="19" t="n">
        <v>0.954389447986569</v>
      </c>
      <c r="K412" s="19" t="n">
        <v>0.422911890756537</v>
      </c>
      <c r="L412" s="16" t="n">
        <v>12.9522208097117</v>
      </c>
      <c r="M412" s="19" t="n">
        <v>0.509367785507716</v>
      </c>
      <c r="N412" s="19" t="n">
        <v>0.613017972977862</v>
      </c>
      <c r="O412" s="19" t="n">
        <v>0.954389447986569</v>
      </c>
      <c r="P412" s="19" t="n">
        <v>0.651476671896784</v>
      </c>
      <c r="Q412" s="17" t="s">
        <v>29</v>
      </c>
      <c r="R412" s="5" t="str">
        <f aca="false">IF(OR(Q412="Steel plate",Q412="Concrete jacket"),"Steel plate or jacket",Q412)</f>
        <v>Monitor</v>
      </c>
      <c r="S412" s="5" t="str">
        <f aca="false">IF(O412&lt;='Tree rules'!$C$4,IF(N412&lt;='Tree rules'!$C$5,IF(P412&lt;='Tree rules'!$C$6,"Monitor","Polymer laminate"),IF(P412&lt;='Tree rules'!$C$7,"Seal cracks","Polymer laminate")),IF(O412&lt;='Tree rules'!$C$8,IF(M412&lt;='Tree rules'!$C$9,"Steel plate or jacket","Polymer laminate"),IF(L412&lt;='Tree rules'!$C$10,"Steel plate or jacket","Polymer laminate")))</f>
        <v>Monitor</v>
      </c>
      <c r="T412" s="5" t="str">
        <f aca="false">IF(S412=R412,"Yes","No")</f>
        <v>Yes</v>
      </c>
    </row>
    <row r="413" customFormat="false" ht="15" hidden="false" customHeight="false" outlineLevel="0" collapsed="false">
      <c r="A413" s="15" t="n">
        <v>599</v>
      </c>
      <c r="B413" s="16" t="n">
        <v>5.39308941686106</v>
      </c>
      <c r="C413" s="15" t="n">
        <v>300</v>
      </c>
      <c r="D413" s="15" t="n">
        <v>425</v>
      </c>
      <c r="E413" s="15" t="n">
        <v>30</v>
      </c>
      <c r="F413" s="16" t="n">
        <v>0.707341881547042</v>
      </c>
      <c r="G413" s="17" t="s">
        <v>89</v>
      </c>
      <c r="H413" s="18" t="n">
        <v>0.3</v>
      </c>
      <c r="I413" s="18" t="n">
        <v>1</v>
      </c>
      <c r="J413" s="19" t="n">
        <v>0.909323159290616</v>
      </c>
      <c r="K413" s="19" t="n">
        <v>0.400768851172608</v>
      </c>
      <c r="L413" s="16" t="n">
        <v>14.2297873795806</v>
      </c>
      <c r="M413" s="19" t="n">
        <v>0.660832456514639</v>
      </c>
      <c r="N413" s="19" t="n">
        <v>0.642024877970527</v>
      </c>
      <c r="O413" s="19" t="n">
        <v>0.909323159290617</v>
      </c>
      <c r="P413" s="19" t="n">
        <v>0.499365238815365</v>
      </c>
      <c r="Q413" s="17" t="s">
        <v>29</v>
      </c>
      <c r="R413" s="5" t="str">
        <f aca="false">IF(OR(Q413="Steel plate",Q413="Concrete jacket"),"Steel plate or jacket",Q413)</f>
        <v>Monitor</v>
      </c>
      <c r="S413" s="5" t="str">
        <f aca="false">IF(O413&lt;='Tree rules'!$C$4,IF(N413&lt;='Tree rules'!$C$5,IF(P413&lt;='Tree rules'!$C$6,"Monitor","Polymer laminate"),IF(P413&lt;='Tree rules'!$C$7,"Seal cracks","Polymer laminate")),IF(O413&lt;='Tree rules'!$C$8,IF(M413&lt;='Tree rules'!$C$9,"Steel plate or jacket","Polymer laminate"),IF(L413&lt;='Tree rules'!$C$10,"Steel plate or jacket","Polymer laminate")))</f>
        <v>Monitor</v>
      </c>
      <c r="T413" s="5" t="str">
        <f aca="false">IF(S413=R413,"Yes","No")</f>
        <v>Yes</v>
      </c>
    </row>
    <row r="414" customFormat="false" ht="15" hidden="false" customHeight="false" outlineLevel="0" collapsed="false">
      <c r="A414" s="15" t="n">
        <v>600</v>
      </c>
      <c r="B414" s="16" t="n">
        <v>7.86943999830551</v>
      </c>
      <c r="C414" s="15" t="n">
        <v>300</v>
      </c>
      <c r="D414" s="15" t="n">
        <v>600</v>
      </c>
      <c r="E414" s="15" t="n">
        <v>30</v>
      </c>
      <c r="F414" s="16" t="n">
        <v>0.569129103911194</v>
      </c>
      <c r="G414" s="17" t="s">
        <v>89</v>
      </c>
      <c r="H414" s="18" t="n">
        <v>0.3</v>
      </c>
      <c r="I414" s="18" t="n">
        <v>2</v>
      </c>
      <c r="J414" s="19" t="n">
        <v>0.919534855806455</v>
      </c>
      <c r="K414" s="19" t="n">
        <v>0.513273798390233</v>
      </c>
      <c r="L414" s="16" t="n">
        <v>14.2562318809882</v>
      </c>
      <c r="M414" s="19" t="n">
        <v>0.459234200840733</v>
      </c>
      <c r="N414" s="19" t="n">
        <v>1.1700999809873</v>
      </c>
      <c r="O414" s="19" t="n">
        <v>1.36709656342092</v>
      </c>
      <c r="P414" s="19" t="n">
        <v>0.878729032673347</v>
      </c>
      <c r="Q414" s="17" t="s">
        <v>31</v>
      </c>
      <c r="R414" s="5" t="str">
        <f aca="false">IF(OR(Q414="Steel plate",Q414="Concrete jacket"),"Steel plate or jacket",Q414)</f>
        <v>Polymer laminate</v>
      </c>
      <c r="S414" s="5" t="str">
        <f aca="false">IF(O414&lt;='Tree rules'!$C$4,IF(N414&lt;='Tree rules'!$C$5,IF(P414&lt;='Tree rules'!$C$6,"Monitor","Polymer laminate"),IF(P414&lt;='Tree rules'!$C$7,"Seal cracks","Polymer laminate")),IF(O414&lt;='Tree rules'!$C$8,IF(M414&lt;='Tree rules'!$C$9,"Steel plate or jacket","Polymer laminate"),IF(L414&lt;='Tree rules'!$C$10,"Steel plate or jacket","Polymer laminate")))</f>
        <v>Polymer laminate</v>
      </c>
      <c r="T414" s="5" t="str">
        <f aca="false">IF(S414=R414,"Yes","No")</f>
        <v>Yes</v>
      </c>
    </row>
    <row r="415" customFormat="false" ht="15" hidden="false" customHeight="false" outlineLevel="0" collapsed="false">
      <c r="A415" s="15" t="n">
        <v>601</v>
      </c>
      <c r="B415" s="16" t="n">
        <v>3.45016009772848</v>
      </c>
      <c r="C415" s="15" t="n">
        <v>300</v>
      </c>
      <c r="D415" s="15" t="n">
        <v>300</v>
      </c>
      <c r="E415" s="15" t="n">
        <v>30</v>
      </c>
      <c r="F415" s="16" t="n">
        <v>0.883711013668015</v>
      </c>
      <c r="G415" s="17" t="s">
        <v>90</v>
      </c>
      <c r="H415" s="18" t="n">
        <v>0.1</v>
      </c>
      <c r="I415" s="18" t="n">
        <v>1</v>
      </c>
      <c r="J415" s="19" t="n">
        <v>0.926401025330111</v>
      </c>
      <c r="K415" s="19" t="n">
        <v>0.605187574062443</v>
      </c>
      <c r="L415" s="16" t="n">
        <v>14.5576375431582</v>
      </c>
      <c r="M415" s="19" t="n">
        <v>0.416181111883007</v>
      </c>
      <c r="N415" s="19" t="n">
        <v>3.57905793775911</v>
      </c>
      <c r="O415" s="19" t="n">
        <v>0.926401025330111</v>
      </c>
      <c r="P415" s="19" t="n">
        <v>0.800176702694909</v>
      </c>
      <c r="Q415" s="17" t="s">
        <v>30</v>
      </c>
      <c r="R415" s="5" t="str">
        <f aca="false">IF(OR(Q415="Steel plate",Q415="Concrete jacket"),"Steel plate or jacket",Q415)</f>
        <v>Seal cracks</v>
      </c>
      <c r="S415" s="5" t="str">
        <f aca="false">IF(O415&lt;='Tree rules'!$C$4,IF(N415&lt;='Tree rules'!$C$5,IF(P415&lt;='Tree rules'!$C$6,"Monitor","Polymer laminate"),IF(P415&lt;='Tree rules'!$C$7,"Seal cracks","Polymer laminate")),IF(O415&lt;='Tree rules'!$C$8,IF(M415&lt;='Tree rules'!$C$9,"Steel plate or jacket","Polymer laminate"),IF(L415&lt;='Tree rules'!$C$10,"Steel plate or jacket","Polymer laminate")))</f>
        <v>Seal cracks</v>
      </c>
      <c r="T415" s="5" t="str">
        <f aca="false">IF(S415=R415,"Yes","No")</f>
        <v>Yes</v>
      </c>
    </row>
    <row r="416" customFormat="false" ht="15" hidden="false" customHeight="false" outlineLevel="0" collapsed="false">
      <c r="A416" s="15" t="n">
        <v>602</v>
      </c>
      <c r="B416" s="16" t="n">
        <v>6.17194204400815</v>
      </c>
      <c r="C416" s="15" t="n">
        <v>300</v>
      </c>
      <c r="D416" s="15" t="n">
        <v>600</v>
      </c>
      <c r="E416" s="15" t="n">
        <v>30</v>
      </c>
      <c r="F416" s="16" t="n">
        <v>0.725855342345656</v>
      </c>
      <c r="G416" s="17" t="s">
        <v>89</v>
      </c>
      <c r="H416" s="18" t="n">
        <v>0.3</v>
      </c>
      <c r="I416" s="18" t="n">
        <v>2</v>
      </c>
      <c r="J416" s="19" t="n">
        <v>0.901285444563866</v>
      </c>
      <c r="K416" s="19" t="n">
        <v>0.458465206441665</v>
      </c>
      <c r="L416" s="16" t="n">
        <v>11.140689610123</v>
      </c>
      <c r="M416" s="19" t="n">
        <v>0.871171872655162</v>
      </c>
      <c r="N416" s="19" t="n">
        <v>0.849534118470714</v>
      </c>
      <c r="O416" s="19" t="n">
        <v>1.38936287172289</v>
      </c>
      <c r="P416" s="19" t="n">
        <v>0.456208951228648</v>
      </c>
      <c r="Q416" s="17" t="s">
        <v>92</v>
      </c>
      <c r="R416" s="5" t="str">
        <f aca="false">IF(OR(Q416="Steel plate",Q416="Concrete jacket"),"Steel plate or jacket",Q416)</f>
        <v>Steel plate or jacket</v>
      </c>
      <c r="S416" s="5" t="str">
        <f aca="false">IF(O416&lt;='Tree rules'!$C$4,IF(N416&lt;='Tree rules'!$C$5,IF(P416&lt;='Tree rules'!$C$6,"Monitor","Polymer laminate"),IF(P416&lt;='Tree rules'!$C$7,"Seal cracks","Polymer laminate")),IF(O416&lt;='Tree rules'!$C$8,IF(M416&lt;='Tree rules'!$C$9,"Steel plate or jacket","Polymer laminate"),IF(L416&lt;='Tree rules'!$C$10,"Steel plate or jacket","Polymer laminate")))</f>
        <v>Steel plate or jacket</v>
      </c>
      <c r="T416" s="5" t="str">
        <f aca="false">IF(S416=R416,"Yes","No")</f>
        <v>Yes</v>
      </c>
    </row>
    <row r="417" customFormat="false" ht="15" hidden="false" customHeight="false" outlineLevel="0" collapsed="false">
      <c r="A417" s="15" t="n">
        <v>603</v>
      </c>
      <c r="B417" s="16" t="n">
        <v>4.65446080507045</v>
      </c>
      <c r="C417" s="15" t="n">
        <v>300</v>
      </c>
      <c r="D417" s="15" t="n">
        <v>425</v>
      </c>
      <c r="E417" s="15" t="n">
        <v>20</v>
      </c>
      <c r="F417" s="16" t="n">
        <v>0.555542467478301</v>
      </c>
      <c r="G417" s="17" t="s">
        <v>91</v>
      </c>
      <c r="H417" s="18" t="n">
        <v>0.2</v>
      </c>
      <c r="I417" s="18" t="n">
        <v>1</v>
      </c>
      <c r="J417" s="19" t="n">
        <v>0.975592190341473</v>
      </c>
      <c r="K417" s="19" t="n">
        <v>0.544683020867919</v>
      </c>
      <c r="L417" s="16" t="n">
        <v>12.3460498808235</v>
      </c>
      <c r="M417" s="19" t="n">
        <v>0.929856387509858</v>
      </c>
      <c r="N417" s="19" t="n">
        <v>1.47183275800857</v>
      </c>
      <c r="O417" s="19" t="n">
        <v>0.975592190341473</v>
      </c>
      <c r="P417" s="19" t="n">
        <v>0.353348855325399</v>
      </c>
      <c r="Q417" s="17" t="s">
        <v>30</v>
      </c>
      <c r="R417" s="5" t="str">
        <f aca="false">IF(OR(Q417="Steel plate",Q417="Concrete jacket"),"Steel plate or jacket",Q417)</f>
        <v>Seal cracks</v>
      </c>
      <c r="S417" s="5" t="str">
        <f aca="false">IF(O417&lt;='Tree rules'!$C$4,IF(N417&lt;='Tree rules'!$C$5,IF(P417&lt;='Tree rules'!$C$6,"Monitor","Polymer laminate"),IF(P417&lt;='Tree rules'!$C$7,"Seal cracks","Polymer laminate")),IF(O417&lt;='Tree rules'!$C$8,IF(M417&lt;='Tree rules'!$C$9,"Steel plate or jacket","Polymer laminate"),IF(L417&lt;='Tree rules'!$C$10,"Steel plate or jacket","Polymer laminate")))</f>
        <v>Seal cracks</v>
      </c>
      <c r="T417" s="5" t="str">
        <f aca="false">IF(S417=R417,"Yes","No")</f>
        <v>Yes</v>
      </c>
    </row>
    <row r="418" customFormat="false" ht="15" hidden="false" customHeight="false" outlineLevel="0" collapsed="false">
      <c r="A418" s="15" t="n">
        <v>605</v>
      </c>
      <c r="B418" s="16" t="n">
        <v>7.89807986954715</v>
      </c>
      <c r="C418" s="15" t="n">
        <v>230</v>
      </c>
      <c r="D418" s="15" t="n">
        <v>750</v>
      </c>
      <c r="E418" s="15" t="n">
        <v>25</v>
      </c>
      <c r="F418" s="16" t="n">
        <v>0.583722157857635</v>
      </c>
      <c r="G418" s="17" t="s">
        <v>89</v>
      </c>
      <c r="H418" s="18" t="n">
        <v>0.3</v>
      </c>
      <c r="I418" s="18" t="n">
        <v>1</v>
      </c>
      <c r="J418" s="19" t="n">
        <v>0.962782907533922</v>
      </c>
      <c r="K418" s="19" t="n">
        <v>0.638179569562309</v>
      </c>
      <c r="L418" s="16" t="n">
        <v>11.2508260249959</v>
      </c>
      <c r="M418" s="19" t="n">
        <v>0.29933108058611</v>
      </c>
      <c r="N418" s="19" t="n">
        <v>0.704321226271723</v>
      </c>
      <c r="O418" s="19" t="n">
        <v>0.962782907533922</v>
      </c>
      <c r="P418" s="19" t="n">
        <v>1.09340471025042</v>
      </c>
      <c r="Q418" s="17" t="s">
        <v>31</v>
      </c>
      <c r="R418" s="5" t="str">
        <f aca="false">IF(OR(Q418="Steel plate",Q418="Concrete jacket"),"Steel plate or jacket",Q418)</f>
        <v>Polymer laminate</v>
      </c>
      <c r="S418" s="5" t="str">
        <f aca="false">IF(O418&lt;='Tree rules'!$C$4,IF(N418&lt;='Tree rules'!$C$5,IF(P418&lt;='Tree rules'!$C$6,"Monitor","Polymer laminate"),IF(P418&lt;='Tree rules'!$C$7,"Seal cracks","Polymer laminate")),IF(O418&lt;='Tree rules'!$C$8,IF(M418&lt;='Tree rules'!$C$9,"Steel plate or jacket","Polymer laminate"),IF(L418&lt;='Tree rules'!$C$10,"Steel plate or jacket","Polymer laminate")))</f>
        <v>Polymer laminate</v>
      </c>
      <c r="T418" s="5" t="str">
        <f aca="false">IF(S418=R418,"Yes","No")</f>
        <v>Yes</v>
      </c>
    </row>
    <row r="419" customFormat="false" ht="15" hidden="false" customHeight="false" outlineLevel="0" collapsed="false">
      <c r="A419" s="15" t="n">
        <v>606</v>
      </c>
      <c r="B419" s="16" t="n">
        <v>4.22142900854519</v>
      </c>
      <c r="C419" s="15" t="n">
        <v>230</v>
      </c>
      <c r="D419" s="15" t="n">
        <v>400</v>
      </c>
      <c r="E419" s="15" t="n">
        <v>25</v>
      </c>
      <c r="F419" s="16" t="n">
        <v>0.740832460684402</v>
      </c>
      <c r="G419" s="17" t="s">
        <v>89</v>
      </c>
      <c r="H419" s="18" t="n">
        <v>0.3</v>
      </c>
      <c r="I419" s="18" t="n">
        <v>1</v>
      </c>
      <c r="J419" s="19" t="n">
        <v>0.91632632659633</v>
      </c>
      <c r="K419" s="19" t="n">
        <v>0.462594037197622</v>
      </c>
      <c r="L419" s="16" t="n">
        <v>11.9249407021051</v>
      </c>
      <c r="M419" s="19" t="n">
        <v>0.47884111926309</v>
      </c>
      <c r="N419" s="19" t="n">
        <v>0.676033440593357</v>
      </c>
      <c r="O419" s="19" t="n">
        <v>0.91632632659633</v>
      </c>
      <c r="P419" s="19" t="n">
        <v>0.638642696399565</v>
      </c>
      <c r="Q419" s="17" t="s">
        <v>29</v>
      </c>
      <c r="R419" s="5" t="str">
        <f aca="false">IF(OR(Q419="Steel plate",Q419="Concrete jacket"),"Steel plate or jacket",Q419)</f>
        <v>Monitor</v>
      </c>
      <c r="S419" s="5" t="str">
        <f aca="false">IF(O419&lt;='Tree rules'!$C$4,IF(N419&lt;='Tree rules'!$C$5,IF(P419&lt;='Tree rules'!$C$6,"Monitor","Polymer laminate"),IF(P419&lt;='Tree rules'!$C$7,"Seal cracks","Polymer laminate")),IF(O419&lt;='Tree rules'!$C$8,IF(M419&lt;='Tree rules'!$C$9,"Steel plate or jacket","Polymer laminate"),IF(L419&lt;='Tree rules'!$C$10,"Steel plate or jacket","Polymer laminate")))</f>
        <v>Monitor</v>
      </c>
      <c r="T419" s="5" t="str">
        <f aca="false">IF(S419=R419,"Yes","No")</f>
        <v>Yes</v>
      </c>
    </row>
    <row r="420" customFormat="false" ht="15" hidden="false" customHeight="false" outlineLevel="0" collapsed="false">
      <c r="A420" s="15" t="n">
        <v>607</v>
      </c>
      <c r="B420" s="16" t="n">
        <v>3.00163562391201</v>
      </c>
      <c r="C420" s="15" t="n">
        <v>230</v>
      </c>
      <c r="D420" s="15" t="n">
        <v>300</v>
      </c>
      <c r="E420" s="15" t="n">
        <v>30</v>
      </c>
      <c r="F420" s="16" t="n">
        <v>0.768324290280112</v>
      </c>
      <c r="G420" s="17" t="s">
        <v>89</v>
      </c>
      <c r="H420" s="18" t="n">
        <v>0.3</v>
      </c>
      <c r="I420" s="18" t="n">
        <v>1</v>
      </c>
      <c r="J420" s="19" t="n">
        <v>0.889785301552835</v>
      </c>
      <c r="K420" s="19" t="n">
        <v>0.575211380320038</v>
      </c>
      <c r="L420" s="16" t="n">
        <v>11.7251391559063</v>
      </c>
      <c r="M420" s="19" t="n">
        <v>0.648746744611647</v>
      </c>
      <c r="N420" s="19" t="n">
        <v>0.596424680998172</v>
      </c>
      <c r="O420" s="19" t="n">
        <v>0.889785301552835</v>
      </c>
      <c r="P420" s="19" t="n">
        <v>0.436820890000596</v>
      </c>
      <c r="Q420" s="17" t="s">
        <v>29</v>
      </c>
      <c r="R420" s="5" t="str">
        <f aca="false">IF(OR(Q420="Steel plate",Q420="Concrete jacket"),"Steel plate or jacket",Q420)</f>
        <v>Monitor</v>
      </c>
      <c r="S420" s="5" t="str">
        <f aca="false">IF(O420&lt;='Tree rules'!$C$4,IF(N420&lt;='Tree rules'!$C$5,IF(P420&lt;='Tree rules'!$C$6,"Monitor","Polymer laminate"),IF(P420&lt;='Tree rules'!$C$7,"Seal cracks","Polymer laminate")),IF(O420&lt;='Tree rules'!$C$8,IF(M420&lt;='Tree rules'!$C$9,"Steel plate or jacket","Polymer laminate"),IF(L420&lt;='Tree rules'!$C$10,"Steel plate or jacket","Polymer laminate")))</f>
        <v>Monitor</v>
      </c>
      <c r="T420" s="5" t="str">
        <f aca="false">IF(S420=R420,"Yes","No")</f>
        <v>Yes</v>
      </c>
    </row>
    <row r="421" customFormat="false" ht="15" hidden="false" customHeight="false" outlineLevel="0" collapsed="false">
      <c r="A421" s="15" t="n">
        <v>608</v>
      </c>
      <c r="B421" s="16" t="n">
        <v>5.32331950988002</v>
      </c>
      <c r="C421" s="15" t="n">
        <v>230</v>
      </c>
      <c r="D421" s="15" t="n">
        <v>450</v>
      </c>
      <c r="E421" s="15" t="n">
        <v>30</v>
      </c>
      <c r="F421" s="16" t="n">
        <v>0.679557138998441</v>
      </c>
      <c r="G421" s="17" t="s">
        <v>91</v>
      </c>
      <c r="H421" s="18" t="n">
        <v>0.2</v>
      </c>
      <c r="I421" s="18" t="n">
        <v>2</v>
      </c>
      <c r="J421" s="19" t="n">
        <v>0.968192867528518</v>
      </c>
      <c r="K421" s="19" t="n">
        <v>0.506490193113421</v>
      </c>
      <c r="L421" s="16" t="n">
        <v>13.2420883330349</v>
      </c>
      <c r="M421" s="19" t="n">
        <v>0.456894488852073</v>
      </c>
      <c r="N421" s="19" t="n">
        <v>2.13088390876936</v>
      </c>
      <c r="O421" s="19" t="n">
        <v>1.44600554261148</v>
      </c>
      <c r="P421" s="19" t="n">
        <v>0.912387014915439</v>
      </c>
      <c r="Q421" s="17" t="s">
        <v>31</v>
      </c>
      <c r="R421" s="5" t="str">
        <f aca="false">IF(OR(Q421="Steel plate",Q421="Concrete jacket"),"Steel plate or jacket",Q421)</f>
        <v>Polymer laminate</v>
      </c>
      <c r="S421" s="5" t="str">
        <f aca="false">IF(O421&lt;='Tree rules'!$C$4,IF(N421&lt;='Tree rules'!$C$5,IF(P421&lt;='Tree rules'!$C$6,"Monitor","Polymer laminate"),IF(P421&lt;='Tree rules'!$C$7,"Seal cracks","Polymer laminate")),IF(O421&lt;='Tree rules'!$C$8,IF(M421&lt;='Tree rules'!$C$9,"Steel plate or jacket","Polymer laminate"),IF(L421&lt;='Tree rules'!$C$10,"Steel plate or jacket","Polymer laminate")))</f>
        <v>Polymer laminate</v>
      </c>
      <c r="T421" s="5" t="str">
        <f aca="false">IF(S421=R421,"Yes","No")</f>
        <v>Yes</v>
      </c>
    </row>
    <row r="422" customFormat="false" ht="15" hidden="false" customHeight="false" outlineLevel="0" collapsed="false">
      <c r="A422" s="15" t="n">
        <v>612</v>
      </c>
      <c r="B422" s="16" t="n">
        <v>4.78344865960274</v>
      </c>
      <c r="C422" s="15" t="n">
        <v>300</v>
      </c>
      <c r="D422" s="15" t="n">
        <v>450</v>
      </c>
      <c r="E422" s="15" t="n">
        <v>30</v>
      </c>
      <c r="F422" s="16" t="n">
        <v>0.781490709848207</v>
      </c>
      <c r="G422" s="17" t="s">
        <v>89</v>
      </c>
      <c r="H422" s="18" t="n">
        <v>0.3</v>
      </c>
      <c r="I422" s="18" t="n">
        <v>1.5</v>
      </c>
      <c r="J422" s="19" t="n">
        <v>0.885171623932607</v>
      </c>
      <c r="K422" s="19" t="n">
        <v>0.546516136168316</v>
      </c>
      <c r="L422" s="16" t="n">
        <v>11.8991260189123</v>
      </c>
      <c r="M422" s="19" t="n">
        <v>0.360816540335504</v>
      </c>
      <c r="N422" s="19" t="n">
        <v>0.945778010229108</v>
      </c>
      <c r="O422" s="19" t="n">
        <v>1.08587714802017</v>
      </c>
      <c r="P422" s="19" t="n">
        <v>0.973769982781654</v>
      </c>
      <c r="Q422" s="17" t="s">
        <v>31</v>
      </c>
      <c r="R422" s="5" t="str">
        <f aca="false">IF(OR(Q422="Steel plate",Q422="Concrete jacket"),"Steel plate or jacket",Q422)</f>
        <v>Polymer laminate</v>
      </c>
      <c r="S422" s="5" t="str">
        <f aca="false">IF(O422&lt;='Tree rules'!$C$4,IF(N422&lt;='Tree rules'!$C$5,IF(P422&lt;='Tree rules'!$C$6,"Monitor","Polymer laminate"),IF(P422&lt;='Tree rules'!$C$7,"Seal cracks","Polymer laminate")),IF(O422&lt;='Tree rules'!$C$8,IF(M422&lt;='Tree rules'!$C$9,"Steel plate or jacket","Polymer laminate"),IF(L422&lt;='Tree rules'!$C$10,"Steel plate or jacket","Polymer laminate")))</f>
        <v>Polymer laminate</v>
      </c>
      <c r="T422" s="5" t="str">
        <f aca="false">IF(S422=R422,"Yes","No")</f>
        <v>Yes</v>
      </c>
    </row>
    <row r="423" customFormat="false" ht="15" hidden="false" customHeight="false" outlineLevel="0" collapsed="false">
      <c r="A423" s="15" t="n">
        <v>614</v>
      </c>
      <c r="B423" s="16" t="n">
        <v>3.11492921235637</v>
      </c>
      <c r="C423" s="15" t="n">
        <v>230</v>
      </c>
      <c r="D423" s="15" t="n">
        <v>300</v>
      </c>
      <c r="E423" s="15" t="n">
        <v>30</v>
      </c>
      <c r="F423" s="16" t="n">
        <v>0.731533308458238</v>
      </c>
      <c r="G423" s="17" t="s">
        <v>90</v>
      </c>
      <c r="H423" s="18" t="n">
        <v>0.1</v>
      </c>
      <c r="I423" s="18" t="n">
        <v>1</v>
      </c>
      <c r="J423" s="19" t="n">
        <v>0.953687570704245</v>
      </c>
      <c r="K423" s="19" t="n">
        <v>0.411528178314313</v>
      </c>
      <c r="L423" s="16" t="n">
        <v>13.033176620738</v>
      </c>
      <c r="M423" s="19" t="n">
        <v>0.495143851423586</v>
      </c>
      <c r="N423" s="19" t="n">
        <v>3.17882619848543</v>
      </c>
      <c r="O423" s="19" t="n">
        <v>0.953687570704245</v>
      </c>
      <c r="P423" s="19" t="n">
        <v>0.460476350947894</v>
      </c>
      <c r="Q423" s="17" t="s">
        <v>30</v>
      </c>
      <c r="R423" s="5" t="str">
        <f aca="false">IF(OR(Q423="Steel plate",Q423="Concrete jacket"),"Steel plate or jacket",Q423)</f>
        <v>Seal cracks</v>
      </c>
      <c r="S423" s="5" t="str">
        <f aca="false">IF(O423&lt;='Tree rules'!$C$4,IF(N423&lt;='Tree rules'!$C$5,IF(P423&lt;='Tree rules'!$C$6,"Monitor","Polymer laminate"),IF(P423&lt;='Tree rules'!$C$7,"Seal cracks","Polymer laminate")),IF(O423&lt;='Tree rules'!$C$8,IF(M423&lt;='Tree rules'!$C$9,"Steel plate or jacket","Polymer laminate"),IF(L423&lt;='Tree rules'!$C$10,"Steel plate or jacket","Polymer laminate")))</f>
        <v>Seal cracks</v>
      </c>
      <c r="T423" s="5" t="str">
        <f aca="false">IF(S423=R423,"Yes","No")</f>
        <v>Yes</v>
      </c>
    </row>
    <row r="424" customFormat="false" ht="15" hidden="false" customHeight="false" outlineLevel="0" collapsed="false">
      <c r="A424" s="15" t="n">
        <v>615</v>
      </c>
      <c r="B424" s="16" t="n">
        <v>3.67105499962188</v>
      </c>
      <c r="C424" s="15" t="n">
        <v>300</v>
      </c>
      <c r="D424" s="15" t="n">
        <v>325</v>
      </c>
      <c r="E424" s="15" t="n">
        <v>30</v>
      </c>
      <c r="F424" s="16" t="n">
        <v>0.72065207824282</v>
      </c>
      <c r="G424" s="17" t="s">
        <v>89</v>
      </c>
      <c r="H424" s="18" t="n">
        <v>0.3</v>
      </c>
      <c r="I424" s="18" t="n">
        <v>1</v>
      </c>
      <c r="J424" s="19" t="n">
        <v>0.850243734811119</v>
      </c>
      <c r="K424" s="19" t="n">
        <v>0.630975938472842</v>
      </c>
      <c r="L424" s="16" t="n">
        <v>13.1579032244512</v>
      </c>
      <c r="M424" s="19" t="n">
        <v>0.911687424159955</v>
      </c>
      <c r="N424" s="19" t="n">
        <v>0.646213177471919</v>
      </c>
      <c r="O424" s="19" t="n">
        <v>0.85024373481112</v>
      </c>
      <c r="P424" s="19" t="n">
        <v>0.355821932999206</v>
      </c>
      <c r="Q424" s="17" t="s">
        <v>29</v>
      </c>
      <c r="R424" s="5" t="str">
        <f aca="false">IF(OR(Q424="Steel plate",Q424="Concrete jacket"),"Steel plate or jacket",Q424)</f>
        <v>Monitor</v>
      </c>
      <c r="S424" s="5" t="str">
        <f aca="false">IF(O424&lt;='Tree rules'!$C$4,IF(N424&lt;='Tree rules'!$C$5,IF(P424&lt;='Tree rules'!$C$6,"Monitor","Polymer laminate"),IF(P424&lt;='Tree rules'!$C$7,"Seal cracks","Polymer laminate")),IF(O424&lt;='Tree rules'!$C$8,IF(M424&lt;='Tree rules'!$C$9,"Steel plate or jacket","Polymer laminate"),IF(L424&lt;='Tree rules'!$C$10,"Steel plate or jacket","Polymer laminate")))</f>
        <v>Monitor</v>
      </c>
      <c r="T424" s="5" t="str">
        <f aca="false">IF(S424=R424,"Yes","No")</f>
        <v>Yes</v>
      </c>
    </row>
    <row r="425" customFormat="false" ht="15" hidden="false" customHeight="false" outlineLevel="0" collapsed="false">
      <c r="A425" s="15" t="n">
        <v>617</v>
      </c>
      <c r="B425" s="16" t="n">
        <v>6.31630869854681</v>
      </c>
      <c r="C425" s="15" t="n">
        <v>230</v>
      </c>
      <c r="D425" s="15" t="n">
        <v>550</v>
      </c>
      <c r="E425" s="15" t="n">
        <v>25</v>
      </c>
      <c r="F425" s="16" t="n">
        <v>0.693795479053647</v>
      </c>
      <c r="G425" s="17" t="s">
        <v>89</v>
      </c>
      <c r="H425" s="18" t="n">
        <v>0.3</v>
      </c>
      <c r="I425" s="18" t="n">
        <v>2</v>
      </c>
      <c r="J425" s="19" t="n">
        <v>0.862551868645157</v>
      </c>
      <c r="K425" s="19" t="n">
        <v>0.523321038989251</v>
      </c>
      <c r="L425" s="16" t="n">
        <v>12.5323585288627</v>
      </c>
      <c r="M425" s="19" t="n">
        <v>0.6377242877566</v>
      </c>
      <c r="N425" s="19" t="n">
        <v>0.818154500353202</v>
      </c>
      <c r="O425" s="19" t="n">
        <v>1.27371219720881</v>
      </c>
      <c r="P425" s="19" t="n">
        <v>0.66359126643154</v>
      </c>
      <c r="Q425" s="17" t="s">
        <v>31</v>
      </c>
      <c r="R425" s="5" t="str">
        <f aca="false">IF(OR(Q425="Steel plate",Q425="Concrete jacket"),"Steel plate or jacket",Q425)</f>
        <v>Polymer laminate</v>
      </c>
      <c r="S425" s="5" t="str">
        <f aca="false">IF(O425&lt;='Tree rules'!$C$4,IF(N425&lt;='Tree rules'!$C$5,IF(P425&lt;='Tree rules'!$C$6,"Monitor","Polymer laminate"),IF(P425&lt;='Tree rules'!$C$7,"Seal cracks","Polymer laminate")),IF(O425&lt;='Tree rules'!$C$8,IF(M425&lt;='Tree rules'!$C$9,"Steel plate or jacket","Polymer laminate"),IF(L425&lt;='Tree rules'!$C$10,"Steel plate or jacket","Polymer laminate")))</f>
        <v>Polymer laminate</v>
      </c>
      <c r="T425" s="5" t="str">
        <f aca="false">IF(S425=R425,"Yes","No")</f>
        <v>Yes</v>
      </c>
    </row>
    <row r="426" customFormat="false" ht="15" hidden="false" customHeight="false" outlineLevel="0" collapsed="false">
      <c r="A426" s="15" t="n">
        <v>618</v>
      </c>
      <c r="B426" s="16" t="n">
        <v>3.9043069852634</v>
      </c>
      <c r="C426" s="15" t="n">
        <v>230</v>
      </c>
      <c r="D426" s="15" t="n">
        <v>375</v>
      </c>
      <c r="E426" s="15" t="n">
        <v>30</v>
      </c>
      <c r="F426" s="16" t="n">
        <v>0.835418868126524</v>
      </c>
      <c r="G426" s="17" t="s">
        <v>89</v>
      </c>
      <c r="H426" s="18" t="n">
        <v>0.3</v>
      </c>
      <c r="I426" s="18" t="n">
        <v>1.5</v>
      </c>
      <c r="J426" s="19" t="n">
        <v>0.904621724074591</v>
      </c>
      <c r="K426" s="19" t="n">
        <v>0.449294761330995</v>
      </c>
      <c r="L426" s="16" t="n">
        <v>11.9397767133437</v>
      </c>
      <c r="M426" s="19" t="n">
        <v>0.373628440599676</v>
      </c>
      <c r="N426" s="19" t="n">
        <v>1.13362518471807</v>
      </c>
      <c r="O426" s="19" t="n">
        <v>1.15371168530542</v>
      </c>
      <c r="P426" s="19" t="n">
        <v>0.902113064795244</v>
      </c>
      <c r="Q426" s="17" t="s">
        <v>31</v>
      </c>
      <c r="R426" s="5" t="str">
        <f aca="false">IF(OR(Q426="Steel plate",Q426="Concrete jacket"),"Steel plate or jacket",Q426)</f>
        <v>Polymer laminate</v>
      </c>
      <c r="S426" s="5" t="str">
        <f aca="false">IF(O426&lt;='Tree rules'!$C$4,IF(N426&lt;='Tree rules'!$C$5,IF(P426&lt;='Tree rules'!$C$6,"Monitor","Polymer laminate"),IF(P426&lt;='Tree rules'!$C$7,"Seal cracks","Polymer laminate")),IF(O426&lt;='Tree rules'!$C$8,IF(M426&lt;='Tree rules'!$C$9,"Steel plate or jacket","Polymer laminate"),IF(L426&lt;='Tree rules'!$C$10,"Steel plate or jacket","Polymer laminate")))</f>
        <v>Polymer laminate</v>
      </c>
      <c r="T426" s="5" t="str">
        <f aca="false">IF(S426=R426,"Yes","No")</f>
        <v>Yes</v>
      </c>
    </row>
    <row r="427" customFormat="false" ht="15" hidden="false" customHeight="false" outlineLevel="0" collapsed="false">
      <c r="A427" s="15" t="n">
        <v>620</v>
      </c>
      <c r="B427" s="16" t="n">
        <v>4.42421369854955</v>
      </c>
      <c r="C427" s="15" t="n">
        <v>300</v>
      </c>
      <c r="D427" s="15" t="n">
        <v>350</v>
      </c>
      <c r="E427" s="15" t="n">
        <v>25</v>
      </c>
      <c r="F427" s="16" t="n">
        <v>0.647751062595834</v>
      </c>
      <c r="G427" s="17" t="s">
        <v>90</v>
      </c>
      <c r="H427" s="18" t="n">
        <v>0.1</v>
      </c>
      <c r="I427" s="18" t="n">
        <v>1</v>
      </c>
      <c r="J427" s="19" t="n">
        <v>0.850094915474051</v>
      </c>
      <c r="K427" s="19" t="n">
        <v>0.620199734022923</v>
      </c>
      <c r="L427" s="16" t="n">
        <v>15.2034835001703</v>
      </c>
      <c r="M427" s="19" t="n">
        <v>0.767913956524282</v>
      </c>
      <c r="N427" s="19" t="n">
        <v>2.1582364442457</v>
      </c>
      <c r="O427" s="19" t="n">
        <v>0.850094915474051</v>
      </c>
      <c r="P427" s="19" t="n">
        <v>0.422406771218633</v>
      </c>
      <c r="Q427" s="17" t="s">
        <v>30</v>
      </c>
      <c r="R427" s="5" t="str">
        <f aca="false">IF(OR(Q427="Steel plate",Q427="Concrete jacket"),"Steel plate or jacket",Q427)</f>
        <v>Seal cracks</v>
      </c>
      <c r="S427" s="5" t="str">
        <f aca="false">IF(O427&lt;='Tree rules'!$C$4,IF(N427&lt;='Tree rules'!$C$5,IF(P427&lt;='Tree rules'!$C$6,"Monitor","Polymer laminate"),IF(P427&lt;='Tree rules'!$C$7,"Seal cracks","Polymer laminate")),IF(O427&lt;='Tree rules'!$C$8,IF(M427&lt;='Tree rules'!$C$9,"Steel plate or jacket","Polymer laminate"),IF(L427&lt;='Tree rules'!$C$10,"Steel plate or jacket","Polymer laminate")))</f>
        <v>Seal cracks</v>
      </c>
      <c r="T427" s="5" t="str">
        <f aca="false">IF(S427=R427,"Yes","No")</f>
        <v>Yes</v>
      </c>
    </row>
    <row r="428" customFormat="false" ht="15" hidden="false" customHeight="false" outlineLevel="0" collapsed="false">
      <c r="A428" s="15" t="n">
        <v>621</v>
      </c>
      <c r="B428" s="16" t="n">
        <v>4.90494706920788</v>
      </c>
      <c r="C428" s="15" t="n">
        <v>300</v>
      </c>
      <c r="D428" s="15" t="n">
        <v>400</v>
      </c>
      <c r="E428" s="15" t="n">
        <v>25</v>
      </c>
      <c r="F428" s="16" t="n">
        <v>0.55277290092489</v>
      </c>
      <c r="G428" s="17" t="s">
        <v>90</v>
      </c>
      <c r="H428" s="18" t="n">
        <v>0.1</v>
      </c>
      <c r="I428" s="18" t="n">
        <v>2</v>
      </c>
      <c r="J428" s="19" t="n">
        <v>0.918012436484685</v>
      </c>
      <c r="K428" s="19" t="n">
        <v>0.475958119516052</v>
      </c>
      <c r="L428" s="16" t="n">
        <v>14.3840090006096</v>
      </c>
      <c r="M428" s="19" t="n">
        <v>0.726061082075923</v>
      </c>
      <c r="N428" s="19" t="n">
        <v>3.69883188277969</v>
      </c>
      <c r="O428" s="19" t="n">
        <v>1.39908940000777</v>
      </c>
      <c r="P428" s="19" t="n">
        <v>0.478674809022571</v>
      </c>
      <c r="Q428" s="17" t="s">
        <v>31</v>
      </c>
      <c r="R428" s="5" t="str">
        <f aca="false">IF(OR(Q428="Steel plate",Q428="Concrete jacket"),"Steel plate or jacket",Q428)</f>
        <v>Polymer laminate</v>
      </c>
      <c r="S428" s="5" t="str">
        <f aca="false">IF(O428&lt;='Tree rules'!$C$4,IF(N428&lt;='Tree rules'!$C$5,IF(P428&lt;='Tree rules'!$C$6,"Monitor","Polymer laminate"),IF(P428&lt;='Tree rules'!$C$7,"Seal cracks","Polymer laminate")),IF(O428&lt;='Tree rules'!$C$8,IF(M428&lt;='Tree rules'!$C$9,"Steel plate or jacket","Polymer laminate"),IF(L428&lt;='Tree rules'!$C$10,"Steel plate or jacket","Polymer laminate")))</f>
        <v>Polymer laminate</v>
      </c>
      <c r="T428" s="5" t="str">
        <f aca="false">IF(S428=R428,"Yes","No")</f>
        <v>Yes</v>
      </c>
    </row>
    <row r="429" customFormat="false" ht="15" hidden="false" customHeight="false" outlineLevel="0" collapsed="false">
      <c r="A429" s="15" t="n">
        <v>623</v>
      </c>
      <c r="B429" s="16" t="n">
        <v>3.93902340371315</v>
      </c>
      <c r="C429" s="15" t="n">
        <v>230</v>
      </c>
      <c r="D429" s="15" t="n">
        <v>325</v>
      </c>
      <c r="E429" s="15" t="n">
        <v>30</v>
      </c>
      <c r="F429" s="16" t="n">
        <v>0.524976027522354</v>
      </c>
      <c r="G429" s="17" t="s">
        <v>89</v>
      </c>
      <c r="H429" s="18" t="n">
        <v>0.3</v>
      </c>
      <c r="I429" s="18" t="n">
        <v>2</v>
      </c>
      <c r="J429" s="19" t="n">
        <v>0.877711019351091</v>
      </c>
      <c r="K429" s="19" t="n">
        <v>0.630063889764005</v>
      </c>
      <c r="L429" s="16" t="n">
        <v>14.0178768815415</v>
      </c>
      <c r="M429" s="19" t="n">
        <v>0.942298909117781</v>
      </c>
      <c r="N429" s="19" t="n">
        <v>0.80666361881806</v>
      </c>
      <c r="O429" s="19" t="n">
        <v>1.2024080197611</v>
      </c>
      <c r="P429" s="19" t="n">
        <v>0.330463336431148</v>
      </c>
      <c r="Q429" s="17" t="s">
        <v>31</v>
      </c>
      <c r="R429" s="5" t="str">
        <f aca="false">IF(OR(Q429="Steel plate",Q429="Concrete jacket"),"Steel plate or jacket",Q429)</f>
        <v>Polymer laminate</v>
      </c>
      <c r="S429" s="5" t="str">
        <f aca="false">IF(O429&lt;='Tree rules'!$C$4,IF(N429&lt;='Tree rules'!$C$5,IF(P429&lt;='Tree rules'!$C$6,"Monitor","Polymer laminate"),IF(P429&lt;='Tree rules'!$C$7,"Seal cracks","Polymer laminate")),IF(O429&lt;='Tree rules'!$C$8,IF(M429&lt;='Tree rules'!$C$9,"Steel plate or jacket","Polymer laminate"),IF(L429&lt;='Tree rules'!$C$10,"Steel plate or jacket","Polymer laminate")))</f>
        <v>Polymer laminate</v>
      </c>
      <c r="T429" s="5" t="str">
        <f aca="false">IF(S429=R429,"Yes","No")</f>
        <v>Yes</v>
      </c>
    </row>
    <row r="430" customFormat="false" ht="15" hidden="false" customHeight="false" outlineLevel="0" collapsed="false">
      <c r="A430" s="15" t="n">
        <v>624</v>
      </c>
      <c r="B430" s="16" t="n">
        <v>5.15688545089236</v>
      </c>
      <c r="C430" s="15" t="n">
        <v>230</v>
      </c>
      <c r="D430" s="15" t="n">
        <v>525</v>
      </c>
      <c r="E430" s="15" t="n">
        <v>25</v>
      </c>
      <c r="F430" s="16" t="n">
        <v>0.547504574284506</v>
      </c>
      <c r="G430" s="17" t="s">
        <v>89</v>
      </c>
      <c r="H430" s="18" t="n">
        <v>0.3</v>
      </c>
      <c r="I430" s="18" t="n">
        <v>1.5</v>
      </c>
      <c r="J430" s="19" t="n">
        <v>0.852626975588952</v>
      </c>
      <c r="K430" s="19" t="n">
        <v>0.507236971982225</v>
      </c>
      <c r="L430" s="16" t="n">
        <v>10.7659403985227</v>
      </c>
      <c r="M430" s="19" t="n">
        <v>0.869485733053438</v>
      </c>
      <c r="N430" s="19" t="n">
        <v>0.694952318681241</v>
      </c>
      <c r="O430" s="19" t="n">
        <v>1.06269850071938</v>
      </c>
      <c r="P430" s="19" t="n">
        <v>0.311270842081487</v>
      </c>
      <c r="Q430" s="17" t="s">
        <v>31</v>
      </c>
      <c r="R430" s="5" t="str">
        <f aca="false">IF(OR(Q430="Steel plate",Q430="Concrete jacket"),"Steel plate or jacket",Q430)</f>
        <v>Polymer laminate</v>
      </c>
      <c r="S430" s="5" t="str">
        <f aca="false">IF(O430&lt;='Tree rules'!$C$4,IF(N430&lt;='Tree rules'!$C$5,IF(P430&lt;='Tree rules'!$C$6,"Monitor","Polymer laminate"),IF(P430&lt;='Tree rules'!$C$7,"Seal cracks","Polymer laminate")),IF(O430&lt;='Tree rules'!$C$8,IF(M430&lt;='Tree rules'!$C$9,"Steel plate or jacket","Polymer laminate"),IF(L430&lt;='Tree rules'!$C$10,"Steel plate or jacket","Polymer laminate")))</f>
        <v>Polymer laminate</v>
      </c>
      <c r="T430" s="5" t="str">
        <f aca="false">IF(S430=R430,"Yes","No")</f>
        <v>Yes</v>
      </c>
    </row>
    <row r="431" customFormat="false" ht="15" hidden="false" customHeight="false" outlineLevel="0" collapsed="false">
      <c r="A431" s="15" t="n">
        <v>625</v>
      </c>
      <c r="B431" s="16" t="n">
        <v>5.83712894388483</v>
      </c>
      <c r="C431" s="15" t="n">
        <v>230</v>
      </c>
      <c r="D431" s="15" t="n">
        <v>575</v>
      </c>
      <c r="E431" s="15" t="n">
        <v>25</v>
      </c>
      <c r="F431" s="16" t="n">
        <v>0.777557789024782</v>
      </c>
      <c r="G431" s="17" t="s">
        <v>89</v>
      </c>
      <c r="H431" s="18" t="n">
        <v>0.3</v>
      </c>
      <c r="I431" s="18" t="n">
        <v>2</v>
      </c>
      <c r="J431" s="19" t="n">
        <v>0.862763585697664</v>
      </c>
      <c r="K431" s="19" t="n">
        <v>0.490766148737548</v>
      </c>
      <c r="L431" s="16" t="n">
        <v>11.0761460035765</v>
      </c>
      <c r="M431" s="19" t="n">
        <v>0.875646336424842</v>
      </c>
      <c r="N431" s="19" t="n">
        <v>0.880090651081313</v>
      </c>
      <c r="O431" s="19" t="n">
        <v>1.30211200917149</v>
      </c>
      <c r="P431" s="19" t="n">
        <v>0.476957797919274</v>
      </c>
      <c r="Q431" s="17" t="s">
        <v>31</v>
      </c>
      <c r="R431" s="5" t="str">
        <f aca="false">IF(OR(Q431="Steel plate",Q431="Concrete jacket"),"Steel plate or jacket",Q431)</f>
        <v>Polymer laminate</v>
      </c>
      <c r="S431" s="5" t="str">
        <f aca="false">IF(O431&lt;='Tree rules'!$C$4,IF(N431&lt;='Tree rules'!$C$5,IF(P431&lt;='Tree rules'!$C$6,"Monitor","Polymer laminate"),IF(P431&lt;='Tree rules'!$C$7,"Seal cracks","Polymer laminate")),IF(O431&lt;='Tree rules'!$C$8,IF(M431&lt;='Tree rules'!$C$9,"Steel plate or jacket","Polymer laminate"),IF(L431&lt;='Tree rules'!$C$10,"Steel plate or jacket","Polymer laminate")))</f>
        <v>Steel plate or jacket</v>
      </c>
      <c r="T431" s="5" t="str">
        <f aca="false">IF(S431=R431,"Yes","No")</f>
        <v>No</v>
      </c>
    </row>
    <row r="432" customFormat="false" ht="15" hidden="false" customHeight="false" outlineLevel="0" collapsed="false">
      <c r="A432" s="15" t="n">
        <v>627</v>
      </c>
      <c r="B432" s="16" t="n">
        <v>4.38831102908959</v>
      </c>
      <c r="C432" s="15" t="n">
        <v>300</v>
      </c>
      <c r="D432" s="15" t="n">
        <v>425</v>
      </c>
      <c r="E432" s="15" t="n">
        <v>25</v>
      </c>
      <c r="F432" s="16" t="n">
        <v>0.707341881547042</v>
      </c>
      <c r="G432" s="17" t="s">
        <v>89</v>
      </c>
      <c r="H432" s="18" t="n">
        <v>0.3</v>
      </c>
      <c r="I432" s="18" t="n">
        <v>1</v>
      </c>
      <c r="J432" s="19" t="n">
        <v>0.88611363666251</v>
      </c>
      <c r="K432" s="19" t="n">
        <v>0.613443290269465</v>
      </c>
      <c r="L432" s="16" t="n">
        <v>11.578657068838</v>
      </c>
      <c r="M432" s="19" t="n">
        <v>0.616094414479791</v>
      </c>
      <c r="N432" s="19" t="n">
        <v>0.62553324816204</v>
      </c>
      <c r="O432" s="19" t="n">
        <v>0.88611363666251</v>
      </c>
      <c r="P432" s="19" t="n">
        <v>0.531830284766063</v>
      </c>
      <c r="Q432" s="17" t="s">
        <v>29</v>
      </c>
      <c r="R432" s="5" t="str">
        <f aca="false">IF(OR(Q432="Steel plate",Q432="Concrete jacket"),"Steel plate or jacket",Q432)</f>
        <v>Monitor</v>
      </c>
      <c r="S432" s="5" t="str">
        <f aca="false">IF(O432&lt;='Tree rules'!$C$4,IF(N432&lt;='Tree rules'!$C$5,IF(P432&lt;='Tree rules'!$C$6,"Monitor","Polymer laminate"),IF(P432&lt;='Tree rules'!$C$7,"Seal cracks","Polymer laminate")),IF(O432&lt;='Tree rules'!$C$8,IF(M432&lt;='Tree rules'!$C$9,"Steel plate or jacket","Polymer laminate"),IF(L432&lt;='Tree rules'!$C$10,"Steel plate or jacket","Polymer laminate")))</f>
        <v>Monitor</v>
      </c>
      <c r="T432" s="5" t="str">
        <f aca="false">IF(S432=R432,"Yes","No")</f>
        <v>Yes</v>
      </c>
    </row>
    <row r="433" customFormat="false" ht="15" hidden="false" customHeight="false" outlineLevel="0" collapsed="false">
      <c r="A433" s="15" t="n">
        <v>628</v>
      </c>
      <c r="B433" s="16" t="n">
        <v>3.55809198045584</v>
      </c>
      <c r="C433" s="15" t="n">
        <v>230</v>
      </c>
      <c r="D433" s="15" t="n">
        <v>350</v>
      </c>
      <c r="E433" s="15" t="n">
        <v>25</v>
      </c>
      <c r="F433" s="16" t="n">
        <v>0.9045760591966</v>
      </c>
      <c r="G433" s="17" t="s">
        <v>89</v>
      </c>
      <c r="H433" s="18" t="n">
        <v>0.3</v>
      </c>
      <c r="I433" s="18" t="n">
        <v>1</v>
      </c>
      <c r="J433" s="19" t="n">
        <v>0.939508301306286</v>
      </c>
      <c r="K433" s="19" t="n">
        <v>0.481949262057313</v>
      </c>
      <c r="L433" s="16" t="n">
        <v>11.7817615246882</v>
      </c>
      <c r="M433" s="19" t="n">
        <v>0.525716271662293</v>
      </c>
      <c r="N433" s="19" t="n">
        <v>0.882094197372036</v>
      </c>
      <c r="O433" s="19" t="n">
        <v>0.939508301306286</v>
      </c>
      <c r="P433" s="19" t="n">
        <v>0.659048254470068</v>
      </c>
      <c r="Q433" s="17" t="s">
        <v>29</v>
      </c>
      <c r="R433" s="5" t="str">
        <f aca="false">IF(OR(Q433="Steel plate",Q433="Concrete jacket"),"Steel plate or jacket",Q433)</f>
        <v>Monitor</v>
      </c>
      <c r="S433" s="5" t="str">
        <f aca="false">IF(O433&lt;='Tree rules'!$C$4,IF(N433&lt;='Tree rules'!$C$5,IF(P433&lt;='Tree rules'!$C$6,"Monitor","Polymer laminate"),IF(P433&lt;='Tree rules'!$C$7,"Seal cracks","Polymer laminate")),IF(O433&lt;='Tree rules'!$C$8,IF(M433&lt;='Tree rules'!$C$9,"Steel plate or jacket","Polymer laminate"),IF(L433&lt;='Tree rules'!$C$10,"Steel plate or jacket","Polymer laminate")))</f>
        <v>Monitor</v>
      </c>
      <c r="T433" s="5" t="str">
        <f aca="false">IF(S433=R433,"Yes","No")</f>
        <v>Yes</v>
      </c>
    </row>
    <row r="434" customFormat="false" ht="15" hidden="false" customHeight="false" outlineLevel="0" collapsed="false">
      <c r="A434" s="15" t="n">
        <v>629</v>
      </c>
      <c r="B434" s="16" t="n">
        <v>3.08842724031139</v>
      </c>
      <c r="C434" s="15" t="n">
        <v>230</v>
      </c>
      <c r="D434" s="15" t="n">
        <v>300</v>
      </c>
      <c r="E434" s="15" t="n">
        <v>20</v>
      </c>
      <c r="F434" s="16" t="n">
        <v>0.576243217710084</v>
      </c>
      <c r="G434" s="17" t="s">
        <v>89</v>
      </c>
      <c r="H434" s="18" t="n">
        <v>0.3</v>
      </c>
      <c r="I434" s="18" t="n">
        <v>1</v>
      </c>
      <c r="J434" s="19" t="n">
        <v>0.909752041725961</v>
      </c>
      <c r="K434" s="19" t="n">
        <v>0.584300647264258</v>
      </c>
      <c r="L434" s="16" t="n">
        <v>12.0641689074664</v>
      </c>
      <c r="M434" s="19" t="n">
        <v>0.944515380143225</v>
      </c>
      <c r="N434" s="19" t="n">
        <v>0.575815864480493</v>
      </c>
      <c r="O434" s="19" t="n">
        <v>0.909752041725961</v>
      </c>
      <c r="P434" s="19" t="n">
        <v>0.291992405265759</v>
      </c>
      <c r="Q434" s="17" t="s">
        <v>29</v>
      </c>
      <c r="R434" s="5" t="str">
        <f aca="false">IF(OR(Q434="Steel plate",Q434="Concrete jacket"),"Steel plate or jacket",Q434)</f>
        <v>Monitor</v>
      </c>
      <c r="S434" s="5" t="str">
        <f aca="false">IF(O434&lt;='Tree rules'!$C$4,IF(N434&lt;='Tree rules'!$C$5,IF(P434&lt;='Tree rules'!$C$6,"Monitor","Polymer laminate"),IF(P434&lt;='Tree rules'!$C$7,"Seal cracks","Polymer laminate")),IF(O434&lt;='Tree rules'!$C$8,IF(M434&lt;='Tree rules'!$C$9,"Steel plate or jacket","Polymer laminate"),IF(L434&lt;='Tree rules'!$C$10,"Steel plate or jacket","Polymer laminate")))</f>
        <v>Monitor</v>
      </c>
      <c r="T434" s="5" t="str">
        <f aca="false">IF(S434=R434,"Yes","No")</f>
        <v>Yes</v>
      </c>
    </row>
    <row r="435" customFormat="false" ht="15" hidden="false" customHeight="false" outlineLevel="0" collapsed="false">
      <c r="A435" s="15" t="n">
        <v>630</v>
      </c>
      <c r="B435" s="16" t="n">
        <v>7.77313095792177</v>
      </c>
      <c r="C435" s="15" t="n">
        <v>230</v>
      </c>
      <c r="D435" s="15" t="n">
        <v>750</v>
      </c>
      <c r="E435" s="15" t="n">
        <v>20</v>
      </c>
      <c r="F435" s="16" t="n">
        <v>0.583722157857635</v>
      </c>
      <c r="G435" s="17" t="s">
        <v>89</v>
      </c>
      <c r="H435" s="18" t="n">
        <v>0.3</v>
      </c>
      <c r="I435" s="18" t="n">
        <v>1.5</v>
      </c>
      <c r="J435" s="19" t="n">
        <v>0.874908024364973</v>
      </c>
      <c r="K435" s="19" t="n">
        <v>0.434328502590212</v>
      </c>
      <c r="L435" s="16" t="n">
        <v>11.0728361223957</v>
      </c>
      <c r="M435" s="19" t="n">
        <v>0.955797206117016</v>
      </c>
      <c r="N435" s="19" t="n">
        <v>0.697040291211815</v>
      </c>
      <c r="O435" s="19" t="n">
        <v>1.12236329048416</v>
      </c>
      <c r="P435" s="19" t="n">
        <v>0.354832481395029</v>
      </c>
      <c r="Q435" s="17" t="s">
        <v>31</v>
      </c>
      <c r="R435" s="5" t="str">
        <f aca="false">IF(OR(Q435="Steel plate",Q435="Concrete jacket"),"Steel plate or jacket",Q435)</f>
        <v>Polymer laminate</v>
      </c>
      <c r="S435" s="5" t="str">
        <f aca="false">IF(O435&lt;='Tree rules'!$C$4,IF(N435&lt;='Tree rules'!$C$5,IF(P435&lt;='Tree rules'!$C$6,"Monitor","Polymer laminate"),IF(P435&lt;='Tree rules'!$C$7,"Seal cracks","Polymer laminate")),IF(O435&lt;='Tree rules'!$C$8,IF(M435&lt;='Tree rules'!$C$9,"Steel plate or jacket","Polymer laminate"),IF(L435&lt;='Tree rules'!$C$10,"Steel plate or jacket","Polymer laminate")))</f>
        <v>Polymer laminate</v>
      </c>
      <c r="T435" s="5" t="str">
        <f aca="false">IF(S435=R435,"Yes","No")</f>
        <v>Yes</v>
      </c>
    </row>
    <row r="436" customFormat="false" ht="15" hidden="false" customHeight="false" outlineLevel="0" collapsed="false">
      <c r="A436" s="15" t="n">
        <v>631</v>
      </c>
      <c r="B436" s="16" t="n">
        <v>3.63230377482051</v>
      </c>
      <c r="C436" s="15" t="n">
        <v>230</v>
      </c>
      <c r="D436" s="15" t="n">
        <v>300</v>
      </c>
      <c r="E436" s="15" t="n">
        <v>30</v>
      </c>
      <c r="F436" s="16" t="n">
        <v>0.768324290280112</v>
      </c>
      <c r="G436" s="17" t="s">
        <v>91</v>
      </c>
      <c r="H436" s="18" t="n">
        <v>0.2</v>
      </c>
      <c r="I436" s="18" t="n">
        <v>2</v>
      </c>
      <c r="J436" s="19" t="n">
        <v>0.936797710870473</v>
      </c>
      <c r="K436" s="19" t="n">
        <v>0.523477582746207</v>
      </c>
      <c r="L436" s="16" t="n">
        <v>14.1886866203926</v>
      </c>
      <c r="M436" s="19" t="n">
        <v>0.398185412814983</v>
      </c>
      <c r="N436" s="19" t="n">
        <v>1.48950488864982</v>
      </c>
      <c r="O436" s="19" t="n">
        <v>1.38320282053229</v>
      </c>
      <c r="P436" s="19" t="n">
        <v>1.04274831670607</v>
      </c>
      <c r="Q436" s="17" t="s">
        <v>31</v>
      </c>
      <c r="R436" s="5" t="str">
        <f aca="false">IF(OR(Q436="Steel plate",Q436="Concrete jacket"),"Steel plate or jacket",Q436)</f>
        <v>Polymer laminate</v>
      </c>
      <c r="S436" s="5" t="str">
        <f aca="false">IF(O436&lt;='Tree rules'!$C$4,IF(N436&lt;='Tree rules'!$C$5,IF(P436&lt;='Tree rules'!$C$6,"Monitor","Polymer laminate"),IF(P436&lt;='Tree rules'!$C$7,"Seal cracks","Polymer laminate")),IF(O436&lt;='Tree rules'!$C$8,IF(M436&lt;='Tree rules'!$C$9,"Steel plate or jacket","Polymer laminate"),IF(L436&lt;='Tree rules'!$C$10,"Steel plate or jacket","Polymer laminate")))</f>
        <v>Polymer laminate</v>
      </c>
      <c r="T436" s="5" t="str">
        <f aca="false">IF(S436=R436,"Yes","No")</f>
        <v>Yes</v>
      </c>
    </row>
    <row r="437" customFormat="false" ht="15" hidden="false" customHeight="false" outlineLevel="0" collapsed="false">
      <c r="A437" s="15" t="n">
        <v>632</v>
      </c>
      <c r="B437" s="16" t="n">
        <v>6.12581632422317</v>
      </c>
      <c r="C437" s="15" t="n">
        <v>300</v>
      </c>
      <c r="D437" s="15" t="n">
        <v>600</v>
      </c>
      <c r="E437" s="15" t="n">
        <v>25</v>
      </c>
      <c r="F437" s="16" t="n">
        <v>0.948548506518657</v>
      </c>
      <c r="G437" s="17" t="s">
        <v>89</v>
      </c>
      <c r="H437" s="18" t="n">
        <v>0.3</v>
      </c>
      <c r="I437" s="18" t="n">
        <v>1.5</v>
      </c>
      <c r="J437" s="19" t="n">
        <v>0.866880521452272</v>
      </c>
      <c r="K437" s="19" t="n">
        <v>0.480207832819545</v>
      </c>
      <c r="L437" s="16" t="n">
        <v>11.097493340984</v>
      </c>
      <c r="M437" s="19" t="n">
        <v>0.38447324006094</v>
      </c>
      <c r="N437" s="19" t="n">
        <v>0.718190671417629</v>
      </c>
      <c r="O437" s="19" t="n">
        <v>1.09217937391837</v>
      </c>
      <c r="P437" s="19" t="n">
        <v>1.0623109636769</v>
      </c>
      <c r="Q437" s="17" t="s">
        <v>31</v>
      </c>
      <c r="R437" s="5" t="str">
        <f aca="false">IF(OR(Q437="Steel plate",Q437="Concrete jacket"),"Steel plate or jacket",Q437)</f>
        <v>Polymer laminate</v>
      </c>
      <c r="S437" s="5" t="str">
        <f aca="false">IF(O437&lt;='Tree rules'!$C$4,IF(N437&lt;='Tree rules'!$C$5,IF(P437&lt;='Tree rules'!$C$6,"Monitor","Polymer laminate"),IF(P437&lt;='Tree rules'!$C$7,"Seal cracks","Polymer laminate")),IF(O437&lt;='Tree rules'!$C$8,IF(M437&lt;='Tree rules'!$C$9,"Steel plate or jacket","Polymer laminate"),IF(L437&lt;='Tree rules'!$C$10,"Steel plate or jacket","Polymer laminate")))</f>
        <v>Polymer laminate</v>
      </c>
      <c r="T437" s="5" t="str">
        <f aca="false">IF(S437=R437,"Yes","No")</f>
        <v>Yes</v>
      </c>
    </row>
    <row r="438" customFormat="false" ht="15" hidden="false" customHeight="false" outlineLevel="0" collapsed="false">
      <c r="A438" s="15" t="n">
        <v>635</v>
      </c>
      <c r="B438" s="16" t="n">
        <v>4.02296209690495</v>
      </c>
      <c r="C438" s="15" t="n">
        <v>230</v>
      </c>
      <c r="D438" s="15" t="n">
        <v>400</v>
      </c>
      <c r="E438" s="15" t="n">
        <v>30</v>
      </c>
      <c r="F438" s="16" t="n">
        <v>0.740832460684402</v>
      </c>
      <c r="G438" s="17" t="s">
        <v>91</v>
      </c>
      <c r="H438" s="18" t="n">
        <v>0.2</v>
      </c>
      <c r="I438" s="18" t="n">
        <v>1</v>
      </c>
      <c r="J438" s="19" t="n">
        <v>0.942572672319948</v>
      </c>
      <c r="K438" s="19" t="n">
        <v>0.624837060322368</v>
      </c>
      <c r="L438" s="16" t="n">
        <v>11.364299708771</v>
      </c>
      <c r="M438" s="19" t="n">
        <v>0.73846396871578</v>
      </c>
      <c r="N438" s="19" t="n">
        <v>0.993284146914908</v>
      </c>
      <c r="O438" s="19" t="n">
        <v>0.942572672319948</v>
      </c>
      <c r="P438" s="19" t="n">
        <v>0.448079861575975</v>
      </c>
      <c r="Q438" s="17" t="s">
        <v>29</v>
      </c>
      <c r="R438" s="5" t="str">
        <f aca="false">IF(OR(Q438="Steel plate",Q438="Concrete jacket"),"Steel plate or jacket",Q438)</f>
        <v>Monitor</v>
      </c>
      <c r="S438" s="5" t="str">
        <f aca="false">IF(O438&lt;='Tree rules'!$C$4,IF(N438&lt;='Tree rules'!$C$5,IF(P438&lt;='Tree rules'!$C$6,"Monitor","Polymer laminate"),IF(P438&lt;='Tree rules'!$C$7,"Seal cracks","Polymer laminate")),IF(O438&lt;='Tree rules'!$C$8,IF(M438&lt;='Tree rules'!$C$9,"Steel plate or jacket","Polymer laminate"),IF(L438&lt;='Tree rules'!$C$10,"Steel plate or jacket","Polymer laminate")))</f>
        <v>Monitor</v>
      </c>
      <c r="T438" s="5" t="str">
        <f aca="false">IF(S438=R438,"Yes","No")</f>
        <v>Yes</v>
      </c>
    </row>
    <row r="439" customFormat="false" ht="15" hidden="false" customHeight="false" outlineLevel="0" collapsed="false">
      <c r="A439" s="15" t="n">
        <v>636</v>
      </c>
      <c r="B439" s="16" t="n">
        <v>5.44842944133257</v>
      </c>
      <c r="C439" s="15" t="n">
        <v>230</v>
      </c>
      <c r="D439" s="15" t="n">
        <v>525</v>
      </c>
      <c r="E439" s="15" t="n">
        <v>25</v>
      </c>
      <c r="F439" s="16" t="n">
        <v>0.730006099046008</v>
      </c>
      <c r="G439" s="17" t="s">
        <v>89</v>
      </c>
      <c r="H439" s="18" t="n">
        <v>0.3</v>
      </c>
      <c r="I439" s="18" t="n">
        <v>1</v>
      </c>
      <c r="J439" s="19" t="n">
        <v>0.992145604525097</v>
      </c>
      <c r="K439" s="19" t="n">
        <v>0.542963687538817</v>
      </c>
      <c r="L439" s="16" t="n">
        <v>11.3745917355586</v>
      </c>
      <c r="M439" s="19" t="n">
        <v>0.872859211615333</v>
      </c>
      <c r="N439" s="19" t="n">
        <v>0.599016802445576</v>
      </c>
      <c r="O439" s="19" t="n">
        <v>0.992145604525097</v>
      </c>
      <c r="P439" s="19" t="n">
        <v>0.435975284323674</v>
      </c>
      <c r="Q439" s="17" t="s">
        <v>29</v>
      </c>
      <c r="R439" s="5" t="str">
        <f aca="false">IF(OR(Q439="Steel plate",Q439="Concrete jacket"),"Steel plate or jacket",Q439)</f>
        <v>Monitor</v>
      </c>
      <c r="S439" s="5" t="str">
        <f aca="false">IF(O439&lt;='Tree rules'!$C$4,IF(N439&lt;='Tree rules'!$C$5,IF(P439&lt;='Tree rules'!$C$6,"Monitor","Polymer laminate"),IF(P439&lt;='Tree rules'!$C$7,"Seal cracks","Polymer laminate")),IF(O439&lt;='Tree rules'!$C$8,IF(M439&lt;='Tree rules'!$C$9,"Steel plate or jacket","Polymer laminate"),IF(L439&lt;='Tree rules'!$C$10,"Steel plate or jacket","Polymer laminate")))</f>
        <v>Monitor</v>
      </c>
      <c r="T439" s="5" t="str">
        <f aca="false">IF(S439=R439,"Yes","No")</f>
        <v>Yes</v>
      </c>
    </row>
    <row r="440" customFormat="false" ht="15" hidden="false" customHeight="false" outlineLevel="0" collapsed="false">
      <c r="A440" s="15" t="n">
        <v>637</v>
      </c>
      <c r="B440" s="16" t="n">
        <v>3.58574768612652</v>
      </c>
      <c r="C440" s="15" t="n">
        <v>300</v>
      </c>
      <c r="D440" s="15" t="n">
        <v>325</v>
      </c>
      <c r="E440" s="15" t="n">
        <v>20</v>
      </c>
      <c r="F440" s="16" t="n">
        <v>0.536642161467296</v>
      </c>
      <c r="G440" s="17" t="s">
        <v>91</v>
      </c>
      <c r="H440" s="18" t="n">
        <v>0.2</v>
      </c>
      <c r="I440" s="18" t="n">
        <v>1</v>
      </c>
      <c r="J440" s="19" t="n">
        <v>0.988623472781338</v>
      </c>
      <c r="K440" s="19" t="n">
        <v>0.450873484343895</v>
      </c>
      <c r="L440" s="16" t="n">
        <v>12.7606679221584</v>
      </c>
      <c r="M440" s="19" t="n">
        <v>0.439255142722558</v>
      </c>
      <c r="N440" s="19" t="n">
        <v>1.09508570348171</v>
      </c>
      <c r="O440" s="19" t="n">
        <v>0.988623472781338</v>
      </c>
      <c r="P440" s="19" t="n">
        <v>0.605497198766297</v>
      </c>
      <c r="Q440" s="17" t="s">
        <v>30</v>
      </c>
      <c r="R440" s="5" t="str">
        <f aca="false">IF(OR(Q440="Steel plate",Q440="Concrete jacket"),"Steel plate or jacket",Q440)</f>
        <v>Seal cracks</v>
      </c>
      <c r="S440" s="5" t="str">
        <f aca="false">IF(O440&lt;='Tree rules'!$C$4,IF(N440&lt;='Tree rules'!$C$5,IF(P440&lt;='Tree rules'!$C$6,"Monitor","Polymer laminate"),IF(P440&lt;='Tree rules'!$C$7,"Seal cracks","Polymer laminate")),IF(O440&lt;='Tree rules'!$C$8,IF(M440&lt;='Tree rules'!$C$9,"Steel plate or jacket","Polymer laminate"),IF(L440&lt;='Tree rules'!$C$10,"Steel plate or jacket","Polymer laminate")))</f>
        <v>Seal cracks</v>
      </c>
      <c r="T440" s="5" t="str">
        <f aca="false">IF(S440=R440,"Yes","No")</f>
        <v>Yes</v>
      </c>
    </row>
    <row r="441" customFormat="false" ht="15" hidden="false" customHeight="false" outlineLevel="0" collapsed="false">
      <c r="A441" s="15" t="n">
        <v>638</v>
      </c>
      <c r="B441" s="16" t="n">
        <v>3.56898279323121</v>
      </c>
      <c r="C441" s="15" t="n">
        <v>230</v>
      </c>
      <c r="D441" s="15" t="n">
        <v>300</v>
      </c>
      <c r="E441" s="15" t="n">
        <v>25</v>
      </c>
      <c r="F441" s="16" t="n">
        <v>0.688332522525665</v>
      </c>
      <c r="G441" s="17" t="s">
        <v>89</v>
      </c>
      <c r="H441" s="18" t="n">
        <v>0.3</v>
      </c>
      <c r="I441" s="18" t="n">
        <v>2</v>
      </c>
      <c r="J441" s="19" t="n">
        <v>0.86820440321257</v>
      </c>
      <c r="K441" s="19" t="n">
        <v>0.431689328644755</v>
      </c>
      <c r="L441" s="16" t="n">
        <v>14.051113359178</v>
      </c>
      <c r="M441" s="19" t="n">
        <v>0.392265178529059</v>
      </c>
      <c r="N441" s="19" t="n">
        <v>1.32666740973793</v>
      </c>
      <c r="O441" s="19" t="n">
        <v>1.36161423047589</v>
      </c>
      <c r="P441" s="19" t="n">
        <v>0.904373842186241</v>
      </c>
      <c r="Q441" s="17" t="s">
        <v>31</v>
      </c>
      <c r="R441" s="5" t="str">
        <f aca="false">IF(OR(Q441="Steel plate",Q441="Concrete jacket"),"Steel plate or jacket",Q441)</f>
        <v>Polymer laminate</v>
      </c>
      <c r="S441" s="5" t="str">
        <f aca="false">IF(O441&lt;='Tree rules'!$C$4,IF(N441&lt;='Tree rules'!$C$5,IF(P441&lt;='Tree rules'!$C$6,"Monitor","Polymer laminate"),IF(P441&lt;='Tree rules'!$C$7,"Seal cracks","Polymer laminate")),IF(O441&lt;='Tree rules'!$C$8,IF(M441&lt;='Tree rules'!$C$9,"Steel plate or jacket","Polymer laminate"),IF(L441&lt;='Tree rules'!$C$10,"Steel plate or jacket","Polymer laminate")))</f>
        <v>Polymer laminate</v>
      </c>
      <c r="T441" s="5" t="str">
        <f aca="false">IF(S441=R441,"Yes","No")</f>
        <v>Yes</v>
      </c>
    </row>
    <row r="442" customFormat="false" ht="15" hidden="false" customHeight="false" outlineLevel="0" collapsed="false">
      <c r="A442" s="15" t="n">
        <v>639</v>
      </c>
      <c r="B442" s="16" t="n">
        <v>4.33402827050761</v>
      </c>
      <c r="C442" s="15" t="n">
        <v>300</v>
      </c>
      <c r="D442" s="15" t="n">
        <v>375</v>
      </c>
      <c r="E442" s="15" t="n">
        <v>25</v>
      </c>
      <c r="F442" s="16" t="n">
        <v>0.640487798897002</v>
      </c>
      <c r="G442" s="17" t="s">
        <v>91</v>
      </c>
      <c r="H442" s="18" t="n">
        <v>0.2</v>
      </c>
      <c r="I442" s="18" t="n">
        <v>1</v>
      </c>
      <c r="J442" s="19" t="n">
        <v>0.934829202887223</v>
      </c>
      <c r="K442" s="19" t="n">
        <v>0.431679967164786</v>
      </c>
      <c r="L442" s="16" t="n">
        <v>13.2539090841211</v>
      </c>
      <c r="M442" s="19" t="n">
        <v>0.400222615461199</v>
      </c>
      <c r="N442" s="19" t="n">
        <v>1.63103443722807</v>
      </c>
      <c r="O442" s="19" t="n">
        <v>0.934829202887223</v>
      </c>
      <c r="P442" s="19" t="n">
        <v>0.710821402889489</v>
      </c>
      <c r="Q442" s="17" t="s">
        <v>30</v>
      </c>
      <c r="R442" s="5" t="str">
        <f aca="false">IF(OR(Q442="Steel plate",Q442="Concrete jacket"),"Steel plate or jacket",Q442)</f>
        <v>Seal cracks</v>
      </c>
      <c r="S442" s="5" t="str">
        <f aca="false">IF(O442&lt;='Tree rules'!$C$4,IF(N442&lt;='Tree rules'!$C$5,IF(P442&lt;='Tree rules'!$C$6,"Monitor","Polymer laminate"),IF(P442&lt;='Tree rules'!$C$7,"Seal cracks","Polymer laminate")),IF(O442&lt;='Tree rules'!$C$8,IF(M442&lt;='Tree rules'!$C$9,"Steel plate or jacket","Polymer laminate"),IF(L442&lt;='Tree rules'!$C$10,"Steel plate or jacket","Polymer laminate")))</f>
        <v>Seal cracks</v>
      </c>
      <c r="T442" s="5" t="str">
        <f aca="false">IF(S442=R442,"Yes","No")</f>
        <v>Yes</v>
      </c>
    </row>
    <row r="443" customFormat="false" ht="15" hidden="false" customHeight="false" outlineLevel="0" collapsed="false">
      <c r="A443" s="15" t="n">
        <v>640</v>
      </c>
      <c r="B443" s="16" t="n">
        <v>5.37936764249591</v>
      </c>
      <c r="C443" s="15" t="n">
        <v>230</v>
      </c>
      <c r="D443" s="15" t="n">
        <v>500</v>
      </c>
      <c r="E443" s="15" t="n">
        <v>20</v>
      </c>
      <c r="F443" s="16" t="n">
        <v>0.604384889109233</v>
      </c>
      <c r="G443" s="17" t="s">
        <v>89</v>
      </c>
      <c r="H443" s="18" t="n">
        <v>0.3</v>
      </c>
      <c r="I443" s="18" t="n">
        <v>1</v>
      </c>
      <c r="J443" s="19" t="n">
        <v>0.998606210475865</v>
      </c>
      <c r="K443" s="19" t="n">
        <v>0.528087092363677</v>
      </c>
      <c r="L443" s="16" t="n">
        <v>11.9012558462299</v>
      </c>
      <c r="M443" s="19" t="n">
        <v>0.945034178301668</v>
      </c>
      <c r="N443" s="19" t="n">
        <v>0.840118997158114</v>
      </c>
      <c r="O443" s="19" t="n">
        <v>0.998606210475865</v>
      </c>
      <c r="P443" s="19" t="n">
        <v>0.380779259090548</v>
      </c>
      <c r="Q443" s="17" t="s">
        <v>29</v>
      </c>
      <c r="R443" s="5" t="str">
        <f aca="false">IF(OR(Q443="Steel plate",Q443="Concrete jacket"),"Steel plate or jacket",Q443)</f>
        <v>Monitor</v>
      </c>
      <c r="S443" s="5" t="str">
        <f aca="false">IF(O443&lt;='Tree rules'!$C$4,IF(N443&lt;='Tree rules'!$C$5,IF(P443&lt;='Tree rules'!$C$6,"Monitor","Polymer laminate"),IF(P443&lt;='Tree rules'!$C$7,"Seal cracks","Polymer laminate")),IF(O443&lt;='Tree rules'!$C$8,IF(M443&lt;='Tree rules'!$C$9,"Steel plate or jacket","Polymer laminate"),IF(L443&lt;='Tree rules'!$C$10,"Steel plate or jacket","Polymer laminate")))</f>
        <v>Monitor</v>
      </c>
      <c r="T443" s="5" t="str">
        <f aca="false">IF(S443=R443,"Yes","No")</f>
        <v>Yes</v>
      </c>
    </row>
    <row r="444" customFormat="false" ht="15" hidden="false" customHeight="false" outlineLevel="0" collapsed="false">
      <c r="A444" s="15" t="n">
        <v>642</v>
      </c>
      <c r="B444" s="16" t="n">
        <v>3.52056204414775</v>
      </c>
      <c r="C444" s="15" t="n">
        <v>300</v>
      </c>
      <c r="D444" s="15" t="n">
        <v>300</v>
      </c>
      <c r="E444" s="15" t="n">
        <v>25</v>
      </c>
      <c r="F444" s="16" t="n">
        <v>0.831109167616348</v>
      </c>
      <c r="G444" s="17" t="s">
        <v>91</v>
      </c>
      <c r="H444" s="18" t="n">
        <v>0.2</v>
      </c>
      <c r="I444" s="18" t="n">
        <v>1</v>
      </c>
      <c r="J444" s="19" t="n">
        <v>0.897503636066172</v>
      </c>
      <c r="K444" s="19" t="n">
        <v>0.411870054582984</v>
      </c>
      <c r="L444" s="16" t="n">
        <v>13.9704843021736</v>
      </c>
      <c r="M444" s="19" t="n">
        <v>0.339932572825231</v>
      </c>
      <c r="N444" s="19" t="n">
        <v>1.52374229778399</v>
      </c>
      <c r="O444" s="19" t="n">
        <v>0.897503636066172</v>
      </c>
      <c r="P444" s="19" t="n">
        <v>0.918782738622311</v>
      </c>
      <c r="Q444" s="17" t="s">
        <v>30</v>
      </c>
      <c r="R444" s="5" t="str">
        <f aca="false">IF(OR(Q444="Steel plate",Q444="Concrete jacket"),"Steel plate or jacket",Q444)</f>
        <v>Seal cracks</v>
      </c>
      <c r="S444" s="5" t="str">
        <f aca="false">IF(O444&lt;='Tree rules'!$C$4,IF(N444&lt;='Tree rules'!$C$5,IF(P444&lt;='Tree rules'!$C$6,"Monitor","Polymer laminate"),IF(P444&lt;='Tree rules'!$C$7,"Seal cracks","Polymer laminate")),IF(O444&lt;='Tree rules'!$C$8,IF(M444&lt;='Tree rules'!$C$9,"Steel plate or jacket","Polymer laminate"),IF(L444&lt;='Tree rules'!$C$10,"Steel plate or jacket","Polymer laminate")))</f>
        <v>Seal cracks</v>
      </c>
      <c r="T444" s="5" t="str">
        <f aca="false">IF(S444=R444,"Yes","No")</f>
        <v>Yes</v>
      </c>
    </row>
    <row r="445" customFormat="false" ht="15" hidden="false" customHeight="false" outlineLevel="0" collapsed="false">
      <c r="A445" s="15" t="n">
        <v>643</v>
      </c>
      <c r="B445" s="16" t="n">
        <v>3.81031870660118</v>
      </c>
      <c r="C445" s="15" t="n">
        <v>230</v>
      </c>
      <c r="D445" s="15" t="n">
        <v>300</v>
      </c>
      <c r="E445" s="15" t="n">
        <v>30</v>
      </c>
      <c r="F445" s="16" t="n">
        <v>0.688332522525665</v>
      </c>
      <c r="G445" s="17" t="s">
        <v>89</v>
      </c>
      <c r="H445" s="18" t="n">
        <v>0.3</v>
      </c>
      <c r="I445" s="18" t="n">
        <v>1.5</v>
      </c>
      <c r="J445" s="19" t="n">
        <v>0.863301655613994</v>
      </c>
      <c r="K445" s="19" t="n">
        <v>0.437763239045254</v>
      </c>
      <c r="L445" s="16" t="n">
        <v>15.0012547503983</v>
      </c>
      <c r="M445" s="19" t="n">
        <v>0.835534096464895</v>
      </c>
      <c r="N445" s="19" t="n">
        <v>0.987499574361427</v>
      </c>
      <c r="O445" s="19" t="n">
        <v>1.10599161890363</v>
      </c>
      <c r="P445" s="19" t="n">
        <v>0.395893933259005</v>
      </c>
      <c r="Q445" s="17" t="s">
        <v>31</v>
      </c>
      <c r="R445" s="5" t="str">
        <f aca="false">IF(OR(Q445="Steel plate",Q445="Concrete jacket"),"Steel plate or jacket",Q445)</f>
        <v>Polymer laminate</v>
      </c>
      <c r="S445" s="5" t="str">
        <f aca="false">IF(O445&lt;='Tree rules'!$C$4,IF(N445&lt;='Tree rules'!$C$5,IF(P445&lt;='Tree rules'!$C$6,"Monitor","Polymer laminate"),IF(P445&lt;='Tree rules'!$C$7,"Seal cracks","Polymer laminate")),IF(O445&lt;='Tree rules'!$C$8,IF(M445&lt;='Tree rules'!$C$9,"Steel plate or jacket","Polymer laminate"),IF(L445&lt;='Tree rules'!$C$10,"Steel plate or jacket","Polymer laminate")))</f>
        <v>Polymer laminate</v>
      </c>
      <c r="T445" s="5" t="str">
        <f aca="false">IF(S445=R445,"Yes","No")</f>
        <v>Yes</v>
      </c>
    </row>
    <row r="446" customFormat="false" ht="15" hidden="false" customHeight="false" outlineLevel="0" collapsed="false">
      <c r="A446" s="15" t="n">
        <v>644</v>
      </c>
      <c r="B446" s="16" t="n">
        <v>6.22693446120662</v>
      </c>
      <c r="C446" s="15" t="n">
        <v>230</v>
      </c>
      <c r="D446" s="15" t="n">
        <v>575</v>
      </c>
      <c r="E446" s="15" t="n">
        <v>25</v>
      </c>
      <c r="F446" s="16" t="n">
        <v>0.777557789024782</v>
      </c>
      <c r="G446" s="17" t="s">
        <v>91</v>
      </c>
      <c r="H446" s="18" t="n">
        <v>0.2</v>
      </c>
      <c r="I446" s="18" t="n">
        <v>1</v>
      </c>
      <c r="J446" s="19" t="n">
        <v>0.910818042026832</v>
      </c>
      <c r="K446" s="19" t="n">
        <v>0.42953052142672</v>
      </c>
      <c r="L446" s="16" t="n">
        <v>11.8158149169006</v>
      </c>
      <c r="M446" s="19" t="n">
        <v>0.781137544595137</v>
      </c>
      <c r="N446" s="19" t="n">
        <v>0.908355612085764</v>
      </c>
      <c r="O446" s="19" t="n">
        <v>0.910818042026832</v>
      </c>
      <c r="P446" s="19" t="n">
        <v>0.449756820342071</v>
      </c>
      <c r="Q446" s="17" t="s">
        <v>29</v>
      </c>
      <c r="R446" s="5" t="str">
        <f aca="false">IF(OR(Q446="Steel plate",Q446="Concrete jacket"),"Steel plate or jacket",Q446)</f>
        <v>Monitor</v>
      </c>
      <c r="S446" s="5" t="str">
        <f aca="false">IF(O446&lt;='Tree rules'!$C$4,IF(N446&lt;='Tree rules'!$C$5,IF(P446&lt;='Tree rules'!$C$6,"Monitor","Polymer laminate"),IF(P446&lt;='Tree rules'!$C$7,"Seal cracks","Polymer laminate")),IF(O446&lt;='Tree rules'!$C$8,IF(M446&lt;='Tree rules'!$C$9,"Steel plate or jacket","Polymer laminate"),IF(L446&lt;='Tree rules'!$C$10,"Steel plate or jacket","Polymer laminate")))</f>
        <v>Monitor</v>
      </c>
      <c r="T446" s="5" t="str">
        <f aca="false">IF(S446=R446,"Yes","No")</f>
        <v>Yes</v>
      </c>
    </row>
    <row r="447" customFormat="false" ht="15" hidden="false" customHeight="false" outlineLevel="0" collapsed="false">
      <c r="A447" s="15" t="n">
        <v>645</v>
      </c>
      <c r="B447" s="16" t="n">
        <v>4.52057484759242</v>
      </c>
      <c r="C447" s="15" t="n">
        <v>230</v>
      </c>
      <c r="D447" s="15" t="n">
        <v>375</v>
      </c>
      <c r="E447" s="15" t="n">
        <v>30</v>
      </c>
      <c r="F447" s="16" t="n">
        <v>0.835418868126524</v>
      </c>
      <c r="G447" s="17" t="s">
        <v>91</v>
      </c>
      <c r="H447" s="18" t="n">
        <v>0.2</v>
      </c>
      <c r="I447" s="18" t="n">
        <v>1</v>
      </c>
      <c r="J447" s="19" t="n">
        <v>0.853160788564465</v>
      </c>
      <c r="K447" s="19" t="n">
        <v>0.520168989124641</v>
      </c>
      <c r="L447" s="16" t="n">
        <v>13.8243879131267</v>
      </c>
      <c r="M447" s="19" t="n">
        <v>0.453898395690152</v>
      </c>
      <c r="N447" s="19" t="n">
        <v>1.22989162576096</v>
      </c>
      <c r="O447" s="19" t="n">
        <v>0.853160788564465</v>
      </c>
      <c r="P447" s="19" t="n">
        <v>0.761019175578782</v>
      </c>
      <c r="Q447" s="17" t="s">
        <v>30</v>
      </c>
      <c r="R447" s="5" t="str">
        <f aca="false">IF(OR(Q447="Steel plate",Q447="Concrete jacket"),"Steel plate or jacket",Q447)</f>
        <v>Seal cracks</v>
      </c>
      <c r="S447" s="5" t="str">
        <f aca="false">IF(O447&lt;='Tree rules'!$C$4,IF(N447&lt;='Tree rules'!$C$5,IF(P447&lt;='Tree rules'!$C$6,"Monitor","Polymer laminate"),IF(P447&lt;='Tree rules'!$C$7,"Seal cracks","Polymer laminate")),IF(O447&lt;='Tree rules'!$C$8,IF(M447&lt;='Tree rules'!$C$9,"Steel plate or jacket","Polymer laminate"),IF(L447&lt;='Tree rules'!$C$10,"Steel plate or jacket","Polymer laminate")))</f>
        <v>Seal cracks</v>
      </c>
      <c r="T447" s="5" t="str">
        <f aca="false">IF(S447=R447,"Yes","No")</f>
        <v>Yes</v>
      </c>
    </row>
    <row r="448" customFormat="false" ht="15" hidden="false" customHeight="false" outlineLevel="0" collapsed="false">
      <c r="A448" s="15" t="n">
        <v>646</v>
      </c>
      <c r="B448" s="16" t="n">
        <v>3.23884146364048</v>
      </c>
      <c r="C448" s="15" t="n">
        <v>230</v>
      </c>
      <c r="D448" s="15" t="n">
        <v>300</v>
      </c>
      <c r="E448" s="15" t="n">
        <v>25</v>
      </c>
      <c r="F448" s="16" t="n">
        <v>0.731533308458238</v>
      </c>
      <c r="G448" s="17" t="s">
        <v>90</v>
      </c>
      <c r="H448" s="18" t="n">
        <v>0.1</v>
      </c>
      <c r="I448" s="18" t="n">
        <v>1.5</v>
      </c>
      <c r="J448" s="19" t="n">
        <v>0.944287088764479</v>
      </c>
      <c r="K448" s="19" t="n">
        <v>0.47616537319614</v>
      </c>
      <c r="L448" s="16" t="n">
        <v>13.5516379231819</v>
      </c>
      <c r="M448" s="19" t="n">
        <v>0.751562393074205</v>
      </c>
      <c r="N448" s="19" t="n">
        <v>3.77658822938175</v>
      </c>
      <c r="O448" s="19" t="n">
        <v>1.1916122261338</v>
      </c>
      <c r="P448" s="19" t="n">
        <v>0.411558436749782</v>
      </c>
      <c r="Q448" s="17" t="s">
        <v>31</v>
      </c>
      <c r="R448" s="5" t="str">
        <f aca="false">IF(OR(Q448="Steel plate",Q448="Concrete jacket"),"Steel plate or jacket",Q448)</f>
        <v>Polymer laminate</v>
      </c>
      <c r="S448" s="5" t="str">
        <f aca="false">IF(O448&lt;='Tree rules'!$C$4,IF(N448&lt;='Tree rules'!$C$5,IF(P448&lt;='Tree rules'!$C$6,"Monitor","Polymer laminate"),IF(P448&lt;='Tree rules'!$C$7,"Seal cracks","Polymer laminate")),IF(O448&lt;='Tree rules'!$C$8,IF(M448&lt;='Tree rules'!$C$9,"Steel plate or jacket","Polymer laminate"),IF(L448&lt;='Tree rules'!$C$10,"Steel plate or jacket","Polymer laminate")))</f>
        <v>Polymer laminate</v>
      </c>
      <c r="T448" s="5" t="str">
        <f aca="false">IF(S448=R448,"Yes","No")</f>
        <v>Yes</v>
      </c>
    </row>
    <row r="449" customFormat="false" ht="15" hidden="false" customHeight="false" outlineLevel="0" collapsed="false">
      <c r="A449" s="15" t="n">
        <v>647</v>
      </c>
      <c r="B449" s="16" t="n">
        <v>3.95380362652128</v>
      </c>
      <c r="C449" s="15" t="n">
        <v>230</v>
      </c>
      <c r="D449" s="15" t="n">
        <v>375</v>
      </c>
      <c r="E449" s="15" t="n">
        <v>30</v>
      </c>
      <c r="F449" s="16" t="n">
        <v>0.797126720614828</v>
      </c>
      <c r="G449" s="17" t="s">
        <v>91</v>
      </c>
      <c r="H449" s="18" t="n">
        <v>0.2</v>
      </c>
      <c r="I449" s="18" t="n">
        <v>1</v>
      </c>
      <c r="J449" s="19" t="n">
        <v>0.921595285844902</v>
      </c>
      <c r="K449" s="19" t="n">
        <v>0.508909285837578</v>
      </c>
      <c r="L449" s="16" t="n">
        <v>12.0176402021924</v>
      </c>
      <c r="M449" s="19" t="n">
        <v>0.911384129542321</v>
      </c>
      <c r="N449" s="19" t="n">
        <v>0.942431568835131</v>
      </c>
      <c r="O449" s="19" t="n">
        <v>0.921595285844902</v>
      </c>
      <c r="P449" s="19" t="n">
        <v>0.366100236223676</v>
      </c>
      <c r="Q449" s="17" t="s">
        <v>29</v>
      </c>
      <c r="R449" s="5" t="str">
        <f aca="false">IF(OR(Q449="Steel plate",Q449="Concrete jacket"),"Steel plate or jacket",Q449)</f>
        <v>Monitor</v>
      </c>
      <c r="S449" s="5" t="str">
        <f aca="false">IF(O449&lt;='Tree rules'!$C$4,IF(N449&lt;='Tree rules'!$C$5,IF(P449&lt;='Tree rules'!$C$6,"Monitor","Polymer laminate"),IF(P449&lt;='Tree rules'!$C$7,"Seal cracks","Polymer laminate")),IF(O449&lt;='Tree rules'!$C$8,IF(M449&lt;='Tree rules'!$C$9,"Steel plate or jacket","Polymer laminate"),IF(L449&lt;='Tree rules'!$C$10,"Steel plate or jacket","Polymer laminate")))</f>
        <v>Monitor</v>
      </c>
      <c r="T449" s="5" t="str">
        <f aca="false">IF(S449=R449,"Yes","No")</f>
        <v>Yes</v>
      </c>
    </row>
    <row r="450" customFormat="false" ht="15" hidden="false" customHeight="false" outlineLevel="0" collapsed="false">
      <c r="A450" s="15" t="n">
        <v>648</v>
      </c>
      <c r="B450" s="16" t="n">
        <v>6.76749958420282</v>
      </c>
      <c r="C450" s="15" t="n">
        <v>300</v>
      </c>
      <c r="D450" s="15" t="n">
        <v>625</v>
      </c>
      <c r="E450" s="15" t="n">
        <v>25</v>
      </c>
      <c r="F450" s="16" t="n">
        <v>0.544470130604817</v>
      </c>
      <c r="G450" s="17" t="s">
        <v>89</v>
      </c>
      <c r="H450" s="18" t="n">
        <v>0.3</v>
      </c>
      <c r="I450" s="18" t="n">
        <v>1</v>
      </c>
      <c r="J450" s="19" t="n">
        <v>0.863890780835482</v>
      </c>
      <c r="K450" s="19" t="n">
        <v>0.514432922822968</v>
      </c>
      <c r="L450" s="16" t="n">
        <v>11.7287687767813</v>
      </c>
      <c r="M450" s="19" t="n">
        <v>0.720265985435463</v>
      </c>
      <c r="N450" s="19" t="n">
        <v>0.659371039435959</v>
      </c>
      <c r="O450" s="19" t="n">
        <v>0.863890780835482</v>
      </c>
      <c r="P450" s="19" t="n">
        <v>0.379045321568265</v>
      </c>
      <c r="Q450" s="17" t="s">
        <v>29</v>
      </c>
      <c r="R450" s="5" t="str">
        <f aca="false">IF(OR(Q450="Steel plate",Q450="Concrete jacket"),"Steel plate or jacket",Q450)</f>
        <v>Monitor</v>
      </c>
      <c r="S450" s="5" t="str">
        <f aca="false">IF(O450&lt;='Tree rules'!$C$4,IF(N450&lt;='Tree rules'!$C$5,IF(P450&lt;='Tree rules'!$C$6,"Monitor","Polymer laminate"),IF(P450&lt;='Tree rules'!$C$7,"Seal cracks","Polymer laminate")),IF(O450&lt;='Tree rules'!$C$8,IF(M450&lt;='Tree rules'!$C$9,"Steel plate or jacket","Polymer laminate"),IF(L450&lt;='Tree rules'!$C$10,"Steel plate or jacket","Polymer laminate")))</f>
        <v>Monitor</v>
      </c>
      <c r="T450" s="5" t="str">
        <f aca="false">IF(S450=R450,"Yes","No")</f>
        <v>Yes</v>
      </c>
    </row>
    <row r="451" customFormat="false" ht="15" hidden="false" customHeight="false" outlineLevel="0" collapsed="false">
      <c r="A451" s="15" t="n">
        <v>649</v>
      </c>
      <c r="B451" s="16" t="n">
        <v>4.01015736376632</v>
      </c>
      <c r="C451" s="15" t="n">
        <v>300</v>
      </c>
      <c r="D451" s="15" t="n">
        <v>350</v>
      </c>
      <c r="E451" s="15" t="n">
        <v>25</v>
      </c>
      <c r="F451" s="16" t="n">
        <v>0.693508312050727</v>
      </c>
      <c r="G451" s="17" t="s">
        <v>91</v>
      </c>
      <c r="H451" s="18" t="n">
        <v>0.2</v>
      </c>
      <c r="I451" s="18" t="n">
        <v>1</v>
      </c>
      <c r="J451" s="19" t="n">
        <v>0.863827463801851</v>
      </c>
      <c r="K451" s="19" t="n">
        <v>0.534882025443553</v>
      </c>
      <c r="L451" s="16" t="n">
        <v>13.2786667674381</v>
      </c>
      <c r="M451" s="19" t="n">
        <v>0.304659447027849</v>
      </c>
      <c r="N451" s="19" t="n">
        <v>1.52238459058742</v>
      </c>
      <c r="O451" s="19" t="n">
        <v>0.863827463801851</v>
      </c>
      <c r="P451" s="19" t="n">
        <v>0.967404276615196</v>
      </c>
      <c r="Q451" s="17" t="s">
        <v>30</v>
      </c>
      <c r="R451" s="5" t="str">
        <f aca="false">IF(OR(Q451="Steel plate",Q451="Concrete jacket"),"Steel plate or jacket",Q451)</f>
        <v>Seal cracks</v>
      </c>
      <c r="S451" s="5" t="str">
        <f aca="false">IF(O451&lt;='Tree rules'!$C$4,IF(N451&lt;='Tree rules'!$C$5,IF(P451&lt;='Tree rules'!$C$6,"Monitor","Polymer laminate"),IF(P451&lt;='Tree rules'!$C$7,"Seal cracks","Polymer laminate")),IF(O451&lt;='Tree rules'!$C$8,IF(M451&lt;='Tree rules'!$C$9,"Steel plate or jacket","Polymer laminate"),IF(L451&lt;='Tree rules'!$C$10,"Steel plate or jacket","Polymer laminate")))</f>
        <v>Seal cracks</v>
      </c>
      <c r="T451" s="5" t="str">
        <f aca="false">IF(S451=R451,"Yes","No")</f>
        <v>Yes</v>
      </c>
    </row>
    <row r="452" customFormat="false" ht="15" hidden="false" customHeight="false" outlineLevel="0" collapsed="false">
      <c r="A452" s="15" t="n">
        <v>650</v>
      </c>
      <c r="B452" s="16" t="n">
        <v>6.41057994169897</v>
      </c>
      <c r="C452" s="15" t="n">
        <v>230</v>
      </c>
      <c r="D452" s="15" t="n">
        <v>525</v>
      </c>
      <c r="E452" s="15" t="n">
        <v>20</v>
      </c>
      <c r="F452" s="16" t="n">
        <v>0.57270853223768</v>
      </c>
      <c r="G452" s="17" t="s">
        <v>89</v>
      </c>
      <c r="H452" s="18" t="n">
        <v>0.3</v>
      </c>
      <c r="I452" s="18" t="n">
        <v>1.5</v>
      </c>
      <c r="J452" s="19" t="n">
        <v>0.960875987964449</v>
      </c>
      <c r="K452" s="19" t="n">
        <v>0.450714090665742</v>
      </c>
      <c r="L452" s="16" t="n">
        <v>13.439370946958</v>
      </c>
      <c r="M452" s="19" t="n">
        <v>0.912408819718208</v>
      </c>
      <c r="N452" s="19" t="n">
        <v>1.07036016549905</v>
      </c>
      <c r="O452" s="19" t="n">
        <v>1.2247738083677</v>
      </c>
      <c r="P452" s="19" t="n">
        <v>0.44668841934254</v>
      </c>
      <c r="Q452" s="17" t="s">
        <v>31</v>
      </c>
      <c r="R452" s="5" t="str">
        <f aca="false">IF(OR(Q452="Steel plate",Q452="Concrete jacket"),"Steel plate or jacket",Q452)</f>
        <v>Polymer laminate</v>
      </c>
      <c r="S452" s="5" t="str">
        <f aca="false">IF(O452&lt;='Tree rules'!$C$4,IF(N452&lt;='Tree rules'!$C$5,IF(P452&lt;='Tree rules'!$C$6,"Monitor","Polymer laminate"),IF(P452&lt;='Tree rules'!$C$7,"Seal cracks","Polymer laminate")),IF(O452&lt;='Tree rules'!$C$8,IF(M452&lt;='Tree rules'!$C$9,"Steel plate or jacket","Polymer laminate"),IF(L452&lt;='Tree rules'!$C$10,"Steel plate or jacket","Polymer laminate")))</f>
        <v>Polymer laminate</v>
      </c>
      <c r="T452" s="5" t="str">
        <f aca="false">IF(S452=R452,"Yes","No")</f>
        <v>Yes</v>
      </c>
    </row>
    <row r="453" customFormat="false" ht="15" hidden="false" customHeight="false" outlineLevel="0" collapsed="false">
      <c r="A453" s="15" t="n">
        <v>651</v>
      </c>
      <c r="B453" s="16" t="n">
        <v>6.97225095857237</v>
      </c>
      <c r="C453" s="15" t="n">
        <v>230</v>
      </c>
      <c r="D453" s="15" t="n">
        <v>625</v>
      </c>
      <c r="E453" s="15" t="n">
        <v>25</v>
      </c>
      <c r="F453" s="16" t="n">
        <v>0.710178431223674</v>
      </c>
      <c r="G453" s="17" t="s">
        <v>89</v>
      </c>
      <c r="H453" s="18" t="n">
        <v>0.3</v>
      </c>
      <c r="I453" s="18" t="n">
        <v>1</v>
      </c>
      <c r="J453" s="19" t="n">
        <v>0.923424554093128</v>
      </c>
      <c r="K453" s="19" t="n">
        <v>0.576921486107724</v>
      </c>
      <c r="L453" s="16" t="n">
        <v>12.0836238450128</v>
      </c>
      <c r="M453" s="19" t="n">
        <v>0.918870426054893</v>
      </c>
      <c r="N453" s="19" t="n">
        <v>0.588668167226645</v>
      </c>
      <c r="O453" s="19" t="n">
        <v>0.923424554093128</v>
      </c>
      <c r="P453" s="19" t="n">
        <v>0.430688123063867</v>
      </c>
      <c r="Q453" s="17" t="s">
        <v>29</v>
      </c>
      <c r="R453" s="5" t="str">
        <f aca="false">IF(OR(Q453="Steel plate",Q453="Concrete jacket"),"Steel plate or jacket",Q453)</f>
        <v>Monitor</v>
      </c>
      <c r="S453" s="5" t="str">
        <f aca="false">IF(O453&lt;='Tree rules'!$C$4,IF(N453&lt;='Tree rules'!$C$5,IF(P453&lt;='Tree rules'!$C$6,"Monitor","Polymer laminate"),IF(P453&lt;='Tree rules'!$C$7,"Seal cracks","Polymer laminate")),IF(O453&lt;='Tree rules'!$C$8,IF(M453&lt;='Tree rules'!$C$9,"Steel plate or jacket","Polymer laminate"),IF(L453&lt;='Tree rules'!$C$10,"Steel plate or jacket","Polymer laminate")))</f>
        <v>Monitor</v>
      </c>
      <c r="T453" s="5" t="str">
        <f aca="false">IF(S453=R453,"Yes","No")</f>
        <v>Yes</v>
      </c>
    </row>
    <row r="454" customFormat="false" ht="15" hidden="false" customHeight="false" outlineLevel="0" collapsed="false">
      <c r="A454" s="15" t="n">
        <v>654</v>
      </c>
      <c r="B454" s="16" t="n">
        <v>5.14903576231963</v>
      </c>
      <c r="C454" s="15" t="n">
        <v>230</v>
      </c>
      <c r="D454" s="15" t="n">
        <v>500</v>
      </c>
      <c r="E454" s="15" t="n">
        <v>30</v>
      </c>
      <c r="F454" s="16" t="n">
        <v>0.937695548778169</v>
      </c>
      <c r="G454" s="17" t="s">
        <v>90</v>
      </c>
      <c r="H454" s="18" t="n">
        <v>0.1</v>
      </c>
      <c r="I454" s="18" t="n">
        <v>2</v>
      </c>
      <c r="J454" s="19" t="n">
        <v>0.905823042532191</v>
      </c>
      <c r="K454" s="19" t="n">
        <v>0.444397296993461</v>
      </c>
      <c r="L454" s="16" t="n">
        <v>11.7826905316239</v>
      </c>
      <c r="M454" s="19" t="n">
        <v>0.45375998141307</v>
      </c>
      <c r="N454" s="19" t="n">
        <v>3.97518569905303</v>
      </c>
      <c r="O454" s="19" t="n">
        <v>1.40910077340868</v>
      </c>
      <c r="P454" s="19" t="n">
        <v>0.928121763891756</v>
      </c>
      <c r="Q454" s="17" t="s">
        <v>92</v>
      </c>
      <c r="R454" s="5" t="str">
        <f aca="false">IF(OR(Q454="Steel plate",Q454="Concrete jacket"),"Steel plate or jacket",Q454)</f>
        <v>Steel plate or jacket</v>
      </c>
      <c r="S454" s="5" t="str">
        <f aca="false">IF(O454&lt;='Tree rules'!$C$4,IF(N454&lt;='Tree rules'!$C$5,IF(P454&lt;='Tree rules'!$C$6,"Monitor","Polymer laminate"),IF(P454&lt;='Tree rules'!$C$7,"Seal cracks","Polymer laminate")),IF(O454&lt;='Tree rules'!$C$8,IF(M454&lt;='Tree rules'!$C$9,"Steel plate or jacket","Polymer laminate"),IF(L454&lt;='Tree rules'!$C$10,"Steel plate or jacket","Polymer laminate")))</f>
        <v>Steel plate or jacket</v>
      </c>
      <c r="T454" s="5" t="str">
        <f aca="false">IF(S454=R454,"Yes","No")</f>
        <v>Yes</v>
      </c>
    </row>
    <row r="455" customFormat="false" ht="15" hidden="false" customHeight="false" outlineLevel="0" collapsed="false">
      <c r="A455" s="15" t="n">
        <v>655</v>
      </c>
      <c r="B455" s="16" t="n">
        <v>3.73309950843455</v>
      </c>
      <c r="C455" s="15" t="n">
        <v>230</v>
      </c>
      <c r="D455" s="15" t="n">
        <v>350</v>
      </c>
      <c r="E455" s="15" t="n">
        <v>30</v>
      </c>
      <c r="F455" s="16" t="n">
        <v>0.951853553579698</v>
      </c>
      <c r="G455" s="17" t="s">
        <v>90</v>
      </c>
      <c r="H455" s="18" t="n">
        <v>0.1</v>
      </c>
      <c r="I455" s="18" t="n">
        <v>1</v>
      </c>
      <c r="J455" s="19" t="n">
        <v>0.886347605418349</v>
      </c>
      <c r="K455" s="19" t="n">
        <v>0.498894520130664</v>
      </c>
      <c r="L455" s="16" t="n">
        <v>13.0073153603991</v>
      </c>
      <c r="M455" s="19" t="n">
        <v>0.951233743500013</v>
      </c>
      <c r="N455" s="19" t="n">
        <v>2.65455340883395</v>
      </c>
      <c r="O455" s="19" t="n">
        <v>0.886347605418349</v>
      </c>
      <c r="P455" s="19" t="n">
        <v>0.353580755245682</v>
      </c>
      <c r="Q455" s="17" t="s">
        <v>30</v>
      </c>
      <c r="R455" s="5" t="str">
        <f aca="false">IF(OR(Q455="Steel plate",Q455="Concrete jacket"),"Steel plate or jacket",Q455)</f>
        <v>Seal cracks</v>
      </c>
      <c r="S455" s="5" t="str">
        <f aca="false">IF(O455&lt;='Tree rules'!$C$4,IF(N455&lt;='Tree rules'!$C$5,IF(P455&lt;='Tree rules'!$C$6,"Monitor","Polymer laminate"),IF(P455&lt;='Tree rules'!$C$7,"Seal cracks","Polymer laminate")),IF(O455&lt;='Tree rules'!$C$8,IF(M455&lt;='Tree rules'!$C$9,"Steel plate or jacket","Polymer laminate"),IF(L455&lt;='Tree rules'!$C$10,"Steel plate or jacket","Polymer laminate")))</f>
        <v>Seal cracks</v>
      </c>
      <c r="T455" s="5" t="str">
        <f aca="false">IF(S455=R455,"Yes","No")</f>
        <v>Yes</v>
      </c>
    </row>
    <row r="456" customFormat="false" ht="15" hidden="false" customHeight="false" outlineLevel="0" collapsed="false">
      <c r="A456" s="15" t="n">
        <v>656</v>
      </c>
      <c r="B456" s="16" t="n">
        <v>7.08005039996252</v>
      </c>
      <c r="C456" s="15" t="n">
        <v>300</v>
      </c>
      <c r="D456" s="15" t="n">
        <v>575</v>
      </c>
      <c r="E456" s="15" t="n">
        <v>30</v>
      </c>
      <c r="F456" s="16" t="n">
        <v>0.596127638252333</v>
      </c>
      <c r="G456" s="17" t="s">
        <v>89</v>
      </c>
      <c r="H456" s="18" t="n">
        <v>0.3</v>
      </c>
      <c r="I456" s="18" t="n">
        <v>1</v>
      </c>
      <c r="J456" s="19" t="n">
        <v>0.957979946734856</v>
      </c>
      <c r="K456" s="19" t="n">
        <v>0.530647445351398</v>
      </c>
      <c r="L456" s="16" t="n">
        <v>13.4346307399668</v>
      </c>
      <c r="M456" s="19" t="n">
        <v>0.354347762352718</v>
      </c>
      <c r="N456" s="19" t="n">
        <v>0.829458612768733</v>
      </c>
      <c r="O456" s="19" t="n">
        <v>0.957979946734856</v>
      </c>
      <c r="P456" s="19" t="n">
        <v>0.917137054599417</v>
      </c>
      <c r="Q456" s="17" t="s">
        <v>29</v>
      </c>
      <c r="R456" s="5" t="str">
        <f aca="false">IF(OR(Q456="Steel plate",Q456="Concrete jacket"),"Steel plate or jacket",Q456)</f>
        <v>Monitor</v>
      </c>
      <c r="S456" s="5" t="str">
        <f aca="false">IF(O456&lt;='Tree rules'!$C$4,IF(N456&lt;='Tree rules'!$C$5,IF(P456&lt;='Tree rules'!$C$6,"Monitor","Polymer laminate"),IF(P456&lt;='Tree rules'!$C$7,"Seal cracks","Polymer laminate")),IF(O456&lt;='Tree rules'!$C$8,IF(M456&lt;='Tree rules'!$C$9,"Steel plate or jacket","Polymer laminate"),IF(L456&lt;='Tree rules'!$C$10,"Steel plate or jacket","Polymer laminate")))</f>
        <v>Monitor</v>
      </c>
      <c r="T456" s="5" t="str">
        <f aca="false">IF(S456=R456,"Yes","No")</f>
        <v>Yes</v>
      </c>
    </row>
    <row r="457" customFormat="false" ht="15" hidden="false" customHeight="false" outlineLevel="0" collapsed="false">
      <c r="A457" s="15" t="n">
        <v>662</v>
      </c>
      <c r="B457" s="16" t="n">
        <v>7.1940143023971</v>
      </c>
      <c r="C457" s="15" t="n">
        <v>300</v>
      </c>
      <c r="D457" s="15" t="n">
        <v>700</v>
      </c>
      <c r="E457" s="15" t="n">
        <v>20</v>
      </c>
      <c r="F457" s="16" t="n">
        <v>0.614868286941122</v>
      </c>
      <c r="G457" s="17" t="s">
        <v>89</v>
      </c>
      <c r="H457" s="18" t="n">
        <v>0.3</v>
      </c>
      <c r="I457" s="18" t="n">
        <v>1.5</v>
      </c>
      <c r="J457" s="19" t="n">
        <v>0.887451363137432</v>
      </c>
      <c r="K457" s="19" t="n">
        <v>0.631094726868483</v>
      </c>
      <c r="L457" s="16" t="n">
        <v>11.0000218691087</v>
      </c>
      <c r="M457" s="19" t="n">
        <v>0.56395309405188</v>
      </c>
      <c r="N457" s="19" t="n">
        <v>0.634282577572734</v>
      </c>
      <c r="O457" s="19" t="n">
        <v>1.05114410689201</v>
      </c>
      <c r="P457" s="19" t="n">
        <v>0.653719440609305</v>
      </c>
      <c r="Q457" s="17" t="s">
        <v>31</v>
      </c>
      <c r="R457" s="5" t="str">
        <f aca="false">IF(OR(Q457="Steel plate",Q457="Concrete jacket"),"Steel plate or jacket",Q457)</f>
        <v>Polymer laminate</v>
      </c>
      <c r="S457" s="5" t="str">
        <f aca="false">IF(O457&lt;='Tree rules'!$C$4,IF(N457&lt;='Tree rules'!$C$5,IF(P457&lt;='Tree rules'!$C$6,"Monitor","Polymer laminate"),IF(P457&lt;='Tree rules'!$C$7,"Seal cracks","Polymer laminate")),IF(O457&lt;='Tree rules'!$C$8,IF(M457&lt;='Tree rules'!$C$9,"Steel plate or jacket","Polymer laminate"),IF(L457&lt;='Tree rules'!$C$10,"Steel plate or jacket","Polymer laminate")))</f>
        <v>Polymer laminate</v>
      </c>
      <c r="T457" s="5" t="str">
        <f aca="false">IF(S457=R457,"Yes","No")</f>
        <v>Yes</v>
      </c>
    </row>
    <row r="458" customFormat="false" ht="15" hidden="false" customHeight="false" outlineLevel="0" collapsed="false">
      <c r="A458" s="15" t="n">
        <v>663</v>
      </c>
      <c r="B458" s="16" t="n">
        <v>6.41368217235713</v>
      </c>
      <c r="C458" s="15" t="n">
        <v>230</v>
      </c>
      <c r="D458" s="15" t="n">
        <v>550</v>
      </c>
      <c r="E458" s="15" t="n">
        <v>25</v>
      </c>
      <c r="F458" s="16" t="n">
        <v>0.520346609290235</v>
      </c>
      <c r="G458" s="17" t="s">
        <v>91</v>
      </c>
      <c r="H458" s="18" t="n">
        <v>0.2</v>
      </c>
      <c r="I458" s="18" t="n">
        <v>1</v>
      </c>
      <c r="J458" s="19" t="n">
        <v>0.937502757131723</v>
      </c>
      <c r="K458" s="19" t="n">
        <v>0.640688627362887</v>
      </c>
      <c r="L458" s="16" t="n">
        <v>12.725559865788</v>
      </c>
      <c r="M458" s="19" t="n">
        <v>0.556840273335277</v>
      </c>
      <c r="N458" s="19" t="n">
        <v>0.980352238729449</v>
      </c>
      <c r="O458" s="19" t="n">
        <v>0.937502757131723</v>
      </c>
      <c r="P458" s="19" t="n">
        <v>0.574382054103733</v>
      </c>
      <c r="Q458" s="17" t="s">
        <v>29</v>
      </c>
      <c r="R458" s="5" t="str">
        <f aca="false">IF(OR(Q458="Steel plate",Q458="Concrete jacket"),"Steel plate or jacket",Q458)</f>
        <v>Monitor</v>
      </c>
      <c r="S458" s="5" t="str">
        <f aca="false">IF(O458&lt;='Tree rules'!$C$4,IF(N458&lt;='Tree rules'!$C$5,IF(P458&lt;='Tree rules'!$C$6,"Monitor","Polymer laminate"),IF(P458&lt;='Tree rules'!$C$7,"Seal cracks","Polymer laminate")),IF(O458&lt;='Tree rules'!$C$8,IF(M458&lt;='Tree rules'!$C$9,"Steel plate or jacket","Polymer laminate"),IF(L458&lt;='Tree rules'!$C$10,"Steel plate or jacket","Polymer laminate")))</f>
        <v>Monitor</v>
      </c>
      <c r="T458" s="5" t="str">
        <f aca="false">IF(S458=R458,"Yes","No")</f>
        <v>Yes</v>
      </c>
    </row>
    <row r="459" customFormat="false" ht="15" hidden="false" customHeight="false" outlineLevel="0" collapsed="false">
      <c r="A459" s="15" t="n">
        <v>664</v>
      </c>
      <c r="B459" s="16" t="n">
        <v>5.14823873880965</v>
      </c>
      <c r="C459" s="15" t="n">
        <v>300</v>
      </c>
      <c r="D459" s="15" t="n">
        <v>425</v>
      </c>
      <c r="E459" s="15" t="n">
        <v>20</v>
      </c>
      <c r="F459" s="16" t="n">
        <v>0.593686800678386</v>
      </c>
      <c r="G459" s="17" t="s">
        <v>89</v>
      </c>
      <c r="H459" s="18" t="n">
        <v>0.3</v>
      </c>
      <c r="I459" s="18" t="n">
        <v>1.5</v>
      </c>
      <c r="J459" s="19" t="n">
        <v>0.901139347025221</v>
      </c>
      <c r="K459" s="19" t="n">
        <v>0.422599565062854</v>
      </c>
      <c r="L459" s="16" t="n">
        <v>13.512437634671</v>
      </c>
      <c r="M459" s="19" t="n">
        <v>0.827125008096478</v>
      </c>
      <c r="N459" s="19" t="n">
        <v>0.699102296478156</v>
      </c>
      <c r="O459" s="19" t="n">
        <v>1.16129847248089</v>
      </c>
      <c r="P459" s="19" t="n">
        <v>0.453040641681826</v>
      </c>
      <c r="Q459" s="17" t="s">
        <v>31</v>
      </c>
      <c r="R459" s="5" t="str">
        <f aca="false">IF(OR(Q459="Steel plate",Q459="Concrete jacket"),"Steel plate or jacket",Q459)</f>
        <v>Polymer laminate</v>
      </c>
      <c r="S459" s="5" t="str">
        <f aca="false">IF(O459&lt;='Tree rules'!$C$4,IF(N459&lt;='Tree rules'!$C$5,IF(P459&lt;='Tree rules'!$C$6,"Monitor","Polymer laminate"),IF(P459&lt;='Tree rules'!$C$7,"Seal cracks","Polymer laminate")),IF(O459&lt;='Tree rules'!$C$8,IF(M459&lt;='Tree rules'!$C$9,"Steel plate or jacket","Polymer laminate"),IF(L459&lt;='Tree rules'!$C$10,"Steel plate or jacket","Polymer laminate")))</f>
        <v>Polymer laminate</v>
      </c>
      <c r="T459" s="5" t="str">
        <f aca="false">IF(S459=R459,"Yes","No")</f>
        <v>Yes</v>
      </c>
    </row>
    <row r="460" customFormat="false" ht="15" hidden="false" customHeight="false" outlineLevel="0" collapsed="false">
      <c r="A460" s="15" t="n">
        <v>665</v>
      </c>
      <c r="B460" s="16" t="n">
        <v>5.25649657833069</v>
      </c>
      <c r="C460" s="15" t="n">
        <v>230</v>
      </c>
      <c r="D460" s="15" t="n">
        <v>450</v>
      </c>
      <c r="E460" s="15" t="n">
        <v>30</v>
      </c>
      <c r="F460" s="16" t="n">
        <v>0.649145274956135</v>
      </c>
      <c r="G460" s="17" t="s">
        <v>89</v>
      </c>
      <c r="H460" s="18" t="n">
        <v>0.3</v>
      </c>
      <c r="I460" s="18" t="n">
        <v>1</v>
      </c>
      <c r="J460" s="19" t="n">
        <v>0.988187326139956</v>
      </c>
      <c r="K460" s="19" t="n">
        <v>0.582067405893885</v>
      </c>
      <c r="L460" s="16" t="n">
        <v>13.0111301443829</v>
      </c>
      <c r="M460" s="19" t="n">
        <v>0.307597650654101</v>
      </c>
      <c r="N460" s="19" t="n">
        <v>0.75471665450561</v>
      </c>
      <c r="O460" s="19" t="n">
        <v>0.988187326139956</v>
      </c>
      <c r="P460" s="19" t="n">
        <v>1.09681836411776</v>
      </c>
      <c r="Q460" s="17" t="s">
        <v>31</v>
      </c>
      <c r="R460" s="5" t="str">
        <f aca="false">IF(OR(Q460="Steel plate",Q460="Concrete jacket"),"Steel plate or jacket",Q460)</f>
        <v>Polymer laminate</v>
      </c>
      <c r="S460" s="5" t="str">
        <f aca="false">IF(O460&lt;='Tree rules'!$C$4,IF(N460&lt;='Tree rules'!$C$5,IF(P460&lt;='Tree rules'!$C$6,"Monitor","Polymer laminate"),IF(P460&lt;='Tree rules'!$C$7,"Seal cracks","Polymer laminate")),IF(O460&lt;='Tree rules'!$C$8,IF(M460&lt;='Tree rules'!$C$9,"Steel plate or jacket","Polymer laminate"),IF(L460&lt;='Tree rules'!$C$10,"Steel plate or jacket","Polymer laminate")))</f>
        <v>Polymer laminate</v>
      </c>
      <c r="T460" s="5" t="str">
        <f aca="false">IF(S460=R460,"Yes","No")</f>
        <v>Yes</v>
      </c>
    </row>
    <row r="461" customFormat="false" ht="15" hidden="false" customHeight="false" outlineLevel="0" collapsed="false">
      <c r="A461" s="15" t="n">
        <v>667</v>
      </c>
      <c r="B461" s="16" t="n">
        <v>3.68569941035016</v>
      </c>
      <c r="C461" s="15" t="n">
        <v>230</v>
      </c>
      <c r="D461" s="15" t="n">
        <v>350</v>
      </c>
      <c r="E461" s="15" t="n">
        <v>30</v>
      </c>
      <c r="F461" s="16" t="n">
        <v>0.907455678485392</v>
      </c>
      <c r="G461" s="17" t="s">
        <v>90</v>
      </c>
      <c r="H461" s="18" t="n">
        <v>0.1</v>
      </c>
      <c r="I461" s="18" t="n">
        <v>1</v>
      </c>
      <c r="J461" s="19" t="n">
        <v>0.972517445026204</v>
      </c>
      <c r="K461" s="19" t="n">
        <v>0.508408242026308</v>
      </c>
      <c r="L461" s="16" t="n">
        <v>12.753285156921</v>
      </c>
      <c r="M461" s="19" t="n">
        <v>0.306211479465592</v>
      </c>
      <c r="N461" s="19" t="n">
        <v>2.94415205752649</v>
      </c>
      <c r="O461" s="19" t="n">
        <v>0.972517445026204</v>
      </c>
      <c r="P461" s="19" t="n">
        <v>1.04362074702219</v>
      </c>
      <c r="Q461" s="17" t="s">
        <v>31</v>
      </c>
      <c r="R461" s="5" t="str">
        <f aca="false">IF(OR(Q461="Steel plate",Q461="Concrete jacket"),"Steel plate or jacket",Q461)</f>
        <v>Polymer laminate</v>
      </c>
      <c r="S461" s="5" t="str">
        <f aca="false">IF(O461&lt;='Tree rules'!$C$4,IF(N461&lt;='Tree rules'!$C$5,IF(P461&lt;='Tree rules'!$C$6,"Monitor","Polymer laminate"),IF(P461&lt;='Tree rules'!$C$7,"Seal cracks","Polymer laminate")),IF(O461&lt;='Tree rules'!$C$8,IF(M461&lt;='Tree rules'!$C$9,"Steel plate or jacket","Polymer laminate"),IF(L461&lt;='Tree rules'!$C$10,"Steel plate or jacket","Polymer laminate")))</f>
        <v>Polymer laminate</v>
      </c>
      <c r="T461" s="5" t="str">
        <f aca="false">IF(S461=R461,"Yes","No")</f>
        <v>Yes</v>
      </c>
    </row>
    <row r="462" customFormat="false" ht="15" hidden="false" customHeight="false" outlineLevel="0" collapsed="false">
      <c r="A462" s="15" t="n">
        <v>668</v>
      </c>
      <c r="B462" s="16" t="n">
        <v>4.91094212638149</v>
      </c>
      <c r="C462" s="15" t="n">
        <v>300</v>
      </c>
      <c r="D462" s="15" t="n">
        <v>475</v>
      </c>
      <c r="E462" s="15" t="n">
        <v>25</v>
      </c>
      <c r="F462" s="16" t="n">
        <v>0.781126378514945</v>
      </c>
      <c r="G462" s="17" t="s">
        <v>91</v>
      </c>
      <c r="H462" s="18" t="n">
        <v>0.2</v>
      </c>
      <c r="I462" s="18" t="n">
        <v>2</v>
      </c>
      <c r="J462" s="19" t="n">
        <v>0.942238757266986</v>
      </c>
      <c r="K462" s="19" t="n">
        <v>0.541073507284291</v>
      </c>
      <c r="L462" s="16" t="n">
        <v>11.4474175440128</v>
      </c>
      <c r="M462" s="19" t="n">
        <v>0.369049530505402</v>
      </c>
      <c r="N462" s="19" t="n">
        <v>1.424666040858</v>
      </c>
      <c r="O462" s="19" t="n">
        <v>1.37465708544033</v>
      </c>
      <c r="P462" s="19" t="n">
        <v>1.16789216385797</v>
      </c>
      <c r="Q462" s="17" t="s">
        <v>31</v>
      </c>
      <c r="R462" s="5" t="str">
        <f aca="false">IF(OR(Q462="Steel plate",Q462="Concrete jacket"),"Steel plate or jacket",Q462)</f>
        <v>Polymer laminate</v>
      </c>
      <c r="S462" s="5" t="str">
        <f aca="false">IF(O462&lt;='Tree rules'!$C$4,IF(N462&lt;='Tree rules'!$C$5,IF(P462&lt;='Tree rules'!$C$6,"Monitor","Polymer laminate"),IF(P462&lt;='Tree rules'!$C$7,"Seal cracks","Polymer laminate")),IF(O462&lt;='Tree rules'!$C$8,IF(M462&lt;='Tree rules'!$C$9,"Steel plate or jacket","Polymer laminate"),IF(L462&lt;='Tree rules'!$C$10,"Steel plate or jacket","Polymer laminate")))</f>
        <v>Steel plate or jacket</v>
      </c>
      <c r="T462" s="5" t="str">
        <f aca="false">IF(S462=R462,"Yes","No")</f>
        <v>No</v>
      </c>
    </row>
    <row r="463" customFormat="false" ht="15" hidden="false" customHeight="false" outlineLevel="0" collapsed="false">
      <c r="A463" s="15" t="n">
        <v>669</v>
      </c>
      <c r="B463" s="16" t="n">
        <v>5.17473787491017</v>
      </c>
      <c r="C463" s="15" t="n">
        <v>230</v>
      </c>
      <c r="D463" s="15" t="n">
        <v>450</v>
      </c>
      <c r="E463" s="15" t="n">
        <v>30</v>
      </c>
      <c r="F463" s="16" t="n">
        <v>0.865527033274846</v>
      </c>
      <c r="G463" s="17" t="s">
        <v>91</v>
      </c>
      <c r="H463" s="18" t="n">
        <v>0.2</v>
      </c>
      <c r="I463" s="18" t="n">
        <v>2</v>
      </c>
      <c r="J463" s="19" t="n">
        <v>0.860793940154375</v>
      </c>
      <c r="K463" s="19" t="n">
        <v>0.415753891804795</v>
      </c>
      <c r="L463" s="16" t="n">
        <v>12.8087571161143</v>
      </c>
      <c r="M463" s="19" t="n">
        <v>0.845283844629144</v>
      </c>
      <c r="N463" s="19" t="n">
        <v>1.32693835868247</v>
      </c>
      <c r="O463" s="19" t="n">
        <v>1.36370944964759</v>
      </c>
      <c r="P463" s="19" t="n">
        <v>0.543674382827884</v>
      </c>
      <c r="Q463" s="17" t="s">
        <v>31</v>
      </c>
      <c r="R463" s="5" t="str">
        <f aca="false">IF(OR(Q463="Steel plate",Q463="Concrete jacket"),"Steel plate or jacket",Q463)</f>
        <v>Polymer laminate</v>
      </c>
      <c r="S463" s="5" t="str">
        <f aca="false">IF(O463&lt;='Tree rules'!$C$4,IF(N463&lt;='Tree rules'!$C$5,IF(P463&lt;='Tree rules'!$C$6,"Monitor","Polymer laminate"),IF(P463&lt;='Tree rules'!$C$7,"Seal cracks","Polymer laminate")),IF(O463&lt;='Tree rules'!$C$8,IF(M463&lt;='Tree rules'!$C$9,"Steel plate or jacket","Polymer laminate"),IF(L463&lt;='Tree rules'!$C$10,"Steel plate or jacket","Polymer laminate")))</f>
        <v>Steel plate or jacket</v>
      </c>
      <c r="T463" s="5" t="str">
        <f aca="false">IF(S463=R463,"Yes","No")</f>
        <v>No</v>
      </c>
    </row>
    <row r="464" customFormat="false" ht="15" hidden="false" customHeight="false" outlineLevel="0" collapsed="false">
      <c r="A464" s="15" t="n">
        <v>670</v>
      </c>
      <c r="B464" s="16" t="n">
        <v>6.25581874895092</v>
      </c>
      <c r="C464" s="15" t="n">
        <v>230</v>
      </c>
      <c r="D464" s="15" t="n">
        <v>575</v>
      </c>
      <c r="E464" s="15" t="n">
        <v>30</v>
      </c>
      <c r="F464" s="16" t="n">
        <v>0.777557789024782</v>
      </c>
      <c r="G464" s="17" t="s">
        <v>91</v>
      </c>
      <c r="H464" s="18" t="n">
        <v>0.2</v>
      </c>
      <c r="I464" s="18" t="n">
        <v>1</v>
      </c>
      <c r="J464" s="19" t="n">
        <v>0.877891230847836</v>
      </c>
      <c r="K464" s="19" t="n">
        <v>0.578327402088249</v>
      </c>
      <c r="L464" s="16" t="n">
        <v>11.8706238120511</v>
      </c>
      <c r="M464" s="19" t="n">
        <v>0.494760712000735</v>
      </c>
      <c r="N464" s="19" t="n">
        <v>0.943282152163514</v>
      </c>
      <c r="O464" s="19" t="n">
        <v>0.877891230847836</v>
      </c>
      <c r="P464" s="19" t="n">
        <v>0.704322086646237</v>
      </c>
      <c r="Q464" s="17" t="s">
        <v>29</v>
      </c>
      <c r="R464" s="5" t="str">
        <f aca="false">IF(OR(Q464="Steel plate",Q464="Concrete jacket"),"Steel plate or jacket",Q464)</f>
        <v>Monitor</v>
      </c>
      <c r="S464" s="5" t="str">
        <f aca="false">IF(O464&lt;='Tree rules'!$C$4,IF(N464&lt;='Tree rules'!$C$5,IF(P464&lt;='Tree rules'!$C$6,"Monitor","Polymer laminate"),IF(P464&lt;='Tree rules'!$C$7,"Seal cracks","Polymer laminate")),IF(O464&lt;='Tree rules'!$C$8,IF(M464&lt;='Tree rules'!$C$9,"Steel plate or jacket","Polymer laminate"),IF(L464&lt;='Tree rules'!$C$10,"Steel plate or jacket","Polymer laminate")))</f>
        <v>Monitor</v>
      </c>
      <c r="T464" s="5" t="str">
        <f aca="false">IF(S464=R464,"Yes","No")</f>
        <v>Yes</v>
      </c>
    </row>
    <row r="465" customFormat="false" ht="15" hidden="false" customHeight="false" outlineLevel="0" collapsed="false">
      <c r="A465" s="15" t="n">
        <v>671</v>
      </c>
      <c r="B465" s="16" t="n">
        <v>4.546040990634</v>
      </c>
      <c r="C465" s="15" t="n">
        <v>230</v>
      </c>
      <c r="D465" s="15" t="n">
        <v>350</v>
      </c>
      <c r="E465" s="15" t="n">
        <v>30</v>
      </c>
      <c r="F465" s="16" t="n">
        <v>0.64278110559382</v>
      </c>
      <c r="G465" s="17" t="s">
        <v>89</v>
      </c>
      <c r="H465" s="18" t="n">
        <v>0.3</v>
      </c>
      <c r="I465" s="18" t="n">
        <v>1</v>
      </c>
      <c r="J465" s="19" t="n">
        <v>0.92407279257631</v>
      </c>
      <c r="K465" s="19" t="n">
        <v>0.573114903271244</v>
      </c>
      <c r="L465" s="16" t="n">
        <v>14.8563431066471</v>
      </c>
      <c r="M465" s="19" t="n">
        <v>0.838407294289131</v>
      </c>
      <c r="N465" s="19" t="n">
        <v>0.571688372604371</v>
      </c>
      <c r="O465" s="19" t="n">
        <v>0.92407279257631</v>
      </c>
      <c r="P465" s="19" t="n">
        <v>0.41893111435301</v>
      </c>
      <c r="Q465" s="17" t="s">
        <v>29</v>
      </c>
      <c r="R465" s="5" t="str">
        <f aca="false">IF(OR(Q465="Steel plate",Q465="Concrete jacket"),"Steel plate or jacket",Q465)</f>
        <v>Monitor</v>
      </c>
      <c r="S465" s="5" t="str">
        <f aca="false">IF(O465&lt;='Tree rules'!$C$4,IF(N465&lt;='Tree rules'!$C$5,IF(P465&lt;='Tree rules'!$C$6,"Monitor","Polymer laminate"),IF(P465&lt;='Tree rules'!$C$7,"Seal cracks","Polymer laminate")),IF(O465&lt;='Tree rules'!$C$8,IF(M465&lt;='Tree rules'!$C$9,"Steel plate or jacket","Polymer laminate"),IF(L465&lt;='Tree rules'!$C$10,"Steel plate or jacket","Polymer laminate")))</f>
        <v>Monitor</v>
      </c>
      <c r="T465" s="5" t="str">
        <f aca="false">IF(S465=R465,"Yes","No")</f>
        <v>Yes</v>
      </c>
    </row>
    <row r="466" customFormat="false" ht="15" hidden="false" customHeight="false" outlineLevel="0" collapsed="false">
      <c r="A466" s="15" t="n">
        <v>672</v>
      </c>
      <c r="B466" s="16" t="n">
        <v>3.12048211063984</v>
      </c>
      <c r="C466" s="15" t="n">
        <v>230</v>
      </c>
      <c r="D466" s="15" t="n">
        <v>300</v>
      </c>
      <c r="E466" s="15" t="n">
        <v>20</v>
      </c>
      <c r="F466" s="16" t="n">
        <v>0.612108978148471</v>
      </c>
      <c r="G466" s="17" t="s">
        <v>90</v>
      </c>
      <c r="H466" s="18" t="n">
        <v>0.1</v>
      </c>
      <c r="I466" s="18" t="n">
        <v>1.5</v>
      </c>
      <c r="J466" s="19" t="n">
        <v>0.988314043676662</v>
      </c>
      <c r="K466" s="19" t="n">
        <v>0.582276778967733</v>
      </c>
      <c r="L466" s="16" t="n">
        <v>12.9480585503728</v>
      </c>
      <c r="M466" s="19" t="n">
        <v>0.954126554567801</v>
      </c>
      <c r="N466" s="19" t="n">
        <v>3.11108716179763</v>
      </c>
      <c r="O466" s="19" t="n">
        <v>1.19473490653468</v>
      </c>
      <c r="P466" s="19" t="n">
        <v>0.325868826223591</v>
      </c>
      <c r="Q466" s="17" t="s">
        <v>31</v>
      </c>
      <c r="R466" s="5" t="str">
        <f aca="false">IF(OR(Q466="Steel plate",Q466="Concrete jacket"),"Steel plate or jacket",Q466)</f>
        <v>Polymer laminate</v>
      </c>
      <c r="S466" s="5" t="str">
        <f aca="false">IF(O466&lt;='Tree rules'!$C$4,IF(N466&lt;='Tree rules'!$C$5,IF(P466&lt;='Tree rules'!$C$6,"Monitor","Polymer laminate"),IF(P466&lt;='Tree rules'!$C$7,"Seal cracks","Polymer laminate")),IF(O466&lt;='Tree rules'!$C$8,IF(M466&lt;='Tree rules'!$C$9,"Steel plate or jacket","Polymer laminate"),IF(L466&lt;='Tree rules'!$C$10,"Steel plate or jacket","Polymer laminate")))</f>
        <v>Polymer laminate</v>
      </c>
      <c r="T466" s="5" t="str">
        <f aca="false">IF(S466=R466,"Yes","No")</f>
        <v>Yes</v>
      </c>
    </row>
    <row r="467" customFormat="false" ht="15" hidden="false" customHeight="false" outlineLevel="0" collapsed="false">
      <c r="A467" s="15" t="n">
        <v>674</v>
      </c>
      <c r="B467" s="16" t="n">
        <v>3.71107448080934</v>
      </c>
      <c r="C467" s="15" t="n">
        <v>300</v>
      </c>
      <c r="D467" s="15" t="n">
        <v>325</v>
      </c>
      <c r="E467" s="15" t="n">
        <v>25</v>
      </c>
      <c r="F467" s="16" t="n">
        <v>0.72065207824282</v>
      </c>
      <c r="G467" s="17" t="s">
        <v>89</v>
      </c>
      <c r="H467" s="18" t="n">
        <v>0.3</v>
      </c>
      <c r="I467" s="18" t="n">
        <v>1.5</v>
      </c>
      <c r="J467" s="19" t="n">
        <v>0.924347933495528</v>
      </c>
      <c r="K467" s="19" t="n">
        <v>0.632260689366254</v>
      </c>
      <c r="L467" s="16" t="n">
        <v>13.3013422251231</v>
      </c>
      <c r="M467" s="19" t="n">
        <v>0.939822190157869</v>
      </c>
      <c r="N467" s="19" t="n">
        <v>0.851525993233234</v>
      </c>
      <c r="O467" s="19" t="n">
        <v>1.09430746942021</v>
      </c>
      <c r="P467" s="19" t="n">
        <v>0.432096626052869</v>
      </c>
      <c r="Q467" s="17" t="s">
        <v>31</v>
      </c>
      <c r="R467" s="5" t="str">
        <f aca="false">IF(OR(Q467="Steel plate",Q467="Concrete jacket"),"Steel plate or jacket",Q467)</f>
        <v>Polymer laminate</v>
      </c>
      <c r="S467" s="5" t="str">
        <f aca="false">IF(O467&lt;='Tree rules'!$C$4,IF(N467&lt;='Tree rules'!$C$5,IF(P467&lt;='Tree rules'!$C$6,"Monitor","Polymer laminate"),IF(P467&lt;='Tree rules'!$C$7,"Seal cracks","Polymer laminate")),IF(O467&lt;='Tree rules'!$C$8,IF(M467&lt;='Tree rules'!$C$9,"Steel plate or jacket","Polymer laminate"),IF(L467&lt;='Tree rules'!$C$10,"Steel plate or jacket","Polymer laminate")))</f>
        <v>Polymer laminate</v>
      </c>
      <c r="T467" s="5" t="str">
        <f aca="false">IF(S467=R467,"Yes","No")</f>
        <v>Yes</v>
      </c>
    </row>
    <row r="468" customFormat="false" ht="15" hidden="false" customHeight="false" outlineLevel="0" collapsed="false">
      <c r="A468" s="15" t="n">
        <v>675</v>
      </c>
      <c r="B468" s="16" t="n">
        <v>5.01844068345002</v>
      </c>
      <c r="C468" s="15" t="n">
        <v>300</v>
      </c>
      <c r="D468" s="15" t="n">
        <v>475</v>
      </c>
      <c r="E468" s="15" t="n">
        <v>25</v>
      </c>
      <c r="F468" s="16" t="n">
        <v>0.735735984447258</v>
      </c>
      <c r="G468" s="17" t="s">
        <v>91</v>
      </c>
      <c r="H468" s="18" t="n">
        <v>0.2</v>
      </c>
      <c r="I468" s="18" t="n">
        <v>2</v>
      </c>
      <c r="J468" s="19" t="n">
        <v>0.938250079895558</v>
      </c>
      <c r="K468" s="19" t="n">
        <v>0.451180308237742</v>
      </c>
      <c r="L468" s="16" t="n">
        <v>11.7527884858314</v>
      </c>
      <c r="M468" s="19" t="n">
        <v>0.447038080352557</v>
      </c>
      <c r="N468" s="19" t="n">
        <v>1.86040005666003</v>
      </c>
      <c r="O468" s="19" t="n">
        <v>1.45318019953975</v>
      </c>
      <c r="P468" s="19" t="n">
        <v>0.918904211640507</v>
      </c>
      <c r="Q468" s="17" t="s">
        <v>92</v>
      </c>
      <c r="R468" s="5" t="str">
        <f aca="false">IF(OR(Q468="Steel plate",Q468="Concrete jacket"),"Steel plate or jacket",Q468)</f>
        <v>Steel plate or jacket</v>
      </c>
      <c r="S468" s="5" t="str">
        <f aca="false">IF(O468&lt;='Tree rules'!$C$4,IF(N468&lt;='Tree rules'!$C$5,IF(P468&lt;='Tree rules'!$C$6,"Monitor","Polymer laminate"),IF(P468&lt;='Tree rules'!$C$7,"Seal cracks","Polymer laminate")),IF(O468&lt;='Tree rules'!$C$8,IF(M468&lt;='Tree rules'!$C$9,"Steel plate or jacket","Polymer laminate"),IF(L468&lt;='Tree rules'!$C$10,"Steel plate or jacket","Polymer laminate")))</f>
        <v>Steel plate or jacket</v>
      </c>
      <c r="T468" s="5" t="str">
        <f aca="false">IF(S468=R468,"Yes","No")</f>
        <v>Yes</v>
      </c>
    </row>
    <row r="469" customFormat="false" ht="15" hidden="false" customHeight="false" outlineLevel="0" collapsed="false">
      <c r="A469" s="15" t="n">
        <v>676</v>
      </c>
      <c r="B469" s="16" t="n">
        <v>4.33497740124228</v>
      </c>
      <c r="C469" s="15" t="n">
        <v>230</v>
      </c>
      <c r="D469" s="15" t="n">
        <v>425</v>
      </c>
      <c r="E469" s="15" t="n">
        <v>30</v>
      </c>
      <c r="F469" s="16" t="n">
        <v>1.08693091463146</v>
      </c>
      <c r="G469" s="17" t="s">
        <v>89</v>
      </c>
      <c r="H469" s="18" t="n">
        <v>0.3</v>
      </c>
      <c r="I469" s="18" t="n">
        <v>2</v>
      </c>
      <c r="J469" s="19" t="n">
        <v>0.910872435606308</v>
      </c>
      <c r="K469" s="19" t="n">
        <v>0.411848803646818</v>
      </c>
      <c r="L469" s="16" t="n">
        <v>11.4986137963986</v>
      </c>
      <c r="M469" s="19" t="n">
        <v>0.379868773147991</v>
      </c>
      <c r="N469" s="19" t="n">
        <v>1.07917916998272</v>
      </c>
      <c r="O469" s="19" t="n">
        <v>1.44660314833329</v>
      </c>
      <c r="P469" s="19" t="n">
        <v>1.24255024842705</v>
      </c>
      <c r="Q469" s="17" t="s">
        <v>92</v>
      </c>
      <c r="R469" s="5" t="str">
        <f aca="false">IF(OR(Q469="Steel plate",Q469="Concrete jacket"),"Steel plate or jacket",Q469)</f>
        <v>Steel plate or jacket</v>
      </c>
      <c r="S469" s="5" t="str">
        <f aca="false">IF(O469&lt;='Tree rules'!$C$4,IF(N469&lt;='Tree rules'!$C$5,IF(P469&lt;='Tree rules'!$C$6,"Monitor","Polymer laminate"),IF(P469&lt;='Tree rules'!$C$7,"Seal cracks","Polymer laminate")),IF(O469&lt;='Tree rules'!$C$8,IF(M469&lt;='Tree rules'!$C$9,"Steel plate or jacket","Polymer laminate"),IF(L469&lt;='Tree rules'!$C$10,"Steel plate or jacket","Polymer laminate")))</f>
        <v>Steel plate or jacket</v>
      </c>
      <c r="T469" s="5" t="str">
        <f aca="false">IF(S469=R469,"Yes","No")</f>
        <v>Yes</v>
      </c>
    </row>
    <row r="470" customFormat="false" ht="15" hidden="false" customHeight="false" outlineLevel="0" collapsed="false">
      <c r="A470" s="15" t="n">
        <v>679</v>
      </c>
      <c r="B470" s="16" t="n">
        <v>3.02694399140473</v>
      </c>
      <c r="C470" s="15" t="n">
        <v>230</v>
      </c>
      <c r="D470" s="15" t="n">
        <v>300</v>
      </c>
      <c r="E470" s="15" t="n">
        <v>30</v>
      </c>
      <c r="F470" s="16" t="n">
        <v>0.688332522525665</v>
      </c>
      <c r="G470" s="17" t="s">
        <v>89</v>
      </c>
      <c r="H470" s="18" t="n">
        <v>0.3</v>
      </c>
      <c r="I470" s="18" t="n">
        <v>2</v>
      </c>
      <c r="J470" s="19" t="n">
        <v>0.916524747802083</v>
      </c>
      <c r="K470" s="19" t="n">
        <v>0.494879775771668</v>
      </c>
      <c r="L470" s="16" t="n">
        <v>11.9171023283651</v>
      </c>
      <c r="M470" s="19" t="n">
        <v>0.548201256976151</v>
      </c>
      <c r="N470" s="19" t="n">
        <v>1.32405966806704</v>
      </c>
      <c r="O470" s="19" t="n">
        <v>1.37947993392269</v>
      </c>
      <c r="P470" s="19" t="n">
        <v>0.559740978541002</v>
      </c>
      <c r="Q470" s="17" t="s">
        <v>31</v>
      </c>
      <c r="R470" s="5" t="str">
        <f aca="false">IF(OR(Q470="Steel plate",Q470="Concrete jacket"),"Steel plate or jacket",Q470)</f>
        <v>Polymer laminate</v>
      </c>
      <c r="S470" s="5" t="str">
        <f aca="false">IF(O470&lt;='Tree rules'!$C$4,IF(N470&lt;='Tree rules'!$C$5,IF(P470&lt;='Tree rules'!$C$6,"Monitor","Polymer laminate"),IF(P470&lt;='Tree rules'!$C$7,"Seal cracks","Polymer laminate")),IF(O470&lt;='Tree rules'!$C$8,IF(M470&lt;='Tree rules'!$C$9,"Steel plate or jacket","Polymer laminate"),IF(L470&lt;='Tree rules'!$C$10,"Steel plate or jacket","Polymer laminate")))</f>
        <v>Steel plate or jacket</v>
      </c>
      <c r="T470" s="5" t="str">
        <f aca="false">IF(S470=R470,"Yes","No")</f>
        <v>No</v>
      </c>
    </row>
    <row r="471" customFormat="false" ht="15" hidden="false" customHeight="false" outlineLevel="0" collapsed="false">
      <c r="A471" s="15" t="n">
        <v>680</v>
      </c>
      <c r="B471" s="16" t="n">
        <v>6.85777922427869</v>
      </c>
      <c r="C471" s="15" t="n">
        <v>300</v>
      </c>
      <c r="D471" s="15" t="n">
        <v>650</v>
      </c>
      <c r="E471" s="15" t="n">
        <v>25</v>
      </c>
      <c r="F471" s="16" t="n">
        <v>0.869765407970596</v>
      </c>
      <c r="G471" s="17" t="s">
        <v>89</v>
      </c>
      <c r="H471" s="18" t="n">
        <v>0.3</v>
      </c>
      <c r="I471" s="18" t="n">
        <v>1</v>
      </c>
      <c r="J471" s="19" t="n">
        <v>0.897284357992195</v>
      </c>
      <c r="K471" s="19" t="n">
        <v>0.436976729713419</v>
      </c>
      <c r="L471" s="16" t="n">
        <v>11.3916598409945</v>
      </c>
      <c r="M471" s="19" t="n">
        <v>0.712036432429921</v>
      </c>
      <c r="N471" s="19" t="n">
        <v>0.551738746336358</v>
      </c>
      <c r="O471" s="19" t="n">
        <v>0.897284357992195</v>
      </c>
      <c r="P471" s="19" t="n">
        <v>0.520075551577402</v>
      </c>
      <c r="Q471" s="17" t="s">
        <v>29</v>
      </c>
      <c r="R471" s="5" t="str">
        <f aca="false">IF(OR(Q471="Steel plate",Q471="Concrete jacket"),"Steel plate or jacket",Q471)</f>
        <v>Monitor</v>
      </c>
      <c r="S471" s="5" t="str">
        <f aca="false">IF(O471&lt;='Tree rules'!$C$4,IF(N471&lt;='Tree rules'!$C$5,IF(P471&lt;='Tree rules'!$C$6,"Monitor","Polymer laminate"),IF(P471&lt;='Tree rules'!$C$7,"Seal cracks","Polymer laminate")),IF(O471&lt;='Tree rules'!$C$8,IF(M471&lt;='Tree rules'!$C$9,"Steel plate or jacket","Polymer laminate"),IF(L471&lt;='Tree rules'!$C$10,"Steel plate or jacket","Polymer laminate")))</f>
        <v>Monitor</v>
      </c>
      <c r="T471" s="5" t="str">
        <f aca="false">IF(S471=R471,"Yes","No")</f>
        <v>Yes</v>
      </c>
    </row>
    <row r="472" customFormat="false" ht="15" hidden="false" customHeight="false" outlineLevel="0" collapsed="false">
      <c r="A472" s="15" t="n">
        <v>681</v>
      </c>
      <c r="B472" s="16" t="n">
        <v>5.16406633939335</v>
      </c>
      <c r="C472" s="15" t="n">
        <v>230</v>
      </c>
      <c r="D472" s="15" t="n">
        <v>425</v>
      </c>
      <c r="E472" s="15" t="n">
        <v>30</v>
      </c>
      <c r="F472" s="16" t="n">
        <v>0.724620609754306</v>
      </c>
      <c r="G472" s="17" t="s">
        <v>91</v>
      </c>
      <c r="H472" s="18" t="n">
        <v>0.2</v>
      </c>
      <c r="I472" s="18" t="n">
        <v>1.5</v>
      </c>
      <c r="J472" s="19" t="n">
        <v>0.912940976127914</v>
      </c>
      <c r="K472" s="19" t="n">
        <v>0.551280270989014</v>
      </c>
      <c r="L472" s="16" t="n">
        <v>13.6977886986561</v>
      </c>
      <c r="M472" s="19" t="n">
        <v>0.349127115720301</v>
      </c>
      <c r="N472" s="19" t="n">
        <v>1.66278193536249</v>
      </c>
      <c r="O472" s="19" t="n">
        <v>1.11776828983349</v>
      </c>
      <c r="P472" s="19" t="n">
        <v>1.09450660033409</v>
      </c>
      <c r="Q472" s="17" t="s">
        <v>31</v>
      </c>
      <c r="R472" s="5" t="str">
        <f aca="false">IF(OR(Q472="Steel plate",Q472="Concrete jacket"),"Steel plate or jacket",Q472)</f>
        <v>Polymer laminate</v>
      </c>
      <c r="S472" s="5" t="str">
        <f aca="false">IF(O472&lt;='Tree rules'!$C$4,IF(N472&lt;='Tree rules'!$C$5,IF(P472&lt;='Tree rules'!$C$6,"Monitor","Polymer laminate"),IF(P472&lt;='Tree rules'!$C$7,"Seal cracks","Polymer laminate")),IF(O472&lt;='Tree rules'!$C$8,IF(M472&lt;='Tree rules'!$C$9,"Steel plate or jacket","Polymer laminate"),IF(L472&lt;='Tree rules'!$C$10,"Steel plate or jacket","Polymer laminate")))</f>
        <v>Polymer laminate</v>
      </c>
      <c r="T472" s="5" t="str">
        <f aca="false">IF(S472=R472,"Yes","No")</f>
        <v>Yes</v>
      </c>
    </row>
    <row r="473" customFormat="false" ht="15" hidden="false" customHeight="false" outlineLevel="0" collapsed="false">
      <c r="A473" s="15" t="n">
        <v>683</v>
      </c>
      <c r="B473" s="16" t="n">
        <v>4.47544549877434</v>
      </c>
      <c r="C473" s="15" t="n">
        <v>300</v>
      </c>
      <c r="D473" s="15" t="n">
        <v>375</v>
      </c>
      <c r="E473" s="15" t="n">
        <v>20</v>
      </c>
      <c r="F473" s="16" t="n">
        <v>0.569472988566126</v>
      </c>
      <c r="G473" s="17" t="s">
        <v>89</v>
      </c>
      <c r="H473" s="18" t="n">
        <v>0.3</v>
      </c>
      <c r="I473" s="18" t="n">
        <v>2</v>
      </c>
      <c r="J473" s="19" t="n">
        <v>0.925839876849824</v>
      </c>
      <c r="K473" s="19" t="n">
        <v>0.560381067074447</v>
      </c>
      <c r="L473" s="16" t="n">
        <v>13.5209833799829</v>
      </c>
      <c r="M473" s="19" t="n">
        <v>0.571763937615909</v>
      </c>
      <c r="N473" s="19" t="n">
        <v>0.901241300220755</v>
      </c>
      <c r="O473" s="19" t="n">
        <v>1.33285661557047</v>
      </c>
      <c r="P473" s="19" t="n">
        <v>0.704169396257786</v>
      </c>
      <c r="Q473" s="17" t="s">
        <v>31</v>
      </c>
      <c r="R473" s="5" t="str">
        <f aca="false">IF(OR(Q473="Steel plate",Q473="Concrete jacket"),"Steel plate or jacket",Q473)</f>
        <v>Polymer laminate</v>
      </c>
      <c r="S473" s="5" t="str">
        <f aca="false">IF(O473&lt;='Tree rules'!$C$4,IF(N473&lt;='Tree rules'!$C$5,IF(P473&lt;='Tree rules'!$C$6,"Monitor","Polymer laminate"),IF(P473&lt;='Tree rules'!$C$7,"Seal cracks","Polymer laminate")),IF(O473&lt;='Tree rules'!$C$8,IF(M473&lt;='Tree rules'!$C$9,"Steel plate or jacket","Polymer laminate"),IF(L473&lt;='Tree rules'!$C$10,"Steel plate or jacket","Polymer laminate")))</f>
        <v>Polymer laminate</v>
      </c>
      <c r="T473" s="5" t="str">
        <f aca="false">IF(S473=R473,"Yes","No")</f>
        <v>Yes</v>
      </c>
    </row>
    <row r="474" customFormat="false" ht="15" hidden="false" customHeight="false" outlineLevel="0" collapsed="false">
      <c r="A474" s="15" t="n">
        <v>685</v>
      </c>
      <c r="B474" s="16" t="n">
        <v>4.39734138434241</v>
      </c>
      <c r="C474" s="15" t="n">
        <v>230</v>
      </c>
      <c r="D474" s="15" t="n">
        <v>350</v>
      </c>
      <c r="E474" s="15" t="n">
        <v>30</v>
      </c>
      <c r="F474" s="16" t="n">
        <v>0.575119936583944</v>
      </c>
      <c r="G474" s="17" t="s">
        <v>89</v>
      </c>
      <c r="H474" s="18" t="n">
        <v>0.3</v>
      </c>
      <c r="I474" s="18" t="n">
        <v>1</v>
      </c>
      <c r="J474" s="19" t="n">
        <v>0.947807836977225</v>
      </c>
      <c r="K474" s="19" t="n">
        <v>0.573554613069852</v>
      </c>
      <c r="L474" s="16" t="n">
        <v>14.4649387642842</v>
      </c>
      <c r="M474" s="19" t="n">
        <v>0.205844109348481</v>
      </c>
      <c r="N474" s="19" t="n">
        <v>0.968848805776114</v>
      </c>
      <c r="O474" s="19" t="n">
        <v>0.947807836977225</v>
      </c>
      <c r="P474" s="19" t="n">
        <v>1.39117439892522</v>
      </c>
      <c r="Q474" s="17" t="s">
        <v>31</v>
      </c>
      <c r="R474" s="5" t="str">
        <f aca="false">IF(OR(Q474="Steel plate",Q474="Concrete jacket"),"Steel plate or jacket",Q474)</f>
        <v>Polymer laminate</v>
      </c>
      <c r="S474" s="5" t="str">
        <f aca="false">IF(O474&lt;='Tree rules'!$C$4,IF(N474&lt;='Tree rules'!$C$5,IF(P474&lt;='Tree rules'!$C$6,"Monitor","Polymer laminate"),IF(P474&lt;='Tree rules'!$C$7,"Seal cracks","Polymer laminate")),IF(O474&lt;='Tree rules'!$C$8,IF(M474&lt;='Tree rules'!$C$9,"Steel plate or jacket","Polymer laminate"),IF(L474&lt;='Tree rules'!$C$10,"Steel plate or jacket","Polymer laminate")))</f>
        <v>Polymer laminate</v>
      </c>
      <c r="T474" s="5" t="str">
        <f aca="false">IF(S474=R474,"Yes","No")</f>
        <v>Yes</v>
      </c>
    </row>
    <row r="475" customFormat="false" ht="15" hidden="false" customHeight="false" outlineLevel="0" collapsed="false">
      <c r="A475" s="15" t="n">
        <v>687</v>
      </c>
      <c r="B475" s="16" t="n">
        <v>4.03413344319668</v>
      </c>
      <c r="C475" s="15" t="n">
        <v>300</v>
      </c>
      <c r="D475" s="15" t="n">
        <v>375</v>
      </c>
      <c r="E475" s="15" t="n">
        <v>20</v>
      </c>
      <c r="F475" s="16" t="n">
        <v>0.640487798897002</v>
      </c>
      <c r="G475" s="17" t="s">
        <v>89</v>
      </c>
      <c r="H475" s="18" t="n">
        <v>0.3</v>
      </c>
      <c r="I475" s="18" t="n">
        <v>1</v>
      </c>
      <c r="J475" s="19" t="n">
        <v>0.930999244327761</v>
      </c>
      <c r="K475" s="19" t="n">
        <v>0.616842715640991</v>
      </c>
      <c r="L475" s="16" t="n">
        <v>12.3367995204791</v>
      </c>
      <c r="M475" s="19" t="n">
        <v>0.943618269323479</v>
      </c>
      <c r="N475" s="19" t="n">
        <v>0.922239329341672</v>
      </c>
      <c r="O475" s="19" t="n">
        <v>0.930999244327761</v>
      </c>
      <c r="P475" s="19" t="n">
        <v>0.376843845790064</v>
      </c>
      <c r="Q475" s="17" t="s">
        <v>29</v>
      </c>
      <c r="R475" s="5" t="str">
        <f aca="false">IF(OR(Q475="Steel plate",Q475="Concrete jacket"),"Steel plate or jacket",Q475)</f>
        <v>Monitor</v>
      </c>
      <c r="S475" s="5" t="str">
        <f aca="false">IF(O475&lt;='Tree rules'!$C$4,IF(N475&lt;='Tree rules'!$C$5,IF(P475&lt;='Tree rules'!$C$6,"Monitor","Polymer laminate"),IF(P475&lt;='Tree rules'!$C$7,"Seal cracks","Polymer laminate")),IF(O475&lt;='Tree rules'!$C$8,IF(M475&lt;='Tree rules'!$C$9,"Steel plate or jacket","Polymer laminate"),IF(L475&lt;='Tree rules'!$C$10,"Steel plate or jacket","Polymer laminate")))</f>
        <v>Monitor</v>
      </c>
      <c r="T475" s="5" t="str">
        <f aca="false">IF(S475=R475,"Yes","No")</f>
        <v>Yes</v>
      </c>
    </row>
    <row r="476" customFormat="false" ht="15" hidden="false" customHeight="false" outlineLevel="0" collapsed="false">
      <c r="A476" s="15" t="n">
        <v>690</v>
      </c>
      <c r="B476" s="16" t="n">
        <v>6.02069598893026</v>
      </c>
      <c r="C476" s="15" t="n">
        <v>300</v>
      </c>
      <c r="D476" s="15" t="n">
        <v>600</v>
      </c>
      <c r="E476" s="15" t="n">
        <v>30</v>
      </c>
      <c r="F476" s="16" t="n">
        <v>0.604879451954714</v>
      </c>
      <c r="G476" s="17" t="s">
        <v>89</v>
      </c>
      <c r="H476" s="18" t="n">
        <v>0.3</v>
      </c>
      <c r="I476" s="18" t="n">
        <v>2</v>
      </c>
      <c r="J476" s="19" t="n">
        <v>0.96557294226796</v>
      </c>
      <c r="K476" s="19" t="n">
        <v>0.419085699331162</v>
      </c>
      <c r="L476" s="16" t="n">
        <v>10.8676822904878</v>
      </c>
      <c r="M476" s="19" t="n">
        <v>0.764624795494251</v>
      </c>
      <c r="N476" s="19" t="n">
        <v>0.991745526425226</v>
      </c>
      <c r="O476" s="19" t="n">
        <v>1.5264880727703</v>
      </c>
      <c r="P476" s="19" t="n">
        <v>0.455059299127655</v>
      </c>
      <c r="Q476" s="17" t="s">
        <v>92</v>
      </c>
      <c r="R476" s="5" t="str">
        <f aca="false">IF(OR(Q476="Steel plate",Q476="Concrete jacket"),"Steel plate or jacket",Q476)</f>
        <v>Steel plate or jacket</v>
      </c>
      <c r="S476" s="5" t="str">
        <f aca="false">IF(O476&lt;='Tree rules'!$C$4,IF(N476&lt;='Tree rules'!$C$5,IF(P476&lt;='Tree rules'!$C$6,"Monitor","Polymer laminate"),IF(P476&lt;='Tree rules'!$C$7,"Seal cracks","Polymer laminate")),IF(O476&lt;='Tree rules'!$C$8,IF(M476&lt;='Tree rules'!$C$9,"Steel plate or jacket","Polymer laminate"),IF(L476&lt;='Tree rules'!$C$10,"Steel plate or jacket","Polymer laminate")))</f>
        <v>Steel plate or jacket</v>
      </c>
      <c r="T476" s="5" t="str">
        <f aca="false">IF(S476=R476,"Yes","No")</f>
        <v>Yes</v>
      </c>
    </row>
    <row r="477" customFormat="false" ht="15" hidden="false" customHeight="false" outlineLevel="0" collapsed="false">
      <c r="A477" s="15" t="n">
        <v>692</v>
      </c>
      <c r="B477" s="16" t="n">
        <v>4.75409111589819</v>
      </c>
      <c r="C477" s="15" t="n">
        <v>230</v>
      </c>
      <c r="D477" s="15" t="n">
        <v>425</v>
      </c>
      <c r="E477" s="15" t="n">
        <v>25</v>
      </c>
      <c r="F477" s="16" t="n">
        <v>0.691964884122107</v>
      </c>
      <c r="G477" s="17" t="s">
        <v>91</v>
      </c>
      <c r="H477" s="18" t="n">
        <v>0.2</v>
      </c>
      <c r="I477" s="18" t="n">
        <v>1</v>
      </c>
      <c r="J477" s="19" t="n">
        <v>0.970857435310607</v>
      </c>
      <c r="K477" s="19" t="n">
        <v>0.535535310307759</v>
      </c>
      <c r="L477" s="16" t="n">
        <v>12.5437760313937</v>
      </c>
      <c r="M477" s="19" t="n">
        <v>0.710192183563537</v>
      </c>
      <c r="N477" s="19" t="n">
        <v>1.0161528654621</v>
      </c>
      <c r="O477" s="19" t="n">
        <v>0.970857435310607</v>
      </c>
      <c r="P477" s="19" t="n">
        <v>0.506050719364436</v>
      </c>
      <c r="Q477" s="17" t="s">
        <v>30</v>
      </c>
      <c r="R477" s="5" t="str">
        <f aca="false">IF(OR(Q477="Steel plate",Q477="Concrete jacket"),"Steel plate or jacket",Q477)</f>
        <v>Seal cracks</v>
      </c>
      <c r="S477" s="5" t="str">
        <f aca="false">IF(O477&lt;='Tree rules'!$C$4,IF(N477&lt;='Tree rules'!$C$5,IF(P477&lt;='Tree rules'!$C$6,"Monitor","Polymer laminate"),IF(P477&lt;='Tree rules'!$C$7,"Seal cracks","Polymer laminate")),IF(O477&lt;='Tree rules'!$C$8,IF(M477&lt;='Tree rules'!$C$9,"Steel plate or jacket","Polymer laminate"),IF(L477&lt;='Tree rules'!$C$10,"Steel plate or jacket","Polymer laminate")))</f>
        <v>Seal cracks</v>
      </c>
      <c r="T477" s="5" t="str">
        <f aca="false">IF(S477=R477,"Yes","No")</f>
        <v>Yes</v>
      </c>
    </row>
    <row r="478" customFormat="false" ht="15" hidden="false" customHeight="false" outlineLevel="0" collapsed="false">
      <c r="A478" s="15" t="n">
        <v>693</v>
      </c>
      <c r="B478" s="16" t="n">
        <v>6.34113238814496</v>
      </c>
      <c r="C478" s="15" t="n">
        <v>300</v>
      </c>
      <c r="D478" s="15" t="n">
        <v>500</v>
      </c>
      <c r="E478" s="15" t="n">
        <v>20</v>
      </c>
      <c r="F478" s="16" t="n">
        <v>0.590490249132883</v>
      </c>
      <c r="G478" s="17" t="s">
        <v>91</v>
      </c>
      <c r="H478" s="18" t="n">
        <v>0.2</v>
      </c>
      <c r="I478" s="18" t="n">
        <v>1</v>
      </c>
      <c r="J478" s="19" t="n">
        <v>0.882436606128146</v>
      </c>
      <c r="K478" s="19" t="n">
        <v>0.551994740147901</v>
      </c>
      <c r="L478" s="16" t="n">
        <v>13.9672519562664</v>
      </c>
      <c r="M478" s="19" t="n">
        <v>0.611528378597776</v>
      </c>
      <c r="N478" s="19" t="n">
        <v>0.904283325410073</v>
      </c>
      <c r="O478" s="19" t="n">
        <v>0.882436606128146</v>
      </c>
      <c r="P478" s="19" t="n">
        <v>0.600456574103945</v>
      </c>
      <c r="Q478" s="17" t="s">
        <v>29</v>
      </c>
      <c r="R478" s="5" t="str">
        <f aca="false">IF(OR(Q478="Steel plate",Q478="Concrete jacket"),"Steel plate or jacket",Q478)</f>
        <v>Monitor</v>
      </c>
      <c r="S478" s="5" t="str">
        <f aca="false">IF(O478&lt;='Tree rules'!$C$4,IF(N478&lt;='Tree rules'!$C$5,IF(P478&lt;='Tree rules'!$C$6,"Monitor","Polymer laminate"),IF(P478&lt;='Tree rules'!$C$7,"Seal cracks","Polymer laminate")),IF(O478&lt;='Tree rules'!$C$8,IF(M478&lt;='Tree rules'!$C$9,"Steel plate or jacket","Polymer laminate"),IF(L478&lt;='Tree rules'!$C$10,"Steel plate or jacket","Polymer laminate")))</f>
        <v>Monitor</v>
      </c>
      <c r="T478" s="5" t="str">
        <f aca="false">IF(S478=R478,"Yes","No")</f>
        <v>Yes</v>
      </c>
    </row>
    <row r="479" customFormat="false" ht="15" hidden="false" customHeight="false" outlineLevel="0" collapsed="false">
      <c r="A479" s="15" t="n">
        <v>694</v>
      </c>
      <c r="B479" s="16" t="n">
        <v>4.83187594311215</v>
      </c>
      <c r="C479" s="15" t="n">
        <v>300</v>
      </c>
      <c r="D479" s="15" t="n">
        <v>450</v>
      </c>
      <c r="E479" s="15" t="n">
        <v>30</v>
      </c>
      <c r="F479" s="16" t="n">
        <v>0.995356088266073</v>
      </c>
      <c r="G479" s="17" t="s">
        <v>91</v>
      </c>
      <c r="H479" s="18" t="n">
        <v>0.2</v>
      </c>
      <c r="I479" s="18" t="n">
        <v>1</v>
      </c>
      <c r="J479" s="19" t="n">
        <v>0.851079149848266</v>
      </c>
      <c r="K479" s="19" t="n">
        <v>0.54436261869269</v>
      </c>
      <c r="L479" s="16" t="n">
        <v>11.9600889680994</v>
      </c>
      <c r="M479" s="19" t="n">
        <v>0.785425264366932</v>
      </c>
      <c r="N479" s="19" t="n">
        <v>0.787029537741192</v>
      </c>
      <c r="O479" s="19" t="n">
        <v>0.851079149848266</v>
      </c>
      <c r="P479" s="19" t="n">
        <v>0.507996317953745</v>
      </c>
      <c r="Q479" s="17" t="s">
        <v>29</v>
      </c>
      <c r="R479" s="5" t="str">
        <f aca="false">IF(OR(Q479="Steel plate",Q479="Concrete jacket"),"Steel plate or jacket",Q479)</f>
        <v>Monitor</v>
      </c>
      <c r="S479" s="5" t="str">
        <f aca="false">IF(O479&lt;='Tree rules'!$C$4,IF(N479&lt;='Tree rules'!$C$5,IF(P479&lt;='Tree rules'!$C$6,"Monitor","Polymer laminate"),IF(P479&lt;='Tree rules'!$C$7,"Seal cracks","Polymer laminate")),IF(O479&lt;='Tree rules'!$C$8,IF(M479&lt;='Tree rules'!$C$9,"Steel plate or jacket","Polymer laminate"),IF(L479&lt;='Tree rules'!$C$10,"Steel plate or jacket","Polymer laminate")))</f>
        <v>Monitor</v>
      </c>
      <c r="T479" s="5" t="str">
        <f aca="false">IF(S479=R479,"Yes","No")</f>
        <v>Yes</v>
      </c>
    </row>
    <row r="480" customFormat="false" ht="15" hidden="false" customHeight="false" outlineLevel="0" collapsed="false">
      <c r="A480" s="15" t="n">
        <v>695</v>
      </c>
      <c r="B480" s="16" t="n">
        <v>5.48398132471845</v>
      </c>
      <c r="C480" s="15" t="n">
        <v>300</v>
      </c>
      <c r="D480" s="15" t="n">
        <v>475</v>
      </c>
      <c r="E480" s="15" t="n">
        <v>30</v>
      </c>
      <c r="F480" s="16" t="n">
        <v>0.735735984447258</v>
      </c>
      <c r="G480" s="17" t="s">
        <v>91</v>
      </c>
      <c r="H480" s="18" t="n">
        <v>0.2</v>
      </c>
      <c r="I480" s="18" t="n">
        <v>2</v>
      </c>
      <c r="J480" s="19" t="n">
        <v>0.931738804478503</v>
      </c>
      <c r="K480" s="19" t="n">
        <v>0.404553719848819</v>
      </c>
      <c r="L480" s="16" t="n">
        <v>12.8430475988723</v>
      </c>
      <c r="M480" s="19" t="n">
        <v>0.803513014191042</v>
      </c>
      <c r="N480" s="19" t="n">
        <v>1.83733439523587</v>
      </c>
      <c r="O480" s="19" t="n">
        <v>1.48653920967774</v>
      </c>
      <c r="P480" s="19" t="n">
        <v>0.541259189690521</v>
      </c>
      <c r="Q480" s="17" t="s">
        <v>31</v>
      </c>
      <c r="R480" s="5" t="str">
        <f aca="false">IF(OR(Q480="Steel plate",Q480="Concrete jacket"),"Steel plate or jacket",Q480)</f>
        <v>Polymer laminate</v>
      </c>
      <c r="S480" s="5" t="str">
        <f aca="false">IF(O480&lt;='Tree rules'!$C$4,IF(N480&lt;='Tree rules'!$C$5,IF(P480&lt;='Tree rules'!$C$6,"Monitor","Polymer laminate"),IF(P480&lt;='Tree rules'!$C$7,"Seal cracks","Polymer laminate")),IF(O480&lt;='Tree rules'!$C$8,IF(M480&lt;='Tree rules'!$C$9,"Steel plate or jacket","Polymer laminate"),IF(L480&lt;='Tree rules'!$C$10,"Steel plate or jacket","Polymer laminate")))</f>
        <v>Steel plate or jacket</v>
      </c>
      <c r="T480" s="5" t="str">
        <f aca="false">IF(S480=R480,"Yes","No")</f>
        <v>No</v>
      </c>
    </row>
    <row r="481" customFormat="false" ht="15" hidden="false" customHeight="false" outlineLevel="0" collapsed="false">
      <c r="A481" s="15" t="n">
        <v>696</v>
      </c>
      <c r="B481" s="16" t="n">
        <v>5.91881090018036</v>
      </c>
      <c r="C481" s="15" t="n">
        <v>230</v>
      </c>
      <c r="D481" s="15" t="n">
        <v>475</v>
      </c>
      <c r="E481" s="15" t="n">
        <v>30</v>
      </c>
      <c r="F481" s="16" t="n">
        <v>0.611316296229087</v>
      </c>
      <c r="G481" s="17" t="s">
        <v>89</v>
      </c>
      <c r="H481" s="18" t="n">
        <v>0.3</v>
      </c>
      <c r="I481" s="18" t="n">
        <v>1</v>
      </c>
      <c r="J481" s="19" t="n">
        <v>0.873013497755265</v>
      </c>
      <c r="K481" s="19" t="n">
        <v>0.435294978892104</v>
      </c>
      <c r="L481" s="16" t="n">
        <v>13.7967620050824</v>
      </c>
      <c r="M481" s="19" t="n">
        <v>0.867619211038678</v>
      </c>
      <c r="N481" s="19" t="n">
        <v>0.56693914145226</v>
      </c>
      <c r="O481" s="19" t="n">
        <v>0.873013497755265</v>
      </c>
      <c r="P481" s="19" t="n">
        <v>0.344612924486554</v>
      </c>
      <c r="Q481" s="17" t="s">
        <v>29</v>
      </c>
      <c r="R481" s="5" t="str">
        <f aca="false">IF(OR(Q481="Steel plate",Q481="Concrete jacket"),"Steel plate or jacket",Q481)</f>
        <v>Monitor</v>
      </c>
      <c r="S481" s="5" t="str">
        <f aca="false">IF(O481&lt;='Tree rules'!$C$4,IF(N481&lt;='Tree rules'!$C$5,IF(P481&lt;='Tree rules'!$C$6,"Monitor","Polymer laminate"),IF(P481&lt;='Tree rules'!$C$7,"Seal cracks","Polymer laminate")),IF(O481&lt;='Tree rules'!$C$8,IF(M481&lt;='Tree rules'!$C$9,"Steel plate or jacket","Polymer laminate"),IF(L481&lt;='Tree rules'!$C$10,"Steel plate or jacket","Polymer laminate")))</f>
        <v>Monitor</v>
      </c>
      <c r="T481" s="5" t="str">
        <f aca="false">IF(S481=R481,"Yes","No")</f>
        <v>Yes</v>
      </c>
    </row>
    <row r="482" customFormat="false" ht="15" hidden="false" customHeight="false" outlineLevel="0" collapsed="false">
      <c r="A482" s="15" t="n">
        <v>697</v>
      </c>
      <c r="B482" s="16" t="n">
        <v>5.00771901723127</v>
      </c>
      <c r="C482" s="15" t="n">
        <v>300</v>
      </c>
      <c r="D482" s="15" t="n">
        <v>425</v>
      </c>
      <c r="E482" s="15" t="n">
        <v>25</v>
      </c>
      <c r="F482" s="16" t="n">
        <v>0.515015189113081</v>
      </c>
      <c r="G482" s="17" t="s">
        <v>90</v>
      </c>
      <c r="H482" s="18" t="n">
        <v>0.1</v>
      </c>
      <c r="I482" s="18" t="n">
        <v>1</v>
      </c>
      <c r="J482" s="19" t="n">
        <v>0.919405722070826</v>
      </c>
      <c r="K482" s="19" t="n">
        <v>0.502944037762833</v>
      </c>
      <c r="L482" s="16" t="n">
        <v>13.6822923968068</v>
      </c>
      <c r="M482" s="19" t="n">
        <v>0.707407843166301</v>
      </c>
      <c r="N482" s="19" t="n">
        <v>2.26751317831721</v>
      </c>
      <c r="O482" s="19" t="n">
        <v>0.919405722070826</v>
      </c>
      <c r="P482" s="19" t="n">
        <v>0.366040857909872</v>
      </c>
      <c r="Q482" s="17" t="s">
        <v>30</v>
      </c>
      <c r="R482" s="5" t="str">
        <f aca="false">IF(OR(Q482="Steel plate",Q482="Concrete jacket"),"Steel plate or jacket",Q482)</f>
        <v>Seal cracks</v>
      </c>
      <c r="S482" s="5" t="str">
        <f aca="false">IF(O482&lt;='Tree rules'!$C$4,IF(N482&lt;='Tree rules'!$C$5,IF(P482&lt;='Tree rules'!$C$6,"Monitor","Polymer laminate"),IF(P482&lt;='Tree rules'!$C$7,"Seal cracks","Polymer laminate")),IF(O482&lt;='Tree rules'!$C$8,IF(M482&lt;='Tree rules'!$C$9,"Steel plate or jacket","Polymer laminate"),IF(L482&lt;='Tree rules'!$C$10,"Steel plate or jacket","Polymer laminate")))</f>
        <v>Seal cracks</v>
      </c>
      <c r="T482" s="5" t="str">
        <f aca="false">IF(S482=R482,"Yes","No")</f>
        <v>Yes</v>
      </c>
    </row>
    <row r="483" customFormat="false" ht="15" hidden="false" customHeight="false" outlineLevel="0" collapsed="false">
      <c r="A483" s="15" t="n">
        <v>698</v>
      </c>
      <c r="B483" s="16" t="n">
        <v>7.15045706579127</v>
      </c>
      <c r="C483" s="15" t="n">
        <v>300</v>
      </c>
      <c r="D483" s="15" t="n">
        <v>625</v>
      </c>
      <c r="E483" s="15" t="n">
        <v>30</v>
      </c>
      <c r="F483" s="16" t="n">
        <v>0.694514438099298</v>
      </c>
      <c r="G483" s="17" t="s">
        <v>89</v>
      </c>
      <c r="H483" s="18" t="n">
        <v>0.3</v>
      </c>
      <c r="I483" s="18" t="n">
        <v>1</v>
      </c>
      <c r="J483" s="19" t="n">
        <v>0.955170151892064</v>
      </c>
      <c r="K483" s="19" t="n">
        <v>0.482083870720583</v>
      </c>
      <c r="L483" s="16" t="n">
        <v>12.3496667802958</v>
      </c>
      <c r="M483" s="19" t="n">
        <v>0.36519691093807</v>
      </c>
      <c r="N483" s="19" t="n">
        <v>0.623487671215382</v>
      </c>
      <c r="O483" s="19" t="n">
        <v>0.955170151892064</v>
      </c>
      <c r="P483" s="19" t="n">
        <v>0.915590986519086</v>
      </c>
      <c r="Q483" s="17" t="s">
        <v>29</v>
      </c>
      <c r="R483" s="5" t="str">
        <f aca="false">IF(OR(Q483="Steel plate",Q483="Concrete jacket"),"Steel plate or jacket",Q483)</f>
        <v>Monitor</v>
      </c>
      <c r="S483" s="5" t="str">
        <f aca="false">IF(O483&lt;='Tree rules'!$C$4,IF(N483&lt;='Tree rules'!$C$5,IF(P483&lt;='Tree rules'!$C$6,"Monitor","Polymer laminate"),IF(P483&lt;='Tree rules'!$C$7,"Seal cracks","Polymer laminate")),IF(O483&lt;='Tree rules'!$C$8,IF(M483&lt;='Tree rules'!$C$9,"Steel plate or jacket","Polymer laminate"),IF(L483&lt;='Tree rules'!$C$10,"Steel plate or jacket","Polymer laminate")))</f>
        <v>Monitor</v>
      </c>
      <c r="T483" s="5" t="str">
        <f aca="false">IF(S483=R483,"Yes","No")</f>
        <v>Yes</v>
      </c>
    </row>
    <row r="484" customFormat="false" ht="15" hidden="false" customHeight="false" outlineLevel="0" collapsed="false">
      <c r="A484" s="15" t="n">
        <v>699</v>
      </c>
      <c r="B484" s="16" t="n">
        <v>5.11210123630254</v>
      </c>
      <c r="C484" s="15" t="n">
        <v>300</v>
      </c>
      <c r="D484" s="15" t="n">
        <v>475</v>
      </c>
      <c r="E484" s="15" t="n">
        <v>30</v>
      </c>
      <c r="F484" s="16" t="n">
        <v>0.524813621945395</v>
      </c>
      <c r="G484" s="17" t="s">
        <v>89</v>
      </c>
      <c r="H484" s="18" t="n">
        <v>0.3</v>
      </c>
      <c r="I484" s="18" t="n">
        <v>2</v>
      </c>
      <c r="J484" s="19" t="n">
        <v>0.902219957271221</v>
      </c>
      <c r="K484" s="19" t="n">
        <v>0.632564350282748</v>
      </c>
      <c r="L484" s="16" t="n">
        <v>11.8610237501219</v>
      </c>
      <c r="M484" s="19" t="n">
        <v>0.916397408844301</v>
      </c>
      <c r="N484" s="19" t="n">
        <v>0.727811568133999</v>
      </c>
      <c r="O484" s="19" t="n">
        <v>1.23372773345904</v>
      </c>
      <c r="P484" s="19" t="n">
        <v>0.35039041594826</v>
      </c>
      <c r="Q484" s="17" t="s">
        <v>31</v>
      </c>
      <c r="R484" s="5" t="str">
        <f aca="false">IF(OR(Q484="Steel plate",Q484="Concrete jacket"),"Steel plate or jacket",Q484)</f>
        <v>Polymer laminate</v>
      </c>
      <c r="S484" s="5" t="str">
        <f aca="false">IF(O484&lt;='Tree rules'!$C$4,IF(N484&lt;='Tree rules'!$C$5,IF(P484&lt;='Tree rules'!$C$6,"Monitor","Polymer laminate"),IF(P484&lt;='Tree rules'!$C$7,"Seal cracks","Polymer laminate")),IF(O484&lt;='Tree rules'!$C$8,IF(M484&lt;='Tree rules'!$C$9,"Steel plate or jacket","Polymer laminate"),IF(L484&lt;='Tree rules'!$C$10,"Steel plate or jacket","Polymer laminate")))</f>
        <v>Polymer laminate</v>
      </c>
      <c r="T484" s="5" t="str">
        <f aca="false">IF(S484=R484,"Yes","No")</f>
        <v>Yes</v>
      </c>
    </row>
    <row r="485" customFormat="false" ht="15" hidden="false" customHeight="false" outlineLevel="0" collapsed="false">
      <c r="A485" s="15" t="n">
        <v>700</v>
      </c>
      <c r="B485" s="16" t="n">
        <v>5.39963768634108</v>
      </c>
      <c r="C485" s="15" t="n">
        <v>230</v>
      </c>
      <c r="D485" s="15" t="n">
        <v>475</v>
      </c>
      <c r="E485" s="15" t="n">
        <v>25</v>
      </c>
      <c r="F485" s="16" t="n">
        <v>0.611316296229087</v>
      </c>
      <c r="G485" s="17" t="s">
        <v>89</v>
      </c>
      <c r="H485" s="18" t="n">
        <v>0.3</v>
      </c>
      <c r="I485" s="18" t="n">
        <v>1</v>
      </c>
      <c r="J485" s="19" t="n">
        <v>0.90963315798776</v>
      </c>
      <c r="K485" s="19" t="n">
        <v>0.611195134512766</v>
      </c>
      <c r="L485" s="16" t="n">
        <v>12.5865680334291</v>
      </c>
      <c r="M485" s="19" t="n">
        <v>0.295213049440766</v>
      </c>
      <c r="N485" s="19" t="n">
        <v>0.690824104155884</v>
      </c>
      <c r="O485" s="19" t="n">
        <v>0.90963315798776</v>
      </c>
      <c r="P485" s="19" t="n">
        <v>1.07970527880517</v>
      </c>
      <c r="Q485" s="17" t="s">
        <v>31</v>
      </c>
      <c r="R485" s="5" t="str">
        <f aca="false">IF(OR(Q485="Steel plate",Q485="Concrete jacket"),"Steel plate or jacket",Q485)</f>
        <v>Polymer laminate</v>
      </c>
      <c r="S485" s="5" t="str">
        <f aca="false">IF(O485&lt;='Tree rules'!$C$4,IF(N485&lt;='Tree rules'!$C$5,IF(P485&lt;='Tree rules'!$C$6,"Monitor","Polymer laminate"),IF(P485&lt;='Tree rules'!$C$7,"Seal cracks","Polymer laminate")),IF(O485&lt;='Tree rules'!$C$8,IF(M485&lt;='Tree rules'!$C$9,"Steel plate or jacket","Polymer laminate"),IF(L485&lt;='Tree rules'!$C$10,"Steel plate or jacket","Polymer laminate")))</f>
        <v>Polymer laminate</v>
      </c>
      <c r="T485" s="5" t="str">
        <f aca="false">IF(S485=R485,"Yes","No")</f>
        <v>Yes</v>
      </c>
    </row>
    <row r="486" customFormat="false" ht="15" hidden="false" customHeight="false" outlineLevel="0" collapsed="false">
      <c r="A486" s="15" t="n">
        <v>702</v>
      </c>
      <c r="B486" s="16" t="n">
        <v>5.15880694487963</v>
      </c>
      <c r="C486" s="15" t="n">
        <v>300</v>
      </c>
      <c r="D486" s="15" t="n">
        <v>450</v>
      </c>
      <c r="E486" s="15" t="n">
        <v>30</v>
      </c>
      <c r="F486" s="16" t="n">
        <v>0.781490709848207</v>
      </c>
      <c r="G486" s="17" t="s">
        <v>91</v>
      </c>
      <c r="H486" s="18" t="n">
        <v>0.2</v>
      </c>
      <c r="I486" s="18" t="n">
        <v>1.5</v>
      </c>
      <c r="J486" s="19" t="n">
        <v>0.883649581838294</v>
      </c>
      <c r="K486" s="19" t="n">
        <v>0.436210999677218</v>
      </c>
      <c r="L486" s="16" t="n">
        <v>12.8328530967155</v>
      </c>
      <c r="M486" s="19" t="n">
        <v>0.458688246639441</v>
      </c>
      <c r="N486" s="19" t="n">
        <v>1.45706639200364</v>
      </c>
      <c r="O486" s="19" t="n">
        <v>1.13274553902842</v>
      </c>
      <c r="P486" s="19" t="n">
        <v>0.79188401145665</v>
      </c>
      <c r="Q486" s="17" t="s">
        <v>31</v>
      </c>
      <c r="R486" s="5" t="str">
        <f aca="false">IF(OR(Q486="Steel plate",Q486="Concrete jacket"),"Steel plate or jacket",Q486)</f>
        <v>Polymer laminate</v>
      </c>
      <c r="S486" s="5" t="str">
        <f aca="false">IF(O486&lt;='Tree rules'!$C$4,IF(N486&lt;='Tree rules'!$C$5,IF(P486&lt;='Tree rules'!$C$6,"Monitor","Polymer laminate"),IF(P486&lt;='Tree rules'!$C$7,"Seal cracks","Polymer laminate")),IF(O486&lt;='Tree rules'!$C$8,IF(M486&lt;='Tree rules'!$C$9,"Steel plate or jacket","Polymer laminate"),IF(L486&lt;='Tree rules'!$C$10,"Steel plate or jacket","Polymer laminate")))</f>
        <v>Polymer laminate</v>
      </c>
      <c r="T486" s="5" t="str">
        <f aca="false">IF(S486=R486,"Yes","No")</f>
        <v>Yes</v>
      </c>
    </row>
    <row r="487" customFormat="false" ht="15" hidden="false" customHeight="false" outlineLevel="0" collapsed="false">
      <c r="A487" s="15" t="n">
        <v>703</v>
      </c>
      <c r="B487" s="16" t="n">
        <v>4.66090274145697</v>
      </c>
      <c r="C487" s="15" t="n">
        <v>230</v>
      </c>
      <c r="D487" s="15" t="n">
        <v>450</v>
      </c>
      <c r="E487" s="15" t="n">
        <v>30</v>
      </c>
      <c r="F487" s="16" t="n">
        <v>0.649145274956135</v>
      </c>
      <c r="G487" s="17" t="s">
        <v>91</v>
      </c>
      <c r="H487" s="18" t="n">
        <v>0.2</v>
      </c>
      <c r="I487" s="18" t="n">
        <v>1.5</v>
      </c>
      <c r="J487" s="19" t="n">
        <v>0.909646252627083</v>
      </c>
      <c r="K487" s="19" t="n">
        <v>0.591477874260747</v>
      </c>
      <c r="L487" s="16" t="n">
        <v>11.5368879739034</v>
      </c>
      <c r="M487" s="19" t="n">
        <v>0.387086757064675</v>
      </c>
      <c r="N487" s="19" t="n">
        <v>1.23707765519499</v>
      </c>
      <c r="O487" s="19" t="n">
        <v>1.09545156302406</v>
      </c>
      <c r="P487" s="19" t="n">
        <v>0.799916094307069</v>
      </c>
      <c r="Q487" s="17" t="s">
        <v>31</v>
      </c>
      <c r="R487" s="5" t="str">
        <f aca="false">IF(OR(Q487="Steel plate",Q487="Concrete jacket"),"Steel plate or jacket",Q487)</f>
        <v>Polymer laminate</v>
      </c>
      <c r="S487" s="5" t="str">
        <f aca="false">IF(O487&lt;='Tree rules'!$C$4,IF(N487&lt;='Tree rules'!$C$5,IF(P487&lt;='Tree rules'!$C$6,"Monitor","Polymer laminate"),IF(P487&lt;='Tree rules'!$C$7,"Seal cracks","Polymer laminate")),IF(O487&lt;='Tree rules'!$C$8,IF(M487&lt;='Tree rules'!$C$9,"Steel plate or jacket","Polymer laminate"),IF(L487&lt;='Tree rules'!$C$10,"Steel plate or jacket","Polymer laminate")))</f>
        <v>Polymer laminate</v>
      </c>
      <c r="T487" s="5" t="str">
        <f aca="false">IF(S487=R487,"Yes","No")</f>
        <v>Yes</v>
      </c>
    </row>
    <row r="488" customFormat="false" ht="15" hidden="false" customHeight="false" outlineLevel="0" collapsed="false">
      <c r="A488" s="15" t="n">
        <v>704</v>
      </c>
      <c r="B488" s="16" t="n">
        <v>6.63954301351845</v>
      </c>
      <c r="C488" s="15" t="n">
        <v>230</v>
      </c>
      <c r="D488" s="15" t="n">
        <v>575</v>
      </c>
      <c r="E488" s="15" t="n">
        <v>30</v>
      </c>
      <c r="F488" s="16" t="n">
        <v>0.777557789024782</v>
      </c>
      <c r="G488" s="17" t="s">
        <v>91</v>
      </c>
      <c r="H488" s="18" t="n">
        <v>0.2</v>
      </c>
      <c r="I488" s="18" t="n">
        <v>1</v>
      </c>
      <c r="J488" s="19" t="n">
        <v>0.851331143570998</v>
      </c>
      <c r="K488" s="19" t="n">
        <v>0.409775485583916</v>
      </c>
      <c r="L488" s="16" t="n">
        <v>12.5987533463348</v>
      </c>
      <c r="M488" s="19" t="n">
        <v>0.676214147285556</v>
      </c>
      <c r="N488" s="19" t="n">
        <v>0.876652399968786</v>
      </c>
      <c r="O488" s="19" t="n">
        <v>0.851331143570998</v>
      </c>
      <c r="P488" s="19" t="n">
        <v>0.478424972917218</v>
      </c>
      <c r="Q488" s="17" t="s">
        <v>29</v>
      </c>
      <c r="R488" s="5" t="str">
        <f aca="false">IF(OR(Q488="Steel plate",Q488="Concrete jacket"),"Steel plate or jacket",Q488)</f>
        <v>Monitor</v>
      </c>
      <c r="S488" s="5" t="str">
        <f aca="false">IF(O488&lt;='Tree rules'!$C$4,IF(N488&lt;='Tree rules'!$C$5,IF(P488&lt;='Tree rules'!$C$6,"Monitor","Polymer laminate"),IF(P488&lt;='Tree rules'!$C$7,"Seal cracks","Polymer laminate")),IF(O488&lt;='Tree rules'!$C$8,IF(M488&lt;='Tree rules'!$C$9,"Steel plate or jacket","Polymer laminate"),IF(L488&lt;='Tree rules'!$C$10,"Steel plate or jacket","Polymer laminate")))</f>
        <v>Monitor</v>
      </c>
      <c r="T488" s="5" t="str">
        <f aca="false">IF(S488=R488,"Yes","No")</f>
        <v>Yes</v>
      </c>
    </row>
    <row r="489" customFormat="false" ht="15" hidden="false" customHeight="false" outlineLevel="0" collapsed="false">
      <c r="A489" s="15" t="n">
        <v>705</v>
      </c>
      <c r="B489" s="16" t="n">
        <v>3.83633111401145</v>
      </c>
      <c r="C489" s="15" t="n">
        <v>300</v>
      </c>
      <c r="D489" s="15" t="n">
        <v>350</v>
      </c>
      <c r="E489" s="15" t="n">
        <v>30</v>
      </c>
      <c r="F489" s="16" t="n">
        <v>1.04026246807609</v>
      </c>
      <c r="G489" s="17" t="s">
        <v>89</v>
      </c>
      <c r="H489" s="18" t="n">
        <v>0.3</v>
      </c>
      <c r="I489" s="18" t="n">
        <v>1.5</v>
      </c>
      <c r="J489" s="19" t="n">
        <v>0.858273220686727</v>
      </c>
      <c r="K489" s="19" t="n">
        <v>0.478191851359258</v>
      </c>
      <c r="L489" s="16" t="n">
        <v>12.7030831589783</v>
      </c>
      <c r="M489" s="19" t="n">
        <v>0.606300972210583</v>
      </c>
      <c r="N489" s="19" t="n">
        <v>0.90874287978315</v>
      </c>
      <c r="O489" s="19" t="n">
        <v>1.08220020084396</v>
      </c>
      <c r="P489" s="19" t="n">
        <v>0.687493928135963</v>
      </c>
      <c r="Q489" s="17" t="s">
        <v>31</v>
      </c>
      <c r="R489" s="5" t="str">
        <f aca="false">IF(OR(Q489="Steel plate",Q489="Concrete jacket"),"Steel plate or jacket",Q489)</f>
        <v>Polymer laminate</v>
      </c>
      <c r="S489" s="5" t="str">
        <f aca="false">IF(O489&lt;='Tree rules'!$C$4,IF(N489&lt;='Tree rules'!$C$5,IF(P489&lt;='Tree rules'!$C$6,"Monitor","Polymer laminate"),IF(P489&lt;='Tree rules'!$C$7,"Seal cracks","Polymer laminate")),IF(O489&lt;='Tree rules'!$C$8,IF(M489&lt;='Tree rules'!$C$9,"Steel plate or jacket","Polymer laminate"),IF(L489&lt;='Tree rules'!$C$10,"Steel plate or jacket","Polymer laminate")))</f>
        <v>Polymer laminate</v>
      </c>
      <c r="T489" s="5" t="str">
        <f aca="false">IF(S489=R489,"Yes","No")</f>
        <v>Yes</v>
      </c>
    </row>
    <row r="490" customFormat="false" ht="15" hidden="false" customHeight="false" outlineLevel="0" collapsed="false">
      <c r="A490" s="15" t="n">
        <v>706</v>
      </c>
      <c r="B490" s="16" t="n">
        <v>3.93609657824032</v>
      </c>
      <c r="C490" s="15" t="n">
        <v>230</v>
      </c>
      <c r="D490" s="15" t="n">
        <v>400</v>
      </c>
      <c r="E490" s="15" t="n">
        <v>25</v>
      </c>
      <c r="F490" s="16" t="n">
        <v>0.740832460684402</v>
      </c>
      <c r="G490" s="17" t="s">
        <v>91</v>
      </c>
      <c r="H490" s="18" t="n">
        <v>0.2</v>
      </c>
      <c r="I490" s="18" t="n">
        <v>1</v>
      </c>
      <c r="J490" s="19" t="n">
        <v>0.937820372074937</v>
      </c>
      <c r="K490" s="19" t="n">
        <v>0.532084100673893</v>
      </c>
      <c r="L490" s="16" t="n">
        <v>11.1189168876845</v>
      </c>
      <c r="M490" s="19" t="n">
        <v>0.661186165386038</v>
      </c>
      <c r="N490" s="19" t="n">
        <v>0.997742415500166</v>
      </c>
      <c r="O490" s="19" t="n">
        <v>0.937820372074937</v>
      </c>
      <c r="P490" s="19" t="n">
        <v>0.478509167210035</v>
      </c>
      <c r="Q490" s="17" t="s">
        <v>29</v>
      </c>
      <c r="R490" s="5" t="str">
        <f aca="false">IF(OR(Q490="Steel plate",Q490="Concrete jacket"),"Steel plate or jacket",Q490)</f>
        <v>Monitor</v>
      </c>
      <c r="S490" s="5" t="str">
        <f aca="false">IF(O490&lt;='Tree rules'!$C$4,IF(N490&lt;='Tree rules'!$C$5,IF(P490&lt;='Tree rules'!$C$6,"Monitor","Polymer laminate"),IF(P490&lt;='Tree rules'!$C$7,"Seal cracks","Polymer laminate")),IF(O490&lt;='Tree rules'!$C$8,IF(M490&lt;='Tree rules'!$C$9,"Steel plate or jacket","Polymer laminate"),IF(L490&lt;='Tree rules'!$C$10,"Steel plate or jacket","Polymer laminate")))</f>
        <v>Monitor</v>
      </c>
      <c r="T490" s="5" t="str">
        <f aca="false">IF(S490=R490,"Yes","No")</f>
        <v>Yes</v>
      </c>
    </row>
    <row r="491" customFormat="false" ht="15" hidden="false" customHeight="false" outlineLevel="0" collapsed="false">
      <c r="A491" s="15" t="n">
        <v>707</v>
      </c>
      <c r="B491" s="16" t="n">
        <v>6.61670775920217</v>
      </c>
      <c r="C491" s="15" t="n">
        <v>230</v>
      </c>
      <c r="D491" s="15" t="n">
        <v>625</v>
      </c>
      <c r="E491" s="15" t="n">
        <v>25</v>
      </c>
      <c r="F491" s="16" t="n">
        <v>0.603925598347216</v>
      </c>
      <c r="G491" s="17" t="s">
        <v>91</v>
      </c>
      <c r="H491" s="18" t="n">
        <v>0.2</v>
      </c>
      <c r="I491" s="18" t="n">
        <v>2</v>
      </c>
      <c r="J491" s="19" t="n">
        <v>0.949095101543414</v>
      </c>
      <c r="K491" s="19" t="n">
        <v>0.408889965234022</v>
      </c>
      <c r="L491" s="16" t="n">
        <v>11.4278199640797</v>
      </c>
      <c r="M491" s="19" t="n">
        <v>0.462080014262296</v>
      </c>
      <c r="N491" s="19" t="n">
        <v>1.49045461496139</v>
      </c>
      <c r="O491" s="19" t="n">
        <v>1.51011474001296</v>
      </c>
      <c r="P491" s="19" t="n">
        <v>0.800835750384778</v>
      </c>
      <c r="Q491" s="17" t="s">
        <v>92</v>
      </c>
      <c r="R491" s="5" t="str">
        <f aca="false">IF(OR(Q491="Steel plate",Q491="Concrete jacket"),"Steel plate or jacket",Q491)</f>
        <v>Steel plate or jacket</v>
      </c>
      <c r="S491" s="5" t="str">
        <f aca="false">IF(O491&lt;='Tree rules'!$C$4,IF(N491&lt;='Tree rules'!$C$5,IF(P491&lt;='Tree rules'!$C$6,"Monitor","Polymer laminate"),IF(P491&lt;='Tree rules'!$C$7,"Seal cracks","Polymer laminate")),IF(O491&lt;='Tree rules'!$C$8,IF(M491&lt;='Tree rules'!$C$9,"Steel plate or jacket","Polymer laminate"),IF(L491&lt;='Tree rules'!$C$10,"Steel plate or jacket","Polymer laminate")))</f>
        <v>Steel plate or jacket</v>
      </c>
      <c r="T491" s="5" t="str">
        <f aca="false">IF(S491=R491,"Yes","No")</f>
        <v>Yes</v>
      </c>
    </row>
    <row r="492" customFormat="false" ht="15" hidden="false" customHeight="false" outlineLevel="0" collapsed="false">
      <c r="A492" s="15" t="n">
        <v>708</v>
      </c>
      <c r="B492" s="16" t="n">
        <v>5.32367836873005</v>
      </c>
      <c r="C492" s="15" t="n">
        <v>300</v>
      </c>
      <c r="D492" s="15" t="n">
        <v>475</v>
      </c>
      <c r="E492" s="15" t="n">
        <v>25</v>
      </c>
      <c r="F492" s="16" t="n">
        <v>0.624901102811956</v>
      </c>
      <c r="G492" s="17" t="s">
        <v>89</v>
      </c>
      <c r="H492" s="18" t="n">
        <v>0.3</v>
      </c>
      <c r="I492" s="18" t="n">
        <v>1</v>
      </c>
      <c r="J492" s="19" t="n">
        <v>0.930949972236094</v>
      </c>
      <c r="K492" s="19" t="n">
        <v>0.515622135724019</v>
      </c>
      <c r="L492" s="16" t="n">
        <v>12.4095066870164</v>
      </c>
      <c r="M492" s="19" t="n">
        <v>0.947752507320545</v>
      </c>
      <c r="N492" s="19" t="n">
        <v>0.594463658814037</v>
      </c>
      <c r="O492" s="19" t="n">
        <v>0.930949972236094</v>
      </c>
      <c r="P492" s="19" t="n">
        <v>0.353885808330998</v>
      </c>
      <c r="Q492" s="17" t="s">
        <v>29</v>
      </c>
      <c r="R492" s="5" t="str">
        <f aca="false">IF(OR(Q492="Steel plate",Q492="Concrete jacket"),"Steel plate or jacket",Q492)</f>
        <v>Monitor</v>
      </c>
      <c r="S492" s="5" t="str">
        <f aca="false">IF(O492&lt;='Tree rules'!$C$4,IF(N492&lt;='Tree rules'!$C$5,IF(P492&lt;='Tree rules'!$C$6,"Monitor","Polymer laminate"),IF(P492&lt;='Tree rules'!$C$7,"Seal cracks","Polymer laminate")),IF(O492&lt;='Tree rules'!$C$8,IF(M492&lt;='Tree rules'!$C$9,"Steel plate or jacket","Polymer laminate"),IF(L492&lt;='Tree rules'!$C$10,"Steel plate or jacket","Polymer laminate")))</f>
        <v>Monitor</v>
      </c>
      <c r="T492" s="5" t="str">
        <f aca="false">IF(S492=R492,"Yes","No")</f>
        <v>Yes</v>
      </c>
    </row>
    <row r="493" customFormat="false" ht="15" hidden="false" customHeight="false" outlineLevel="0" collapsed="false">
      <c r="A493" s="15" t="n">
        <v>709</v>
      </c>
      <c r="B493" s="16" t="n">
        <v>3.11534559117757</v>
      </c>
      <c r="C493" s="15" t="n">
        <v>300</v>
      </c>
      <c r="D493" s="15" t="n">
        <v>300</v>
      </c>
      <c r="E493" s="15" t="n">
        <v>30</v>
      </c>
      <c r="F493" s="16" t="n">
        <v>0.736310778185108</v>
      </c>
      <c r="G493" s="17" t="s">
        <v>91</v>
      </c>
      <c r="H493" s="18" t="n">
        <v>0.2</v>
      </c>
      <c r="I493" s="18" t="n">
        <v>1</v>
      </c>
      <c r="J493" s="19" t="n">
        <v>0.923194664771744</v>
      </c>
      <c r="K493" s="19" t="n">
        <v>0.437353593109393</v>
      </c>
      <c r="L493" s="16" t="n">
        <v>12.1693187155374</v>
      </c>
      <c r="M493" s="19" t="n">
        <v>0.368102583880443</v>
      </c>
      <c r="N493" s="19" t="n">
        <v>1.00664933746853</v>
      </c>
      <c r="O493" s="19" t="n">
        <v>0.923194664771744</v>
      </c>
      <c r="P493" s="19" t="n">
        <v>0.690724111956548</v>
      </c>
      <c r="Q493" s="17" t="s">
        <v>30</v>
      </c>
      <c r="R493" s="5" t="str">
        <f aca="false">IF(OR(Q493="Steel plate",Q493="Concrete jacket"),"Steel plate or jacket",Q493)</f>
        <v>Seal cracks</v>
      </c>
      <c r="S493" s="5" t="str">
        <f aca="false">IF(O493&lt;='Tree rules'!$C$4,IF(N493&lt;='Tree rules'!$C$5,IF(P493&lt;='Tree rules'!$C$6,"Monitor","Polymer laminate"),IF(P493&lt;='Tree rules'!$C$7,"Seal cracks","Polymer laminate")),IF(O493&lt;='Tree rules'!$C$8,IF(M493&lt;='Tree rules'!$C$9,"Steel plate or jacket","Polymer laminate"),IF(L493&lt;='Tree rules'!$C$10,"Steel plate or jacket","Polymer laminate")))</f>
        <v>Seal cracks</v>
      </c>
      <c r="T493" s="5" t="str">
        <f aca="false">IF(S493=R493,"Yes","No")</f>
        <v>Yes</v>
      </c>
    </row>
    <row r="494" customFormat="false" ht="15" hidden="false" customHeight="false" outlineLevel="0" collapsed="false">
      <c r="A494" s="15" t="n">
        <v>710</v>
      </c>
      <c r="B494" s="16" t="n">
        <v>4.96012635131174</v>
      </c>
      <c r="C494" s="15" t="n">
        <v>230</v>
      </c>
      <c r="D494" s="15" t="n">
        <v>425</v>
      </c>
      <c r="E494" s="15" t="n">
        <v>25</v>
      </c>
      <c r="F494" s="16" t="n">
        <v>0.691964884122107</v>
      </c>
      <c r="G494" s="17" t="s">
        <v>89</v>
      </c>
      <c r="H494" s="18" t="n">
        <v>0.3</v>
      </c>
      <c r="I494" s="18" t="n">
        <v>1</v>
      </c>
      <c r="J494" s="19" t="n">
        <v>0.941160520834299</v>
      </c>
      <c r="K494" s="19" t="n">
        <v>0.435667626311232</v>
      </c>
      <c r="L494" s="16" t="n">
        <v>13.0874046208753</v>
      </c>
      <c r="M494" s="19" t="n">
        <v>0.770145037647241</v>
      </c>
      <c r="N494" s="19" t="n">
        <v>0.64512809516973</v>
      </c>
      <c r="O494" s="19" t="n">
        <v>0.941160520834299</v>
      </c>
      <c r="P494" s="19" t="n">
        <v>0.440240206542798</v>
      </c>
      <c r="Q494" s="17" t="s">
        <v>29</v>
      </c>
      <c r="R494" s="5" t="str">
        <f aca="false">IF(OR(Q494="Steel plate",Q494="Concrete jacket"),"Steel plate or jacket",Q494)</f>
        <v>Monitor</v>
      </c>
      <c r="S494" s="5" t="str">
        <f aca="false">IF(O494&lt;='Tree rules'!$C$4,IF(N494&lt;='Tree rules'!$C$5,IF(P494&lt;='Tree rules'!$C$6,"Monitor","Polymer laminate"),IF(P494&lt;='Tree rules'!$C$7,"Seal cracks","Polymer laminate")),IF(O494&lt;='Tree rules'!$C$8,IF(M494&lt;='Tree rules'!$C$9,"Steel plate or jacket","Polymer laminate"),IF(L494&lt;='Tree rules'!$C$10,"Steel plate or jacket","Polymer laminate")))</f>
        <v>Monitor</v>
      </c>
      <c r="T494" s="5" t="str">
        <f aca="false">IF(S494=R494,"Yes","No")</f>
        <v>Yes</v>
      </c>
    </row>
    <row r="495" customFormat="false" ht="15" hidden="false" customHeight="false" outlineLevel="0" collapsed="false">
      <c r="A495" s="15" t="n">
        <v>711</v>
      </c>
      <c r="B495" s="16" t="n">
        <v>6.8746081035006</v>
      </c>
      <c r="C495" s="15" t="n">
        <v>300</v>
      </c>
      <c r="D495" s="15" t="n">
        <v>550</v>
      </c>
      <c r="E495" s="15" t="n">
        <v>30</v>
      </c>
      <c r="F495" s="16" t="n">
        <v>0.625815269639401</v>
      </c>
      <c r="G495" s="17" t="s">
        <v>91</v>
      </c>
      <c r="H495" s="18" t="n">
        <v>0.2</v>
      </c>
      <c r="I495" s="18" t="n">
        <v>1</v>
      </c>
      <c r="J495" s="19" t="n">
        <v>0.861315400259783</v>
      </c>
      <c r="K495" s="19" t="n">
        <v>0.473590032027371</v>
      </c>
      <c r="L495" s="16" t="n">
        <v>13.6944384531885</v>
      </c>
      <c r="M495" s="19" t="n">
        <v>0.3427104907106</v>
      </c>
      <c r="N495" s="19" t="n">
        <v>1.12069466370606</v>
      </c>
      <c r="O495" s="19" t="n">
        <v>0.861315400259783</v>
      </c>
      <c r="P495" s="19" t="n">
        <v>0.857023863137278</v>
      </c>
      <c r="Q495" s="17" t="s">
        <v>30</v>
      </c>
      <c r="R495" s="5" t="str">
        <f aca="false">IF(OR(Q495="Steel plate",Q495="Concrete jacket"),"Steel plate or jacket",Q495)</f>
        <v>Seal cracks</v>
      </c>
      <c r="S495" s="5" t="str">
        <f aca="false">IF(O495&lt;='Tree rules'!$C$4,IF(N495&lt;='Tree rules'!$C$5,IF(P495&lt;='Tree rules'!$C$6,"Monitor","Polymer laminate"),IF(P495&lt;='Tree rules'!$C$7,"Seal cracks","Polymer laminate")),IF(O495&lt;='Tree rules'!$C$8,IF(M495&lt;='Tree rules'!$C$9,"Steel plate or jacket","Polymer laminate"),IF(L495&lt;='Tree rules'!$C$10,"Steel plate or jacket","Polymer laminate")))</f>
        <v>Seal cracks</v>
      </c>
      <c r="T495" s="5" t="str">
        <f aca="false">IF(S495=R495,"Yes","No")</f>
        <v>Yes</v>
      </c>
    </row>
    <row r="496" customFormat="false" ht="15" hidden="false" customHeight="false" outlineLevel="0" collapsed="false">
      <c r="A496" s="15" t="n">
        <v>713</v>
      </c>
      <c r="B496" s="16" t="n">
        <v>7.55958202866972</v>
      </c>
      <c r="C496" s="15" t="n">
        <v>300</v>
      </c>
      <c r="D496" s="15" t="n">
        <v>650</v>
      </c>
      <c r="E496" s="15" t="n">
        <v>25</v>
      </c>
      <c r="F496" s="16" t="n">
        <v>0.521859244782358</v>
      </c>
      <c r="G496" s="17" t="s">
        <v>91</v>
      </c>
      <c r="H496" s="18" t="n">
        <v>0.2</v>
      </c>
      <c r="I496" s="18" t="n">
        <v>1</v>
      </c>
      <c r="J496" s="19" t="n">
        <v>0.862704724474435</v>
      </c>
      <c r="K496" s="19" t="n">
        <v>0.607096023561757</v>
      </c>
      <c r="L496" s="16" t="n">
        <v>12.5574452303484</v>
      </c>
      <c r="M496" s="19" t="n">
        <v>0.487451606007385</v>
      </c>
      <c r="N496" s="19" t="n">
        <v>1.06008599057091</v>
      </c>
      <c r="O496" s="19" t="n">
        <v>0.862704724474435</v>
      </c>
      <c r="P496" s="19" t="n">
        <v>0.602887669330607</v>
      </c>
      <c r="Q496" s="17" t="s">
        <v>30</v>
      </c>
      <c r="R496" s="5" t="str">
        <f aca="false">IF(OR(Q496="Steel plate",Q496="Concrete jacket"),"Steel plate or jacket",Q496)</f>
        <v>Seal cracks</v>
      </c>
      <c r="S496" s="5" t="str">
        <f aca="false">IF(O496&lt;='Tree rules'!$C$4,IF(N496&lt;='Tree rules'!$C$5,IF(P496&lt;='Tree rules'!$C$6,"Monitor","Polymer laminate"),IF(P496&lt;='Tree rules'!$C$7,"Seal cracks","Polymer laminate")),IF(O496&lt;='Tree rules'!$C$8,IF(M496&lt;='Tree rules'!$C$9,"Steel plate or jacket","Polymer laminate"),IF(L496&lt;='Tree rules'!$C$10,"Steel plate or jacket","Polymer laminate")))</f>
        <v>Seal cracks</v>
      </c>
      <c r="T496" s="5" t="str">
        <f aca="false">IF(S496=R496,"Yes","No")</f>
        <v>Yes</v>
      </c>
    </row>
    <row r="497" customFormat="false" ht="15" hidden="false" customHeight="false" outlineLevel="0" collapsed="false">
      <c r="A497" s="15" t="n">
        <v>715</v>
      </c>
      <c r="B497" s="16" t="n">
        <v>6.73567569611856</v>
      </c>
      <c r="C497" s="15" t="n">
        <v>230</v>
      </c>
      <c r="D497" s="15" t="n">
        <v>625</v>
      </c>
      <c r="E497" s="15" t="n">
        <v>25</v>
      </c>
      <c r="F497" s="16" t="n">
        <v>0.603925598347216</v>
      </c>
      <c r="G497" s="17" t="s">
        <v>91</v>
      </c>
      <c r="H497" s="18" t="n">
        <v>0.2</v>
      </c>
      <c r="I497" s="18" t="n">
        <v>1</v>
      </c>
      <c r="J497" s="19" t="n">
        <v>0.897325303895537</v>
      </c>
      <c r="K497" s="19" t="n">
        <v>0.529977156601622</v>
      </c>
      <c r="L497" s="16" t="n">
        <v>11.6332913577177</v>
      </c>
      <c r="M497" s="19" t="n">
        <v>0.291619007131251</v>
      </c>
      <c r="N497" s="19" t="n">
        <v>0.907192421856046</v>
      </c>
      <c r="O497" s="19" t="n">
        <v>0.897325303895537</v>
      </c>
      <c r="P497" s="19" t="n">
        <v>0.994565143728807</v>
      </c>
      <c r="Q497" s="17" t="s">
        <v>31</v>
      </c>
      <c r="R497" s="5" t="str">
        <f aca="false">IF(OR(Q497="Steel plate",Q497="Concrete jacket"),"Steel plate or jacket",Q497)</f>
        <v>Polymer laminate</v>
      </c>
      <c r="S497" s="5" t="str">
        <f aca="false">IF(O497&lt;='Tree rules'!$C$4,IF(N497&lt;='Tree rules'!$C$5,IF(P497&lt;='Tree rules'!$C$6,"Monitor","Polymer laminate"),IF(P497&lt;='Tree rules'!$C$7,"Seal cracks","Polymer laminate")),IF(O497&lt;='Tree rules'!$C$8,IF(M497&lt;='Tree rules'!$C$9,"Steel plate or jacket","Polymer laminate"),IF(L497&lt;='Tree rules'!$C$10,"Steel plate or jacket","Polymer laminate")))</f>
        <v>Polymer laminate</v>
      </c>
      <c r="T497" s="5" t="str">
        <f aca="false">IF(S497=R497,"Yes","No")</f>
        <v>Yes</v>
      </c>
    </row>
    <row r="498" customFormat="false" ht="15" hidden="false" customHeight="false" outlineLevel="0" collapsed="false">
      <c r="A498" s="15" t="n">
        <v>717</v>
      </c>
      <c r="B498" s="16" t="n">
        <v>7.71571449925948</v>
      </c>
      <c r="C498" s="15" t="n">
        <v>300</v>
      </c>
      <c r="D498" s="15" t="n">
        <v>675</v>
      </c>
      <c r="E498" s="15" t="n">
        <v>25</v>
      </c>
      <c r="F498" s="16" t="n">
        <v>0.63930661313115</v>
      </c>
      <c r="G498" s="17" t="s">
        <v>91</v>
      </c>
      <c r="H498" s="18" t="n">
        <v>0.2</v>
      </c>
      <c r="I498" s="18" t="n">
        <v>1.5</v>
      </c>
      <c r="J498" s="19" t="n">
        <v>0.87232635363227</v>
      </c>
      <c r="K498" s="19" t="n">
        <v>0.450285493138068</v>
      </c>
      <c r="L498" s="16" t="n">
        <v>12.266636723783</v>
      </c>
      <c r="M498" s="19" t="n">
        <v>0.505460802175313</v>
      </c>
      <c r="N498" s="19" t="n">
        <v>1.04432222985148</v>
      </c>
      <c r="O498" s="19" t="n">
        <v>1.11209157928709</v>
      </c>
      <c r="P498" s="19" t="n">
        <v>0.695821678134987</v>
      </c>
      <c r="Q498" s="17" t="s">
        <v>31</v>
      </c>
      <c r="R498" s="5" t="str">
        <f aca="false">IF(OR(Q498="Steel plate",Q498="Concrete jacket"),"Steel plate or jacket",Q498)</f>
        <v>Polymer laminate</v>
      </c>
      <c r="S498" s="5" t="str">
        <f aca="false">IF(O498&lt;='Tree rules'!$C$4,IF(N498&lt;='Tree rules'!$C$5,IF(P498&lt;='Tree rules'!$C$6,"Monitor","Polymer laminate"),IF(P498&lt;='Tree rules'!$C$7,"Seal cracks","Polymer laminate")),IF(O498&lt;='Tree rules'!$C$8,IF(M498&lt;='Tree rules'!$C$9,"Steel plate or jacket","Polymer laminate"),IF(L498&lt;='Tree rules'!$C$10,"Steel plate or jacket","Polymer laminate")))</f>
        <v>Polymer laminate</v>
      </c>
      <c r="T498" s="5" t="str">
        <f aca="false">IF(S498=R498,"Yes","No")</f>
        <v>Yes</v>
      </c>
    </row>
    <row r="499" customFormat="false" ht="15" hidden="false" customHeight="false" outlineLevel="0" collapsed="false">
      <c r="A499" s="15" t="n">
        <v>718</v>
      </c>
      <c r="B499" s="16" t="n">
        <v>6.18802817166376</v>
      </c>
      <c r="C499" s="15" t="n">
        <v>230</v>
      </c>
      <c r="D499" s="15" t="n">
        <v>500</v>
      </c>
      <c r="E499" s="15" t="n">
        <v>25</v>
      </c>
      <c r="F499" s="16" t="n">
        <v>0.604384889109233</v>
      </c>
      <c r="G499" s="17" t="s">
        <v>89</v>
      </c>
      <c r="H499" s="18" t="n">
        <v>0.3</v>
      </c>
      <c r="I499" s="18" t="n">
        <v>1</v>
      </c>
      <c r="J499" s="19" t="n">
        <v>0.959534439597575</v>
      </c>
      <c r="K499" s="19" t="n">
        <v>0.509045615285731</v>
      </c>
      <c r="L499" s="16" t="n">
        <v>13.6903278134154</v>
      </c>
      <c r="M499" s="19" t="n">
        <v>0.67124345946814</v>
      </c>
      <c r="N499" s="19" t="n">
        <v>0.874250008204739</v>
      </c>
      <c r="O499" s="19" t="n">
        <v>0.959534439597575</v>
      </c>
      <c r="P499" s="19" t="n">
        <v>0.52530494206318</v>
      </c>
      <c r="Q499" s="17" t="s">
        <v>29</v>
      </c>
      <c r="R499" s="5" t="str">
        <f aca="false">IF(OR(Q499="Steel plate",Q499="Concrete jacket"),"Steel plate or jacket",Q499)</f>
        <v>Monitor</v>
      </c>
      <c r="S499" s="5" t="str">
        <f aca="false">IF(O499&lt;='Tree rules'!$C$4,IF(N499&lt;='Tree rules'!$C$5,IF(P499&lt;='Tree rules'!$C$6,"Monitor","Polymer laminate"),IF(P499&lt;='Tree rules'!$C$7,"Seal cracks","Polymer laminate")),IF(O499&lt;='Tree rules'!$C$8,IF(M499&lt;='Tree rules'!$C$9,"Steel plate or jacket","Polymer laminate"),IF(L499&lt;='Tree rules'!$C$10,"Steel plate or jacket","Polymer laminate")))</f>
        <v>Monitor</v>
      </c>
      <c r="T499" s="5" t="str">
        <f aca="false">IF(S499=R499,"Yes","No")</f>
        <v>Yes</v>
      </c>
    </row>
    <row r="500" customFormat="false" ht="15" hidden="false" customHeight="false" outlineLevel="0" collapsed="false">
      <c r="A500" s="15" t="n">
        <v>719</v>
      </c>
      <c r="B500" s="16" t="n">
        <v>3.2523027329849</v>
      </c>
      <c r="C500" s="15" t="n">
        <v>300</v>
      </c>
      <c r="D500" s="15" t="n">
        <v>300</v>
      </c>
      <c r="E500" s="15" t="n">
        <v>30</v>
      </c>
      <c r="F500" s="16" t="n">
        <v>0.831109167616348</v>
      </c>
      <c r="G500" s="17" t="s">
        <v>89</v>
      </c>
      <c r="H500" s="18" t="n">
        <v>0.3</v>
      </c>
      <c r="I500" s="18" t="n">
        <v>1</v>
      </c>
      <c r="J500" s="19" t="n">
        <v>0.9260410703319</v>
      </c>
      <c r="K500" s="19" t="n">
        <v>0.614453956015008</v>
      </c>
      <c r="L500" s="16" t="n">
        <v>12.9059632261306</v>
      </c>
      <c r="M500" s="19" t="n">
        <v>0.449352124557757</v>
      </c>
      <c r="N500" s="19" t="n">
        <v>1.03944107778889</v>
      </c>
      <c r="O500" s="19" t="n">
        <v>0.9260410703319</v>
      </c>
      <c r="P500" s="19" t="n">
        <v>0.74861543123902</v>
      </c>
      <c r="Q500" s="17" t="s">
        <v>30</v>
      </c>
      <c r="R500" s="5" t="str">
        <f aca="false">IF(OR(Q500="Steel plate",Q500="Concrete jacket"),"Steel plate or jacket",Q500)</f>
        <v>Seal cracks</v>
      </c>
      <c r="S500" s="5" t="str">
        <f aca="false">IF(O500&lt;='Tree rules'!$C$4,IF(N500&lt;='Tree rules'!$C$5,IF(P500&lt;='Tree rules'!$C$6,"Monitor","Polymer laminate"),IF(P500&lt;='Tree rules'!$C$7,"Seal cracks","Polymer laminate")),IF(O500&lt;='Tree rules'!$C$8,IF(M500&lt;='Tree rules'!$C$9,"Steel plate or jacket","Polymer laminate"),IF(L500&lt;='Tree rules'!$C$10,"Steel plate or jacket","Polymer laminate")))</f>
        <v>Seal cracks</v>
      </c>
      <c r="T500" s="5" t="str">
        <f aca="false">IF(S500=R500,"Yes","No")</f>
        <v>Yes</v>
      </c>
    </row>
    <row r="501" customFormat="false" ht="15" hidden="false" customHeight="false" outlineLevel="0" collapsed="false">
      <c r="A501" s="15" t="n">
        <v>720</v>
      </c>
      <c r="B501" s="16" t="n">
        <v>6.04951505251785</v>
      </c>
      <c r="C501" s="15" t="n">
        <v>230</v>
      </c>
      <c r="D501" s="15" t="n">
        <v>500</v>
      </c>
      <c r="E501" s="15" t="n">
        <v>30</v>
      </c>
      <c r="F501" s="16" t="n">
        <v>0.604384889109233</v>
      </c>
      <c r="G501" s="17" t="s">
        <v>89</v>
      </c>
      <c r="H501" s="18" t="n">
        <v>0.3</v>
      </c>
      <c r="I501" s="18" t="n">
        <v>1</v>
      </c>
      <c r="J501" s="19" t="n">
        <v>0.908064076442145</v>
      </c>
      <c r="K501" s="19" t="n">
        <v>0.518603570547753</v>
      </c>
      <c r="L501" s="16" t="n">
        <v>13.3838828595528</v>
      </c>
      <c r="M501" s="19" t="n">
        <v>0.6500919647579</v>
      </c>
      <c r="N501" s="19" t="n">
        <v>0.83174388883037</v>
      </c>
      <c r="O501" s="19" t="n">
        <v>0.908064076442145</v>
      </c>
      <c r="P501" s="19" t="n">
        <v>0.475034173973546</v>
      </c>
      <c r="Q501" s="17" t="s">
        <v>29</v>
      </c>
      <c r="R501" s="5" t="str">
        <f aca="false">IF(OR(Q501="Steel plate",Q501="Concrete jacket"),"Steel plate or jacket",Q501)</f>
        <v>Monitor</v>
      </c>
      <c r="S501" s="5" t="str">
        <f aca="false">IF(O501&lt;='Tree rules'!$C$4,IF(N501&lt;='Tree rules'!$C$5,IF(P501&lt;='Tree rules'!$C$6,"Monitor","Polymer laminate"),IF(P501&lt;='Tree rules'!$C$7,"Seal cracks","Polymer laminate")),IF(O501&lt;='Tree rules'!$C$8,IF(M501&lt;='Tree rules'!$C$9,"Steel plate or jacket","Polymer laminate"),IF(L501&lt;='Tree rules'!$C$10,"Steel plate or jacket","Polymer laminate")))</f>
        <v>Monitor</v>
      </c>
      <c r="T501" s="5" t="str">
        <f aca="false">IF(S501=R501,"Yes","No")</f>
        <v>Yes</v>
      </c>
    </row>
    <row r="502" customFormat="false" ht="15" hidden="false" customHeight="false" outlineLevel="0" collapsed="false">
      <c r="A502" s="15" t="n">
        <v>722</v>
      </c>
      <c r="B502" s="16" t="n">
        <v>3.0164036497166</v>
      </c>
      <c r="C502" s="15" t="n">
        <v>230</v>
      </c>
      <c r="D502" s="15" t="n">
        <v>300</v>
      </c>
      <c r="E502" s="15" t="n">
        <v>30</v>
      </c>
      <c r="F502" s="16" t="n">
        <v>1.0324987837885</v>
      </c>
      <c r="G502" s="17" t="s">
        <v>89</v>
      </c>
      <c r="H502" s="18" t="n">
        <v>0.3</v>
      </c>
      <c r="I502" s="18" t="n">
        <v>1.5</v>
      </c>
      <c r="J502" s="19" t="n">
        <v>0.867635262608159</v>
      </c>
      <c r="K502" s="19" t="n">
        <v>0.464535688040654</v>
      </c>
      <c r="L502" s="16" t="n">
        <v>11.8756049201441</v>
      </c>
      <c r="M502" s="19" t="n">
        <v>0.952302880301095</v>
      </c>
      <c r="N502" s="19" t="n">
        <v>0.789477940022175</v>
      </c>
      <c r="O502" s="19" t="n">
        <v>1.09992912207023</v>
      </c>
      <c r="P502" s="19" t="n">
        <v>0.402462392710165</v>
      </c>
      <c r="Q502" s="17" t="s">
        <v>31</v>
      </c>
      <c r="R502" s="5" t="str">
        <f aca="false">IF(OR(Q502="Steel plate",Q502="Concrete jacket"),"Steel plate or jacket",Q502)</f>
        <v>Polymer laminate</v>
      </c>
      <c r="S502" s="5" t="str">
        <f aca="false">IF(O502&lt;='Tree rules'!$C$4,IF(N502&lt;='Tree rules'!$C$5,IF(P502&lt;='Tree rules'!$C$6,"Monitor","Polymer laminate"),IF(P502&lt;='Tree rules'!$C$7,"Seal cracks","Polymer laminate")),IF(O502&lt;='Tree rules'!$C$8,IF(M502&lt;='Tree rules'!$C$9,"Steel plate or jacket","Polymer laminate"),IF(L502&lt;='Tree rules'!$C$10,"Steel plate or jacket","Polymer laminate")))</f>
        <v>Polymer laminate</v>
      </c>
      <c r="T502" s="5" t="str">
        <f aca="false">IF(S502=R502,"Yes","No")</f>
        <v>Yes</v>
      </c>
    </row>
    <row r="503" customFormat="false" ht="15" hidden="false" customHeight="false" outlineLevel="0" collapsed="false">
      <c r="A503" s="15" t="n">
        <v>723</v>
      </c>
      <c r="B503" s="16" t="n">
        <v>7.64635184104493</v>
      </c>
      <c r="C503" s="15" t="n">
        <v>230</v>
      </c>
      <c r="D503" s="15" t="n">
        <v>650</v>
      </c>
      <c r="E503" s="15" t="n">
        <v>20</v>
      </c>
      <c r="F503" s="16" t="n">
        <v>0.680685971455249</v>
      </c>
      <c r="G503" s="17" t="s">
        <v>91</v>
      </c>
      <c r="H503" s="18" t="n">
        <v>0.2</v>
      </c>
      <c r="I503" s="18" t="n">
        <v>1</v>
      </c>
      <c r="J503" s="19" t="n">
        <v>0.877963621263655</v>
      </c>
      <c r="K503" s="19" t="n">
        <v>0.418866616329127</v>
      </c>
      <c r="L503" s="16" t="n">
        <v>12.7015811313039</v>
      </c>
      <c r="M503" s="19" t="n">
        <v>0.486420654483463</v>
      </c>
      <c r="N503" s="19" t="n">
        <v>0.909913465483251</v>
      </c>
      <c r="O503" s="19" t="n">
        <v>0.877963621263655</v>
      </c>
      <c r="P503" s="19" t="n">
        <v>0.703604932396875</v>
      </c>
      <c r="Q503" s="17" t="s">
        <v>29</v>
      </c>
      <c r="R503" s="5" t="str">
        <f aca="false">IF(OR(Q503="Steel plate",Q503="Concrete jacket"),"Steel plate or jacket",Q503)</f>
        <v>Monitor</v>
      </c>
      <c r="S503" s="5" t="str">
        <f aca="false">IF(O503&lt;='Tree rules'!$C$4,IF(N503&lt;='Tree rules'!$C$5,IF(P503&lt;='Tree rules'!$C$6,"Monitor","Polymer laminate"),IF(P503&lt;='Tree rules'!$C$7,"Seal cracks","Polymer laminate")),IF(O503&lt;='Tree rules'!$C$8,IF(M503&lt;='Tree rules'!$C$9,"Steel plate or jacket","Polymer laminate"),IF(L503&lt;='Tree rules'!$C$10,"Steel plate or jacket","Polymer laminate")))</f>
        <v>Monitor</v>
      </c>
      <c r="T503" s="5" t="str">
        <f aca="false">IF(S503=R503,"Yes","No")</f>
        <v>Yes</v>
      </c>
    </row>
    <row r="504" customFormat="false" ht="15" hidden="false" customHeight="false" outlineLevel="0" collapsed="false">
      <c r="A504" s="15" t="n">
        <v>724</v>
      </c>
      <c r="B504" s="16" t="n">
        <v>6.3923673464215</v>
      </c>
      <c r="C504" s="15" t="n">
        <v>300</v>
      </c>
      <c r="D504" s="15" t="n">
        <v>550</v>
      </c>
      <c r="E504" s="15" t="n">
        <v>30</v>
      </c>
      <c r="F504" s="16" t="n">
        <v>0.625815269639401</v>
      </c>
      <c r="G504" s="17" t="s">
        <v>91</v>
      </c>
      <c r="H504" s="18" t="n">
        <v>0.2</v>
      </c>
      <c r="I504" s="18" t="n">
        <v>1.5</v>
      </c>
      <c r="J504" s="19" t="n">
        <v>0.968141042324731</v>
      </c>
      <c r="K504" s="19" t="n">
        <v>0.445170261341845</v>
      </c>
      <c r="L504" s="16" t="n">
        <v>12.7337994948635</v>
      </c>
      <c r="M504" s="19" t="n">
        <v>0.946731842061013</v>
      </c>
      <c r="N504" s="19" t="n">
        <v>1.44658342927836</v>
      </c>
      <c r="O504" s="19" t="n">
        <v>1.23671776307336</v>
      </c>
      <c r="P504" s="19" t="n">
        <v>0.394937283630912</v>
      </c>
      <c r="Q504" s="17" t="s">
        <v>31</v>
      </c>
      <c r="R504" s="5" t="str">
        <f aca="false">IF(OR(Q504="Steel plate",Q504="Concrete jacket"),"Steel plate or jacket",Q504)</f>
        <v>Polymer laminate</v>
      </c>
      <c r="S504" s="5" t="str">
        <f aca="false">IF(O504&lt;='Tree rules'!$C$4,IF(N504&lt;='Tree rules'!$C$5,IF(P504&lt;='Tree rules'!$C$6,"Monitor","Polymer laminate"),IF(P504&lt;='Tree rules'!$C$7,"Seal cracks","Polymer laminate")),IF(O504&lt;='Tree rules'!$C$8,IF(M504&lt;='Tree rules'!$C$9,"Steel plate or jacket","Polymer laminate"),IF(L504&lt;='Tree rules'!$C$10,"Steel plate or jacket","Polymer laminate")))</f>
        <v>Polymer laminate</v>
      </c>
      <c r="T504" s="5" t="str">
        <f aca="false">IF(S504=R504,"Yes","No")</f>
        <v>Yes</v>
      </c>
    </row>
    <row r="505" customFormat="false" ht="15" hidden="false" customHeight="false" outlineLevel="0" collapsed="false">
      <c r="A505" s="15" t="n">
        <v>726</v>
      </c>
      <c r="B505" s="16" t="n">
        <v>5.78597520133049</v>
      </c>
      <c r="C505" s="15" t="n">
        <v>230</v>
      </c>
      <c r="D505" s="15" t="n">
        <v>575</v>
      </c>
      <c r="E505" s="15" t="n">
        <v>30</v>
      </c>
      <c r="F505" s="16" t="n">
        <v>0.777557789024782</v>
      </c>
      <c r="G505" s="17" t="s">
        <v>91</v>
      </c>
      <c r="H505" s="18" t="n">
        <v>0.2</v>
      </c>
      <c r="I505" s="18" t="n">
        <v>2</v>
      </c>
      <c r="J505" s="19" t="n">
        <v>0.996687824548515</v>
      </c>
      <c r="K505" s="19" t="n">
        <v>0.554082384329477</v>
      </c>
      <c r="L505" s="16" t="n">
        <v>10.979080078426</v>
      </c>
      <c r="M505" s="19" t="n">
        <v>0.947421833706671</v>
      </c>
      <c r="N505" s="19" t="n">
        <v>1.48192683002553</v>
      </c>
      <c r="O505" s="19" t="n">
        <v>1.44112848283903</v>
      </c>
      <c r="P505" s="19" t="n">
        <v>0.481950770950818</v>
      </c>
      <c r="Q505" s="17" t="s">
        <v>92</v>
      </c>
      <c r="R505" s="5" t="str">
        <f aca="false">IF(OR(Q505="Steel plate",Q505="Concrete jacket"),"Steel plate or jacket",Q505)</f>
        <v>Steel plate or jacket</v>
      </c>
      <c r="S505" s="5" t="str">
        <f aca="false">IF(O505&lt;='Tree rules'!$C$4,IF(N505&lt;='Tree rules'!$C$5,IF(P505&lt;='Tree rules'!$C$6,"Monitor","Polymer laminate"),IF(P505&lt;='Tree rules'!$C$7,"Seal cracks","Polymer laminate")),IF(O505&lt;='Tree rules'!$C$8,IF(M505&lt;='Tree rules'!$C$9,"Steel plate or jacket","Polymer laminate"),IF(L505&lt;='Tree rules'!$C$10,"Steel plate or jacket","Polymer laminate")))</f>
        <v>Steel plate or jacket</v>
      </c>
      <c r="T505" s="5" t="str">
        <f aca="false">IF(S505=R505,"Yes","No")</f>
        <v>Yes</v>
      </c>
    </row>
    <row r="506" customFormat="false" ht="15" hidden="false" customHeight="false" outlineLevel="0" collapsed="false">
      <c r="A506" s="15" t="n">
        <v>728</v>
      </c>
      <c r="B506" s="16" t="n">
        <v>3.07926234972506</v>
      </c>
      <c r="C506" s="15" t="n">
        <v>300</v>
      </c>
      <c r="D506" s="15" t="n">
        <v>300</v>
      </c>
      <c r="E506" s="15" t="n">
        <v>30</v>
      </c>
      <c r="F506" s="16" t="n">
        <v>0.589048622548086</v>
      </c>
      <c r="G506" s="17" t="s">
        <v>89</v>
      </c>
      <c r="H506" s="18" t="n">
        <v>0.3</v>
      </c>
      <c r="I506" s="18" t="n">
        <v>2</v>
      </c>
      <c r="J506" s="19" t="n">
        <v>0.975996071226673</v>
      </c>
      <c r="K506" s="19" t="n">
        <v>0.427681626421888</v>
      </c>
      <c r="L506" s="16" t="n">
        <v>12.0283685536135</v>
      </c>
      <c r="M506" s="19" t="n">
        <v>0.820682130324317</v>
      </c>
      <c r="N506" s="19" t="n">
        <v>1.11540772312251</v>
      </c>
      <c r="O506" s="19" t="n">
        <v>1.53457655532975</v>
      </c>
      <c r="P506" s="19" t="n">
        <v>0.366861194873935</v>
      </c>
      <c r="Q506" s="17" t="s">
        <v>31</v>
      </c>
      <c r="R506" s="5" t="str">
        <f aca="false">IF(OR(Q506="Steel plate",Q506="Concrete jacket"),"Steel plate or jacket",Q506)</f>
        <v>Polymer laminate</v>
      </c>
      <c r="S506" s="5" t="str">
        <f aca="false">IF(O506&lt;='Tree rules'!$C$4,IF(N506&lt;='Tree rules'!$C$5,IF(P506&lt;='Tree rules'!$C$6,"Monitor","Polymer laminate"),IF(P506&lt;='Tree rules'!$C$7,"Seal cracks","Polymer laminate")),IF(O506&lt;='Tree rules'!$C$8,IF(M506&lt;='Tree rules'!$C$9,"Steel plate or jacket","Polymer laminate"),IF(L506&lt;='Tree rules'!$C$10,"Steel plate or jacket","Polymer laminate")))</f>
        <v>Steel plate or jacket</v>
      </c>
      <c r="T506" s="5" t="str">
        <f aca="false">IF(S506=R506,"Yes","No")</f>
        <v>No</v>
      </c>
    </row>
    <row r="507" customFormat="false" ht="15" hidden="false" customHeight="false" outlineLevel="0" collapsed="false">
      <c r="A507" s="15" t="n">
        <v>729</v>
      </c>
      <c r="B507" s="16" t="n">
        <v>4.49643752745083</v>
      </c>
      <c r="C507" s="15" t="n">
        <v>230</v>
      </c>
      <c r="D507" s="15" t="n">
        <v>450</v>
      </c>
      <c r="E507" s="15" t="n">
        <v>20</v>
      </c>
      <c r="F507" s="16" t="n">
        <v>0.679557138998441</v>
      </c>
      <c r="G507" s="17" t="s">
        <v>91</v>
      </c>
      <c r="H507" s="18" t="n">
        <v>0.2</v>
      </c>
      <c r="I507" s="18" t="n">
        <v>1</v>
      </c>
      <c r="J507" s="19" t="n">
        <v>0.978754227021226</v>
      </c>
      <c r="K507" s="19" t="n">
        <v>0.57500449328307</v>
      </c>
      <c r="L507" s="16" t="n">
        <v>11.1851679787334</v>
      </c>
      <c r="M507" s="19" t="n">
        <v>0.45619740368807</v>
      </c>
      <c r="N507" s="19" t="n">
        <v>1.39685441245664</v>
      </c>
      <c r="O507" s="19" t="n">
        <v>0.978754227021226</v>
      </c>
      <c r="P507" s="19" t="n">
        <v>0.756249878096055</v>
      </c>
      <c r="Q507" s="17" t="s">
        <v>30</v>
      </c>
      <c r="R507" s="5" t="str">
        <f aca="false">IF(OR(Q507="Steel plate",Q507="Concrete jacket"),"Steel plate or jacket",Q507)</f>
        <v>Seal cracks</v>
      </c>
      <c r="S507" s="5" t="str">
        <f aca="false">IF(O507&lt;='Tree rules'!$C$4,IF(N507&lt;='Tree rules'!$C$5,IF(P507&lt;='Tree rules'!$C$6,"Monitor","Polymer laminate"),IF(P507&lt;='Tree rules'!$C$7,"Seal cracks","Polymer laminate")),IF(O507&lt;='Tree rules'!$C$8,IF(M507&lt;='Tree rules'!$C$9,"Steel plate or jacket","Polymer laminate"),IF(L507&lt;='Tree rules'!$C$10,"Steel plate or jacket","Polymer laminate")))</f>
        <v>Seal cracks</v>
      </c>
      <c r="T507" s="5" t="str">
        <f aca="false">IF(S507=R507,"Yes","No")</f>
        <v>Yes</v>
      </c>
    </row>
    <row r="508" customFormat="false" ht="15" hidden="false" customHeight="false" outlineLevel="0" collapsed="false">
      <c r="A508" s="15" t="n">
        <v>730</v>
      </c>
      <c r="B508" s="16" t="n">
        <v>4.01356905070696</v>
      </c>
      <c r="C508" s="15" t="n">
        <v>300</v>
      </c>
      <c r="D508" s="15" t="n">
        <v>400</v>
      </c>
      <c r="E508" s="15" t="n">
        <v>30</v>
      </c>
      <c r="F508" s="16" t="n">
        <v>0.892497912951646</v>
      </c>
      <c r="G508" s="17" t="s">
        <v>91</v>
      </c>
      <c r="H508" s="18" t="n">
        <v>0.2</v>
      </c>
      <c r="I508" s="18" t="n">
        <v>1</v>
      </c>
      <c r="J508" s="19" t="n">
        <v>0.948270123898883</v>
      </c>
      <c r="K508" s="19" t="n">
        <v>0.407229496046234</v>
      </c>
      <c r="L508" s="16" t="n">
        <v>11.4021848031448</v>
      </c>
      <c r="M508" s="19" t="n">
        <v>0.642620121291736</v>
      </c>
      <c r="N508" s="19" t="n">
        <v>1.17535082040988</v>
      </c>
      <c r="O508" s="19" t="n">
        <v>0.948270123898883</v>
      </c>
      <c r="P508" s="19" t="n">
        <v>0.498996228565611</v>
      </c>
      <c r="Q508" s="17" t="s">
        <v>30</v>
      </c>
      <c r="R508" s="5" t="str">
        <f aca="false">IF(OR(Q508="Steel plate",Q508="Concrete jacket"),"Steel plate or jacket",Q508)</f>
        <v>Seal cracks</v>
      </c>
      <c r="S508" s="5" t="str">
        <f aca="false">IF(O508&lt;='Tree rules'!$C$4,IF(N508&lt;='Tree rules'!$C$5,IF(P508&lt;='Tree rules'!$C$6,"Monitor","Polymer laminate"),IF(P508&lt;='Tree rules'!$C$7,"Seal cracks","Polymer laminate")),IF(O508&lt;='Tree rules'!$C$8,IF(M508&lt;='Tree rules'!$C$9,"Steel plate or jacket","Polymer laminate"),IF(L508&lt;='Tree rules'!$C$10,"Steel plate or jacket","Polymer laminate")))</f>
        <v>Seal cracks</v>
      </c>
      <c r="T508" s="5" t="str">
        <f aca="false">IF(S508=R508,"Yes","No")</f>
        <v>Yes</v>
      </c>
    </row>
    <row r="509" customFormat="false" ht="15" hidden="false" customHeight="false" outlineLevel="0" collapsed="false">
      <c r="A509" s="15" t="n">
        <v>731</v>
      </c>
      <c r="B509" s="16" t="n">
        <v>4.38400538151373</v>
      </c>
      <c r="C509" s="15" t="n">
        <v>300</v>
      </c>
      <c r="D509" s="15" t="n">
        <v>425</v>
      </c>
      <c r="E509" s="15" t="n">
        <v>25</v>
      </c>
      <c r="F509" s="16" t="n">
        <v>0.884177351933803</v>
      </c>
      <c r="G509" s="17" t="s">
        <v>91</v>
      </c>
      <c r="H509" s="18" t="n">
        <v>0.2</v>
      </c>
      <c r="I509" s="18" t="n">
        <v>1.5</v>
      </c>
      <c r="J509" s="19" t="n">
        <v>0.869139598072321</v>
      </c>
      <c r="K509" s="19" t="n">
        <v>0.435352555156394</v>
      </c>
      <c r="L509" s="16" t="n">
        <v>11.5672965211444</v>
      </c>
      <c r="M509" s="19" t="n">
        <v>0.952067182914629</v>
      </c>
      <c r="N509" s="19" t="n">
        <v>1.05367274404949</v>
      </c>
      <c r="O509" s="19" t="n">
        <v>1.11451832470429</v>
      </c>
      <c r="P509" s="19" t="n">
        <v>0.420126374513918</v>
      </c>
      <c r="Q509" s="17" t="s">
        <v>31</v>
      </c>
      <c r="R509" s="5" t="str">
        <f aca="false">IF(OR(Q509="Steel plate",Q509="Concrete jacket"),"Steel plate or jacket",Q509)</f>
        <v>Polymer laminate</v>
      </c>
      <c r="S509" s="5" t="str">
        <f aca="false">IF(O509&lt;='Tree rules'!$C$4,IF(N509&lt;='Tree rules'!$C$5,IF(P509&lt;='Tree rules'!$C$6,"Monitor","Polymer laminate"),IF(P509&lt;='Tree rules'!$C$7,"Seal cracks","Polymer laminate")),IF(O509&lt;='Tree rules'!$C$8,IF(M509&lt;='Tree rules'!$C$9,"Steel plate or jacket","Polymer laminate"),IF(L509&lt;='Tree rules'!$C$10,"Steel plate or jacket","Polymer laminate")))</f>
        <v>Polymer laminate</v>
      </c>
      <c r="T509" s="5" t="str">
        <f aca="false">IF(S509=R509,"Yes","No")</f>
        <v>Yes</v>
      </c>
    </row>
    <row r="510" customFormat="false" ht="15" hidden="false" customHeight="false" outlineLevel="0" collapsed="false">
      <c r="A510" s="15" t="n">
        <v>732</v>
      </c>
      <c r="B510" s="16" t="n">
        <v>3.93253487894299</v>
      </c>
      <c r="C510" s="15" t="n">
        <v>300</v>
      </c>
      <c r="D510" s="15" t="n">
        <v>325</v>
      </c>
      <c r="E510" s="15" t="n">
        <v>25</v>
      </c>
      <c r="F510" s="16" t="n">
        <v>0.756099314943392</v>
      </c>
      <c r="G510" s="17" t="s">
        <v>91</v>
      </c>
      <c r="H510" s="18" t="n">
        <v>0.2</v>
      </c>
      <c r="I510" s="18" t="n">
        <v>1.5</v>
      </c>
      <c r="J510" s="19" t="n">
        <v>0.910904599035073</v>
      </c>
      <c r="K510" s="19" t="n">
        <v>0.459618156149749</v>
      </c>
      <c r="L510" s="16" t="n">
        <v>14.1968768192888</v>
      </c>
      <c r="M510" s="19" t="n">
        <v>0.817062188309358</v>
      </c>
      <c r="N510" s="19" t="n">
        <v>1.83951332187407</v>
      </c>
      <c r="O510" s="19" t="n">
        <v>1.1570227524342</v>
      </c>
      <c r="P510" s="19" t="n">
        <v>0.486179623198553</v>
      </c>
      <c r="Q510" s="17" t="s">
        <v>31</v>
      </c>
      <c r="R510" s="5" t="str">
        <f aca="false">IF(OR(Q510="Steel plate",Q510="Concrete jacket"),"Steel plate or jacket",Q510)</f>
        <v>Polymer laminate</v>
      </c>
      <c r="S510" s="5" t="str">
        <f aca="false">IF(O510&lt;='Tree rules'!$C$4,IF(N510&lt;='Tree rules'!$C$5,IF(P510&lt;='Tree rules'!$C$6,"Monitor","Polymer laminate"),IF(P510&lt;='Tree rules'!$C$7,"Seal cracks","Polymer laminate")),IF(O510&lt;='Tree rules'!$C$8,IF(M510&lt;='Tree rules'!$C$9,"Steel plate or jacket","Polymer laminate"),IF(L510&lt;='Tree rules'!$C$10,"Steel plate or jacket","Polymer laminate")))</f>
        <v>Polymer laminate</v>
      </c>
      <c r="T510" s="5" t="str">
        <f aca="false">IF(S510=R510,"Yes","No")</f>
        <v>Yes</v>
      </c>
    </row>
    <row r="511" customFormat="false" ht="15" hidden="false" customHeight="false" outlineLevel="0" collapsed="false">
      <c r="A511" s="15" t="n">
        <v>733</v>
      </c>
      <c r="B511" s="16" t="n">
        <v>4.14798361951597</v>
      </c>
      <c r="C511" s="15" t="n">
        <v>230</v>
      </c>
      <c r="D511" s="15" t="n">
        <v>400</v>
      </c>
      <c r="E511" s="15" t="n">
        <v>30</v>
      </c>
      <c r="F511" s="16" t="n">
        <v>0.98777661424587</v>
      </c>
      <c r="G511" s="17" t="s">
        <v>91</v>
      </c>
      <c r="H511" s="18" t="n">
        <v>0.2</v>
      </c>
      <c r="I511" s="18" t="n">
        <v>1</v>
      </c>
      <c r="J511" s="19" t="n">
        <v>0.864538693820673</v>
      </c>
      <c r="K511" s="19" t="n">
        <v>0.544004441308312</v>
      </c>
      <c r="L511" s="16" t="n">
        <v>11.71746785174</v>
      </c>
      <c r="M511" s="19" t="n">
        <v>0.793383935276239</v>
      </c>
      <c r="N511" s="19" t="n">
        <v>0.831610993824472</v>
      </c>
      <c r="O511" s="19" t="n">
        <v>0.864538693820673</v>
      </c>
      <c r="P511" s="19" t="n">
        <v>0.47799896578257</v>
      </c>
      <c r="Q511" s="17" t="s">
        <v>29</v>
      </c>
      <c r="R511" s="5" t="str">
        <f aca="false">IF(OR(Q511="Steel plate",Q511="Concrete jacket"),"Steel plate or jacket",Q511)</f>
        <v>Monitor</v>
      </c>
      <c r="S511" s="5" t="str">
        <f aca="false">IF(O511&lt;='Tree rules'!$C$4,IF(N511&lt;='Tree rules'!$C$5,IF(P511&lt;='Tree rules'!$C$6,"Monitor","Polymer laminate"),IF(P511&lt;='Tree rules'!$C$7,"Seal cracks","Polymer laminate")),IF(O511&lt;='Tree rules'!$C$8,IF(M511&lt;='Tree rules'!$C$9,"Steel plate or jacket","Polymer laminate"),IF(L511&lt;='Tree rules'!$C$10,"Steel plate or jacket","Polymer laminate")))</f>
        <v>Monitor</v>
      </c>
      <c r="T511" s="5" t="str">
        <f aca="false">IF(S511=R511,"Yes","No")</f>
        <v>Yes</v>
      </c>
    </row>
    <row r="512" customFormat="false" ht="15" hidden="false" customHeight="false" outlineLevel="0" collapsed="false">
      <c r="A512" s="15" t="n">
        <v>735</v>
      </c>
      <c r="B512" s="16" t="n">
        <v>3.24402265943047</v>
      </c>
      <c r="C512" s="15" t="n">
        <v>300</v>
      </c>
      <c r="D512" s="15" t="n">
        <v>300</v>
      </c>
      <c r="E512" s="15" t="n">
        <v>25</v>
      </c>
      <c r="F512" s="16" t="n">
        <v>0.52772160060301</v>
      </c>
      <c r="G512" s="17" t="s">
        <v>89</v>
      </c>
      <c r="H512" s="18" t="n">
        <v>0.3</v>
      </c>
      <c r="I512" s="18" t="n">
        <v>1.5</v>
      </c>
      <c r="J512" s="19" t="n">
        <v>0.930618904387915</v>
      </c>
      <c r="K512" s="19" t="n">
        <v>0.621460757034457</v>
      </c>
      <c r="L512" s="16" t="n">
        <v>12.7717427536633</v>
      </c>
      <c r="M512" s="19" t="n">
        <v>0.720030538115515</v>
      </c>
      <c r="N512" s="19" t="n">
        <v>1.14827360538486</v>
      </c>
      <c r="O512" s="19" t="n">
        <v>1.10675679216613</v>
      </c>
      <c r="P512" s="19" t="n">
        <v>0.385789576259457</v>
      </c>
      <c r="Q512" s="17" t="s">
        <v>31</v>
      </c>
      <c r="R512" s="5" t="str">
        <f aca="false">IF(OR(Q512="Steel plate",Q512="Concrete jacket"),"Steel plate or jacket",Q512)</f>
        <v>Polymer laminate</v>
      </c>
      <c r="S512" s="5" t="str">
        <f aca="false">IF(O512&lt;='Tree rules'!$C$4,IF(N512&lt;='Tree rules'!$C$5,IF(P512&lt;='Tree rules'!$C$6,"Monitor","Polymer laminate"),IF(P512&lt;='Tree rules'!$C$7,"Seal cracks","Polymer laminate")),IF(O512&lt;='Tree rules'!$C$8,IF(M512&lt;='Tree rules'!$C$9,"Steel plate or jacket","Polymer laminate"),IF(L512&lt;='Tree rules'!$C$10,"Steel plate or jacket","Polymer laminate")))</f>
        <v>Polymer laminate</v>
      </c>
      <c r="T512" s="5" t="str">
        <f aca="false">IF(S512=R512,"Yes","No")</f>
        <v>Yes</v>
      </c>
    </row>
    <row r="513" customFormat="false" ht="15" hidden="false" customHeight="false" outlineLevel="0" collapsed="false">
      <c r="A513" s="15" t="n">
        <v>737</v>
      </c>
      <c r="B513" s="16" t="n">
        <v>3.56745073477445</v>
      </c>
      <c r="C513" s="15" t="n">
        <v>300</v>
      </c>
      <c r="D513" s="15" t="n">
        <v>350</v>
      </c>
      <c r="E513" s="15" t="n">
        <v>30</v>
      </c>
      <c r="F513" s="16" t="n">
        <v>0.927621360229512</v>
      </c>
      <c r="G513" s="17" t="s">
        <v>90</v>
      </c>
      <c r="H513" s="18" t="n">
        <v>0.1</v>
      </c>
      <c r="I513" s="18" t="n">
        <v>1</v>
      </c>
      <c r="J513" s="19" t="n">
        <v>0.880243425469071</v>
      </c>
      <c r="K513" s="19" t="n">
        <v>0.539454903803975</v>
      </c>
      <c r="L513" s="16" t="n">
        <v>12.344120189531</v>
      </c>
      <c r="M513" s="19" t="n">
        <v>0.440067641662782</v>
      </c>
      <c r="N513" s="19" t="n">
        <v>2.61649081411954</v>
      </c>
      <c r="O513" s="19" t="n">
        <v>0.880243425469071</v>
      </c>
      <c r="P513" s="19" t="n">
        <v>0.687962062387842</v>
      </c>
      <c r="Q513" s="17" t="s">
        <v>30</v>
      </c>
      <c r="R513" s="5" t="str">
        <f aca="false">IF(OR(Q513="Steel plate",Q513="Concrete jacket"),"Steel plate or jacket",Q513)</f>
        <v>Seal cracks</v>
      </c>
      <c r="S513" s="5" t="str">
        <f aca="false">IF(O513&lt;='Tree rules'!$C$4,IF(N513&lt;='Tree rules'!$C$5,IF(P513&lt;='Tree rules'!$C$6,"Monitor","Polymer laminate"),IF(P513&lt;='Tree rules'!$C$7,"Seal cracks","Polymer laminate")),IF(O513&lt;='Tree rules'!$C$8,IF(M513&lt;='Tree rules'!$C$9,"Steel plate or jacket","Polymer laminate"),IF(L513&lt;='Tree rules'!$C$10,"Steel plate or jacket","Polymer laminate")))</f>
        <v>Seal cracks</v>
      </c>
      <c r="T513" s="5" t="str">
        <f aca="false">IF(S513=R513,"Yes","No")</f>
        <v>Yes</v>
      </c>
    </row>
    <row r="514" customFormat="false" ht="15" hidden="false" customHeight="false" outlineLevel="0" collapsed="false">
      <c r="A514" s="15" t="n">
        <v>738</v>
      </c>
      <c r="B514" s="16" t="n">
        <v>6.87124372912583</v>
      </c>
      <c r="C514" s="15" t="n">
        <v>300</v>
      </c>
      <c r="D514" s="15" t="n">
        <v>650</v>
      </c>
      <c r="E514" s="15" t="n">
        <v>30</v>
      </c>
      <c r="F514" s="16" t="n">
        <v>0.695812326376477</v>
      </c>
      <c r="G514" s="17" t="s">
        <v>89</v>
      </c>
      <c r="H514" s="18" t="n">
        <v>0.3</v>
      </c>
      <c r="I514" s="18" t="n">
        <v>1</v>
      </c>
      <c r="J514" s="19" t="n">
        <v>0.868555113707113</v>
      </c>
      <c r="K514" s="19" t="n">
        <v>0.464936871636701</v>
      </c>
      <c r="L514" s="16" t="n">
        <v>11.414026128116</v>
      </c>
      <c r="M514" s="19" t="n">
        <v>0.413654599671832</v>
      </c>
      <c r="N514" s="19" t="n">
        <v>0.627537530267533</v>
      </c>
      <c r="O514" s="19" t="n">
        <v>0.868555113707113</v>
      </c>
      <c r="P514" s="19" t="n">
        <v>0.680528331749337</v>
      </c>
      <c r="Q514" s="17" t="s">
        <v>29</v>
      </c>
      <c r="R514" s="5" t="str">
        <f aca="false">IF(OR(Q514="Steel plate",Q514="Concrete jacket"),"Steel plate or jacket",Q514)</f>
        <v>Monitor</v>
      </c>
      <c r="S514" s="5" t="str">
        <f aca="false">IF(O514&lt;='Tree rules'!$C$4,IF(N514&lt;='Tree rules'!$C$5,IF(P514&lt;='Tree rules'!$C$6,"Monitor","Polymer laminate"),IF(P514&lt;='Tree rules'!$C$7,"Seal cracks","Polymer laminate")),IF(O514&lt;='Tree rules'!$C$8,IF(M514&lt;='Tree rules'!$C$9,"Steel plate or jacket","Polymer laminate"),IF(L514&lt;='Tree rules'!$C$10,"Steel plate or jacket","Polymer laminate")))</f>
        <v>Monitor</v>
      </c>
      <c r="T514" s="5" t="str">
        <f aca="false">IF(S514=R514,"Yes","No")</f>
        <v>Yes</v>
      </c>
    </row>
    <row r="515" customFormat="false" ht="15" hidden="false" customHeight="false" outlineLevel="0" collapsed="false">
      <c r="A515" s="15" t="n">
        <v>740</v>
      </c>
      <c r="B515" s="16" t="n">
        <v>3.72988218634014</v>
      </c>
      <c r="C515" s="15" t="n">
        <v>230</v>
      </c>
      <c r="D515" s="15" t="n">
        <v>375</v>
      </c>
      <c r="E515" s="15" t="n">
        <v>25</v>
      </c>
      <c r="F515" s="16" t="n">
        <v>0.835206022555027</v>
      </c>
      <c r="G515" s="17" t="s">
        <v>90</v>
      </c>
      <c r="H515" s="18" t="n">
        <v>0.1</v>
      </c>
      <c r="I515" s="18" t="n">
        <v>2</v>
      </c>
      <c r="J515" s="19" t="n">
        <v>0.938214901924993</v>
      </c>
      <c r="K515" s="19" t="n">
        <v>0.5555101045745</v>
      </c>
      <c r="L515" s="16" t="n">
        <v>11.8786056889814</v>
      </c>
      <c r="M515" s="19" t="n">
        <v>0.776519260993381</v>
      </c>
      <c r="N515" s="19" t="n">
        <v>3.76730266000318</v>
      </c>
      <c r="O515" s="19" t="n">
        <v>1.35524194556828</v>
      </c>
      <c r="P515" s="19" t="n">
        <v>0.514824395604754</v>
      </c>
      <c r="Q515" s="17" t="s">
        <v>31</v>
      </c>
      <c r="R515" s="5" t="str">
        <f aca="false">IF(OR(Q515="Steel plate",Q515="Concrete jacket"),"Steel plate or jacket",Q515)</f>
        <v>Polymer laminate</v>
      </c>
      <c r="S515" s="5" t="str">
        <f aca="false">IF(O515&lt;='Tree rules'!$C$4,IF(N515&lt;='Tree rules'!$C$5,IF(P515&lt;='Tree rules'!$C$6,"Monitor","Polymer laminate"),IF(P515&lt;='Tree rules'!$C$7,"Seal cracks","Polymer laminate")),IF(O515&lt;='Tree rules'!$C$8,IF(M515&lt;='Tree rules'!$C$9,"Steel plate or jacket","Polymer laminate"),IF(L515&lt;='Tree rules'!$C$10,"Steel plate or jacket","Polymer laminate")))</f>
        <v>Steel plate or jacket</v>
      </c>
      <c r="T515" s="5" t="str">
        <f aca="false">IF(S515=R515,"Yes","No")</f>
        <v>No</v>
      </c>
    </row>
    <row r="516" customFormat="false" ht="15" hidden="false" customHeight="false" outlineLevel="0" collapsed="false">
      <c r="A516" s="15" t="n">
        <v>741</v>
      </c>
      <c r="B516" s="16" t="n">
        <v>3.11523162168658</v>
      </c>
      <c r="C516" s="15" t="n">
        <v>300</v>
      </c>
      <c r="D516" s="15" t="n">
        <v>300</v>
      </c>
      <c r="E516" s="15" t="n">
        <v>20</v>
      </c>
      <c r="F516" s="16" t="n">
        <v>0.589048622548086</v>
      </c>
      <c r="G516" s="17" t="s">
        <v>89</v>
      </c>
      <c r="H516" s="18" t="n">
        <v>0.3</v>
      </c>
      <c r="I516" s="18" t="n">
        <v>1</v>
      </c>
      <c r="J516" s="19" t="n">
        <v>0.878042967827186</v>
      </c>
      <c r="K516" s="19" t="n">
        <v>0.609678080375762</v>
      </c>
      <c r="L516" s="16" t="n">
        <v>12.1688735222132</v>
      </c>
      <c r="M516" s="19" t="n">
        <v>0.337846460984465</v>
      </c>
      <c r="N516" s="19" t="n">
        <v>0.669581922316246</v>
      </c>
      <c r="O516" s="19" t="n">
        <v>0.878042967827186</v>
      </c>
      <c r="P516" s="19" t="n">
        <v>0.784460220901011</v>
      </c>
      <c r="Q516" s="17" t="s">
        <v>29</v>
      </c>
      <c r="R516" s="5" t="str">
        <f aca="false">IF(OR(Q516="Steel plate",Q516="Concrete jacket"),"Steel plate or jacket",Q516)</f>
        <v>Monitor</v>
      </c>
      <c r="S516" s="5" t="str">
        <f aca="false">IF(O516&lt;='Tree rules'!$C$4,IF(N516&lt;='Tree rules'!$C$5,IF(P516&lt;='Tree rules'!$C$6,"Monitor","Polymer laminate"),IF(P516&lt;='Tree rules'!$C$7,"Seal cracks","Polymer laminate")),IF(O516&lt;='Tree rules'!$C$8,IF(M516&lt;='Tree rules'!$C$9,"Steel plate or jacket","Polymer laminate"),IF(L516&lt;='Tree rules'!$C$10,"Steel plate or jacket","Polymer laminate")))</f>
        <v>Monitor</v>
      </c>
      <c r="T516" s="5" t="str">
        <f aca="false">IF(S516=R516,"Yes","No")</f>
        <v>Yes</v>
      </c>
    </row>
    <row r="517" customFormat="false" ht="15" hidden="false" customHeight="false" outlineLevel="0" collapsed="false">
      <c r="A517" s="15" t="n">
        <v>742</v>
      </c>
      <c r="B517" s="16" t="n">
        <v>7.93146749797156</v>
      </c>
      <c r="C517" s="15" t="n">
        <v>230</v>
      </c>
      <c r="D517" s="15" t="n">
        <v>675</v>
      </c>
      <c r="E517" s="15" t="n">
        <v>30</v>
      </c>
      <c r="F517" s="16" t="n">
        <v>0.555918794027087</v>
      </c>
      <c r="G517" s="17" t="s">
        <v>89</v>
      </c>
      <c r="H517" s="18" t="n">
        <v>0.3</v>
      </c>
      <c r="I517" s="18" t="n">
        <v>1</v>
      </c>
      <c r="J517" s="19" t="n">
        <v>0.890819914655541</v>
      </c>
      <c r="K517" s="19" t="n">
        <v>0.406872185055591</v>
      </c>
      <c r="L517" s="16" t="n">
        <v>12.6096462606861</v>
      </c>
      <c r="M517" s="19" t="n">
        <v>0.646177792351188</v>
      </c>
      <c r="N517" s="19" t="n">
        <v>0.542723037299472</v>
      </c>
      <c r="O517" s="19" t="n">
        <v>0.890819914655541</v>
      </c>
      <c r="P517" s="19" t="n">
        <v>0.411998989458319</v>
      </c>
      <c r="Q517" s="17" t="s">
        <v>29</v>
      </c>
      <c r="R517" s="5" t="str">
        <f aca="false">IF(OR(Q517="Steel plate",Q517="Concrete jacket"),"Steel plate or jacket",Q517)</f>
        <v>Monitor</v>
      </c>
      <c r="S517" s="5" t="str">
        <f aca="false">IF(O517&lt;='Tree rules'!$C$4,IF(N517&lt;='Tree rules'!$C$5,IF(P517&lt;='Tree rules'!$C$6,"Monitor","Polymer laminate"),IF(P517&lt;='Tree rules'!$C$7,"Seal cracks","Polymer laminate")),IF(O517&lt;='Tree rules'!$C$8,IF(M517&lt;='Tree rules'!$C$9,"Steel plate or jacket","Polymer laminate"),IF(L517&lt;='Tree rules'!$C$10,"Steel plate or jacket","Polymer laminate")))</f>
        <v>Monitor</v>
      </c>
      <c r="T517" s="5" t="str">
        <f aca="false">IF(S517=R517,"Yes","No")</f>
        <v>Yes</v>
      </c>
    </row>
    <row r="518" customFormat="false" ht="15" hidden="false" customHeight="false" outlineLevel="0" collapsed="false">
      <c r="A518" s="15" t="n">
        <v>743</v>
      </c>
      <c r="B518" s="16" t="n">
        <v>3.87046534550165</v>
      </c>
      <c r="C518" s="15" t="n">
        <v>230</v>
      </c>
      <c r="D518" s="15" t="n">
        <v>325</v>
      </c>
      <c r="E518" s="15" t="n">
        <v>30</v>
      </c>
      <c r="F518" s="16" t="n">
        <v>0.699968036696473</v>
      </c>
      <c r="G518" s="17" t="s">
        <v>89</v>
      </c>
      <c r="H518" s="18" t="n">
        <v>0.3</v>
      </c>
      <c r="I518" s="18" t="n">
        <v>1</v>
      </c>
      <c r="J518" s="19" t="n">
        <v>0.920128529740827</v>
      </c>
      <c r="K518" s="19" t="n">
        <v>0.420025300717632</v>
      </c>
      <c r="L518" s="16" t="n">
        <v>13.7738980266963</v>
      </c>
      <c r="M518" s="19" t="n">
        <v>0.951145688862183</v>
      </c>
      <c r="N518" s="19" t="n">
        <v>0.563631454248198</v>
      </c>
      <c r="O518" s="19" t="n">
        <v>0.920128529740827</v>
      </c>
      <c r="P518" s="19" t="n">
        <v>0.319663034941896</v>
      </c>
      <c r="Q518" s="17" t="s">
        <v>29</v>
      </c>
      <c r="R518" s="5" t="str">
        <f aca="false">IF(OR(Q518="Steel plate",Q518="Concrete jacket"),"Steel plate or jacket",Q518)</f>
        <v>Monitor</v>
      </c>
      <c r="S518" s="5" t="str">
        <f aca="false">IF(O518&lt;='Tree rules'!$C$4,IF(N518&lt;='Tree rules'!$C$5,IF(P518&lt;='Tree rules'!$C$6,"Monitor","Polymer laminate"),IF(P518&lt;='Tree rules'!$C$7,"Seal cracks","Polymer laminate")),IF(O518&lt;='Tree rules'!$C$8,IF(M518&lt;='Tree rules'!$C$9,"Steel plate or jacket","Polymer laminate"),IF(L518&lt;='Tree rules'!$C$10,"Steel plate or jacket","Polymer laminate")))</f>
        <v>Monitor</v>
      </c>
      <c r="T518" s="5" t="str">
        <f aca="false">IF(S518=R518,"Yes","No")</f>
        <v>Yes</v>
      </c>
    </row>
    <row r="519" customFormat="false" ht="15" hidden="false" customHeight="false" outlineLevel="0" collapsed="false">
      <c r="A519" s="15" t="n">
        <v>744</v>
      </c>
      <c r="B519" s="16" t="n">
        <v>5.98536204658855</v>
      </c>
      <c r="C519" s="15" t="n">
        <v>230</v>
      </c>
      <c r="D519" s="15" t="n">
        <v>525</v>
      </c>
      <c r="E519" s="15" t="n">
        <v>25</v>
      </c>
      <c r="F519" s="16" t="n">
        <v>0.565204075608359</v>
      </c>
      <c r="G519" s="17" t="s">
        <v>90</v>
      </c>
      <c r="H519" s="18" t="n">
        <v>0.1</v>
      </c>
      <c r="I519" s="18" t="n">
        <v>1</v>
      </c>
      <c r="J519" s="19" t="n">
        <v>0.992544496921002</v>
      </c>
      <c r="K519" s="19" t="n">
        <v>0.59782325927255</v>
      </c>
      <c r="L519" s="16" t="n">
        <v>12.8994871693719</v>
      </c>
      <c r="M519" s="19" t="n">
        <v>0.636492090303025</v>
      </c>
      <c r="N519" s="19" t="n">
        <v>2.57461360914211</v>
      </c>
      <c r="O519" s="19" t="n">
        <v>0.992544496921002</v>
      </c>
      <c r="P519" s="19" t="n">
        <v>0.508648182309408</v>
      </c>
      <c r="Q519" s="17" t="s">
        <v>30</v>
      </c>
      <c r="R519" s="5" t="str">
        <f aca="false">IF(OR(Q519="Steel plate",Q519="Concrete jacket"),"Steel plate or jacket",Q519)</f>
        <v>Seal cracks</v>
      </c>
      <c r="S519" s="5" t="str">
        <f aca="false">IF(O519&lt;='Tree rules'!$C$4,IF(N519&lt;='Tree rules'!$C$5,IF(P519&lt;='Tree rules'!$C$6,"Monitor","Polymer laminate"),IF(P519&lt;='Tree rules'!$C$7,"Seal cracks","Polymer laminate")),IF(O519&lt;='Tree rules'!$C$8,IF(M519&lt;='Tree rules'!$C$9,"Steel plate or jacket","Polymer laminate"),IF(L519&lt;='Tree rules'!$C$10,"Steel plate or jacket","Polymer laminate")))</f>
        <v>Seal cracks</v>
      </c>
      <c r="T519" s="5" t="str">
        <f aca="false">IF(S519=R519,"Yes","No")</f>
        <v>Yes</v>
      </c>
    </row>
    <row r="520" customFormat="false" ht="15" hidden="false" customHeight="false" outlineLevel="0" collapsed="false">
      <c r="A520" s="15" t="n">
        <v>745</v>
      </c>
      <c r="B520" s="16" t="n">
        <v>7.00725134341014</v>
      </c>
      <c r="C520" s="15" t="n">
        <v>230</v>
      </c>
      <c r="D520" s="15" t="n">
        <v>600</v>
      </c>
      <c r="E520" s="15" t="n">
        <v>30</v>
      </c>
      <c r="F520" s="16" t="n">
        <v>0.63117855856144</v>
      </c>
      <c r="G520" s="17" t="s">
        <v>89</v>
      </c>
      <c r="H520" s="18" t="n">
        <v>0.3</v>
      </c>
      <c r="I520" s="18" t="n">
        <v>1</v>
      </c>
      <c r="J520" s="19" t="n">
        <v>0.92438618420834</v>
      </c>
      <c r="K520" s="19" t="n">
        <v>0.490718974638555</v>
      </c>
      <c r="L520" s="16" t="n">
        <v>12.6484681288992</v>
      </c>
      <c r="M520" s="19" t="n">
        <v>0.385930293603842</v>
      </c>
      <c r="N520" s="19" t="n">
        <v>0.615234720540037</v>
      </c>
      <c r="O520" s="19" t="n">
        <v>0.92438618420834</v>
      </c>
      <c r="P520" s="19" t="n">
        <v>0.79602279828084</v>
      </c>
      <c r="Q520" s="17" t="s">
        <v>29</v>
      </c>
      <c r="R520" s="5" t="str">
        <f aca="false">IF(OR(Q520="Steel plate",Q520="Concrete jacket"),"Steel plate or jacket",Q520)</f>
        <v>Monitor</v>
      </c>
      <c r="S520" s="5" t="str">
        <f aca="false">IF(O520&lt;='Tree rules'!$C$4,IF(N520&lt;='Tree rules'!$C$5,IF(P520&lt;='Tree rules'!$C$6,"Monitor","Polymer laminate"),IF(P520&lt;='Tree rules'!$C$7,"Seal cracks","Polymer laminate")),IF(O520&lt;='Tree rules'!$C$8,IF(M520&lt;='Tree rules'!$C$9,"Steel plate or jacket","Polymer laminate"),IF(L520&lt;='Tree rules'!$C$10,"Steel plate or jacket","Polymer laminate")))</f>
        <v>Monitor</v>
      </c>
      <c r="T520" s="5" t="str">
        <f aca="false">IF(S520=R520,"Yes","No")</f>
        <v>Yes</v>
      </c>
    </row>
    <row r="521" customFormat="false" ht="15" hidden="false" customHeight="false" outlineLevel="0" collapsed="false">
      <c r="A521" s="15" t="n">
        <v>746</v>
      </c>
      <c r="B521" s="16" t="n">
        <v>6.67179349536374</v>
      </c>
      <c r="C521" s="15" t="n">
        <v>230</v>
      </c>
      <c r="D521" s="15" t="n">
        <v>625</v>
      </c>
      <c r="E521" s="15" t="n">
        <v>30</v>
      </c>
      <c r="F521" s="16" t="n">
        <v>0.710178431223674</v>
      </c>
      <c r="G521" s="17" t="s">
        <v>89</v>
      </c>
      <c r="H521" s="18" t="n">
        <v>0.3</v>
      </c>
      <c r="I521" s="18" t="n">
        <v>2</v>
      </c>
      <c r="J521" s="19" t="n">
        <v>0.955169954112501</v>
      </c>
      <c r="K521" s="19" t="n">
        <v>0.456999861057116</v>
      </c>
      <c r="L521" s="16" t="n">
        <v>11.5629003385853</v>
      </c>
      <c r="M521" s="19" t="n">
        <v>0.746960288135017</v>
      </c>
      <c r="N521" s="19" t="n">
        <v>1.03232276352368</v>
      </c>
      <c r="O521" s="19" t="n">
        <v>1.47382737190966</v>
      </c>
      <c r="P521" s="19" t="n">
        <v>0.561460276405156</v>
      </c>
      <c r="Q521" s="17" t="s">
        <v>92</v>
      </c>
      <c r="R521" s="5" t="str">
        <f aca="false">IF(OR(Q521="Steel plate",Q521="Concrete jacket"),"Steel plate or jacket",Q521)</f>
        <v>Steel plate or jacket</v>
      </c>
      <c r="S521" s="5" t="str">
        <f aca="false">IF(O521&lt;='Tree rules'!$C$4,IF(N521&lt;='Tree rules'!$C$5,IF(P521&lt;='Tree rules'!$C$6,"Monitor","Polymer laminate"),IF(P521&lt;='Tree rules'!$C$7,"Seal cracks","Polymer laminate")),IF(O521&lt;='Tree rules'!$C$8,IF(M521&lt;='Tree rules'!$C$9,"Steel plate or jacket","Polymer laminate"),IF(L521&lt;='Tree rules'!$C$10,"Steel plate or jacket","Polymer laminate")))</f>
        <v>Steel plate or jacket</v>
      </c>
      <c r="T521" s="5" t="str">
        <f aca="false">IF(S521=R521,"Yes","No")</f>
        <v>Yes</v>
      </c>
    </row>
    <row r="522" customFormat="false" ht="15" hidden="false" customHeight="false" outlineLevel="0" collapsed="false">
      <c r="A522" s="15" t="n">
        <v>750</v>
      </c>
      <c r="B522" s="16" t="n">
        <v>4.45727517066536</v>
      </c>
      <c r="C522" s="15" t="n">
        <v>300</v>
      </c>
      <c r="D522" s="15" t="n">
        <v>375</v>
      </c>
      <c r="E522" s="15" t="n">
        <v>25</v>
      </c>
      <c r="F522" s="16" t="n">
        <v>0.640324617292187</v>
      </c>
      <c r="G522" s="17" t="s">
        <v>90</v>
      </c>
      <c r="H522" s="18" t="n">
        <v>0.1</v>
      </c>
      <c r="I522" s="18" t="n">
        <v>1</v>
      </c>
      <c r="J522" s="19" t="n">
        <v>0.959462186154154</v>
      </c>
      <c r="K522" s="19" t="n">
        <v>0.609896959750046</v>
      </c>
      <c r="L522" s="16" t="n">
        <v>14.1951438556222</v>
      </c>
      <c r="M522" s="19" t="n">
        <v>0.505042393652685</v>
      </c>
      <c r="N522" s="19" t="n">
        <v>2.92545568700156</v>
      </c>
      <c r="O522" s="19" t="n">
        <v>0.959462186154154</v>
      </c>
      <c r="P522" s="19" t="n">
        <v>0.647086091210287</v>
      </c>
      <c r="Q522" s="17" t="s">
        <v>30</v>
      </c>
      <c r="R522" s="5" t="str">
        <f aca="false">IF(OR(Q522="Steel plate",Q522="Concrete jacket"),"Steel plate or jacket",Q522)</f>
        <v>Seal cracks</v>
      </c>
      <c r="S522" s="5" t="str">
        <f aca="false">IF(O522&lt;='Tree rules'!$C$4,IF(N522&lt;='Tree rules'!$C$5,IF(P522&lt;='Tree rules'!$C$6,"Monitor","Polymer laminate"),IF(P522&lt;='Tree rules'!$C$7,"Seal cracks","Polymer laminate")),IF(O522&lt;='Tree rules'!$C$8,IF(M522&lt;='Tree rules'!$C$9,"Steel plate or jacket","Polymer laminate"),IF(L522&lt;='Tree rules'!$C$10,"Steel plate or jacket","Polymer laminate")))</f>
        <v>Seal cracks</v>
      </c>
      <c r="T522" s="5" t="str">
        <f aca="false">IF(S522=R522,"Yes","No")</f>
        <v>Yes</v>
      </c>
    </row>
    <row r="523" customFormat="false" ht="15" hidden="false" customHeight="false" outlineLevel="0" collapsed="false">
      <c r="A523" s="15" t="n">
        <v>751</v>
      </c>
      <c r="B523" s="16" t="n">
        <v>4.94544038643593</v>
      </c>
      <c r="C523" s="15" t="n">
        <v>230</v>
      </c>
      <c r="D523" s="15" t="n">
        <v>475</v>
      </c>
      <c r="E523" s="15" t="n">
        <v>20</v>
      </c>
      <c r="F523" s="16" t="n">
        <v>0.663063033682945</v>
      </c>
      <c r="G523" s="17" t="s">
        <v>90</v>
      </c>
      <c r="H523" s="18" t="n">
        <v>0.1</v>
      </c>
      <c r="I523" s="18" t="n">
        <v>1</v>
      </c>
      <c r="J523" s="19" t="n">
        <v>0.918842321068008</v>
      </c>
      <c r="K523" s="19" t="n">
        <v>0.59631678986988</v>
      </c>
      <c r="L523" s="16" t="n">
        <v>12.0034960835823</v>
      </c>
      <c r="M523" s="19" t="n">
        <v>0.595393870709696</v>
      </c>
      <c r="N523" s="19" t="n">
        <v>2.7844220430319</v>
      </c>
      <c r="O523" s="19" t="n">
        <v>0.918842321068008</v>
      </c>
      <c r="P523" s="19" t="n">
        <v>0.547571262736244</v>
      </c>
      <c r="Q523" s="17" t="s">
        <v>30</v>
      </c>
      <c r="R523" s="5" t="str">
        <f aca="false">IF(OR(Q523="Steel plate",Q523="Concrete jacket"),"Steel plate or jacket",Q523)</f>
        <v>Seal cracks</v>
      </c>
      <c r="S523" s="5" t="str">
        <f aca="false">IF(O523&lt;='Tree rules'!$C$4,IF(N523&lt;='Tree rules'!$C$5,IF(P523&lt;='Tree rules'!$C$6,"Monitor","Polymer laminate"),IF(P523&lt;='Tree rules'!$C$7,"Seal cracks","Polymer laminate")),IF(O523&lt;='Tree rules'!$C$8,IF(M523&lt;='Tree rules'!$C$9,"Steel plate or jacket","Polymer laminate"),IF(L523&lt;='Tree rules'!$C$10,"Steel plate or jacket","Polymer laminate")))</f>
        <v>Seal cracks</v>
      </c>
      <c r="T523" s="5" t="str">
        <f aca="false">IF(S523=R523,"Yes","No")</f>
        <v>Yes</v>
      </c>
    </row>
    <row r="524" customFormat="false" ht="15" hidden="false" customHeight="false" outlineLevel="0" collapsed="false">
      <c r="A524" s="15" t="n">
        <v>753</v>
      </c>
      <c r="B524" s="16" t="n">
        <v>3.33463970079068</v>
      </c>
      <c r="C524" s="15" t="n">
        <v>300</v>
      </c>
      <c r="D524" s="15" t="n">
        <v>300</v>
      </c>
      <c r="E524" s="15" t="n">
        <v>25</v>
      </c>
      <c r="F524" s="16" t="n">
        <v>0.736310778185108</v>
      </c>
      <c r="G524" s="17" t="s">
        <v>89</v>
      </c>
      <c r="H524" s="18" t="n">
        <v>0.3</v>
      </c>
      <c r="I524" s="18" t="n">
        <v>1.5</v>
      </c>
      <c r="J524" s="19" t="n">
        <v>0.91315085584009</v>
      </c>
      <c r="K524" s="19" t="n">
        <v>0.490053597311701</v>
      </c>
      <c r="L524" s="16" t="n">
        <v>13.0259363312136</v>
      </c>
      <c r="M524" s="19" t="n">
        <v>0.341370362524488</v>
      </c>
      <c r="N524" s="19" t="n">
        <v>0.834464657617308</v>
      </c>
      <c r="O524" s="19" t="n">
        <v>1.14597985286379</v>
      </c>
      <c r="P524" s="19" t="n">
        <v>0.994103705575505</v>
      </c>
      <c r="Q524" s="17" t="s">
        <v>31</v>
      </c>
      <c r="R524" s="5" t="str">
        <f aca="false">IF(OR(Q524="Steel plate",Q524="Concrete jacket"),"Steel plate or jacket",Q524)</f>
        <v>Polymer laminate</v>
      </c>
      <c r="S524" s="5" t="str">
        <f aca="false">IF(O524&lt;='Tree rules'!$C$4,IF(N524&lt;='Tree rules'!$C$5,IF(P524&lt;='Tree rules'!$C$6,"Monitor","Polymer laminate"),IF(P524&lt;='Tree rules'!$C$7,"Seal cracks","Polymer laminate")),IF(O524&lt;='Tree rules'!$C$8,IF(M524&lt;='Tree rules'!$C$9,"Steel plate or jacket","Polymer laminate"),IF(L524&lt;='Tree rules'!$C$10,"Steel plate or jacket","Polymer laminate")))</f>
        <v>Polymer laminate</v>
      </c>
      <c r="T524" s="5" t="str">
        <f aca="false">IF(S524=R524,"Yes","No")</f>
        <v>Yes</v>
      </c>
    </row>
    <row r="525" customFormat="false" ht="15" hidden="false" customHeight="false" outlineLevel="0" collapsed="false">
      <c r="A525" s="15" t="n">
        <v>754</v>
      </c>
      <c r="B525" s="16" t="n">
        <v>6.79416152343157</v>
      </c>
      <c r="C525" s="15" t="n">
        <v>300</v>
      </c>
      <c r="D525" s="15" t="n">
        <v>625</v>
      </c>
      <c r="E525" s="15" t="n">
        <v>30</v>
      </c>
      <c r="F525" s="16" t="n">
        <v>0.725960174139756</v>
      </c>
      <c r="G525" s="17" t="s">
        <v>89</v>
      </c>
      <c r="H525" s="18" t="n">
        <v>0.3</v>
      </c>
      <c r="I525" s="18" t="n">
        <v>1</v>
      </c>
      <c r="J525" s="19" t="n">
        <v>0.873151160340866</v>
      </c>
      <c r="K525" s="19" t="n">
        <v>0.55631306216597</v>
      </c>
      <c r="L525" s="16" t="n">
        <v>11.7749766437289</v>
      </c>
      <c r="M525" s="19" t="n">
        <v>0.805600923818407</v>
      </c>
      <c r="N525" s="19" t="n">
        <v>0.576528300738817</v>
      </c>
      <c r="O525" s="19" t="n">
        <v>0.873151160340866</v>
      </c>
      <c r="P525" s="19" t="n">
        <v>0.426942567476237</v>
      </c>
      <c r="Q525" s="17" t="s">
        <v>29</v>
      </c>
      <c r="R525" s="5" t="str">
        <f aca="false">IF(OR(Q525="Steel plate",Q525="Concrete jacket"),"Steel plate or jacket",Q525)</f>
        <v>Monitor</v>
      </c>
      <c r="S525" s="5" t="str">
        <f aca="false">IF(O525&lt;='Tree rules'!$C$4,IF(N525&lt;='Tree rules'!$C$5,IF(P525&lt;='Tree rules'!$C$6,"Monitor","Polymer laminate"),IF(P525&lt;='Tree rules'!$C$7,"Seal cracks","Polymer laminate")),IF(O525&lt;='Tree rules'!$C$8,IF(M525&lt;='Tree rules'!$C$9,"Steel plate or jacket","Polymer laminate"),IF(L525&lt;='Tree rules'!$C$10,"Steel plate or jacket","Polymer laminate")))</f>
        <v>Monitor</v>
      </c>
      <c r="T525" s="5" t="str">
        <f aca="false">IF(S525=R525,"Yes","No")</f>
        <v>Yes</v>
      </c>
    </row>
    <row r="526" customFormat="false" ht="15" hidden="false" customHeight="false" outlineLevel="0" collapsed="false">
      <c r="A526" s="15" t="n">
        <v>757</v>
      </c>
      <c r="B526" s="16" t="n">
        <v>7.26218072251495</v>
      </c>
      <c r="C526" s="15" t="n">
        <v>300</v>
      </c>
      <c r="D526" s="15" t="n">
        <v>650</v>
      </c>
      <c r="E526" s="15" t="n">
        <v>30</v>
      </c>
      <c r="F526" s="16" t="n">
        <v>0.695812326376477</v>
      </c>
      <c r="G526" s="17" t="s">
        <v>89</v>
      </c>
      <c r="H526" s="18" t="n">
        <v>0.3</v>
      </c>
      <c r="I526" s="18" t="n">
        <v>2</v>
      </c>
      <c r="J526" s="19" t="n">
        <v>0.95110825028732</v>
      </c>
      <c r="K526" s="19" t="n">
        <v>0.51954827616117</v>
      </c>
      <c r="L526" s="16" t="n">
        <v>12.0634231271012</v>
      </c>
      <c r="M526" s="19" t="n">
        <v>0.501709076112888</v>
      </c>
      <c r="N526" s="19" t="n">
        <v>1.01617800442945</v>
      </c>
      <c r="O526" s="19" t="n">
        <v>1.4080698486952</v>
      </c>
      <c r="P526" s="19" t="n">
        <v>0.849984646509291</v>
      </c>
      <c r="Q526" s="17" t="s">
        <v>92</v>
      </c>
      <c r="R526" s="5" t="str">
        <f aca="false">IF(OR(Q526="Steel plate",Q526="Concrete jacket"),"Steel plate or jacket",Q526)</f>
        <v>Steel plate or jacket</v>
      </c>
      <c r="S526" s="5" t="str">
        <f aca="false">IF(O526&lt;='Tree rules'!$C$4,IF(N526&lt;='Tree rules'!$C$5,IF(P526&lt;='Tree rules'!$C$6,"Monitor","Polymer laminate"),IF(P526&lt;='Tree rules'!$C$7,"Seal cracks","Polymer laminate")),IF(O526&lt;='Tree rules'!$C$8,IF(M526&lt;='Tree rules'!$C$9,"Steel plate or jacket","Polymer laminate"),IF(L526&lt;='Tree rules'!$C$10,"Steel plate or jacket","Polymer laminate")))</f>
        <v>Steel plate or jacket</v>
      </c>
      <c r="T526" s="5" t="str">
        <f aca="false">IF(S526=R526,"Yes","No")</f>
        <v>Yes</v>
      </c>
    </row>
    <row r="527" customFormat="false" ht="15" hidden="false" customHeight="false" outlineLevel="0" collapsed="false">
      <c r="A527" s="15" t="n">
        <v>758</v>
      </c>
      <c r="B527" s="16" t="n">
        <v>4.19696178683815</v>
      </c>
      <c r="C527" s="15" t="n">
        <v>230</v>
      </c>
      <c r="D527" s="15" t="n">
        <v>375</v>
      </c>
      <c r="E527" s="15" t="n">
        <v>25</v>
      </c>
      <c r="F527" s="16" t="n">
        <v>0.556804015036685</v>
      </c>
      <c r="G527" s="17" t="s">
        <v>90</v>
      </c>
      <c r="H527" s="18" t="n">
        <v>0.1</v>
      </c>
      <c r="I527" s="18" t="n">
        <v>2</v>
      </c>
      <c r="J527" s="19" t="n">
        <v>0.866936436770493</v>
      </c>
      <c r="K527" s="19" t="n">
        <v>0.415658956773218</v>
      </c>
      <c r="L527" s="16" t="n">
        <v>13.3661203402489</v>
      </c>
      <c r="M527" s="19" t="n">
        <v>0.446658086045427</v>
      </c>
      <c r="N527" s="19" t="n">
        <v>4.52432935281697</v>
      </c>
      <c r="O527" s="19" t="n">
        <v>1.37352297864427</v>
      </c>
      <c r="P527" s="19" t="n">
        <v>0.614665588763786</v>
      </c>
      <c r="Q527" s="17" t="s">
        <v>31</v>
      </c>
      <c r="R527" s="5" t="str">
        <f aca="false">IF(OR(Q527="Steel plate",Q527="Concrete jacket"),"Steel plate or jacket",Q527)</f>
        <v>Polymer laminate</v>
      </c>
      <c r="S527" s="5" t="str">
        <f aca="false">IF(O527&lt;='Tree rules'!$C$4,IF(N527&lt;='Tree rules'!$C$5,IF(P527&lt;='Tree rules'!$C$6,"Monitor","Polymer laminate"),IF(P527&lt;='Tree rules'!$C$7,"Seal cracks","Polymer laminate")),IF(O527&lt;='Tree rules'!$C$8,IF(M527&lt;='Tree rules'!$C$9,"Steel plate or jacket","Polymer laminate"),IF(L527&lt;='Tree rules'!$C$10,"Steel plate or jacket","Polymer laminate")))</f>
        <v>Polymer laminate</v>
      </c>
      <c r="T527" s="5" t="str">
        <f aca="false">IF(S527=R527,"Yes","No")</f>
        <v>Yes</v>
      </c>
    </row>
    <row r="528" customFormat="false" ht="15" hidden="false" customHeight="false" outlineLevel="0" collapsed="false">
      <c r="A528" s="15" t="n">
        <v>759</v>
      </c>
      <c r="B528" s="16" t="n">
        <v>6.99979092498346</v>
      </c>
      <c r="C528" s="15" t="n">
        <v>300</v>
      </c>
      <c r="D528" s="15" t="n">
        <v>675</v>
      </c>
      <c r="E528" s="15" t="n">
        <v>30</v>
      </c>
      <c r="F528" s="16" t="n">
        <v>0.63930661313115</v>
      </c>
      <c r="G528" s="17" t="s">
        <v>91</v>
      </c>
      <c r="H528" s="18" t="n">
        <v>0.2</v>
      </c>
      <c r="I528" s="18" t="n">
        <v>2</v>
      </c>
      <c r="J528" s="19" t="n">
        <v>0.938637612199483</v>
      </c>
      <c r="K528" s="19" t="n">
        <v>0.640228111809851</v>
      </c>
      <c r="L528" s="16" t="n">
        <v>11.1284434419451</v>
      </c>
      <c r="M528" s="19" t="n">
        <v>0.475710239116536</v>
      </c>
      <c r="N528" s="19" t="n">
        <v>1.22536245700354</v>
      </c>
      <c r="O528" s="19" t="n">
        <v>1.27633303826678</v>
      </c>
      <c r="P528" s="19" t="n">
        <v>0.795102872852482</v>
      </c>
      <c r="Q528" s="17" t="s">
        <v>31</v>
      </c>
      <c r="R528" s="5" t="str">
        <f aca="false">IF(OR(Q528="Steel plate",Q528="Concrete jacket"),"Steel plate or jacket",Q528)</f>
        <v>Polymer laminate</v>
      </c>
      <c r="S528" s="5" t="str">
        <f aca="false">IF(O528&lt;='Tree rules'!$C$4,IF(N528&lt;='Tree rules'!$C$5,IF(P528&lt;='Tree rules'!$C$6,"Monitor","Polymer laminate"),IF(P528&lt;='Tree rules'!$C$7,"Seal cracks","Polymer laminate")),IF(O528&lt;='Tree rules'!$C$8,IF(M528&lt;='Tree rules'!$C$9,"Steel plate or jacket","Polymer laminate"),IF(L528&lt;='Tree rules'!$C$10,"Steel plate or jacket","Polymer laminate")))</f>
        <v>Polymer laminate</v>
      </c>
      <c r="T528" s="5" t="str">
        <f aca="false">IF(S528=R528,"Yes","No")</f>
        <v>Yes</v>
      </c>
    </row>
    <row r="529" customFormat="false" ht="15" hidden="false" customHeight="false" outlineLevel="0" collapsed="false">
      <c r="A529" s="15" t="n">
        <v>760</v>
      </c>
      <c r="B529" s="16" t="n">
        <v>7.53745413109665</v>
      </c>
      <c r="C529" s="15" t="n">
        <v>230</v>
      </c>
      <c r="D529" s="15" t="n">
        <v>750</v>
      </c>
      <c r="E529" s="15" t="n">
        <v>25</v>
      </c>
      <c r="F529" s="16" t="n">
        <v>0.583722157857635</v>
      </c>
      <c r="G529" s="17" t="s">
        <v>89</v>
      </c>
      <c r="H529" s="18" t="n">
        <v>0.3</v>
      </c>
      <c r="I529" s="18" t="n">
        <v>1</v>
      </c>
      <c r="J529" s="19" t="n">
        <v>0.923339872447559</v>
      </c>
      <c r="K529" s="19" t="n">
        <v>0.552353155520623</v>
      </c>
      <c r="L529" s="16" t="n">
        <v>10.7371141468613</v>
      </c>
      <c r="M529" s="19" t="n">
        <v>0.747955195923563</v>
      </c>
      <c r="N529" s="19" t="n">
        <v>0.598766199787374</v>
      </c>
      <c r="O529" s="19" t="n">
        <v>0.923339872447559</v>
      </c>
      <c r="P529" s="19" t="n">
        <v>0.401020584374251</v>
      </c>
      <c r="Q529" s="17" t="s">
        <v>29</v>
      </c>
      <c r="R529" s="5" t="str">
        <f aca="false">IF(OR(Q529="Steel plate",Q529="Concrete jacket"),"Steel plate or jacket",Q529)</f>
        <v>Monitor</v>
      </c>
      <c r="S529" s="5" t="str">
        <f aca="false">IF(O529&lt;='Tree rules'!$C$4,IF(N529&lt;='Tree rules'!$C$5,IF(P529&lt;='Tree rules'!$C$6,"Monitor","Polymer laminate"),IF(P529&lt;='Tree rules'!$C$7,"Seal cracks","Polymer laminate")),IF(O529&lt;='Tree rules'!$C$8,IF(M529&lt;='Tree rules'!$C$9,"Steel plate or jacket","Polymer laminate"),IF(L529&lt;='Tree rules'!$C$10,"Steel plate or jacket","Polymer laminate")))</f>
        <v>Monitor</v>
      </c>
      <c r="T529" s="5" t="str">
        <f aca="false">IF(S529=R529,"Yes","No")</f>
        <v>Yes</v>
      </c>
    </row>
    <row r="530" customFormat="false" ht="15" hidden="false" customHeight="false" outlineLevel="0" collapsed="false">
      <c r="A530" s="15" t="n">
        <v>761</v>
      </c>
      <c r="B530" s="16" t="n">
        <v>4.17052908328795</v>
      </c>
      <c r="C530" s="15" t="n">
        <v>230</v>
      </c>
      <c r="D530" s="15" t="n">
        <v>400</v>
      </c>
      <c r="E530" s="15" t="n">
        <v>25</v>
      </c>
      <c r="F530" s="16" t="n">
        <v>0.740832460684402</v>
      </c>
      <c r="G530" s="17" t="s">
        <v>89</v>
      </c>
      <c r="H530" s="18" t="n">
        <v>0.3</v>
      </c>
      <c r="I530" s="18" t="n">
        <v>1</v>
      </c>
      <c r="J530" s="19" t="n">
        <v>0.925889347100781</v>
      </c>
      <c r="K530" s="19" t="n">
        <v>0.489540591471608</v>
      </c>
      <c r="L530" s="16" t="n">
        <v>11.7811556025083</v>
      </c>
      <c r="M530" s="19" t="n">
        <v>0.812845850029611</v>
      </c>
      <c r="N530" s="19" t="n">
        <v>0.633156601702712</v>
      </c>
      <c r="O530" s="19" t="n">
        <v>0.925889347100781</v>
      </c>
      <c r="P530" s="19" t="n">
        <v>0.402339861931269</v>
      </c>
      <c r="Q530" s="17" t="s">
        <v>29</v>
      </c>
      <c r="R530" s="5" t="str">
        <f aca="false">IF(OR(Q530="Steel plate",Q530="Concrete jacket"),"Steel plate or jacket",Q530)</f>
        <v>Monitor</v>
      </c>
      <c r="S530" s="5" t="str">
        <f aca="false">IF(O530&lt;='Tree rules'!$C$4,IF(N530&lt;='Tree rules'!$C$5,IF(P530&lt;='Tree rules'!$C$6,"Monitor","Polymer laminate"),IF(P530&lt;='Tree rules'!$C$7,"Seal cracks","Polymer laminate")),IF(O530&lt;='Tree rules'!$C$8,IF(M530&lt;='Tree rules'!$C$9,"Steel plate or jacket","Polymer laminate"),IF(L530&lt;='Tree rules'!$C$10,"Steel plate or jacket","Polymer laminate")))</f>
        <v>Monitor</v>
      </c>
      <c r="T530" s="5" t="str">
        <f aca="false">IF(S530=R530,"Yes","No")</f>
        <v>Yes</v>
      </c>
    </row>
    <row r="531" customFormat="false" ht="15" hidden="false" customHeight="false" outlineLevel="0" collapsed="false">
      <c r="A531" s="15" t="n">
        <v>762</v>
      </c>
      <c r="B531" s="16" t="n">
        <v>3.58711887261898</v>
      </c>
      <c r="C531" s="15" t="n">
        <v>230</v>
      </c>
      <c r="D531" s="15" t="n">
        <v>300</v>
      </c>
      <c r="E531" s="15" t="n">
        <v>25</v>
      </c>
      <c r="F531" s="16" t="n">
        <v>0.576243217710084</v>
      </c>
      <c r="G531" s="17" t="s">
        <v>89</v>
      </c>
      <c r="H531" s="18" t="n">
        <v>0.3</v>
      </c>
      <c r="I531" s="18" t="n">
        <v>1.5</v>
      </c>
      <c r="J531" s="19" t="n">
        <v>0.944177274057015</v>
      </c>
      <c r="K531" s="19" t="n">
        <v>0.606550590287919</v>
      </c>
      <c r="L531" s="16" t="n">
        <v>14.0121830961679</v>
      </c>
      <c r="M531" s="19" t="n">
        <v>0.614040781742299</v>
      </c>
      <c r="N531" s="19" t="n">
        <v>0.822523541721626</v>
      </c>
      <c r="O531" s="19" t="n">
        <v>1.12992026962766</v>
      </c>
      <c r="P531" s="19" t="n">
        <v>0.53577461824549</v>
      </c>
      <c r="Q531" s="17" t="s">
        <v>31</v>
      </c>
      <c r="R531" s="5" t="str">
        <f aca="false">IF(OR(Q531="Steel plate",Q531="Concrete jacket"),"Steel plate or jacket",Q531)</f>
        <v>Polymer laminate</v>
      </c>
      <c r="S531" s="5" t="str">
        <f aca="false">IF(O531&lt;='Tree rules'!$C$4,IF(N531&lt;='Tree rules'!$C$5,IF(P531&lt;='Tree rules'!$C$6,"Monitor","Polymer laminate"),IF(P531&lt;='Tree rules'!$C$7,"Seal cracks","Polymer laminate")),IF(O531&lt;='Tree rules'!$C$8,IF(M531&lt;='Tree rules'!$C$9,"Steel plate or jacket","Polymer laminate"),IF(L531&lt;='Tree rules'!$C$10,"Steel plate or jacket","Polymer laminate")))</f>
        <v>Polymer laminate</v>
      </c>
      <c r="T531" s="5" t="str">
        <f aca="false">IF(S531=R531,"Yes","No")</f>
        <v>Yes</v>
      </c>
    </row>
    <row r="532" customFormat="false" ht="15" hidden="false" customHeight="false" outlineLevel="0" collapsed="false">
      <c r="A532" s="15" t="n">
        <v>764</v>
      </c>
      <c r="B532" s="16" t="n">
        <v>5.43526509862704</v>
      </c>
      <c r="C532" s="15" t="n">
        <v>300</v>
      </c>
      <c r="D532" s="15" t="n">
        <v>525</v>
      </c>
      <c r="E532" s="15" t="n">
        <v>20</v>
      </c>
      <c r="F532" s="16" t="n">
        <v>0.658614812073332</v>
      </c>
      <c r="G532" s="17" t="s">
        <v>89</v>
      </c>
      <c r="H532" s="18" t="n">
        <v>0.3</v>
      </c>
      <c r="I532" s="18" t="n">
        <v>1</v>
      </c>
      <c r="J532" s="19" t="n">
        <v>0.938604134163999</v>
      </c>
      <c r="K532" s="19" t="n">
        <v>0.414688551264734</v>
      </c>
      <c r="L532" s="16" t="n">
        <v>11.3946857413565</v>
      </c>
      <c r="M532" s="19" t="n">
        <v>0.882300406589466</v>
      </c>
      <c r="N532" s="19" t="n">
        <v>0.6940153516045</v>
      </c>
      <c r="O532" s="19" t="n">
        <v>0.938604134163999</v>
      </c>
      <c r="P532" s="19" t="n">
        <v>0.364124971824366</v>
      </c>
      <c r="Q532" s="17" t="s">
        <v>29</v>
      </c>
      <c r="R532" s="5" t="str">
        <f aca="false">IF(OR(Q532="Steel plate",Q532="Concrete jacket"),"Steel plate or jacket",Q532)</f>
        <v>Monitor</v>
      </c>
      <c r="S532" s="5" t="str">
        <f aca="false">IF(O532&lt;='Tree rules'!$C$4,IF(N532&lt;='Tree rules'!$C$5,IF(P532&lt;='Tree rules'!$C$6,"Monitor","Polymer laminate"),IF(P532&lt;='Tree rules'!$C$7,"Seal cracks","Polymer laminate")),IF(O532&lt;='Tree rules'!$C$8,IF(M532&lt;='Tree rules'!$C$9,"Steel plate or jacket","Polymer laminate"),IF(L532&lt;='Tree rules'!$C$10,"Steel plate or jacket","Polymer laminate")))</f>
        <v>Monitor</v>
      </c>
      <c r="T532" s="5" t="str">
        <f aca="false">IF(S532=R532,"Yes","No")</f>
        <v>Yes</v>
      </c>
    </row>
    <row r="533" customFormat="false" ht="15" hidden="false" customHeight="false" outlineLevel="0" collapsed="false">
      <c r="A533" s="15" t="n">
        <v>766</v>
      </c>
      <c r="B533" s="16" t="n">
        <v>4.5000162177453</v>
      </c>
      <c r="C533" s="15" t="n">
        <v>300</v>
      </c>
      <c r="D533" s="15" t="n">
        <v>425</v>
      </c>
      <c r="E533" s="15" t="n">
        <v>25</v>
      </c>
      <c r="F533" s="16" t="n">
        <v>0.707341881547042</v>
      </c>
      <c r="G533" s="17" t="s">
        <v>89</v>
      </c>
      <c r="H533" s="18" t="n">
        <v>0.3</v>
      </c>
      <c r="I533" s="18" t="n">
        <v>1</v>
      </c>
      <c r="J533" s="19" t="n">
        <v>0.878522551683832</v>
      </c>
      <c r="K533" s="19" t="n">
        <v>0.402372934214653</v>
      </c>
      <c r="L533" s="16" t="n">
        <v>11.8733937143676</v>
      </c>
      <c r="M533" s="19" t="n">
        <v>0.925433891631549</v>
      </c>
      <c r="N533" s="19" t="n">
        <v>0.571702618601258</v>
      </c>
      <c r="O533" s="19" t="n">
        <v>0.878522551683832</v>
      </c>
      <c r="P533" s="19" t="n">
        <v>0.320497029480156</v>
      </c>
      <c r="Q533" s="17" t="s">
        <v>29</v>
      </c>
      <c r="R533" s="5" t="str">
        <f aca="false">IF(OR(Q533="Steel plate",Q533="Concrete jacket"),"Steel plate or jacket",Q533)</f>
        <v>Monitor</v>
      </c>
      <c r="S533" s="5" t="str">
        <f aca="false">IF(O533&lt;='Tree rules'!$C$4,IF(N533&lt;='Tree rules'!$C$5,IF(P533&lt;='Tree rules'!$C$6,"Monitor","Polymer laminate"),IF(P533&lt;='Tree rules'!$C$7,"Seal cracks","Polymer laminate")),IF(O533&lt;='Tree rules'!$C$8,IF(M533&lt;='Tree rules'!$C$9,"Steel plate or jacket","Polymer laminate"),IF(L533&lt;='Tree rules'!$C$10,"Steel plate or jacket","Polymer laminate")))</f>
        <v>Monitor</v>
      </c>
      <c r="T533" s="5" t="str">
        <f aca="false">IF(S533=R533,"Yes","No")</f>
        <v>Yes</v>
      </c>
    </row>
    <row r="534" customFormat="false" ht="15" hidden="false" customHeight="false" outlineLevel="0" collapsed="false">
      <c r="A534" s="15" t="n">
        <v>767</v>
      </c>
      <c r="B534" s="16" t="n">
        <v>5.02559508464494</v>
      </c>
      <c r="C534" s="15" t="n">
        <v>300</v>
      </c>
      <c r="D534" s="15" t="n">
        <v>475</v>
      </c>
      <c r="E534" s="15" t="n">
        <v>30</v>
      </c>
      <c r="F534" s="16" t="n">
        <v>0.980981312596345</v>
      </c>
      <c r="G534" s="17" t="s">
        <v>91</v>
      </c>
      <c r="H534" s="18" t="n">
        <v>0.2</v>
      </c>
      <c r="I534" s="18" t="n">
        <v>1</v>
      </c>
      <c r="J534" s="19" t="n">
        <v>0.863692036524376</v>
      </c>
      <c r="K534" s="19" t="n">
        <v>0.428827737061764</v>
      </c>
      <c r="L534" s="16" t="n">
        <v>11.7695435237586</v>
      </c>
      <c r="M534" s="19" t="n">
        <v>0.471886295880825</v>
      </c>
      <c r="N534" s="19" t="n">
        <v>0.940364986959215</v>
      </c>
      <c r="O534" s="19" t="n">
        <v>0.863692036524376</v>
      </c>
      <c r="P534" s="19" t="n">
        <v>0.723494660043289</v>
      </c>
      <c r="Q534" s="17" t="s">
        <v>29</v>
      </c>
      <c r="R534" s="5" t="str">
        <f aca="false">IF(OR(Q534="Steel plate",Q534="Concrete jacket"),"Steel plate or jacket",Q534)</f>
        <v>Monitor</v>
      </c>
      <c r="S534" s="5" t="str">
        <f aca="false">IF(O534&lt;='Tree rules'!$C$4,IF(N534&lt;='Tree rules'!$C$5,IF(P534&lt;='Tree rules'!$C$6,"Monitor","Polymer laminate"),IF(P534&lt;='Tree rules'!$C$7,"Seal cracks","Polymer laminate")),IF(O534&lt;='Tree rules'!$C$8,IF(M534&lt;='Tree rules'!$C$9,"Steel plate or jacket","Polymer laminate"),IF(L534&lt;='Tree rules'!$C$10,"Steel plate or jacket","Polymer laminate")))</f>
        <v>Monitor</v>
      </c>
      <c r="T534" s="5" t="str">
        <f aca="false">IF(S534=R534,"Yes","No")</f>
        <v>Yes</v>
      </c>
    </row>
    <row r="535" customFormat="false" ht="15" hidden="false" customHeight="false" outlineLevel="0" collapsed="false">
      <c r="A535" s="15" t="n">
        <v>768</v>
      </c>
      <c r="B535" s="16" t="n">
        <v>3.75733554127425</v>
      </c>
      <c r="C535" s="15" t="n">
        <v>300</v>
      </c>
      <c r="D535" s="15" t="n">
        <v>325</v>
      </c>
      <c r="E535" s="15" t="n">
        <v>25</v>
      </c>
      <c r="F535" s="16" t="n">
        <v>0.67080270183412</v>
      </c>
      <c r="G535" s="17" t="s">
        <v>89</v>
      </c>
      <c r="H535" s="18" t="n">
        <v>0.3</v>
      </c>
      <c r="I535" s="18" t="n">
        <v>1</v>
      </c>
      <c r="J535" s="19" t="n">
        <v>0.868422856425756</v>
      </c>
      <c r="K535" s="19" t="n">
        <v>0.544303224443229</v>
      </c>
      <c r="L535" s="16" t="n">
        <v>13.3713008586272</v>
      </c>
      <c r="M535" s="19" t="n">
        <v>0.923912733957446</v>
      </c>
      <c r="N535" s="19" t="n">
        <v>0.530918563400152</v>
      </c>
      <c r="O535" s="19" t="n">
        <v>0.868422856425756</v>
      </c>
      <c r="P535" s="19" t="n">
        <v>0.34764574014727</v>
      </c>
      <c r="Q535" s="17" t="s">
        <v>29</v>
      </c>
      <c r="R535" s="5" t="str">
        <f aca="false">IF(OR(Q535="Steel plate",Q535="Concrete jacket"),"Steel plate or jacket",Q535)</f>
        <v>Monitor</v>
      </c>
      <c r="S535" s="5" t="str">
        <f aca="false">IF(O535&lt;='Tree rules'!$C$4,IF(N535&lt;='Tree rules'!$C$5,IF(P535&lt;='Tree rules'!$C$6,"Monitor","Polymer laminate"),IF(P535&lt;='Tree rules'!$C$7,"Seal cracks","Polymer laminate")),IF(O535&lt;='Tree rules'!$C$8,IF(M535&lt;='Tree rules'!$C$9,"Steel plate or jacket","Polymer laminate"),IF(L535&lt;='Tree rules'!$C$10,"Steel plate or jacket","Polymer laminate")))</f>
        <v>Monitor</v>
      </c>
      <c r="T535" s="5" t="str">
        <f aca="false">IF(S535=R535,"Yes","No")</f>
        <v>Yes</v>
      </c>
    </row>
    <row r="536" customFormat="false" ht="15" hidden="false" customHeight="false" outlineLevel="0" collapsed="false">
      <c r="A536" s="15" t="n">
        <v>769</v>
      </c>
      <c r="B536" s="16" t="n">
        <v>4.90788777457359</v>
      </c>
      <c r="C536" s="15" t="n">
        <v>230</v>
      </c>
      <c r="D536" s="15" t="n">
        <v>400</v>
      </c>
      <c r="E536" s="15" t="n">
        <v>25</v>
      </c>
      <c r="F536" s="16" t="n">
        <v>0.776085141697083</v>
      </c>
      <c r="G536" s="17" t="s">
        <v>89</v>
      </c>
      <c r="H536" s="18" t="n">
        <v>0.3</v>
      </c>
      <c r="I536" s="18" t="n">
        <v>1.5</v>
      </c>
      <c r="J536" s="19" t="n">
        <v>0.850712483311342</v>
      </c>
      <c r="K536" s="19" t="n">
        <v>0.474796966528942</v>
      </c>
      <c r="L536" s="16" t="n">
        <v>13.9428629959477</v>
      </c>
      <c r="M536" s="19" t="n">
        <v>0.550221186522851</v>
      </c>
      <c r="N536" s="19" t="n">
        <v>1.01554122475911</v>
      </c>
      <c r="O536" s="19" t="n">
        <v>1.07411087173475</v>
      </c>
      <c r="P536" s="19" t="n">
        <v>0.721479444874926</v>
      </c>
      <c r="Q536" s="17" t="s">
        <v>31</v>
      </c>
      <c r="R536" s="5" t="str">
        <f aca="false">IF(OR(Q536="Steel plate",Q536="Concrete jacket"),"Steel plate or jacket",Q536)</f>
        <v>Polymer laminate</v>
      </c>
      <c r="S536" s="5" t="str">
        <f aca="false">IF(O536&lt;='Tree rules'!$C$4,IF(N536&lt;='Tree rules'!$C$5,IF(P536&lt;='Tree rules'!$C$6,"Monitor","Polymer laminate"),IF(P536&lt;='Tree rules'!$C$7,"Seal cracks","Polymer laminate")),IF(O536&lt;='Tree rules'!$C$8,IF(M536&lt;='Tree rules'!$C$9,"Steel plate or jacket","Polymer laminate"),IF(L536&lt;='Tree rules'!$C$10,"Steel plate or jacket","Polymer laminate")))</f>
        <v>Polymer laminate</v>
      </c>
      <c r="T536" s="5" t="str">
        <f aca="false">IF(S536=R536,"Yes","No")</f>
        <v>Yes</v>
      </c>
    </row>
    <row r="537" customFormat="false" ht="15" hidden="false" customHeight="false" outlineLevel="0" collapsed="false">
      <c r="A537" s="15" t="n">
        <v>770</v>
      </c>
      <c r="B537" s="16" t="n">
        <v>5.69929414845364</v>
      </c>
      <c r="C537" s="15" t="n">
        <v>230</v>
      </c>
      <c r="D537" s="15" t="n">
        <v>550</v>
      </c>
      <c r="E537" s="15" t="n">
        <v>25</v>
      </c>
      <c r="F537" s="16" t="n">
        <v>0.693795479053647</v>
      </c>
      <c r="G537" s="17" t="s">
        <v>89</v>
      </c>
      <c r="H537" s="18" t="n">
        <v>0.3</v>
      </c>
      <c r="I537" s="18" t="n">
        <v>2</v>
      </c>
      <c r="J537" s="19" t="n">
        <v>0.943202836871971</v>
      </c>
      <c r="K537" s="19" t="n">
        <v>0.430709955549457</v>
      </c>
      <c r="L537" s="16" t="n">
        <v>11.3081233104239</v>
      </c>
      <c r="M537" s="19" t="n">
        <v>0.596397611618775</v>
      </c>
      <c r="N537" s="19" t="n">
        <v>0.964193061544303</v>
      </c>
      <c r="O537" s="19" t="n">
        <v>1.48015882180069</v>
      </c>
      <c r="P537" s="19" t="n">
        <v>0.67669265639873</v>
      </c>
      <c r="Q537" s="17" t="s">
        <v>92</v>
      </c>
      <c r="R537" s="5" t="str">
        <f aca="false">IF(OR(Q537="Steel plate",Q537="Concrete jacket"),"Steel plate or jacket",Q537)</f>
        <v>Steel plate or jacket</v>
      </c>
      <c r="S537" s="5" t="str">
        <f aca="false">IF(O537&lt;='Tree rules'!$C$4,IF(N537&lt;='Tree rules'!$C$5,IF(P537&lt;='Tree rules'!$C$6,"Monitor","Polymer laminate"),IF(P537&lt;='Tree rules'!$C$7,"Seal cracks","Polymer laminate")),IF(O537&lt;='Tree rules'!$C$8,IF(M537&lt;='Tree rules'!$C$9,"Steel plate or jacket","Polymer laminate"),IF(L537&lt;='Tree rules'!$C$10,"Steel plate or jacket","Polymer laminate")))</f>
        <v>Steel plate or jacket</v>
      </c>
      <c r="T537" s="5" t="str">
        <f aca="false">IF(S537=R537,"Yes","No")</f>
        <v>Yes</v>
      </c>
    </row>
    <row r="538" customFormat="false" ht="15" hidden="false" customHeight="false" outlineLevel="0" collapsed="false">
      <c r="A538" s="15" t="n">
        <v>771</v>
      </c>
      <c r="B538" s="16" t="n">
        <v>5.3758963853605</v>
      </c>
      <c r="C538" s="15" t="n">
        <v>300</v>
      </c>
      <c r="D538" s="15" t="n">
        <v>500</v>
      </c>
      <c r="E538" s="15" t="n">
        <v>30</v>
      </c>
      <c r="F538" s="16" t="n">
        <v>0.71889992072993</v>
      </c>
      <c r="G538" s="17" t="s">
        <v>90</v>
      </c>
      <c r="H538" s="18" t="n">
        <v>0.1</v>
      </c>
      <c r="I538" s="18" t="n">
        <v>2</v>
      </c>
      <c r="J538" s="19" t="n">
        <v>0.8973117086237</v>
      </c>
      <c r="K538" s="19" t="n">
        <v>0.575163784071294</v>
      </c>
      <c r="L538" s="16" t="n">
        <v>12.3018223921293</v>
      </c>
      <c r="M538" s="19" t="n">
        <v>0.92352353975336</v>
      </c>
      <c r="N538" s="19" t="n">
        <v>3.642204367501</v>
      </c>
      <c r="O538" s="19" t="n">
        <v>1.27852221942392</v>
      </c>
      <c r="P538" s="19" t="n">
        <v>0.420034211697242</v>
      </c>
      <c r="Q538" s="17" t="s">
        <v>31</v>
      </c>
      <c r="R538" s="5" t="str">
        <f aca="false">IF(OR(Q538="Steel plate",Q538="Concrete jacket"),"Steel plate or jacket",Q538)</f>
        <v>Polymer laminate</v>
      </c>
      <c r="S538" s="5" t="str">
        <f aca="false">IF(O538&lt;='Tree rules'!$C$4,IF(N538&lt;='Tree rules'!$C$5,IF(P538&lt;='Tree rules'!$C$6,"Monitor","Polymer laminate"),IF(P538&lt;='Tree rules'!$C$7,"Seal cracks","Polymer laminate")),IF(O538&lt;='Tree rules'!$C$8,IF(M538&lt;='Tree rules'!$C$9,"Steel plate or jacket","Polymer laminate"),IF(L538&lt;='Tree rules'!$C$10,"Steel plate or jacket","Polymer laminate")))</f>
        <v>Polymer laminate</v>
      </c>
      <c r="T538" s="5" t="str">
        <f aca="false">IF(S538=R538,"Yes","No")</f>
        <v>Yes</v>
      </c>
    </row>
    <row r="539" customFormat="false" ht="15" hidden="false" customHeight="false" outlineLevel="0" collapsed="false">
      <c r="A539" s="15" t="n">
        <v>773</v>
      </c>
      <c r="B539" s="16" t="n">
        <v>3.63407070612371</v>
      </c>
      <c r="C539" s="15" t="n">
        <v>230</v>
      </c>
      <c r="D539" s="15" t="n">
        <v>325</v>
      </c>
      <c r="E539" s="15" t="n">
        <v>30</v>
      </c>
      <c r="F539" s="16" t="n">
        <v>0.939980971621069</v>
      </c>
      <c r="G539" s="17" t="s">
        <v>89</v>
      </c>
      <c r="H539" s="18" t="n">
        <v>0.3</v>
      </c>
      <c r="I539" s="18" t="n">
        <v>2</v>
      </c>
      <c r="J539" s="19" t="n">
        <v>0.873219626425026</v>
      </c>
      <c r="K539" s="19" t="n">
        <v>0.432986686373147</v>
      </c>
      <c r="L539" s="16" t="n">
        <v>13.0253430327015</v>
      </c>
      <c r="M539" s="19" t="n">
        <v>0.649797092718484</v>
      </c>
      <c r="N539" s="19" t="n">
        <v>1.02851724324137</v>
      </c>
      <c r="O539" s="19" t="n">
        <v>1.36834678032828</v>
      </c>
      <c r="P539" s="19" t="n">
        <v>0.670282361702199</v>
      </c>
      <c r="Q539" s="17" t="s">
        <v>31</v>
      </c>
      <c r="R539" s="5" t="str">
        <f aca="false">IF(OR(Q539="Steel plate",Q539="Concrete jacket"),"Steel plate or jacket",Q539)</f>
        <v>Polymer laminate</v>
      </c>
      <c r="S539" s="5" t="str">
        <f aca="false">IF(O539&lt;='Tree rules'!$C$4,IF(N539&lt;='Tree rules'!$C$5,IF(P539&lt;='Tree rules'!$C$6,"Monitor","Polymer laminate"),IF(P539&lt;='Tree rules'!$C$7,"Seal cracks","Polymer laminate")),IF(O539&lt;='Tree rules'!$C$8,IF(M539&lt;='Tree rules'!$C$9,"Steel plate or jacket","Polymer laminate"),IF(L539&lt;='Tree rules'!$C$10,"Steel plate or jacket","Polymer laminate")))</f>
        <v>Polymer laminate</v>
      </c>
      <c r="T539" s="5" t="str">
        <f aca="false">IF(S539=R539,"Yes","No")</f>
        <v>Yes</v>
      </c>
    </row>
    <row r="540" customFormat="false" ht="15" hidden="false" customHeight="false" outlineLevel="0" collapsed="false">
      <c r="A540" s="15" t="n">
        <v>774</v>
      </c>
      <c r="B540" s="16" t="n">
        <v>3.9875808288687</v>
      </c>
      <c r="C540" s="15" t="n">
        <v>230</v>
      </c>
      <c r="D540" s="15" t="n">
        <v>375</v>
      </c>
      <c r="E540" s="15" t="n">
        <v>30</v>
      </c>
      <c r="F540" s="16" t="n">
        <v>1.06283562748644</v>
      </c>
      <c r="G540" s="17" t="s">
        <v>89</v>
      </c>
      <c r="H540" s="18" t="n">
        <v>0.3</v>
      </c>
      <c r="I540" s="18" t="n">
        <v>1.5</v>
      </c>
      <c r="J540" s="19" t="n">
        <v>0.850168044707142</v>
      </c>
      <c r="K540" s="19" t="n">
        <v>0.414452567937194</v>
      </c>
      <c r="L540" s="16" t="n">
        <v>12.1203064707255</v>
      </c>
      <c r="M540" s="19" t="n">
        <v>0.602973882979592</v>
      </c>
      <c r="N540" s="19" t="n">
        <v>0.744040609579409</v>
      </c>
      <c r="O540" s="19" t="n">
        <v>1.0990749024072</v>
      </c>
      <c r="P540" s="19" t="n">
        <v>0.670155430379599</v>
      </c>
      <c r="Q540" s="17" t="s">
        <v>31</v>
      </c>
      <c r="R540" s="5" t="str">
        <f aca="false">IF(OR(Q540="Steel plate",Q540="Concrete jacket"),"Steel plate or jacket",Q540)</f>
        <v>Polymer laminate</v>
      </c>
      <c r="S540" s="5" t="str">
        <f aca="false">IF(O540&lt;='Tree rules'!$C$4,IF(N540&lt;='Tree rules'!$C$5,IF(P540&lt;='Tree rules'!$C$6,"Monitor","Polymer laminate"),IF(P540&lt;='Tree rules'!$C$7,"Seal cracks","Polymer laminate")),IF(O540&lt;='Tree rules'!$C$8,IF(M540&lt;='Tree rules'!$C$9,"Steel plate or jacket","Polymer laminate"),IF(L540&lt;='Tree rules'!$C$10,"Steel plate or jacket","Polymer laminate")))</f>
        <v>Polymer laminate</v>
      </c>
      <c r="T540" s="5" t="str">
        <f aca="false">IF(S540=R540,"Yes","No")</f>
        <v>Yes</v>
      </c>
    </row>
    <row r="541" customFormat="false" ht="15" hidden="false" customHeight="false" outlineLevel="0" collapsed="false">
      <c r="A541" s="15" t="n">
        <v>775</v>
      </c>
      <c r="B541" s="16" t="n">
        <v>3.54434047315994</v>
      </c>
      <c r="C541" s="15" t="n">
        <v>300</v>
      </c>
      <c r="D541" s="15" t="n">
        <v>350</v>
      </c>
      <c r="E541" s="15" t="n">
        <v>25</v>
      </c>
      <c r="F541" s="16" t="n">
        <v>0.693508312050727</v>
      </c>
      <c r="G541" s="17" t="s">
        <v>91</v>
      </c>
      <c r="H541" s="18" t="n">
        <v>0.2</v>
      </c>
      <c r="I541" s="18" t="n">
        <v>2</v>
      </c>
      <c r="J541" s="19" t="n">
        <v>0.929543373446156</v>
      </c>
      <c r="K541" s="19" t="n">
        <v>0.437725205432181</v>
      </c>
      <c r="L541" s="16" t="n">
        <v>11.7362267323177</v>
      </c>
      <c r="M541" s="19" t="n">
        <v>0.527776521576207</v>
      </c>
      <c r="N541" s="19" t="n">
        <v>2.48984882219307</v>
      </c>
      <c r="O541" s="19" t="n">
        <v>1.45220218279247</v>
      </c>
      <c r="P541" s="19" t="n">
        <v>0.657905178108699</v>
      </c>
      <c r="Q541" s="17" t="s">
        <v>31</v>
      </c>
      <c r="R541" s="5" t="str">
        <f aca="false">IF(OR(Q541="Steel plate",Q541="Concrete jacket"),"Steel plate or jacket",Q541)</f>
        <v>Polymer laminate</v>
      </c>
      <c r="S541" s="5" t="str">
        <f aca="false">IF(O541&lt;='Tree rules'!$C$4,IF(N541&lt;='Tree rules'!$C$5,IF(P541&lt;='Tree rules'!$C$6,"Monitor","Polymer laminate"),IF(P541&lt;='Tree rules'!$C$7,"Seal cracks","Polymer laminate")),IF(O541&lt;='Tree rules'!$C$8,IF(M541&lt;='Tree rules'!$C$9,"Steel plate or jacket","Polymer laminate"),IF(L541&lt;='Tree rules'!$C$10,"Steel plate or jacket","Polymer laminate")))</f>
        <v>Steel plate or jacket</v>
      </c>
      <c r="T541" s="5" t="str">
        <f aca="false">IF(S541=R541,"Yes","No")</f>
        <v>No</v>
      </c>
    </row>
    <row r="542" customFormat="false" ht="15" hidden="false" customHeight="false" outlineLevel="0" collapsed="false">
      <c r="A542" s="15" t="n">
        <v>776</v>
      </c>
      <c r="B542" s="16" t="n">
        <v>3.17843146701247</v>
      </c>
      <c r="C542" s="15" t="n">
        <v>230</v>
      </c>
      <c r="D542" s="15" t="n">
        <v>300</v>
      </c>
      <c r="E542" s="15" t="n">
        <v>30</v>
      </c>
      <c r="F542" s="16" t="n">
        <v>1.08405543602132</v>
      </c>
      <c r="G542" s="17" t="s">
        <v>91</v>
      </c>
      <c r="H542" s="18" t="n">
        <v>0.2</v>
      </c>
      <c r="I542" s="18" t="n">
        <v>1.5</v>
      </c>
      <c r="J542" s="19" t="n">
        <v>0.876646991048407</v>
      </c>
      <c r="K542" s="19" t="n">
        <v>0.479429176481644</v>
      </c>
      <c r="L542" s="16" t="n">
        <v>12.6128232817955</v>
      </c>
      <c r="M542" s="19" t="n">
        <v>0.692383977121053</v>
      </c>
      <c r="N542" s="19" t="n">
        <v>1.5366250054211</v>
      </c>
      <c r="O542" s="19" t="n">
        <v>1.10482541408089</v>
      </c>
      <c r="P542" s="19" t="n">
        <v>0.588453036440983</v>
      </c>
      <c r="Q542" s="17" t="s">
        <v>31</v>
      </c>
      <c r="R542" s="5" t="str">
        <f aca="false">IF(OR(Q542="Steel plate",Q542="Concrete jacket"),"Steel plate or jacket",Q542)</f>
        <v>Polymer laminate</v>
      </c>
      <c r="S542" s="5" t="str">
        <f aca="false">IF(O542&lt;='Tree rules'!$C$4,IF(N542&lt;='Tree rules'!$C$5,IF(P542&lt;='Tree rules'!$C$6,"Monitor","Polymer laminate"),IF(P542&lt;='Tree rules'!$C$7,"Seal cracks","Polymer laminate")),IF(O542&lt;='Tree rules'!$C$8,IF(M542&lt;='Tree rules'!$C$9,"Steel plate or jacket","Polymer laminate"),IF(L542&lt;='Tree rules'!$C$10,"Steel plate or jacket","Polymer laminate")))</f>
        <v>Polymer laminate</v>
      </c>
      <c r="T542" s="5" t="str">
        <f aca="false">IF(S542=R542,"Yes","No")</f>
        <v>Yes</v>
      </c>
    </row>
    <row r="543" customFormat="false" ht="15" hidden="false" customHeight="false" outlineLevel="0" collapsed="false">
      <c r="A543" s="15" t="n">
        <v>777</v>
      </c>
      <c r="B543" s="16" t="n">
        <v>5.13883568601155</v>
      </c>
      <c r="C543" s="15" t="n">
        <v>300</v>
      </c>
      <c r="D543" s="15" t="n">
        <v>475</v>
      </c>
      <c r="E543" s="15" t="n">
        <v>25</v>
      </c>
      <c r="F543" s="16" t="n">
        <v>0.781126378514945</v>
      </c>
      <c r="G543" s="17" t="s">
        <v>91</v>
      </c>
      <c r="H543" s="18" t="n">
        <v>0.2</v>
      </c>
      <c r="I543" s="18" t="n">
        <v>2</v>
      </c>
      <c r="J543" s="19" t="n">
        <v>0.865983021672618</v>
      </c>
      <c r="K543" s="19" t="n">
        <v>0.534717964933033</v>
      </c>
      <c r="L543" s="16" t="n">
        <v>11.9786379627309</v>
      </c>
      <c r="M543" s="19" t="n">
        <v>0.846813041597241</v>
      </c>
      <c r="N543" s="19" t="n">
        <v>1.22022492046861</v>
      </c>
      <c r="O543" s="19" t="n">
        <v>1.26890936432989</v>
      </c>
      <c r="P543" s="19" t="n">
        <v>0.521372222715001</v>
      </c>
      <c r="Q543" s="17" t="s">
        <v>31</v>
      </c>
      <c r="R543" s="5" t="str">
        <f aca="false">IF(OR(Q543="Steel plate",Q543="Concrete jacket"),"Steel plate or jacket",Q543)</f>
        <v>Polymer laminate</v>
      </c>
      <c r="S543" s="5" t="str">
        <f aca="false">IF(O543&lt;='Tree rules'!$C$4,IF(N543&lt;='Tree rules'!$C$5,IF(P543&lt;='Tree rules'!$C$6,"Monitor","Polymer laminate"),IF(P543&lt;='Tree rules'!$C$7,"Seal cracks","Polymer laminate")),IF(O543&lt;='Tree rules'!$C$8,IF(M543&lt;='Tree rules'!$C$9,"Steel plate or jacket","Polymer laminate"),IF(L543&lt;='Tree rules'!$C$10,"Steel plate or jacket","Polymer laminate")))</f>
        <v>Polymer laminate</v>
      </c>
      <c r="T543" s="5" t="str">
        <f aca="false">IF(S543=R543,"Yes","No")</f>
        <v>Yes</v>
      </c>
    </row>
    <row r="544" customFormat="false" ht="15" hidden="false" customHeight="false" outlineLevel="0" collapsed="false">
      <c r="A544" s="15" t="n">
        <v>778</v>
      </c>
      <c r="B544" s="16" t="n">
        <v>3.47739258016007</v>
      </c>
      <c r="C544" s="15" t="n">
        <v>300</v>
      </c>
      <c r="D544" s="15" t="n">
        <v>300</v>
      </c>
      <c r="E544" s="15" t="n">
        <v>30</v>
      </c>
      <c r="F544" s="16" t="n">
        <v>0.791582400904515</v>
      </c>
      <c r="G544" s="17" t="s">
        <v>89</v>
      </c>
      <c r="H544" s="18" t="n">
        <v>0.3</v>
      </c>
      <c r="I544" s="18" t="n">
        <v>1.5</v>
      </c>
      <c r="J544" s="19" t="n">
        <v>0.905249237658572</v>
      </c>
      <c r="K544" s="19" t="n">
        <v>0.469687656015569</v>
      </c>
      <c r="L544" s="16" t="n">
        <v>13.6905219691341</v>
      </c>
      <c r="M544" s="19" t="n">
        <v>0.896097395166303</v>
      </c>
      <c r="N544" s="19" t="n">
        <v>0.923372497363108</v>
      </c>
      <c r="O544" s="19" t="n">
        <v>1.14528166021499</v>
      </c>
      <c r="P544" s="19" t="n">
        <v>0.413722998274064</v>
      </c>
      <c r="Q544" s="17" t="s">
        <v>31</v>
      </c>
      <c r="R544" s="5" t="str">
        <f aca="false">IF(OR(Q544="Steel plate",Q544="Concrete jacket"),"Steel plate or jacket",Q544)</f>
        <v>Polymer laminate</v>
      </c>
      <c r="S544" s="5" t="str">
        <f aca="false">IF(O544&lt;='Tree rules'!$C$4,IF(N544&lt;='Tree rules'!$C$5,IF(P544&lt;='Tree rules'!$C$6,"Monitor","Polymer laminate"),IF(P544&lt;='Tree rules'!$C$7,"Seal cracks","Polymer laminate")),IF(O544&lt;='Tree rules'!$C$8,IF(M544&lt;='Tree rules'!$C$9,"Steel plate or jacket","Polymer laminate"),IF(L544&lt;='Tree rules'!$C$10,"Steel plate or jacket","Polymer laminate")))</f>
        <v>Polymer laminate</v>
      </c>
      <c r="T544" s="5" t="str">
        <f aca="false">IF(S544=R544,"Yes","No")</f>
        <v>Yes</v>
      </c>
    </row>
    <row r="545" customFormat="false" ht="15" hidden="false" customHeight="false" outlineLevel="0" collapsed="false">
      <c r="A545" s="15" t="n">
        <v>779</v>
      </c>
      <c r="B545" s="16" t="n">
        <v>3.82432924856198</v>
      </c>
      <c r="C545" s="15" t="n">
        <v>230</v>
      </c>
      <c r="D545" s="15" t="n">
        <v>325</v>
      </c>
      <c r="E545" s="15" t="n">
        <v>20</v>
      </c>
      <c r="F545" s="16" t="n">
        <v>0.739439918465071</v>
      </c>
      <c r="G545" s="17" t="s">
        <v>90</v>
      </c>
      <c r="H545" s="18" t="n">
        <v>0.1</v>
      </c>
      <c r="I545" s="18" t="n">
        <v>1</v>
      </c>
      <c r="J545" s="19" t="n">
        <v>0.862993574256775</v>
      </c>
      <c r="K545" s="19" t="n">
        <v>0.558906533463509</v>
      </c>
      <c r="L545" s="16" t="n">
        <v>14.3771776261729</v>
      </c>
      <c r="M545" s="19" t="n">
        <v>0.297879008129483</v>
      </c>
      <c r="N545" s="19" t="n">
        <v>2.4927819578663</v>
      </c>
      <c r="O545" s="19" t="n">
        <v>0.862993574256775</v>
      </c>
      <c r="P545" s="19" t="n">
        <v>1.05310137262328</v>
      </c>
      <c r="Q545" s="17" t="s">
        <v>31</v>
      </c>
      <c r="R545" s="5" t="str">
        <f aca="false">IF(OR(Q545="Steel plate",Q545="Concrete jacket"),"Steel plate or jacket",Q545)</f>
        <v>Polymer laminate</v>
      </c>
      <c r="S545" s="5" t="str">
        <f aca="false">IF(O545&lt;='Tree rules'!$C$4,IF(N545&lt;='Tree rules'!$C$5,IF(P545&lt;='Tree rules'!$C$6,"Monitor","Polymer laminate"),IF(P545&lt;='Tree rules'!$C$7,"Seal cracks","Polymer laminate")),IF(O545&lt;='Tree rules'!$C$8,IF(M545&lt;='Tree rules'!$C$9,"Steel plate or jacket","Polymer laminate"),IF(L545&lt;='Tree rules'!$C$10,"Steel plate or jacket","Polymer laminate")))</f>
        <v>Polymer laminate</v>
      </c>
      <c r="T545" s="5" t="str">
        <f aca="false">IF(S545=R545,"Yes","No")</f>
        <v>Yes</v>
      </c>
    </row>
    <row r="546" customFormat="false" ht="15" hidden="false" customHeight="false" outlineLevel="0" collapsed="false">
      <c r="A546" s="15" t="n">
        <v>780</v>
      </c>
      <c r="B546" s="16" t="n">
        <v>3.01804742373431</v>
      </c>
      <c r="C546" s="15" t="n">
        <v>300</v>
      </c>
      <c r="D546" s="15" t="n">
        <v>300</v>
      </c>
      <c r="E546" s="15" t="n">
        <v>25</v>
      </c>
      <c r="F546" s="16" t="n">
        <v>0.883572933822129</v>
      </c>
      <c r="G546" s="17" t="s">
        <v>91</v>
      </c>
      <c r="H546" s="18" t="n">
        <v>0.2</v>
      </c>
      <c r="I546" s="18" t="n">
        <v>2</v>
      </c>
      <c r="J546" s="19" t="n">
        <v>0.858209941769584</v>
      </c>
      <c r="K546" s="19" t="n">
        <v>0.485666432888187</v>
      </c>
      <c r="L546" s="16" t="n">
        <v>11.7892477489622</v>
      </c>
      <c r="M546" s="19" t="n">
        <v>0.38916246323252</v>
      </c>
      <c r="N546" s="19" t="n">
        <v>1.35958836003031</v>
      </c>
      <c r="O546" s="19" t="n">
        <v>1.29961612245076</v>
      </c>
      <c r="P546" s="19" t="n">
        <v>0.971210540983048</v>
      </c>
      <c r="Q546" s="17" t="s">
        <v>31</v>
      </c>
      <c r="R546" s="5" t="str">
        <f aca="false">IF(OR(Q546="Steel plate",Q546="Concrete jacket"),"Steel plate or jacket",Q546)</f>
        <v>Polymer laminate</v>
      </c>
      <c r="S546" s="5" t="str">
        <f aca="false">IF(O546&lt;='Tree rules'!$C$4,IF(N546&lt;='Tree rules'!$C$5,IF(P546&lt;='Tree rules'!$C$6,"Monitor","Polymer laminate"),IF(P546&lt;='Tree rules'!$C$7,"Seal cracks","Polymer laminate")),IF(O546&lt;='Tree rules'!$C$8,IF(M546&lt;='Tree rules'!$C$9,"Steel plate or jacket","Polymer laminate"),IF(L546&lt;='Tree rules'!$C$10,"Steel plate or jacket","Polymer laminate")))</f>
        <v>Steel plate or jacket</v>
      </c>
      <c r="T546" s="5" t="str">
        <f aca="false">IF(S546=R546,"Yes","No")</f>
        <v>No</v>
      </c>
    </row>
    <row r="547" customFormat="false" ht="15" hidden="false" customHeight="false" outlineLevel="0" collapsed="false">
      <c r="A547" s="15" t="n">
        <v>781</v>
      </c>
      <c r="B547" s="16" t="n">
        <v>3.85522331121875</v>
      </c>
      <c r="C547" s="15" t="n">
        <v>300</v>
      </c>
      <c r="D547" s="15" t="n">
        <v>300</v>
      </c>
      <c r="E547" s="15" t="n">
        <v>25</v>
      </c>
      <c r="F547" s="16" t="n">
        <v>0.589048622548086</v>
      </c>
      <c r="G547" s="17" t="s">
        <v>89</v>
      </c>
      <c r="H547" s="18" t="n">
        <v>0.3</v>
      </c>
      <c r="I547" s="18" t="n">
        <v>2</v>
      </c>
      <c r="J547" s="19" t="n">
        <v>0.870970118255372</v>
      </c>
      <c r="K547" s="19" t="n">
        <v>0.432577079824219</v>
      </c>
      <c r="L547" s="16" t="n">
        <v>15.0594660594482</v>
      </c>
      <c r="M547" s="19" t="n">
        <v>0.785644929858252</v>
      </c>
      <c r="N547" s="19" t="n">
        <v>0.976453979617276</v>
      </c>
      <c r="O547" s="19" t="n">
        <v>1.36517852614168</v>
      </c>
      <c r="P547" s="19" t="n">
        <v>0.459497903523903</v>
      </c>
      <c r="Q547" s="17" t="s">
        <v>31</v>
      </c>
      <c r="R547" s="5" t="str">
        <f aca="false">IF(OR(Q547="Steel plate",Q547="Concrete jacket"),"Steel plate or jacket",Q547)</f>
        <v>Polymer laminate</v>
      </c>
      <c r="S547" s="5" t="str">
        <f aca="false">IF(O547&lt;='Tree rules'!$C$4,IF(N547&lt;='Tree rules'!$C$5,IF(P547&lt;='Tree rules'!$C$6,"Monitor","Polymer laminate"),IF(P547&lt;='Tree rules'!$C$7,"Seal cracks","Polymer laminate")),IF(O547&lt;='Tree rules'!$C$8,IF(M547&lt;='Tree rules'!$C$9,"Steel plate or jacket","Polymer laminate"),IF(L547&lt;='Tree rules'!$C$10,"Steel plate or jacket","Polymer laminate")))</f>
        <v>Polymer laminate</v>
      </c>
      <c r="T547" s="5" t="str">
        <f aca="false">IF(S547=R547,"Yes","No")</f>
        <v>Yes</v>
      </c>
    </row>
    <row r="548" customFormat="false" ht="15" hidden="false" customHeight="false" outlineLevel="0" collapsed="false">
      <c r="A548" s="15" t="n">
        <v>783</v>
      </c>
      <c r="B548" s="16" t="n">
        <v>5.44659556781017</v>
      </c>
      <c r="C548" s="15" t="n">
        <v>230</v>
      </c>
      <c r="D548" s="15" t="n">
        <v>500</v>
      </c>
      <c r="E548" s="15" t="n">
        <v>30</v>
      </c>
      <c r="F548" s="16" t="n">
        <v>0.770204672782022</v>
      </c>
      <c r="G548" s="17" t="s">
        <v>89</v>
      </c>
      <c r="H548" s="18" t="n">
        <v>0.3</v>
      </c>
      <c r="I548" s="18" t="n">
        <v>2</v>
      </c>
      <c r="J548" s="19" t="n">
        <v>0.929647539733609</v>
      </c>
      <c r="K548" s="19" t="n">
        <v>0.541480618588897</v>
      </c>
      <c r="L548" s="16" t="n">
        <v>11.9969065370268</v>
      </c>
      <c r="M548" s="19" t="n">
        <v>0.835366232329164</v>
      </c>
      <c r="N548" s="19" t="n">
        <v>0.868029485058017</v>
      </c>
      <c r="O548" s="19" t="n">
        <v>1.35590895458262</v>
      </c>
      <c r="P548" s="19" t="n">
        <v>0.533987803012157</v>
      </c>
      <c r="Q548" s="17" t="s">
        <v>31</v>
      </c>
      <c r="R548" s="5" t="str">
        <f aca="false">IF(OR(Q548="Steel plate",Q548="Concrete jacket"),"Steel plate or jacket",Q548)</f>
        <v>Polymer laminate</v>
      </c>
      <c r="S548" s="5" t="str">
        <f aca="false">IF(O548&lt;='Tree rules'!$C$4,IF(N548&lt;='Tree rules'!$C$5,IF(P548&lt;='Tree rules'!$C$6,"Monitor","Polymer laminate"),IF(P548&lt;='Tree rules'!$C$7,"Seal cracks","Polymer laminate")),IF(O548&lt;='Tree rules'!$C$8,IF(M548&lt;='Tree rules'!$C$9,"Steel plate or jacket","Polymer laminate"),IF(L548&lt;='Tree rules'!$C$10,"Steel plate or jacket","Polymer laminate")))</f>
        <v>Steel plate or jacket</v>
      </c>
      <c r="T548" s="5" t="str">
        <f aca="false">IF(S548=R548,"Yes","No")</f>
        <v>No</v>
      </c>
    </row>
    <row r="549" customFormat="false" ht="15" hidden="false" customHeight="false" outlineLevel="0" collapsed="false">
      <c r="A549" s="15" t="n">
        <v>786</v>
      </c>
      <c r="B549" s="16" t="n">
        <v>6.39940575051697</v>
      </c>
      <c r="C549" s="15" t="n">
        <v>300</v>
      </c>
      <c r="D549" s="15" t="n">
        <v>625</v>
      </c>
      <c r="E549" s="15" t="n">
        <v>25</v>
      </c>
      <c r="F549" s="16" t="n">
        <v>0.544470130604817</v>
      </c>
      <c r="G549" s="17" t="s">
        <v>89</v>
      </c>
      <c r="H549" s="18" t="n">
        <v>0.3</v>
      </c>
      <c r="I549" s="18" t="n">
        <v>1.5</v>
      </c>
      <c r="J549" s="19" t="n">
        <v>0.93669521936265</v>
      </c>
      <c r="K549" s="19" t="n">
        <v>0.530273015343848</v>
      </c>
      <c r="L549" s="16" t="n">
        <v>11.0908245242929</v>
      </c>
      <c r="M549" s="19" t="n">
        <v>0.485359423363064</v>
      </c>
      <c r="N549" s="19" t="n">
        <v>0.968426444981932</v>
      </c>
      <c r="O549" s="19" t="n">
        <v>1.15669072982918</v>
      </c>
      <c r="P549" s="19" t="n">
        <v>0.623400930198197</v>
      </c>
      <c r="Q549" s="17" t="s">
        <v>31</v>
      </c>
      <c r="R549" s="5" t="str">
        <f aca="false">IF(OR(Q549="Steel plate",Q549="Concrete jacket"),"Steel plate or jacket",Q549)</f>
        <v>Polymer laminate</v>
      </c>
      <c r="S549" s="5" t="str">
        <f aca="false">IF(O549&lt;='Tree rules'!$C$4,IF(N549&lt;='Tree rules'!$C$5,IF(P549&lt;='Tree rules'!$C$6,"Monitor","Polymer laminate"),IF(P549&lt;='Tree rules'!$C$7,"Seal cracks","Polymer laminate")),IF(O549&lt;='Tree rules'!$C$8,IF(M549&lt;='Tree rules'!$C$9,"Steel plate or jacket","Polymer laminate"),IF(L549&lt;='Tree rules'!$C$10,"Steel plate or jacket","Polymer laminate")))</f>
        <v>Polymer laminate</v>
      </c>
      <c r="T549" s="5" t="str">
        <f aca="false">IF(S549=R549,"Yes","No")</f>
        <v>Yes</v>
      </c>
    </row>
    <row r="550" customFormat="false" ht="15" hidden="false" customHeight="false" outlineLevel="0" collapsed="false">
      <c r="A550" s="15" t="n">
        <v>787</v>
      </c>
      <c r="B550" s="16" t="n">
        <v>5.83524193421167</v>
      </c>
      <c r="C550" s="15" t="n">
        <v>230</v>
      </c>
      <c r="D550" s="15" t="n">
        <v>525</v>
      </c>
      <c r="E550" s="15" t="n">
        <v>25</v>
      </c>
      <c r="F550" s="16" t="n">
        <v>0.547504574284506</v>
      </c>
      <c r="G550" s="17" t="s">
        <v>89</v>
      </c>
      <c r="H550" s="18" t="n">
        <v>0.3</v>
      </c>
      <c r="I550" s="18" t="n">
        <v>1</v>
      </c>
      <c r="J550" s="19" t="n">
        <v>0.935151461897729</v>
      </c>
      <c r="K550" s="19" t="n">
        <v>0.52643249698288</v>
      </c>
      <c r="L550" s="16" t="n">
        <v>12.1821334743459</v>
      </c>
      <c r="M550" s="19" t="n">
        <v>0.768839746325295</v>
      </c>
      <c r="N550" s="19" t="n">
        <v>0.616344590083236</v>
      </c>
      <c r="O550" s="19" t="n">
        <v>0.935151461897729</v>
      </c>
      <c r="P550" s="19" t="n">
        <v>0.386561860751874</v>
      </c>
      <c r="Q550" s="17" t="s">
        <v>29</v>
      </c>
      <c r="R550" s="5" t="str">
        <f aca="false">IF(OR(Q550="Steel plate",Q550="Concrete jacket"),"Steel plate or jacket",Q550)</f>
        <v>Monitor</v>
      </c>
      <c r="S550" s="5" t="str">
        <f aca="false">IF(O550&lt;='Tree rules'!$C$4,IF(N550&lt;='Tree rules'!$C$5,IF(P550&lt;='Tree rules'!$C$6,"Monitor","Polymer laminate"),IF(P550&lt;='Tree rules'!$C$7,"Seal cracks","Polymer laminate")),IF(O550&lt;='Tree rules'!$C$8,IF(M550&lt;='Tree rules'!$C$9,"Steel plate or jacket","Polymer laminate"),IF(L550&lt;='Tree rules'!$C$10,"Steel plate or jacket","Polymer laminate")))</f>
        <v>Monitor</v>
      </c>
      <c r="T550" s="5" t="str">
        <f aca="false">IF(S550=R550,"Yes","No")</f>
        <v>Yes</v>
      </c>
    </row>
    <row r="551" customFormat="false" ht="15" hidden="false" customHeight="false" outlineLevel="0" collapsed="false">
      <c r="A551" s="15" t="n">
        <v>788</v>
      </c>
      <c r="B551" s="16" t="n">
        <v>5.01302552401522</v>
      </c>
      <c r="C551" s="15" t="n">
        <v>230</v>
      </c>
      <c r="D551" s="15" t="n">
        <v>475</v>
      </c>
      <c r="E551" s="15" t="n">
        <v>30</v>
      </c>
      <c r="F551" s="16" t="n">
        <v>0.959655631887728</v>
      </c>
      <c r="G551" s="17" t="s">
        <v>89</v>
      </c>
      <c r="H551" s="18" t="n">
        <v>0.3</v>
      </c>
      <c r="I551" s="18" t="n">
        <v>1</v>
      </c>
      <c r="J551" s="19" t="n">
        <v>0.901167304153753</v>
      </c>
      <c r="K551" s="19" t="n">
        <v>0.532113948145584</v>
      </c>
      <c r="L551" s="16" t="n">
        <v>11.7401066136188</v>
      </c>
      <c r="M551" s="19" t="n">
        <v>0.916258198415681</v>
      </c>
      <c r="N551" s="19" t="n">
        <v>0.60549691751118</v>
      </c>
      <c r="O551" s="19" t="n">
        <v>0.901167304153753</v>
      </c>
      <c r="P551" s="19" t="n">
        <v>0.442604333839206</v>
      </c>
      <c r="Q551" s="17" t="s">
        <v>29</v>
      </c>
      <c r="R551" s="5" t="str">
        <f aca="false">IF(OR(Q551="Steel plate",Q551="Concrete jacket"),"Steel plate or jacket",Q551)</f>
        <v>Monitor</v>
      </c>
      <c r="S551" s="5" t="str">
        <f aca="false">IF(O551&lt;='Tree rules'!$C$4,IF(N551&lt;='Tree rules'!$C$5,IF(P551&lt;='Tree rules'!$C$6,"Monitor","Polymer laminate"),IF(P551&lt;='Tree rules'!$C$7,"Seal cracks","Polymer laminate")),IF(O551&lt;='Tree rules'!$C$8,IF(M551&lt;='Tree rules'!$C$9,"Steel plate or jacket","Polymer laminate"),IF(L551&lt;='Tree rules'!$C$10,"Steel plate or jacket","Polymer laminate")))</f>
        <v>Monitor</v>
      </c>
      <c r="T551" s="5" t="str">
        <f aca="false">IF(S551=R551,"Yes","No")</f>
        <v>Yes</v>
      </c>
    </row>
    <row r="552" customFormat="false" ht="15" hidden="false" customHeight="false" outlineLevel="0" collapsed="false">
      <c r="A552" s="15" t="n">
        <v>790</v>
      </c>
      <c r="B552" s="16" t="n">
        <v>7.91450719703653</v>
      </c>
      <c r="C552" s="15" t="n">
        <v>300</v>
      </c>
      <c r="D552" s="15" t="n">
        <v>775</v>
      </c>
      <c r="E552" s="15" t="n">
        <v>20</v>
      </c>
      <c r="F552" s="16" t="n">
        <v>0.720218398347041</v>
      </c>
      <c r="G552" s="17" t="s">
        <v>91</v>
      </c>
      <c r="H552" s="18" t="n">
        <v>0.2</v>
      </c>
      <c r="I552" s="18" t="n">
        <v>1</v>
      </c>
      <c r="J552" s="19" t="n">
        <v>0.912271381740748</v>
      </c>
      <c r="K552" s="19" t="n">
        <v>0.469498016652755</v>
      </c>
      <c r="L552" s="16" t="n">
        <v>10.886529844617</v>
      </c>
      <c r="M552" s="19" t="n">
        <v>0.43546874742773</v>
      </c>
      <c r="N552" s="19" t="n">
        <v>0.866308605724746</v>
      </c>
      <c r="O552" s="19" t="n">
        <v>0.912271381740748</v>
      </c>
      <c r="P552" s="19" t="n">
        <v>0.773916851037292</v>
      </c>
      <c r="Q552" s="17" t="s">
        <v>29</v>
      </c>
      <c r="R552" s="5" t="str">
        <f aca="false">IF(OR(Q552="Steel plate",Q552="Concrete jacket"),"Steel plate or jacket",Q552)</f>
        <v>Monitor</v>
      </c>
      <c r="S552" s="5" t="str">
        <f aca="false">IF(O552&lt;='Tree rules'!$C$4,IF(N552&lt;='Tree rules'!$C$5,IF(P552&lt;='Tree rules'!$C$6,"Monitor","Polymer laminate"),IF(P552&lt;='Tree rules'!$C$7,"Seal cracks","Polymer laminate")),IF(O552&lt;='Tree rules'!$C$8,IF(M552&lt;='Tree rules'!$C$9,"Steel plate or jacket","Polymer laminate"),IF(L552&lt;='Tree rules'!$C$10,"Steel plate or jacket","Polymer laminate")))</f>
        <v>Monitor</v>
      </c>
      <c r="T552" s="5" t="str">
        <f aca="false">IF(S552=R552,"Yes","No")</f>
        <v>Yes</v>
      </c>
    </row>
    <row r="553" customFormat="false" ht="15" hidden="false" customHeight="false" outlineLevel="0" collapsed="false">
      <c r="A553" s="15" t="n">
        <v>791</v>
      </c>
      <c r="B553" s="16" t="n">
        <v>3.10404205831964</v>
      </c>
      <c r="C553" s="15" t="n">
        <v>230</v>
      </c>
      <c r="D553" s="15" t="n">
        <v>300</v>
      </c>
      <c r="E553" s="15" t="n">
        <v>30</v>
      </c>
      <c r="F553" s="16" t="n">
        <v>1.08405543602132</v>
      </c>
      <c r="G553" s="17" t="s">
        <v>91</v>
      </c>
      <c r="H553" s="18" t="n">
        <v>0.2</v>
      </c>
      <c r="I553" s="18" t="n">
        <v>1</v>
      </c>
      <c r="J553" s="19" t="n">
        <v>0.889848146418373</v>
      </c>
      <c r="K553" s="19" t="n">
        <v>0.42531712455932</v>
      </c>
      <c r="L553" s="16" t="n">
        <v>12.3176272155541</v>
      </c>
      <c r="M553" s="19" t="n">
        <v>0.520432106634957</v>
      </c>
      <c r="N553" s="19" t="n">
        <v>1.25790542151763</v>
      </c>
      <c r="O553" s="19" t="n">
        <v>0.889848146418373</v>
      </c>
      <c r="P553" s="19" t="n">
        <v>0.636779976405417</v>
      </c>
      <c r="Q553" s="17" t="s">
        <v>30</v>
      </c>
      <c r="R553" s="5" t="str">
        <f aca="false">IF(OR(Q553="Steel plate",Q553="Concrete jacket"),"Steel plate or jacket",Q553)</f>
        <v>Seal cracks</v>
      </c>
      <c r="S553" s="5" t="str">
        <f aca="false">IF(O553&lt;='Tree rules'!$C$4,IF(N553&lt;='Tree rules'!$C$5,IF(P553&lt;='Tree rules'!$C$6,"Monitor","Polymer laminate"),IF(P553&lt;='Tree rules'!$C$7,"Seal cracks","Polymer laminate")),IF(O553&lt;='Tree rules'!$C$8,IF(M553&lt;='Tree rules'!$C$9,"Steel plate or jacket","Polymer laminate"),IF(L553&lt;='Tree rules'!$C$10,"Steel plate or jacket","Polymer laminate")))</f>
        <v>Seal cracks</v>
      </c>
      <c r="T553" s="5" t="str">
        <f aca="false">IF(S553=R553,"Yes","No")</f>
        <v>Yes</v>
      </c>
    </row>
    <row r="554" customFormat="false" ht="15" hidden="false" customHeight="false" outlineLevel="0" collapsed="false">
      <c r="A554" s="15" t="n">
        <v>792</v>
      </c>
      <c r="B554" s="16" t="n">
        <v>5.82597586695963</v>
      </c>
      <c r="C554" s="15" t="n">
        <v>230</v>
      </c>
      <c r="D554" s="15" t="n">
        <v>575</v>
      </c>
      <c r="E554" s="15" t="n">
        <v>30</v>
      </c>
      <c r="F554" s="16" t="n">
        <v>0.800337802375117</v>
      </c>
      <c r="G554" s="17" t="s">
        <v>90</v>
      </c>
      <c r="H554" s="18" t="n">
        <v>0.1</v>
      </c>
      <c r="I554" s="18" t="n">
        <v>1</v>
      </c>
      <c r="J554" s="19" t="n">
        <v>0.914649287537051</v>
      </c>
      <c r="K554" s="19" t="n">
        <v>0.412690797115059</v>
      </c>
      <c r="L554" s="16" t="n">
        <v>11.3788591151555</v>
      </c>
      <c r="M554" s="19" t="n">
        <v>0.43681135017425</v>
      </c>
      <c r="N554" s="19" t="n">
        <v>2.51862616416782</v>
      </c>
      <c r="O554" s="19" t="n">
        <v>0.914649287537051</v>
      </c>
      <c r="P554" s="19" t="n">
        <v>0.650746819277157</v>
      </c>
      <c r="Q554" s="17" t="s">
        <v>30</v>
      </c>
      <c r="R554" s="5" t="str">
        <f aca="false">IF(OR(Q554="Steel plate",Q554="Concrete jacket"),"Steel plate or jacket",Q554)</f>
        <v>Seal cracks</v>
      </c>
      <c r="S554" s="5" t="str">
        <f aca="false">IF(O554&lt;='Tree rules'!$C$4,IF(N554&lt;='Tree rules'!$C$5,IF(P554&lt;='Tree rules'!$C$6,"Monitor","Polymer laminate"),IF(P554&lt;='Tree rules'!$C$7,"Seal cracks","Polymer laminate")),IF(O554&lt;='Tree rules'!$C$8,IF(M554&lt;='Tree rules'!$C$9,"Steel plate or jacket","Polymer laminate"),IF(L554&lt;='Tree rules'!$C$10,"Steel plate or jacket","Polymer laminate")))</f>
        <v>Seal cracks</v>
      </c>
      <c r="T554" s="5" t="str">
        <f aca="false">IF(S554=R554,"Yes","No")</f>
        <v>Yes</v>
      </c>
    </row>
    <row r="555" customFormat="false" ht="15" hidden="false" customHeight="false" outlineLevel="0" collapsed="false">
      <c r="A555" s="15" t="n">
        <v>793</v>
      </c>
      <c r="B555" s="16" t="n">
        <v>6.59182031559089</v>
      </c>
      <c r="C555" s="15" t="n">
        <v>230</v>
      </c>
      <c r="D555" s="15" t="n">
        <v>550</v>
      </c>
      <c r="E555" s="15" t="n">
        <v>30</v>
      </c>
      <c r="F555" s="16" t="n">
        <v>0.816280786486175</v>
      </c>
      <c r="G555" s="17" t="s">
        <v>89</v>
      </c>
      <c r="H555" s="18" t="n">
        <v>0.3</v>
      </c>
      <c r="I555" s="18" t="n">
        <v>2</v>
      </c>
      <c r="J555" s="19" t="n">
        <v>0.853343853438639</v>
      </c>
      <c r="K555" s="19" t="n">
        <v>0.574236169275605</v>
      </c>
      <c r="L555" s="16" t="n">
        <v>13.1311161665157</v>
      </c>
      <c r="M555" s="19" t="n">
        <v>0.758151887859642</v>
      </c>
      <c r="N555" s="19" t="n">
        <v>0.849573722453424</v>
      </c>
      <c r="O555" s="19" t="n">
        <v>1.21666680140379</v>
      </c>
      <c r="P555" s="19" t="n">
        <v>0.632345837162475</v>
      </c>
      <c r="Q555" s="17" t="s">
        <v>31</v>
      </c>
      <c r="R555" s="5" t="str">
        <f aca="false">IF(OR(Q555="Steel plate",Q555="Concrete jacket"),"Steel plate or jacket",Q555)</f>
        <v>Polymer laminate</v>
      </c>
      <c r="S555" s="5" t="str">
        <f aca="false">IF(O555&lt;='Tree rules'!$C$4,IF(N555&lt;='Tree rules'!$C$5,IF(P555&lt;='Tree rules'!$C$6,"Monitor","Polymer laminate"),IF(P555&lt;='Tree rules'!$C$7,"Seal cracks","Polymer laminate")),IF(O555&lt;='Tree rules'!$C$8,IF(M555&lt;='Tree rules'!$C$9,"Steel plate or jacket","Polymer laminate"),IF(L555&lt;='Tree rules'!$C$10,"Steel plate or jacket","Polymer laminate")))</f>
        <v>Polymer laminate</v>
      </c>
      <c r="T555" s="5" t="str">
        <f aca="false">IF(S555=R555,"Yes","No")</f>
        <v>Yes</v>
      </c>
    </row>
    <row r="556" customFormat="false" ht="15" hidden="false" customHeight="false" outlineLevel="0" collapsed="false">
      <c r="A556" s="15" t="n">
        <v>794</v>
      </c>
      <c r="B556" s="16" t="n">
        <v>4.72539277708483</v>
      </c>
      <c r="C556" s="15" t="n">
        <v>300</v>
      </c>
      <c r="D556" s="15" t="n">
        <v>425</v>
      </c>
      <c r="E556" s="15" t="n">
        <v>30</v>
      </c>
      <c r="F556" s="16" t="n">
        <v>0.593686800678386</v>
      </c>
      <c r="G556" s="17" t="s">
        <v>91</v>
      </c>
      <c r="H556" s="18" t="n">
        <v>0.2</v>
      </c>
      <c r="I556" s="18" t="n">
        <v>1.5</v>
      </c>
      <c r="J556" s="19" t="n">
        <v>0.947794004759668</v>
      </c>
      <c r="K556" s="19" t="n">
        <v>0.415840996777049</v>
      </c>
      <c r="L556" s="16" t="n">
        <v>12.4026057141334</v>
      </c>
      <c r="M556" s="19" t="n">
        <v>0.468703592125255</v>
      </c>
      <c r="N556" s="19" t="n">
        <v>1.21805926585333</v>
      </c>
      <c r="O556" s="19" t="n">
        <v>1.22462520530022</v>
      </c>
      <c r="P556" s="19" t="n">
        <v>0.632947146980571</v>
      </c>
      <c r="Q556" s="17" t="s">
        <v>31</v>
      </c>
      <c r="R556" s="5" t="str">
        <f aca="false">IF(OR(Q556="Steel plate",Q556="Concrete jacket"),"Steel plate or jacket",Q556)</f>
        <v>Polymer laminate</v>
      </c>
      <c r="S556" s="5" t="str">
        <f aca="false">IF(O556&lt;='Tree rules'!$C$4,IF(N556&lt;='Tree rules'!$C$5,IF(P556&lt;='Tree rules'!$C$6,"Monitor","Polymer laminate"),IF(P556&lt;='Tree rules'!$C$7,"Seal cracks","Polymer laminate")),IF(O556&lt;='Tree rules'!$C$8,IF(M556&lt;='Tree rules'!$C$9,"Steel plate or jacket","Polymer laminate"),IF(L556&lt;='Tree rules'!$C$10,"Steel plate or jacket","Polymer laminate")))</f>
        <v>Polymer laminate</v>
      </c>
      <c r="T556" s="5" t="str">
        <f aca="false">IF(S556=R556,"Yes","No")</f>
        <v>Yes</v>
      </c>
    </row>
    <row r="557" customFormat="false" ht="15" hidden="false" customHeight="false" outlineLevel="0" collapsed="false">
      <c r="A557" s="15" t="n">
        <v>795</v>
      </c>
      <c r="B557" s="16" t="n">
        <v>4.91377793839043</v>
      </c>
      <c r="C557" s="15" t="n">
        <v>300</v>
      </c>
      <c r="D557" s="15" t="n">
        <v>400</v>
      </c>
      <c r="E557" s="15" t="n">
        <v>30</v>
      </c>
      <c r="F557" s="16" t="n">
        <v>0.635378289490071</v>
      </c>
      <c r="G557" s="17" t="s">
        <v>91</v>
      </c>
      <c r="H557" s="18" t="n">
        <v>0.2</v>
      </c>
      <c r="I557" s="18" t="n">
        <v>2</v>
      </c>
      <c r="J557" s="19" t="n">
        <v>0.863211466950878</v>
      </c>
      <c r="K557" s="19" t="n">
        <v>0.62941705918604</v>
      </c>
      <c r="L557" s="16" t="n">
        <v>13.8027470179506</v>
      </c>
      <c r="M557" s="19" t="n">
        <v>0.34059940837857</v>
      </c>
      <c r="N557" s="19" t="n">
        <v>1.21418318943651</v>
      </c>
      <c r="O557" s="19" t="n">
        <v>1.18310291091787</v>
      </c>
      <c r="P557" s="19" t="n">
        <v>1.08585174513464</v>
      </c>
      <c r="Q557" s="17" t="s">
        <v>31</v>
      </c>
      <c r="R557" s="5" t="str">
        <f aca="false">IF(OR(Q557="Steel plate",Q557="Concrete jacket"),"Steel plate or jacket",Q557)</f>
        <v>Polymer laminate</v>
      </c>
      <c r="S557" s="5" t="str">
        <f aca="false">IF(O557&lt;='Tree rules'!$C$4,IF(N557&lt;='Tree rules'!$C$5,IF(P557&lt;='Tree rules'!$C$6,"Monitor","Polymer laminate"),IF(P557&lt;='Tree rules'!$C$7,"Seal cracks","Polymer laminate")),IF(O557&lt;='Tree rules'!$C$8,IF(M557&lt;='Tree rules'!$C$9,"Steel plate or jacket","Polymer laminate"),IF(L557&lt;='Tree rules'!$C$10,"Steel plate or jacket","Polymer laminate")))</f>
        <v>Polymer laminate</v>
      </c>
      <c r="T557" s="5" t="str">
        <f aca="false">IF(S557=R557,"Yes","No")</f>
        <v>Yes</v>
      </c>
    </row>
    <row r="558" customFormat="false" ht="15" hidden="false" customHeight="false" outlineLevel="0" collapsed="false">
      <c r="A558" s="15" t="n">
        <v>796</v>
      </c>
      <c r="B558" s="16" t="n">
        <v>5.77516687863558</v>
      </c>
      <c r="C558" s="15" t="n">
        <v>230</v>
      </c>
      <c r="D558" s="15" t="n">
        <v>525</v>
      </c>
      <c r="E558" s="15" t="n">
        <v>20</v>
      </c>
      <c r="F558" s="16" t="n">
        <v>0.730006099046008</v>
      </c>
      <c r="G558" s="17" t="s">
        <v>89</v>
      </c>
      <c r="H558" s="18" t="n">
        <v>0.3</v>
      </c>
      <c r="I558" s="18" t="n">
        <v>1.5</v>
      </c>
      <c r="J558" s="19" t="n">
        <v>0.894949042533839</v>
      </c>
      <c r="K558" s="19" t="n">
        <v>0.595726367701896</v>
      </c>
      <c r="L558" s="16" t="n">
        <v>12.0567158217862</v>
      </c>
      <c r="M558" s="19" t="n">
        <v>0.443952951649174</v>
      </c>
      <c r="N558" s="19" t="n">
        <v>0.700924375281954</v>
      </c>
      <c r="O558" s="19" t="n">
        <v>1.07585119260727</v>
      </c>
      <c r="P558" s="19" t="n">
        <v>0.954121793006444</v>
      </c>
      <c r="Q558" s="17" t="s">
        <v>31</v>
      </c>
      <c r="R558" s="5" t="str">
        <f aca="false">IF(OR(Q558="Steel plate",Q558="Concrete jacket"),"Steel plate or jacket",Q558)</f>
        <v>Polymer laminate</v>
      </c>
      <c r="S558" s="5" t="str">
        <f aca="false">IF(O558&lt;='Tree rules'!$C$4,IF(N558&lt;='Tree rules'!$C$5,IF(P558&lt;='Tree rules'!$C$6,"Monitor","Polymer laminate"),IF(P558&lt;='Tree rules'!$C$7,"Seal cracks","Polymer laminate")),IF(O558&lt;='Tree rules'!$C$8,IF(M558&lt;='Tree rules'!$C$9,"Steel plate or jacket","Polymer laminate"),IF(L558&lt;='Tree rules'!$C$10,"Steel plate or jacket","Polymer laminate")))</f>
        <v>Polymer laminate</v>
      </c>
      <c r="T558" s="5" t="str">
        <f aca="false">IF(S558=R558,"Yes","No")</f>
        <v>Yes</v>
      </c>
    </row>
    <row r="559" customFormat="false" ht="15" hidden="false" customHeight="false" outlineLevel="0" collapsed="false">
      <c r="A559" s="15" t="n">
        <v>798</v>
      </c>
      <c r="B559" s="16" t="n">
        <v>5.46799775890156</v>
      </c>
      <c r="C559" s="15" t="n">
        <v>230</v>
      </c>
      <c r="D559" s="15" t="n">
        <v>550</v>
      </c>
      <c r="E559" s="15" t="n">
        <v>25</v>
      </c>
      <c r="F559" s="16" t="n">
        <v>0.544187190990784</v>
      </c>
      <c r="G559" s="17" t="s">
        <v>91</v>
      </c>
      <c r="H559" s="18" t="n">
        <v>0.2</v>
      </c>
      <c r="I559" s="18" t="n">
        <v>2</v>
      </c>
      <c r="J559" s="19" t="n">
        <v>0.892828366305623</v>
      </c>
      <c r="K559" s="19" t="n">
        <v>0.564186020553617</v>
      </c>
      <c r="L559" s="16" t="n">
        <v>10.8924258145449</v>
      </c>
      <c r="M559" s="19" t="n">
        <v>0.670148582997296</v>
      </c>
      <c r="N559" s="19" t="n">
        <v>1.79585276285924</v>
      </c>
      <c r="O559" s="19" t="n">
        <v>1.28193544958789</v>
      </c>
      <c r="P559" s="19" t="n">
        <v>0.465431596785249</v>
      </c>
      <c r="Q559" s="17" t="s">
        <v>31</v>
      </c>
      <c r="R559" s="5" t="str">
        <f aca="false">IF(OR(Q559="Steel plate",Q559="Concrete jacket"),"Steel plate or jacket",Q559)</f>
        <v>Polymer laminate</v>
      </c>
      <c r="S559" s="5" t="str">
        <f aca="false">IF(O559&lt;='Tree rules'!$C$4,IF(N559&lt;='Tree rules'!$C$5,IF(P559&lt;='Tree rules'!$C$6,"Monitor","Polymer laminate"),IF(P559&lt;='Tree rules'!$C$7,"Seal cracks","Polymer laminate")),IF(O559&lt;='Tree rules'!$C$8,IF(M559&lt;='Tree rules'!$C$9,"Steel plate or jacket","Polymer laminate"),IF(L559&lt;='Tree rules'!$C$10,"Steel plate or jacket","Polymer laminate")))</f>
        <v>Polymer laminate</v>
      </c>
      <c r="T559" s="5" t="str">
        <f aca="false">IF(S559=R559,"Yes","No")</f>
        <v>Yes</v>
      </c>
    </row>
    <row r="560" customFormat="false" ht="15" hidden="false" customHeight="false" outlineLevel="0" collapsed="false">
      <c r="A560" s="15" t="n">
        <v>799</v>
      </c>
      <c r="B560" s="16" t="n">
        <v>3.26956174260817</v>
      </c>
      <c r="C560" s="15" t="n">
        <v>300</v>
      </c>
      <c r="D560" s="15" t="n">
        <v>300</v>
      </c>
      <c r="E560" s="15" t="n">
        <v>25</v>
      </c>
      <c r="F560" s="16" t="n">
        <v>0.791582400904515</v>
      </c>
      <c r="G560" s="17" t="s">
        <v>89</v>
      </c>
      <c r="H560" s="18" t="n">
        <v>0.3</v>
      </c>
      <c r="I560" s="18" t="n">
        <v>1.5</v>
      </c>
      <c r="J560" s="19" t="n">
        <v>0.905551240750643</v>
      </c>
      <c r="K560" s="19" t="n">
        <v>0.6442901494442</v>
      </c>
      <c r="L560" s="16" t="n">
        <v>12.872290325229</v>
      </c>
      <c r="M560" s="19" t="n">
        <v>0.723787922462555</v>
      </c>
      <c r="N560" s="19" t="n">
        <v>0.870682792547413</v>
      </c>
      <c r="O560" s="19" t="n">
        <v>1.06660798900966</v>
      </c>
      <c r="P560" s="19" t="n">
        <v>0.541676045137778</v>
      </c>
      <c r="Q560" s="17" t="s">
        <v>31</v>
      </c>
      <c r="R560" s="5" t="str">
        <f aca="false">IF(OR(Q560="Steel plate",Q560="Concrete jacket"),"Steel plate or jacket",Q560)</f>
        <v>Polymer laminate</v>
      </c>
      <c r="S560" s="5" t="str">
        <f aca="false">IF(O560&lt;='Tree rules'!$C$4,IF(N560&lt;='Tree rules'!$C$5,IF(P560&lt;='Tree rules'!$C$6,"Monitor","Polymer laminate"),IF(P560&lt;='Tree rules'!$C$7,"Seal cracks","Polymer laminate")),IF(O560&lt;='Tree rules'!$C$8,IF(M560&lt;='Tree rules'!$C$9,"Steel plate or jacket","Polymer laminate"),IF(L560&lt;='Tree rules'!$C$10,"Steel plate or jacket","Polymer laminate")))</f>
        <v>Polymer laminate</v>
      </c>
      <c r="T560" s="5" t="str">
        <f aca="false">IF(S560=R560,"Yes","No")</f>
        <v>Yes</v>
      </c>
    </row>
    <row r="561" customFormat="false" ht="15" hidden="false" customHeight="false" outlineLevel="0" collapsed="false">
      <c r="A561" s="15" t="n">
        <v>800</v>
      </c>
      <c r="B561" s="16" t="n">
        <v>3.05899872030217</v>
      </c>
      <c r="C561" s="15" t="n">
        <v>230</v>
      </c>
      <c r="D561" s="15" t="n">
        <v>300</v>
      </c>
      <c r="E561" s="15" t="n">
        <v>30</v>
      </c>
      <c r="F561" s="16" t="n">
        <v>0.576243217710084</v>
      </c>
      <c r="G561" s="17" t="s">
        <v>89</v>
      </c>
      <c r="H561" s="18" t="n">
        <v>0.3</v>
      </c>
      <c r="I561" s="18" t="n">
        <v>1</v>
      </c>
      <c r="J561" s="19" t="n">
        <v>0.896526512805811</v>
      </c>
      <c r="K561" s="19" t="n">
        <v>0.470571976074807</v>
      </c>
      <c r="L561" s="16" t="n">
        <v>11.9492137511804</v>
      </c>
      <c r="M561" s="19" t="n">
        <v>0.866092762458908</v>
      </c>
      <c r="N561" s="19" t="n">
        <v>0.591995225596197</v>
      </c>
      <c r="O561" s="19" t="n">
        <v>0.896526512805811</v>
      </c>
      <c r="P561" s="19" t="n">
        <v>0.245840790347531</v>
      </c>
      <c r="Q561" s="17" t="s">
        <v>29</v>
      </c>
      <c r="R561" s="5" t="str">
        <f aca="false">IF(OR(Q561="Steel plate",Q561="Concrete jacket"),"Steel plate or jacket",Q561)</f>
        <v>Monitor</v>
      </c>
      <c r="S561" s="5" t="str">
        <f aca="false">IF(O561&lt;='Tree rules'!$C$4,IF(N561&lt;='Tree rules'!$C$5,IF(P561&lt;='Tree rules'!$C$6,"Monitor","Polymer laminate"),IF(P561&lt;='Tree rules'!$C$7,"Seal cracks","Polymer laminate")),IF(O561&lt;='Tree rules'!$C$8,IF(M561&lt;='Tree rules'!$C$9,"Steel plate or jacket","Polymer laminate"),IF(L561&lt;='Tree rules'!$C$10,"Steel plate or jacket","Polymer laminate")))</f>
        <v>Monitor</v>
      </c>
      <c r="T561" s="5" t="str">
        <f aca="false">IF(S561=R561,"Yes","No")</f>
        <v>Yes</v>
      </c>
    </row>
    <row r="562" customFormat="false" ht="15" hidden="false" customHeight="false" outlineLevel="0" collapsed="false">
      <c r="A562" s="15" t="n">
        <v>801</v>
      </c>
      <c r="B562" s="16" t="n">
        <v>7.15026073355398</v>
      </c>
      <c r="C562" s="15" t="n">
        <v>300</v>
      </c>
      <c r="D562" s="15" t="n">
        <v>625</v>
      </c>
      <c r="E562" s="15" t="n">
        <v>30</v>
      </c>
      <c r="F562" s="16" t="n">
        <v>0.725960174139756</v>
      </c>
      <c r="G562" s="17" t="s">
        <v>91</v>
      </c>
      <c r="H562" s="18" t="n">
        <v>0.2</v>
      </c>
      <c r="I562" s="18" t="n">
        <v>1</v>
      </c>
      <c r="J562" s="19" t="n">
        <v>0.950654277669931</v>
      </c>
      <c r="K562" s="19" t="n">
        <v>0.434849969216856</v>
      </c>
      <c r="L562" s="16" t="n">
        <v>12.3921329870953</v>
      </c>
      <c r="M562" s="19" t="n">
        <v>0.872090900010732</v>
      </c>
      <c r="N562" s="19" t="n">
        <v>0.937093163697763</v>
      </c>
      <c r="O562" s="19" t="n">
        <v>0.950654277669931</v>
      </c>
      <c r="P562" s="19" t="n">
        <v>0.411062057232273</v>
      </c>
      <c r="Q562" s="17" t="s">
        <v>29</v>
      </c>
      <c r="R562" s="5" t="str">
        <f aca="false">IF(OR(Q562="Steel plate",Q562="Concrete jacket"),"Steel plate or jacket",Q562)</f>
        <v>Monitor</v>
      </c>
      <c r="S562" s="5" t="str">
        <f aca="false">IF(O562&lt;='Tree rules'!$C$4,IF(N562&lt;='Tree rules'!$C$5,IF(P562&lt;='Tree rules'!$C$6,"Monitor","Polymer laminate"),IF(P562&lt;='Tree rules'!$C$7,"Seal cracks","Polymer laminate")),IF(O562&lt;='Tree rules'!$C$8,IF(M562&lt;='Tree rules'!$C$9,"Steel plate or jacket","Polymer laminate"),IF(L562&lt;='Tree rules'!$C$10,"Steel plate or jacket","Polymer laminate")))</f>
        <v>Monitor</v>
      </c>
      <c r="T562" s="5" t="str">
        <f aca="false">IF(S562=R562,"Yes","No")</f>
        <v>Yes</v>
      </c>
    </row>
    <row r="563" customFormat="false" ht="15" hidden="false" customHeight="false" outlineLevel="0" collapsed="false">
      <c r="A563" s="15" t="n">
        <v>802</v>
      </c>
      <c r="B563" s="16" t="n">
        <v>5.14727900041506</v>
      </c>
      <c r="C563" s="15" t="n">
        <v>300</v>
      </c>
      <c r="D563" s="15" t="n">
        <v>400</v>
      </c>
      <c r="E563" s="15" t="n">
        <v>30</v>
      </c>
      <c r="F563" s="16" t="n">
        <v>0.635378289490071</v>
      </c>
      <c r="G563" s="17" t="s">
        <v>89</v>
      </c>
      <c r="H563" s="18" t="n">
        <v>0.3</v>
      </c>
      <c r="I563" s="18" t="n">
        <v>2</v>
      </c>
      <c r="J563" s="19" t="n">
        <v>0.864605610270328</v>
      </c>
      <c r="K563" s="19" t="n">
        <v>0.645151172850718</v>
      </c>
      <c r="L563" s="16" t="n">
        <v>14.4586488775704</v>
      </c>
      <c r="M563" s="19" t="n">
        <v>0.945200385385033</v>
      </c>
      <c r="N563" s="19" t="n">
        <v>0.710031140994628</v>
      </c>
      <c r="O563" s="19" t="n">
        <v>1.17140989702144</v>
      </c>
      <c r="P563" s="19" t="n">
        <v>0.446096892504669</v>
      </c>
      <c r="Q563" s="17" t="s">
        <v>31</v>
      </c>
      <c r="R563" s="5" t="str">
        <f aca="false">IF(OR(Q563="Steel plate",Q563="Concrete jacket"),"Steel plate or jacket",Q563)</f>
        <v>Polymer laminate</v>
      </c>
      <c r="S563" s="5" t="str">
        <f aca="false">IF(O563&lt;='Tree rules'!$C$4,IF(N563&lt;='Tree rules'!$C$5,IF(P563&lt;='Tree rules'!$C$6,"Monitor","Polymer laminate"),IF(P563&lt;='Tree rules'!$C$7,"Seal cracks","Polymer laminate")),IF(O563&lt;='Tree rules'!$C$8,IF(M563&lt;='Tree rules'!$C$9,"Steel plate or jacket","Polymer laminate"),IF(L563&lt;='Tree rules'!$C$10,"Steel plate or jacket","Polymer laminate")))</f>
        <v>Polymer laminate</v>
      </c>
      <c r="T563" s="5" t="str">
        <f aca="false">IF(S563=R563,"Yes","No")</f>
        <v>Yes</v>
      </c>
    </row>
    <row r="564" customFormat="false" ht="15" hidden="false" customHeight="false" outlineLevel="0" collapsed="false">
      <c r="A564" s="15" t="n">
        <v>803</v>
      </c>
      <c r="B564" s="16" t="n">
        <v>4.0230425603678</v>
      </c>
      <c r="C564" s="15" t="n">
        <v>230</v>
      </c>
      <c r="D564" s="15" t="n">
        <v>350</v>
      </c>
      <c r="E564" s="15" t="n">
        <v>30</v>
      </c>
      <c r="F564" s="16" t="n">
        <v>0.64278110559382</v>
      </c>
      <c r="G564" s="17" t="s">
        <v>89</v>
      </c>
      <c r="H564" s="18" t="n">
        <v>0.3</v>
      </c>
      <c r="I564" s="18" t="n">
        <v>1</v>
      </c>
      <c r="J564" s="19" t="n">
        <v>0.87131166412676</v>
      </c>
      <c r="K564" s="19" t="n">
        <v>0.419356363943779</v>
      </c>
      <c r="L564" s="16" t="n">
        <v>13.1471979096987</v>
      </c>
      <c r="M564" s="19" t="n">
        <v>0.460432787750479</v>
      </c>
      <c r="N564" s="19" t="n">
        <v>0.592648220213034</v>
      </c>
      <c r="O564" s="19" t="n">
        <v>0.87131166412676</v>
      </c>
      <c r="P564" s="19" t="n">
        <v>0.53467833842625</v>
      </c>
      <c r="Q564" s="17" t="s">
        <v>29</v>
      </c>
      <c r="R564" s="5" t="str">
        <f aca="false">IF(OR(Q564="Steel plate",Q564="Concrete jacket"),"Steel plate or jacket",Q564)</f>
        <v>Monitor</v>
      </c>
      <c r="S564" s="5" t="str">
        <f aca="false">IF(O564&lt;='Tree rules'!$C$4,IF(N564&lt;='Tree rules'!$C$5,IF(P564&lt;='Tree rules'!$C$6,"Monitor","Polymer laminate"),IF(P564&lt;='Tree rules'!$C$7,"Seal cracks","Polymer laminate")),IF(O564&lt;='Tree rules'!$C$8,IF(M564&lt;='Tree rules'!$C$9,"Steel plate or jacket","Polymer laminate"),IF(L564&lt;='Tree rules'!$C$10,"Steel plate or jacket","Polymer laminate")))</f>
        <v>Monitor</v>
      </c>
      <c r="T564" s="5" t="str">
        <f aca="false">IF(S564=R564,"Yes","No")</f>
        <v>Yes</v>
      </c>
    </row>
    <row r="565" customFormat="false" ht="15" hidden="false" customHeight="false" outlineLevel="0" collapsed="false">
      <c r="A565" s="15" t="n">
        <v>804</v>
      </c>
      <c r="B565" s="16" t="n">
        <v>5.88304779097624</v>
      </c>
      <c r="C565" s="15" t="n">
        <v>230</v>
      </c>
      <c r="D565" s="15" t="n">
        <v>500</v>
      </c>
      <c r="E565" s="15" t="n">
        <v>25</v>
      </c>
      <c r="F565" s="16" t="n">
        <v>0.597391095859404</v>
      </c>
      <c r="G565" s="17" t="s">
        <v>90</v>
      </c>
      <c r="H565" s="18" t="n">
        <v>0.1</v>
      </c>
      <c r="I565" s="18" t="n">
        <v>1</v>
      </c>
      <c r="J565" s="19" t="n">
        <v>0.958239742305575</v>
      </c>
      <c r="K565" s="19" t="n">
        <v>0.469101692402881</v>
      </c>
      <c r="L565" s="16" t="n">
        <v>13.4010200250028</v>
      </c>
      <c r="M565" s="19" t="n">
        <v>0.923133357322824</v>
      </c>
      <c r="N565" s="19" t="n">
        <v>2.30782430350556</v>
      </c>
      <c r="O565" s="19" t="n">
        <v>0.958239742305575</v>
      </c>
      <c r="P565" s="19" t="n">
        <v>0.341850373389623</v>
      </c>
      <c r="Q565" s="17" t="s">
        <v>30</v>
      </c>
      <c r="R565" s="5" t="str">
        <f aca="false">IF(OR(Q565="Steel plate",Q565="Concrete jacket"),"Steel plate or jacket",Q565)</f>
        <v>Seal cracks</v>
      </c>
      <c r="S565" s="5" t="str">
        <f aca="false">IF(O565&lt;='Tree rules'!$C$4,IF(N565&lt;='Tree rules'!$C$5,IF(P565&lt;='Tree rules'!$C$6,"Monitor","Polymer laminate"),IF(P565&lt;='Tree rules'!$C$7,"Seal cracks","Polymer laminate")),IF(O565&lt;='Tree rules'!$C$8,IF(M565&lt;='Tree rules'!$C$9,"Steel plate or jacket","Polymer laminate"),IF(L565&lt;='Tree rules'!$C$10,"Steel plate or jacket","Polymer laminate")))</f>
        <v>Seal cracks</v>
      </c>
      <c r="T565" s="5" t="str">
        <f aca="false">IF(S565=R565,"Yes","No")</f>
        <v>Yes</v>
      </c>
    </row>
    <row r="566" customFormat="false" ht="15" hidden="false" customHeight="false" outlineLevel="0" collapsed="false">
      <c r="A566" s="15" t="n">
        <v>806</v>
      </c>
      <c r="B566" s="16" t="n">
        <v>3.01234973386268</v>
      </c>
      <c r="C566" s="15" t="n">
        <v>230</v>
      </c>
      <c r="D566" s="15" t="n">
        <v>300</v>
      </c>
      <c r="E566" s="15" t="n">
        <v>20</v>
      </c>
      <c r="F566" s="16" t="n">
        <v>0.688332522525665</v>
      </c>
      <c r="G566" s="17" t="s">
        <v>89</v>
      </c>
      <c r="H566" s="18" t="n">
        <v>0.3</v>
      </c>
      <c r="I566" s="18" t="n">
        <v>1</v>
      </c>
      <c r="J566" s="19" t="n">
        <v>0.991336200959534</v>
      </c>
      <c r="K566" s="19" t="n">
        <v>0.579903852020494</v>
      </c>
      <c r="L566" s="16" t="n">
        <v>11.8596446215066</v>
      </c>
      <c r="M566" s="19" t="n">
        <v>0.643517086263679</v>
      </c>
      <c r="N566" s="19" t="n">
        <v>0.893393154370651</v>
      </c>
      <c r="O566" s="19" t="n">
        <v>0.991336200959534</v>
      </c>
      <c r="P566" s="19" t="n">
        <v>0.504853332951336</v>
      </c>
      <c r="Q566" s="17" t="s">
        <v>29</v>
      </c>
      <c r="R566" s="5" t="str">
        <f aca="false">IF(OR(Q566="Steel plate",Q566="Concrete jacket"),"Steel plate or jacket",Q566)</f>
        <v>Monitor</v>
      </c>
      <c r="S566" s="5" t="str">
        <f aca="false">IF(O566&lt;='Tree rules'!$C$4,IF(N566&lt;='Tree rules'!$C$5,IF(P566&lt;='Tree rules'!$C$6,"Monitor","Polymer laminate"),IF(P566&lt;='Tree rules'!$C$7,"Seal cracks","Polymer laminate")),IF(O566&lt;='Tree rules'!$C$8,IF(M566&lt;='Tree rules'!$C$9,"Steel plate or jacket","Polymer laminate"),IF(L566&lt;='Tree rules'!$C$10,"Steel plate or jacket","Polymer laminate")))</f>
        <v>Monitor</v>
      </c>
      <c r="T566" s="5" t="str">
        <f aca="false">IF(S566=R566,"Yes","No")</f>
        <v>Yes</v>
      </c>
    </row>
    <row r="567" customFormat="false" ht="15" hidden="false" customHeight="false" outlineLevel="0" collapsed="false">
      <c r="A567" s="15" t="n">
        <v>808</v>
      </c>
      <c r="B567" s="16" t="n">
        <v>6.43128363796957</v>
      </c>
      <c r="C567" s="15" t="n">
        <v>230</v>
      </c>
      <c r="D567" s="15" t="n">
        <v>600</v>
      </c>
      <c r="E567" s="15" t="n">
        <v>25</v>
      </c>
      <c r="F567" s="16" t="n">
        <v>0.742342309449384</v>
      </c>
      <c r="G567" s="17" t="s">
        <v>89</v>
      </c>
      <c r="H567" s="18" t="n">
        <v>0.3</v>
      </c>
      <c r="I567" s="18" t="n">
        <v>1.5</v>
      </c>
      <c r="J567" s="19" t="n">
        <v>0.927281910054202</v>
      </c>
      <c r="K567" s="19" t="n">
        <v>0.464659219905528</v>
      </c>
      <c r="L567" s="16" t="n">
        <v>11.650876155742</v>
      </c>
      <c r="M567" s="19" t="n">
        <v>0.3892588427121</v>
      </c>
      <c r="N567" s="19" t="n">
        <v>0.853125706363858</v>
      </c>
      <c r="O567" s="19" t="n">
        <v>1.17548782060216</v>
      </c>
      <c r="P567" s="19" t="n">
        <v>0.978427769692391</v>
      </c>
      <c r="Q567" s="17" t="s">
        <v>31</v>
      </c>
      <c r="R567" s="5" t="str">
        <f aca="false">IF(OR(Q567="Steel plate",Q567="Concrete jacket"),"Steel plate or jacket",Q567)</f>
        <v>Polymer laminate</v>
      </c>
      <c r="S567" s="5" t="str">
        <f aca="false">IF(O567&lt;='Tree rules'!$C$4,IF(N567&lt;='Tree rules'!$C$5,IF(P567&lt;='Tree rules'!$C$6,"Monitor","Polymer laminate"),IF(P567&lt;='Tree rules'!$C$7,"Seal cracks","Polymer laminate")),IF(O567&lt;='Tree rules'!$C$8,IF(M567&lt;='Tree rules'!$C$9,"Steel plate or jacket","Polymer laminate"),IF(L567&lt;='Tree rules'!$C$10,"Steel plate or jacket","Polymer laminate")))</f>
        <v>Polymer laminate</v>
      </c>
      <c r="T567" s="5" t="str">
        <f aca="false">IF(S567=R567,"Yes","No")</f>
        <v>Yes</v>
      </c>
    </row>
    <row r="568" customFormat="false" ht="15" hidden="false" customHeight="false" outlineLevel="0" collapsed="false">
      <c r="A568" s="15" t="n">
        <v>809</v>
      </c>
      <c r="B568" s="16" t="n">
        <v>3.22993183323526</v>
      </c>
      <c r="C568" s="15" t="n">
        <v>230</v>
      </c>
      <c r="D568" s="15" t="n">
        <v>300</v>
      </c>
      <c r="E568" s="15" t="n">
        <v>25</v>
      </c>
      <c r="F568" s="16" t="n">
        <v>0.688332522525665</v>
      </c>
      <c r="G568" s="17" t="s">
        <v>91</v>
      </c>
      <c r="H568" s="18" t="n">
        <v>0.2</v>
      </c>
      <c r="I568" s="18" t="n">
        <v>1</v>
      </c>
      <c r="J568" s="19" t="n">
        <v>0.911130637230032</v>
      </c>
      <c r="K568" s="19" t="n">
        <v>0.419811929777812</v>
      </c>
      <c r="L568" s="16" t="n">
        <v>12.7162670599813</v>
      </c>
      <c r="M568" s="19" t="n">
        <v>0.82464126478229</v>
      </c>
      <c r="N568" s="19" t="n">
        <v>1.17742077484525</v>
      </c>
      <c r="O568" s="19" t="n">
        <v>0.911130637230032</v>
      </c>
      <c r="P568" s="19" t="n">
        <v>0.325518528083444</v>
      </c>
      <c r="Q568" s="17" t="s">
        <v>30</v>
      </c>
      <c r="R568" s="5" t="str">
        <f aca="false">IF(OR(Q568="Steel plate",Q568="Concrete jacket"),"Steel plate or jacket",Q568)</f>
        <v>Seal cracks</v>
      </c>
      <c r="S568" s="5" t="str">
        <f aca="false">IF(O568&lt;='Tree rules'!$C$4,IF(N568&lt;='Tree rules'!$C$5,IF(P568&lt;='Tree rules'!$C$6,"Monitor","Polymer laminate"),IF(P568&lt;='Tree rules'!$C$7,"Seal cracks","Polymer laminate")),IF(O568&lt;='Tree rules'!$C$8,IF(M568&lt;='Tree rules'!$C$9,"Steel plate or jacket","Polymer laminate"),IF(L568&lt;='Tree rules'!$C$10,"Steel plate or jacket","Polymer laminate")))</f>
        <v>Seal cracks</v>
      </c>
      <c r="T568" s="5" t="str">
        <f aca="false">IF(S568=R568,"Yes","No")</f>
        <v>Yes</v>
      </c>
    </row>
    <row r="569" customFormat="false" ht="15" hidden="false" customHeight="false" outlineLevel="0" collapsed="false">
      <c r="A569" s="15" t="n">
        <v>810</v>
      </c>
      <c r="B569" s="16" t="n">
        <v>4.67647543790703</v>
      </c>
      <c r="C569" s="15" t="n">
        <v>230</v>
      </c>
      <c r="D569" s="15" t="n">
        <v>475</v>
      </c>
      <c r="E569" s="15" t="n">
        <v>20</v>
      </c>
      <c r="F569" s="16" t="n">
        <v>0.639770421258486</v>
      </c>
      <c r="G569" s="17" t="s">
        <v>89</v>
      </c>
      <c r="H569" s="18" t="n">
        <v>0.3</v>
      </c>
      <c r="I569" s="18" t="n">
        <v>1</v>
      </c>
      <c r="J569" s="19" t="n">
        <v>0.914089824040978</v>
      </c>
      <c r="K569" s="19" t="n">
        <v>0.517568209353854</v>
      </c>
      <c r="L569" s="16" t="n">
        <v>10.9519331098525</v>
      </c>
      <c r="M569" s="19" t="n">
        <v>0.635313217261647</v>
      </c>
      <c r="N569" s="19" t="n">
        <v>0.829086759996103</v>
      </c>
      <c r="O569" s="19" t="n">
        <v>0.914089824040978</v>
      </c>
      <c r="P569" s="19" t="n">
        <v>0.473028356305216</v>
      </c>
      <c r="Q569" s="17" t="s">
        <v>29</v>
      </c>
      <c r="R569" s="5" t="str">
        <f aca="false">IF(OR(Q569="Steel plate",Q569="Concrete jacket"),"Steel plate or jacket",Q569)</f>
        <v>Monitor</v>
      </c>
      <c r="S569" s="5" t="str">
        <f aca="false">IF(O569&lt;='Tree rules'!$C$4,IF(N569&lt;='Tree rules'!$C$5,IF(P569&lt;='Tree rules'!$C$6,"Monitor","Polymer laminate"),IF(P569&lt;='Tree rules'!$C$7,"Seal cracks","Polymer laminate")),IF(O569&lt;='Tree rules'!$C$8,IF(M569&lt;='Tree rules'!$C$9,"Steel plate or jacket","Polymer laminate"),IF(L569&lt;='Tree rules'!$C$10,"Steel plate or jacket","Polymer laminate")))</f>
        <v>Monitor</v>
      </c>
      <c r="T569" s="5" t="str">
        <f aca="false">IF(S569=R569,"Yes","No")</f>
        <v>Yes</v>
      </c>
    </row>
    <row r="570" customFormat="false" ht="15" hidden="false" customHeight="false" outlineLevel="0" collapsed="false">
      <c r="A570" s="15" t="n">
        <v>811</v>
      </c>
      <c r="B570" s="16" t="n">
        <v>7.18329307994749</v>
      </c>
      <c r="C570" s="15" t="n">
        <v>300</v>
      </c>
      <c r="D570" s="15" t="n">
        <v>625</v>
      </c>
      <c r="E570" s="15" t="n">
        <v>20</v>
      </c>
      <c r="F570" s="16" t="n">
        <v>0.559002251528433</v>
      </c>
      <c r="G570" s="17" t="s">
        <v>90</v>
      </c>
      <c r="H570" s="18" t="n">
        <v>0.1</v>
      </c>
      <c r="I570" s="18" t="n">
        <v>1</v>
      </c>
      <c r="J570" s="19" t="n">
        <v>0.972073295887486</v>
      </c>
      <c r="K570" s="19" t="n">
        <v>0.546614293494621</v>
      </c>
      <c r="L570" s="16" t="n">
        <v>12.7816602846041</v>
      </c>
      <c r="M570" s="19" t="n">
        <v>0.656881108393664</v>
      </c>
      <c r="N570" s="19" t="n">
        <v>2.676192899371</v>
      </c>
      <c r="O570" s="19" t="n">
        <v>0.972073295887486</v>
      </c>
      <c r="P570" s="19" t="n">
        <v>0.523869064314375</v>
      </c>
      <c r="Q570" s="17" t="s">
        <v>30</v>
      </c>
      <c r="R570" s="5" t="str">
        <f aca="false">IF(OR(Q570="Steel plate",Q570="Concrete jacket"),"Steel plate or jacket",Q570)</f>
        <v>Seal cracks</v>
      </c>
      <c r="S570" s="5" t="str">
        <f aca="false">IF(O570&lt;='Tree rules'!$C$4,IF(N570&lt;='Tree rules'!$C$5,IF(P570&lt;='Tree rules'!$C$6,"Monitor","Polymer laminate"),IF(P570&lt;='Tree rules'!$C$7,"Seal cracks","Polymer laminate")),IF(O570&lt;='Tree rules'!$C$8,IF(M570&lt;='Tree rules'!$C$9,"Steel plate or jacket","Polymer laminate"),IF(L570&lt;='Tree rules'!$C$10,"Steel plate or jacket","Polymer laminate")))</f>
        <v>Seal cracks</v>
      </c>
      <c r="T570" s="5" t="str">
        <f aca="false">IF(S570=R570,"Yes","No")</f>
        <v>Yes</v>
      </c>
    </row>
    <row r="571" customFormat="false" ht="15" hidden="false" customHeight="false" outlineLevel="0" collapsed="false">
      <c r="A571" s="15" t="n">
        <v>812</v>
      </c>
      <c r="B571" s="16" t="n">
        <v>3.29914632464273</v>
      </c>
      <c r="C571" s="15" t="n">
        <v>300</v>
      </c>
      <c r="D571" s="15" t="n">
        <v>300</v>
      </c>
      <c r="E571" s="15" t="n">
        <v>25</v>
      </c>
      <c r="F571" s="16" t="n">
        <v>0.841263304726974</v>
      </c>
      <c r="G571" s="17" t="s">
        <v>90</v>
      </c>
      <c r="H571" s="18" t="n">
        <v>0.1</v>
      </c>
      <c r="I571" s="18" t="n">
        <v>1</v>
      </c>
      <c r="J571" s="19" t="n">
        <v>0.911105189074269</v>
      </c>
      <c r="K571" s="19" t="n">
        <v>0.452736164454588</v>
      </c>
      <c r="L571" s="16" t="n">
        <v>13.8039595173336</v>
      </c>
      <c r="M571" s="19" t="n">
        <v>0.27185381958768</v>
      </c>
      <c r="N571" s="19" t="n">
        <v>3.01713407052054</v>
      </c>
      <c r="O571" s="19" t="n">
        <v>0.911105189074269</v>
      </c>
      <c r="P571" s="19" t="n">
        <v>1.02412394017112</v>
      </c>
      <c r="Q571" s="17" t="s">
        <v>31</v>
      </c>
      <c r="R571" s="5" t="str">
        <f aca="false">IF(OR(Q571="Steel plate",Q571="Concrete jacket"),"Steel plate or jacket",Q571)</f>
        <v>Polymer laminate</v>
      </c>
      <c r="S571" s="5" t="str">
        <f aca="false">IF(O571&lt;='Tree rules'!$C$4,IF(N571&lt;='Tree rules'!$C$5,IF(P571&lt;='Tree rules'!$C$6,"Monitor","Polymer laminate"),IF(P571&lt;='Tree rules'!$C$7,"Seal cracks","Polymer laminate")),IF(O571&lt;='Tree rules'!$C$8,IF(M571&lt;='Tree rules'!$C$9,"Steel plate or jacket","Polymer laminate"),IF(L571&lt;='Tree rules'!$C$10,"Steel plate or jacket","Polymer laminate")))</f>
        <v>Polymer laminate</v>
      </c>
      <c r="T571" s="5" t="str">
        <f aca="false">IF(S571=R571,"Yes","No")</f>
        <v>Yes</v>
      </c>
    </row>
    <row r="572" customFormat="false" ht="15" hidden="false" customHeight="false" outlineLevel="0" collapsed="false">
      <c r="A572" s="15" t="n">
        <v>814</v>
      </c>
      <c r="B572" s="16" t="n">
        <v>6.75102866685915</v>
      </c>
      <c r="C572" s="15" t="n">
        <v>230</v>
      </c>
      <c r="D572" s="15" t="n">
        <v>650</v>
      </c>
      <c r="E572" s="15" t="n">
        <v>25</v>
      </c>
      <c r="F572" s="16" t="n">
        <v>0.680685971455249</v>
      </c>
      <c r="G572" s="17" t="s">
        <v>89</v>
      </c>
      <c r="H572" s="18" t="n">
        <v>0.3</v>
      </c>
      <c r="I572" s="18" t="n">
        <v>1.5</v>
      </c>
      <c r="J572" s="19" t="n">
        <v>0.867614350473225</v>
      </c>
      <c r="K572" s="19" t="n">
        <v>0.517565841862847</v>
      </c>
      <c r="L572" s="16" t="n">
        <v>11.2143333336531</v>
      </c>
      <c r="M572" s="19" t="n">
        <v>0.779195569791773</v>
      </c>
      <c r="N572" s="19" t="n">
        <v>0.719090142150962</v>
      </c>
      <c r="O572" s="19" t="n">
        <v>1.07689774985236</v>
      </c>
      <c r="P572" s="19" t="n">
        <v>0.455840478674021</v>
      </c>
      <c r="Q572" s="17" t="s">
        <v>31</v>
      </c>
      <c r="R572" s="5" t="str">
        <f aca="false">IF(OR(Q572="Steel plate",Q572="Concrete jacket"),"Steel plate or jacket",Q572)</f>
        <v>Polymer laminate</v>
      </c>
      <c r="S572" s="5" t="str">
        <f aca="false">IF(O572&lt;='Tree rules'!$C$4,IF(N572&lt;='Tree rules'!$C$5,IF(P572&lt;='Tree rules'!$C$6,"Monitor","Polymer laminate"),IF(P572&lt;='Tree rules'!$C$7,"Seal cracks","Polymer laminate")),IF(O572&lt;='Tree rules'!$C$8,IF(M572&lt;='Tree rules'!$C$9,"Steel plate or jacket","Polymer laminate"),IF(L572&lt;='Tree rules'!$C$10,"Steel plate or jacket","Polymer laminate")))</f>
        <v>Polymer laminate</v>
      </c>
      <c r="T572" s="5" t="str">
        <f aca="false">IF(S572=R572,"Yes","No")</f>
        <v>Yes</v>
      </c>
    </row>
    <row r="573" customFormat="false" ht="15" hidden="false" customHeight="false" outlineLevel="0" collapsed="false">
      <c r="A573" s="15" t="n">
        <v>815</v>
      </c>
      <c r="B573" s="16" t="n">
        <v>3.29386990492516</v>
      </c>
      <c r="C573" s="15" t="n">
        <v>230</v>
      </c>
      <c r="D573" s="15" t="n">
        <v>300</v>
      </c>
      <c r="E573" s="15" t="n">
        <v>25</v>
      </c>
      <c r="F573" s="16" t="n">
        <v>0.816145304197962</v>
      </c>
      <c r="G573" s="17" t="s">
        <v>90</v>
      </c>
      <c r="H573" s="18" t="n">
        <v>0.1</v>
      </c>
      <c r="I573" s="18" t="n">
        <v>1.5</v>
      </c>
      <c r="J573" s="19" t="n">
        <v>0.90929622342518</v>
      </c>
      <c r="K573" s="19" t="n">
        <v>0.518190211216364</v>
      </c>
      <c r="L573" s="16" t="n">
        <v>13.6675099789426</v>
      </c>
      <c r="M573" s="19" t="n">
        <v>0.910779926496675</v>
      </c>
      <c r="N573" s="19" t="n">
        <v>3.01070480061534</v>
      </c>
      <c r="O573" s="19" t="n">
        <v>1.1283501341003</v>
      </c>
      <c r="P573" s="19" t="n">
        <v>0.386906147742203</v>
      </c>
      <c r="Q573" s="17" t="s">
        <v>31</v>
      </c>
      <c r="R573" s="5" t="str">
        <f aca="false">IF(OR(Q573="Steel plate",Q573="Concrete jacket"),"Steel plate or jacket",Q573)</f>
        <v>Polymer laminate</v>
      </c>
      <c r="S573" s="5" t="str">
        <f aca="false">IF(O573&lt;='Tree rules'!$C$4,IF(N573&lt;='Tree rules'!$C$5,IF(P573&lt;='Tree rules'!$C$6,"Monitor","Polymer laminate"),IF(P573&lt;='Tree rules'!$C$7,"Seal cracks","Polymer laminate")),IF(O573&lt;='Tree rules'!$C$8,IF(M573&lt;='Tree rules'!$C$9,"Steel plate or jacket","Polymer laminate"),IF(L573&lt;='Tree rules'!$C$10,"Steel plate or jacket","Polymer laminate")))</f>
        <v>Polymer laminate</v>
      </c>
      <c r="T573" s="5" t="str">
        <f aca="false">IF(S573=R573,"Yes","No")</f>
        <v>Yes</v>
      </c>
    </row>
    <row r="574" customFormat="false" ht="15" hidden="false" customHeight="false" outlineLevel="0" collapsed="false">
      <c r="A574" s="15" t="n">
        <v>816</v>
      </c>
      <c r="B574" s="16" t="n">
        <v>5.28482523194535</v>
      </c>
      <c r="C574" s="15" t="n">
        <v>300</v>
      </c>
      <c r="D574" s="15" t="n">
        <v>450</v>
      </c>
      <c r="E574" s="15" t="n">
        <v>30</v>
      </c>
      <c r="F574" s="16" t="n">
        <v>0.663570725510715</v>
      </c>
      <c r="G574" s="17" t="s">
        <v>89</v>
      </c>
      <c r="H574" s="18" t="n">
        <v>0.3</v>
      </c>
      <c r="I574" s="18" t="n">
        <v>1</v>
      </c>
      <c r="J574" s="19" t="n">
        <v>0.943082101002937</v>
      </c>
      <c r="K574" s="19" t="n">
        <v>0.468023555141008</v>
      </c>
      <c r="L574" s="16" t="n">
        <v>13.0812505741222</v>
      </c>
      <c r="M574" s="19" t="n">
        <v>0.603426606735204</v>
      </c>
      <c r="N574" s="19" t="n">
        <v>0.671814835704534</v>
      </c>
      <c r="O574" s="19" t="n">
        <v>0.943082101002937</v>
      </c>
      <c r="P574" s="19" t="n">
        <v>0.52628496111716</v>
      </c>
      <c r="Q574" s="17" t="s">
        <v>29</v>
      </c>
      <c r="R574" s="5" t="str">
        <f aca="false">IF(OR(Q574="Steel plate",Q574="Concrete jacket"),"Steel plate or jacket",Q574)</f>
        <v>Monitor</v>
      </c>
      <c r="S574" s="5" t="str">
        <f aca="false">IF(O574&lt;='Tree rules'!$C$4,IF(N574&lt;='Tree rules'!$C$5,IF(P574&lt;='Tree rules'!$C$6,"Monitor","Polymer laminate"),IF(P574&lt;='Tree rules'!$C$7,"Seal cracks","Polymer laminate")),IF(O574&lt;='Tree rules'!$C$8,IF(M574&lt;='Tree rules'!$C$9,"Steel plate or jacket","Polymer laminate"),IF(L574&lt;='Tree rules'!$C$10,"Steel plate or jacket","Polymer laminate")))</f>
        <v>Monitor</v>
      </c>
      <c r="T574" s="5" t="str">
        <f aca="false">IF(S574=R574,"Yes","No")</f>
        <v>Yes</v>
      </c>
    </row>
    <row r="575" customFormat="false" ht="15" hidden="false" customHeight="false" outlineLevel="0" collapsed="false">
      <c r="A575" s="15" t="n">
        <v>817</v>
      </c>
      <c r="B575" s="16" t="n">
        <v>3.51960844043578</v>
      </c>
      <c r="C575" s="15" t="n">
        <v>230</v>
      </c>
      <c r="D575" s="15" t="n">
        <v>300</v>
      </c>
      <c r="E575" s="15" t="n">
        <v>20</v>
      </c>
      <c r="F575" s="16" t="n">
        <v>0.612108978148471</v>
      </c>
      <c r="G575" s="17" t="s">
        <v>90</v>
      </c>
      <c r="H575" s="18" t="n">
        <v>0.1</v>
      </c>
      <c r="I575" s="18" t="n">
        <v>1</v>
      </c>
      <c r="J575" s="19" t="n">
        <v>0.944347358098185</v>
      </c>
      <c r="K575" s="19" t="n">
        <v>0.423867688504676</v>
      </c>
      <c r="L575" s="16" t="n">
        <v>14.6041844001485</v>
      </c>
      <c r="M575" s="19" t="n">
        <v>0.949219646166646</v>
      </c>
      <c r="N575" s="19" t="n">
        <v>2.34041349445718</v>
      </c>
      <c r="O575" s="19" t="n">
        <v>0.944347358098185</v>
      </c>
      <c r="P575" s="19" t="n">
        <v>0.284986308946303</v>
      </c>
      <c r="Q575" s="17" t="s">
        <v>30</v>
      </c>
      <c r="R575" s="5" t="str">
        <f aca="false">IF(OR(Q575="Steel plate",Q575="Concrete jacket"),"Steel plate or jacket",Q575)</f>
        <v>Seal cracks</v>
      </c>
      <c r="S575" s="5" t="str">
        <f aca="false">IF(O575&lt;='Tree rules'!$C$4,IF(N575&lt;='Tree rules'!$C$5,IF(P575&lt;='Tree rules'!$C$6,"Monitor","Polymer laminate"),IF(P575&lt;='Tree rules'!$C$7,"Seal cracks","Polymer laminate")),IF(O575&lt;='Tree rules'!$C$8,IF(M575&lt;='Tree rules'!$C$9,"Steel plate or jacket","Polymer laminate"),IF(L575&lt;='Tree rules'!$C$10,"Steel plate or jacket","Polymer laminate")))</f>
        <v>Seal cracks</v>
      </c>
      <c r="T575" s="5" t="str">
        <f aca="false">IF(S575=R575,"Yes","No")</f>
        <v>Yes</v>
      </c>
    </row>
    <row r="576" customFormat="false" ht="15" hidden="false" customHeight="false" outlineLevel="0" collapsed="false">
      <c r="A576" s="15" t="n">
        <v>819</v>
      </c>
      <c r="B576" s="16" t="n">
        <v>6.76876940718076</v>
      </c>
      <c r="C576" s="15" t="n">
        <v>300</v>
      </c>
      <c r="D576" s="15" t="n">
        <v>625</v>
      </c>
      <c r="E576" s="15" t="n">
        <v>25</v>
      </c>
      <c r="F576" s="16" t="n">
        <v>0.907450217674695</v>
      </c>
      <c r="G576" s="17" t="s">
        <v>89</v>
      </c>
      <c r="H576" s="18" t="n">
        <v>0.3</v>
      </c>
      <c r="I576" s="18" t="n">
        <v>1.5</v>
      </c>
      <c r="J576" s="19" t="n">
        <v>0.875993349055384</v>
      </c>
      <c r="K576" s="19" t="n">
        <v>0.591164986242875</v>
      </c>
      <c r="L576" s="16" t="n">
        <v>11.7309695098453</v>
      </c>
      <c r="M576" s="19" t="n">
        <v>0.796033037432992</v>
      </c>
      <c r="N576" s="19" t="n">
        <v>0.647523055780295</v>
      </c>
      <c r="O576" s="19" t="n">
        <v>1.05506172551149</v>
      </c>
      <c r="P576" s="19" t="n">
        <v>0.598403617115126</v>
      </c>
      <c r="Q576" s="17" t="s">
        <v>31</v>
      </c>
      <c r="R576" s="5" t="str">
        <f aca="false">IF(OR(Q576="Steel plate",Q576="Concrete jacket"),"Steel plate or jacket",Q576)</f>
        <v>Polymer laminate</v>
      </c>
      <c r="S576" s="5" t="str">
        <f aca="false">IF(O576&lt;='Tree rules'!$C$4,IF(N576&lt;='Tree rules'!$C$5,IF(P576&lt;='Tree rules'!$C$6,"Monitor","Polymer laminate"),IF(P576&lt;='Tree rules'!$C$7,"Seal cracks","Polymer laminate")),IF(O576&lt;='Tree rules'!$C$8,IF(M576&lt;='Tree rules'!$C$9,"Steel plate or jacket","Polymer laminate"),IF(L576&lt;='Tree rules'!$C$10,"Steel plate or jacket","Polymer laminate")))</f>
        <v>Polymer laminate</v>
      </c>
      <c r="T576" s="5" t="str">
        <f aca="false">IF(S576=R576,"Yes","No")</f>
        <v>Yes</v>
      </c>
    </row>
    <row r="577" customFormat="false" ht="15" hidden="false" customHeight="false" outlineLevel="0" collapsed="false">
      <c r="A577" s="15" t="n">
        <v>820</v>
      </c>
      <c r="B577" s="16" t="n">
        <v>4.66059748951043</v>
      </c>
      <c r="C577" s="15" t="n">
        <v>300</v>
      </c>
      <c r="D577" s="15" t="n">
        <v>400</v>
      </c>
      <c r="E577" s="15" t="n">
        <v>30</v>
      </c>
      <c r="F577" s="16" t="n">
        <v>0.594998608634431</v>
      </c>
      <c r="G577" s="17" t="s">
        <v>89</v>
      </c>
      <c r="H577" s="18" t="n">
        <v>0.3</v>
      </c>
      <c r="I577" s="18" t="n">
        <v>1</v>
      </c>
      <c r="J577" s="19" t="n">
        <v>0.932256638786937</v>
      </c>
      <c r="K577" s="19" t="n">
        <v>0.429165888222643</v>
      </c>
      <c r="L577" s="16" t="n">
        <v>13.2403337770183</v>
      </c>
      <c r="M577" s="19" t="n">
        <v>0.927175423554884</v>
      </c>
      <c r="N577" s="19" t="n">
        <v>0.952274206820498</v>
      </c>
      <c r="O577" s="19" t="n">
        <v>0.932256638786937</v>
      </c>
      <c r="P577" s="19" t="n">
        <v>0.301455282139186</v>
      </c>
      <c r="Q577" s="17" t="s">
        <v>29</v>
      </c>
      <c r="R577" s="5" t="str">
        <f aca="false">IF(OR(Q577="Steel plate",Q577="Concrete jacket"),"Steel plate or jacket",Q577)</f>
        <v>Monitor</v>
      </c>
      <c r="S577" s="5" t="str">
        <f aca="false">IF(O577&lt;='Tree rules'!$C$4,IF(N577&lt;='Tree rules'!$C$5,IF(P577&lt;='Tree rules'!$C$6,"Monitor","Polymer laminate"),IF(P577&lt;='Tree rules'!$C$7,"Seal cracks","Polymer laminate")),IF(O577&lt;='Tree rules'!$C$8,IF(M577&lt;='Tree rules'!$C$9,"Steel plate or jacket","Polymer laminate"),IF(L577&lt;='Tree rules'!$C$10,"Steel plate or jacket","Polymer laminate")))</f>
        <v>Monitor</v>
      </c>
      <c r="T577" s="5" t="str">
        <f aca="false">IF(S577=R577,"Yes","No")</f>
        <v>Yes</v>
      </c>
    </row>
    <row r="578" customFormat="false" ht="15" hidden="false" customHeight="false" outlineLevel="0" collapsed="false">
      <c r="A578" s="15" t="n">
        <v>821</v>
      </c>
      <c r="B578" s="16" t="n">
        <v>3.10072292964539</v>
      </c>
      <c r="C578" s="15" t="n">
        <v>230</v>
      </c>
      <c r="D578" s="15" t="n">
        <v>300</v>
      </c>
      <c r="E578" s="15" t="n">
        <v>20</v>
      </c>
      <c r="F578" s="16" t="n">
        <v>0.688332522525665</v>
      </c>
      <c r="G578" s="17" t="s">
        <v>89</v>
      </c>
      <c r="H578" s="18" t="n">
        <v>0.3</v>
      </c>
      <c r="I578" s="18" t="n">
        <v>1.5</v>
      </c>
      <c r="J578" s="19" t="n">
        <v>0.967135345288901</v>
      </c>
      <c r="K578" s="19" t="n">
        <v>0.528852338953421</v>
      </c>
      <c r="L578" s="16" t="n">
        <v>12.2075705891551</v>
      </c>
      <c r="M578" s="19" t="n">
        <v>0.313711885769851</v>
      </c>
      <c r="N578" s="19" t="n">
        <v>1.16503516362306</v>
      </c>
      <c r="O578" s="19" t="n">
        <v>1.19496712321307</v>
      </c>
      <c r="P578" s="19" t="n">
        <v>1.08202972630463</v>
      </c>
      <c r="Q578" s="17" t="s">
        <v>31</v>
      </c>
      <c r="R578" s="5" t="str">
        <f aca="false">IF(OR(Q578="Steel plate",Q578="Concrete jacket"),"Steel plate or jacket",Q578)</f>
        <v>Polymer laminate</v>
      </c>
      <c r="S578" s="5" t="str">
        <f aca="false">IF(O578&lt;='Tree rules'!$C$4,IF(N578&lt;='Tree rules'!$C$5,IF(P578&lt;='Tree rules'!$C$6,"Monitor","Polymer laminate"),IF(P578&lt;='Tree rules'!$C$7,"Seal cracks","Polymer laminate")),IF(O578&lt;='Tree rules'!$C$8,IF(M578&lt;='Tree rules'!$C$9,"Steel plate or jacket","Polymer laminate"),IF(L578&lt;='Tree rules'!$C$10,"Steel plate or jacket","Polymer laminate")))</f>
        <v>Polymer laminate</v>
      </c>
      <c r="T578" s="5" t="str">
        <f aca="false">IF(S578=R578,"Yes","No")</f>
        <v>Yes</v>
      </c>
    </row>
    <row r="579" customFormat="false" ht="15" hidden="false" customHeight="false" outlineLevel="0" collapsed="false">
      <c r="A579" s="15" t="n">
        <v>823</v>
      </c>
      <c r="B579" s="16" t="n">
        <v>3.00790586851704</v>
      </c>
      <c r="C579" s="15" t="n">
        <v>230</v>
      </c>
      <c r="D579" s="15" t="n">
        <v>300</v>
      </c>
      <c r="E579" s="15" t="n">
        <v>25</v>
      </c>
      <c r="F579" s="16" t="n">
        <v>0.688332522525665</v>
      </c>
      <c r="G579" s="17" t="s">
        <v>89</v>
      </c>
      <c r="H579" s="18" t="n">
        <v>0.3</v>
      </c>
      <c r="I579" s="18" t="n">
        <v>1.5</v>
      </c>
      <c r="J579" s="19" t="n">
        <v>0.886332996624854</v>
      </c>
      <c r="K579" s="19" t="n">
        <v>0.624755571042735</v>
      </c>
      <c r="L579" s="16" t="n">
        <v>11.8421490886498</v>
      </c>
      <c r="M579" s="19" t="n">
        <v>0.309629952255195</v>
      </c>
      <c r="N579" s="19" t="n">
        <v>1.03557371771345</v>
      </c>
      <c r="O579" s="19" t="n">
        <v>1.05262875621709</v>
      </c>
      <c r="P579" s="19" t="n">
        <v>0.945824068355903</v>
      </c>
      <c r="Q579" s="17" t="s">
        <v>31</v>
      </c>
      <c r="R579" s="5" t="str">
        <f aca="false">IF(OR(Q579="Steel plate",Q579="Concrete jacket"),"Steel plate or jacket",Q579)</f>
        <v>Polymer laminate</v>
      </c>
      <c r="S579" s="5" t="str">
        <f aca="false">IF(O579&lt;='Tree rules'!$C$4,IF(N579&lt;='Tree rules'!$C$5,IF(P579&lt;='Tree rules'!$C$6,"Monitor","Polymer laminate"),IF(P579&lt;='Tree rules'!$C$7,"Seal cracks","Polymer laminate")),IF(O579&lt;='Tree rules'!$C$8,IF(M579&lt;='Tree rules'!$C$9,"Steel plate or jacket","Polymer laminate"),IF(L579&lt;='Tree rules'!$C$10,"Steel plate or jacket","Polymer laminate")))</f>
        <v>Polymer laminate</v>
      </c>
      <c r="T579" s="5" t="str">
        <f aca="false">IF(S579=R579,"Yes","No")</f>
        <v>Yes</v>
      </c>
    </row>
    <row r="580" customFormat="false" ht="15" hidden="false" customHeight="false" outlineLevel="0" collapsed="false">
      <c r="A580" s="15" t="n">
        <v>825</v>
      </c>
      <c r="B580" s="16" t="n">
        <v>7.42016030077309</v>
      </c>
      <c r="C580" s="15" t="n">
        <v>230</v>
      </c>
      <c r="D580" s="15" t="n">
        <v>675</v>
      </c>
      <c r="E580" s="15" t="n">
        <v>20</v>
      </c>
      <c r="F580" s="16" t="n">
        <v>0.653545382481754</v>
      </c>
      <c r="G580" s="17" t="s">
        <v>91</v>
      </c>
      <c r="H580" s="18" t="n">
        <v>0.2</v>
      </c>
      <c r="I580" s="18" t="n">
        <v>1</v>
      </c>
      <c r="J580" s="19" t="n">
        <v>0.910050411544067</v>
      </c>
      <c r="K580" s="19" t="n">
        <v>0.464001504773277</v>
      </c>
      <c r="L580" s="16" t="n">
        <v>11.8343864446142</v>
      </c>
      <c r="M580" s="19" t="n">
        <v>0.631566047268044</v>
      </c>
      <c r="N580" s="19" t="n">
        <v>0.908271093755992</v>
      </c>
      <c r="O580" s="19" t="n">
        <v>0.910050411544067</v>
      </c>
      <c r="P580" s="19" t="n">
        <v>0.542044926921698</v>
      </c>
      <c r="Q580" s="17" t="s">
        <v>29</v>
      </c>
      <c r="R580" s="5" t="str">
        <f aca="false">IF(OR(Q580="Steel plate",Q580="Concrete jacket"),"Steel plate or jacket",Q580)</f>
        <v>Monitor</v>
      </c>
      <c r="S580" s="5" t="str">
        <f aca="false">IF(O580&lt;='Tree rules'!$C$4,IF(N580&lt;='Tree rules'!$C$5,IF(P580&lt;='Tree rules'!$C$6,"Monitor","Polymer laminate"),IF(P580&lt;='Tree rules'!$C$7,"Seal cracks","Polymer laminate")),IF(O580&lt;='Tree rules'!$C$8,IF(M580&lt;='Tree rules'!$C$9,"Steel plate or jacket","Polymer laminate"),IF(L580&lt;='Tree rules'!$C$10,"Steel plate or jacket","Polymer laminate")))</f>
        <v>Monitor</v>
      </c>
      <c r="T580" s="5" t="str">
        <f aca="false">IF(S580=R580,"Yes","No")</f>
        <v>Yes</v>
      </c>
    </row>
    <row r="581" customFormat="false" ht="15" hidden="false" customHeight="false" outlineLevel="0" collapsed="false">
      <c r="A581" s="15" t="n">
        <v>826</v>
      </c>
      <c r="B581" s="16" t="n">
        <v>3.0689864412708</v>
      </c>
      <c r="C581" s="15" t="n">
        <v>300</v>
      </c>
      <c r="D581" s="15" t="n">
        <v>300</v>
      </c>
      <c r="E581" s="15" t="n">
        <v>30</v>
      </c>
      <c r="F581" s="16" t="n">
        <v>0.883572933822129</v>
      </c>
      <c r="G581" s="17" t="s">
        <v>91</v>
      </c>
      <c r="H581" s="18" t="n">
        <v>0.2</v>
      </c>
      <c r="I581" s="18" t="n">
        <v>2</v>
      </c>
      <c r="J581" s="19" t="n">
        <v>0.895632374867537</v>
      </c>
      <c r="K581" s="19" t="n">
        <v>0.583179602259479</v>
      </c>
      <c r="L581" s="16" t="n">
        <v>11.9882282862141</v>
      </c>
      <c r="M581" s="19" t="n">
        <v>0.83550258895987</v>
      </c>
      <c r="N581" s="19" t="n">
        <v>1.26094034429815</v>
      </c>
      <c r="O581" s="19" t="n">
        <v>1.26895021758911</v>
      </c>
      <c r="P581" s="19" t="n">
        <v>0.488936826247303</v>
      </c>
      <c r="Q581" s="17" t="s">
        <v>31</v>
      </c>
      <c r="R581" s="5" t="str">
        <f aca="false">IF(OR(Q581="Steel plate",Q581="Concrete jacket"),"Steel plate or jacket",Q581)</f>
        <v>Polymer laminate</v>
      </c>
      <c r="S581" s="5" t="str">
        <f aca="false">IF(O581&lt;='Tree rules'!$C$4,IF(N581&lt;='Tree rules'!$C$5,IF(P581&lt;='Tree rules'!$C$6,"Monitor","Polymer laminate"),IF(P581&lt;='Tree rules'!$C$7,"Seal cracks","Polymer laminate")),IF(O581&lt;='Tree rules'!$C$8,IF(M581&lt;='Tree rules'!$C$9,"Steel plate or jacket","Polymer laminate"),IF(L581&lt;='Tree rules'!$C$10,"Steel plate or jacket","Polymer laminate")))</f>
        <v>Polymer laminate</v>
      </c>
      <c r="T581" s="5" t="str">
        <f aca="false">IF(S581=R581,"Yes","No")</f>
        <v>Yes</v>
      </c>
    </row>
    <row r="582" customFormat="false" ht="15" hidden="false" customHeight="false" outlineLevel="0" collapsed="false">
      <c r="A582" s="15" t="n">
        <v>827</v>
      </c>
      <c r="B582" s="16" t="n">
        <v>4.00240418770619</v>
      </c>
      <c r="C582" s="15" t="n">
        <v>300</v>
      </c>
      <c r="D582" s="15" t="n">
        <v>375</v>
      </c>
      <c r="E582" s="15" t="n">
        <v>30</v>
      </c>
      <c r="F582" s="16" t="n">
        <v>0.611130485804701</v>
      </c>
      <c r="G582" s="17" t="s">
        <v>89</v>
      </c>
      <c r="H582" s="18" t="n">
        <v>0.3</v>
      </c>
      <c r="I582" s="18" t="n">
        <v>1</v>
      </c>
      <c r="J582" s="19" t="n">
        <v>0.953161789775478</v>
      </c>
      <c r="K582" s="19" t="n">
        <v>0.547176746393198</v>
      </c>
      <c r="L582" s="16" t="n">
        <v>12.1653622726632</v>
      </c>
      <c r="M582" s="19" t="n">
        <v>0.510696799919168</v>
      </c>
      <c r="N582" s="19" t="n">
        <v>0.803043569091623</v>
      </c>
      <c r="O582" s="19" t="n">
        <v>0.953161789775478</v>
      </c>
      <c r="P582" s="19" t="n">
        <v>0.533417523342135</v>
      </c>
      <c r="Q582" s="17" t="s">
        <v>29</v>
      </c>
      <c r="R582" s="5" t="str">
        <f aca="false">IF(OR(Q582="Steel plate",Q582="Concrete jacket"),"Steel plate or jacket",Q582)</f>
        <v>Monitor</v>
      </c>
      <c r="S582" s="5" t="str">
        <f aca="false">IF(O582&lt;='Tree rules'!$C$4,IF(N582&lt;='Tree rules'!$C$5,IF(P582&lt;='Tree rules'!$C$6,"Monitor","Polymer laminate"),IF(P582&lt;='Tree rules'!$C$7,"Seal cracks","Polymer laminate")),IF(O582&lt;='Tree rules'!$C$8,IF(M582&lt;='Tree rules'!$C$9,"Steel plate or jacket","Polymer laminate"),IF(L582&lt;='Tree rules'!$C$10,"Steel plate or jacket","Polymer laminate")))</f>
        <v>Monitor</v>
      </c>
      <c r="T582" s="5" t="str">
        <f aca="false">IF(S582=R582,"Yes","No")</f>
        <v>Yes</v>
      </c>
    </row>
    <row r="583" customFormat="false" ht="15" hidden="false" customHeight="false" outlineLevel="0" collapsed="false">
      <c r="A583" s="15" t="n">
        <v>829</v>
      </c>
      <c r="B583" s="16" t="n">
        <v>4.1677836863782</v>
      </c>
      <c r="C583" s="15" t="n">
        <v>300</v>
      </c>
      <c r="D583" s="15" t="n">
        <v>325</v>
      </c>
      <c r="E583" s="15" t="n">
        <v>25</v>
      </c>
      <c r="F583" s="16" t="n">
        <v>0.756099314943392</v>
      </c>
      <c r="G583" s="17" t="s">
        <v>91</v>
      </c>
      <c r="H583" s="18" t="n">
        <v>0.2</v>
      </c>
      <c r="I583" s="18" t="n">
        <v>1</v>
      </c>
      <c r="J583" s="19" t="n">
        <v>0.879430367591875</v>
      </c>
      <c r="K583" s="19" t="n">
        <v>0.43654651126541</v>
      </c>
      <c r="L583" s="16" t="n">
        <v>15.0461504923401</v>
      </c>
      <c r="M583" s="19" t="n">
        <v>0.939982666111523</v>
      </c>
      <c r="N583" s="19" t="n">
        <v>1.3095006204594</v>
      </c>
      <c r="O583" s="19" t="n">
        <v>0.879430367591875</v>
      </c>
      <c r="P583" s="19" t="n">
        <v>0.38252658818595</v>
      </c>
      <c r="Q583" s="17" t="s">
        <v>30</v>
      </c>
      <c r="R583" s="5" t="str">
        <f aca="false">IF(OR(Q583="Steel plate",Q583="Concrete jacket"),"Steel plate or jacket",Q583)</f>
        <v>Seal cracks</v>
      </c>
      <c r="S583" s="5" t="str">
        <f aca="false">IF(O583&lt;='Tree rules'!$C$4,IF(N583&lt;='Tree rules'!$C$5,IF(P583&lt;='Tree rules'!$C$6,"Monitor","Polymer laminate"),IF(P583&lt;='Tree rules'!$C$7,"Seal cracks","Polymer laminate")),IF(O583&lt;='Tree rules'!$C$8,IF(M583&lt;='Tree rules'!$C$9,"Steel plate or jacket","Polymer laminate"),IF(L583&lt;='Tree rules'!$C$10,"Steel plate or jacket","Polymer laminate")))</f>
        <v>Seal cracks</v>
      </c>
      <c r="T583" s="5" t="str">
        <f aca="false">IF(S583=R583,"Yes","No")</f>
        <v>Yes</v>
      </c>
    </row>
    <row r="584" customFormat="false" ht="15" hidden="false" customHeight="false" outlineLevel="0" collapsed="false">
      <c r="A584" s="15" t="n">
        <v>830</v>
      </c>
      <c r="B584" s="16" t="n">
        <v>3.76064396688563</v>
      </c>
      <c r="C584" s="15" t="n">
        <v>300</v>
      </c>
      <c r="D584" s="15" t="n">
        <v>300</v>
      </c>
      <c r="E584" s="15" t="n">
        <v>20</v>
      </c>
      <c r="F584" s="16" t="n">
        <v>0.736310778185108</v>
      </c>
      <c r="G584" s="17" t="s">
        <v>89</v>
      </c>
      <c r="H584" s="18" t="n">
        <v>0.3</v>
      </c>
      <c r="I584" s="18" t="n">
        <v>1</v>
      </c>
      <c r="J584" s="19" t="n">
        <v>0.875240798485936</v>
      </c>
      <c r="K584" s="19" t="n">
        <v>0.499943891425601</v>
      </c>
      <c r="L584" s="16" t="n">
        <v>14.690015495647</v>
      </c>
      <c r="M584" s="19" t="n">
        <v>0.63284081625578</v>
      </c>
      <c r="N584" s="19" t="n">
        <v>0.583539554968866</v>
      </c>
      <c r="O584" s="19" t="n">
        <v>0.875240798485936</v>
      </c>
      <c r="P584" s="19" t="n">
        <v>0.580289526963341</v>
      </c>
      <c r="Q584" s="17" t="s">
        <v>29</v>
      </c>
      <c r="R584" s="5" t="str">
        <f aca="false">IF(OR(Q584="Steel plate",Q584="Concrete jacket"),"Steel plate or jacket",Q584)</f>
        <v>Monitor</v>
      </c>
      <c r="S584" s="5" t="str">
        <f aca="false">IF(O584&lt;='Tree rules'!$C$4,IF(N584&lt;='Tree rules'!$C$5,IF(P584&lt;='Tree rules'!$C$6,"Monitor","Polymer laminate"),IF(P584&lt;='Tree rules'!$C$7,"Seal cracks","Polymer laminate")),IF(O584&lt;='Tree rules'!$C$8,IF(M584&lt;='Tree rules'!$C$9,"Steel plate or jacket","Polymer laminate"),IF(L584&lt;='Tree rules'!$C$10,"Steel plate or jacket","Polymer laminate")))</f>
        <v>Monitor</v>
      </c>
      <c r="T584" s="5" t="str">
        <f aca="false">IF(S584=R584,"Yes","No")</f>
        <v>Yes</v>
      </c>
    </row>
    <row r="585" customFormat="false" ht="15" hidden="false" customHeight="false" outlineLevel="0" collapsed="false">
      <c r="A585" s="15" t="n">
        <v>832</v>
      </c>
      <c r="B585" s="16" t="n">
        <v>3.56495412936761</v>
      </c>
      <c r="C585" s="15" t="n">
        <v>230</v>
      </c>
      <c r="D585" s="15" t="n">
        <v>300</v>
      </c>
      <c r="E585" s="15" t="n">
        <v>30</v>
      </c>
      <c r="F585" s="16" t="n">
        <v>0.688332522525665</v>
      </c>
      <c r="G585" s="17" t="s">
        <v>89</v>
      </c>
      <c r="H585" s="18" t="n">
        <v>0.3</v>
      </c>
      <c r="I585" s="18" t="n">
        <v>1.5</v>
      </c>
      <c r="J585" s="19" t="n">
        <v>0.959797452879188</v>
      </c>
      <c r="K585" s="19" t="n">
        <v>0.62375975163352</v>
      </c>
      <c r="L585" s="16" t="n">
        <v>14.0352524778252</v>
      </c>
      <c r="M585" s="19" t="n">
        <v>0.631650842068696</v>
      </c>
      <c r="N585" s="19" t="n">
        <v>1.06504507776526</v>
      </c>
      <c r="O585" s="19" t="n">
        <v>1.14035466890558</v>
      </c>
      <c r="P585" s="19" t="n">
        <v>0.575722967406851</v>
      </c>
      <c r="Q585" s="17" t="s">
        <v>31</v>
      </c>
      <c r="R585" s="5" t="str">
        <f aca="false">IF(OR(Q585="Steel plate",Q585="Concrete jacket"),"Steel plate or jacket",Q585)</f>
        <v>Polymer laminate</v>
      </c>
      <c r="S585" s="5" t="str">
        <f aca="false">IF(O585&lt;='Tree rules'!$C$4,IF(N585&lt;='Tree rules'!$C$5,IF(P585&lt;='Tree rules'!$C$6,"Monitor","Polymer laminate"),IF(P585&lt;='Tree rules'!$C$7,"Seal cracks","Polymer laminate")),IF(O585&lt;='Tree rules'!$C$8,IF(M585&lt;='Tree rules'!$C$9,"Steel plate or jacket","Polymer laminate"),IF(L585&lt;='Tree rules'!$C$10,"Steel plate or jacket","Polymer laminate")))</f>
        <v>Polymer laminate</v>
      </c>
      <c r="T585" s="5" t="str">
        <f aca="false">IF(S585=R585,"Yes","No")</f>
        <v>Yes</v>
      </c>
    </row>
    <row r="586" customFormat="false" ht="15" hidden="false" customHeight="false" outlineLevel="0" collapsed="false">
      <c r="A586" s="15" t="n">
        <v>833</v>
      </c>
      <c r="B586" s="16" t="n">
        <v>6.13304347746919</v>
      </c>
      <c r="C586" s="15" t="n">
        <v>300</v>
      </c>
      <c r="D586" s="15" t="n">
        <v>600</v>
      </c>
      <c r="E586" s="15" t="n">
        <v>25</v>
      </c>
      <c r="F586" s="16" t="n">
        <v>0.725855342345656</v>
      </c>
      <c r="G586" s="17" t="s">
        <v>89</v>
      </c>
      <c r="H586" s="18" t="n">
        <v>0.3</v>
      </c>
      <c r="I586" s="18" t="n">
        <v>2</v>
      </c>
      <c r="J586" s="19" t="n">
        <v>0.973524467483696</v>
      </c>
      <c r="K586" s="19" t="n">
        <v>0.582640141722139</v>
      </c>
      <c r="L586" s="16" t="n">
        <v>11.0704755910996</v>
      </c>
      <c r="M586" s="19" t="n">
        <v>0.35952976387903</v>
      </c>
      <c r="N586" s="19" t="n">
        <v>0.896411106532823</v>
      </c>
      <c r="O586" s="19" t="n">
        <v>1.37983450126272</v>
      </c>
      <c r="P586" s="19" t="n">
        <v>1.20643199663636</v>
      </c>
      <c r="Q586" s="17" t="s">
        <v>92</v>
      </c>
      <c r="R586" s="5" t="str">
        <f aca="false">IF(OR(Q586="Steel plate",Q586="Concrete jacket"),"Steel plate or jacket",Q586)</f>
        <v>Steel plate or jacket</v>
      </c>
      <c r="S586" s="5" t="str">
        <f aca="false">IF(O586&lt;='Tree rules'!$C$4,IF(N586&lt;='Tree rules'!$C$5,IF(P586&lt;='Tree rules'!$C$6,"Monitor","Polymer laminate"),IF(P586&lt;='Tree rules'!$C$7,"Seal cracks","Polymer laminate")),IF(O586&lt;='Tree rules'!$C$8,IF(M586&lt;='Tree rules'!$C$9,"Steel plate or jacket","Polymer laminate"),IF(L586&lt;='Tree rules'!$C$10,"Steel plate or jacket","Polymer laminate")))</f>
        <v>Steel plate or jacket</v>
      </c>
      <c r="T586" s="5" t="str">
        <f aca="false">IF(S586=R586,"Yes","No")</f>
        <v>Yes</v>
      </c>
    </row>
    <row r="587" customFormat="false" ht="15" hidden="false" customHeight="false" outlineLevel="0" collapsed="false">
      <c r="A587" s="15" t="n">
        <v>834</v>
      </c>
      <c r="B587" s="16" t="n">
        <v>3.57857674957823</v>
      </c>
      <c r="C587" s="15" t="n">
        <v>300</v>
      </c>
      <c r="D587" s="15" t="n">
        <v>325</v>
      </c>
      <c r="E587" s="15" t="n">
        <v>25</v>
      </c>
      <c r="F587" s="16" t="n">
        <v>0.756099314943392</v>
      </c>
      <c r="G587" s="17" t="s">
        <v>89</v>
      </c>
      <c r="H587" s="18" t="n">
        <v>0.3</v>
      </c>
      <c r="I587" s="18" t="n">
        <v>2</v>
      </c>
      <c r="J587" s="19" t="n">
        <v>0.958201118616807</v>
      </c>
      <c r="K587" s="19" t="n">
        <v>0.440798301004012</v>
      </c>
      <c r="L587" s="16" t="n">
        <v>12.9190496374665</v>
      </c>
      <c r="M587" s="19" t="n">
        <v>0.453459825241884</v>
      </c>
      <c r="N587" s="19" t="n">
        <v>1.70460169712264</v>
      </c>
      <c r="O587" s="19" t="n">
        <v>1.49402881212718</v>
      </c>
      <c r="P587" s="19" t="n">
        <v>0.891549757992919</v>
      </c>
      <c r="Q587" s="17" t="s">
        <v>31</v>
      </c>
      <c r="R587" s="5" t="str">
        <f aca="false">IF(OR(Q587="Steel plate",Q587="Concrete jacket"),"Steel plate or jacket",Q587)</f>
        <v>Polymer laminate</v>
      </c>
      <c r="S587" s="5" t="str">
        <f aca="false">IF(O587&lt;='Tree rules'!$C$4,IF(N587&lt;='Tree rules'!$C$5,IF(P587&lt;='Tree rules'!$C$6,"Monitor","Polymer laminate"),IF(P587&lt;='Tree rules'!$C$7,"Seal cracks","Polymer laminate")),IF(O587&lt;='Tree rules'!$C$8,IF(M587&lt;='Tree rules'!$C$9,"Steel plate or jacket","Polymer laminate"),IF(L587&lt;='Tree rules'!$C$10,"Steel plate or jacket","Polymer laminate")))</f>
        <v>Steel plate or jacket</v>
      </c>
      <c r="T587" s="5" t="str">
        <f aca="false">IF(S587=R587,"Yes","No")</f>
        <v>No</v>
      </c>
    </row>
    <row r="588" customFormat="false" ht="15" hidden="false" customHeight="false" outlineLevel="0" collapsed="false">
      <c r="A588" s="15" t="n">
        <v>835</v>
      </c>
      <c r="B588" s="16" t="n">
        <v>4.27317561742307</v>
      </c>
      <c r="C588" s="15" t="n">
        <v>230</v>
      </c>
      <c r="D588" s="15" t="n">
        <v>375</v>
      </c>
      <c r="E588" s="15" t="n">
        <v>25</v>
      </c>
      <c r="F588" s="16" t="n">
        <v>0.835418868126524</v>
      </c>
      <c r="G588" s="17" t="s">
        <v>91</v>
      </c>
      <c r="H588" s="18" t="n">
        <v>0.2</v>
      </c>
      <c r="I588" s="18" t="n">
        <v>1</v>
      </c>
      <c r="J588" s="19" t="n">
        <v>0.859156371874028</v>
      </c>
      <c r="K588" s="19" t="n">
        <v>0.539221778614736</v>
      </c>
      <c r="L588" s="16" t="n">
        <v>13.0678153438014</v>
      </c>
      <c r="M588" s="19" t="n">
        <v>0.70305607864607</v>
      </c>
      <c r="N588" s="19" t="n">
        <v>1.16159083275371</v>
      </c>
      <c r="O588" s="19" t="n">
        <v>0.859156371874028</v>
      </c>
      <c r="P588" s="19" t="n">
        <v>0.523280042396706</v>
      </c>
      <c r="Q588" s="17" t="s">
        <v>30</v>
      </c>
      <c r="R588" s="5" t="str">
        <f aca="false">IF(OR(Q588="Steel plate",Q588="Concrete jacket"),"Steel plate or jacket",Q588)</f>
        <v>Seal cracks</v>
      </c>
      <c r="S588" s="5" t="str">
        <f aca="false">IF(O588&lt;='Tree rules'!$C$4,IF(N588&lt;='Tree rules'!$C$5,IF(P588&lt;='Tree rules'!$C$6,"Monitor","Polymer laminate"),IF(P588&lt;='Tree rules'!$C$7,"Seal cracks","Polymer laminate")),IF(O588&lt;='Tree rules'!$C$8,IF(M588&lt;='Tree rules'!$C$9,"Steel plate or jacket","Polymer laminate"),IF(L588&lt;='Tree rules'!$C$10,"Steel plate or jacket","Polymer laminate")))</f>
        <v>Seal cracks</v>
      </c>
      <c r="T588" s="5" t="str">
        <f aca="false">IF(S588=R588,"Yes","No")</f>
        <v>Yes</v>
      </c>
    </row>
    <row r="589" customFormat="false" ht="15" hidden="false" customHeight="false" outlineLevel="0" collapsed="false">
      <c r="A589" s="15" t="n">
        <v>836</v>
      </c>
      <c r="B589" s="16" t="n">
        <v>3.738236360894</v>
      </c>
      <c r="C589" s="15" t="n">
        <v>300</v>
      </c>
      <c r="D589" s="15" t="n">
        <v>375</v>
      </c>
      <c r="E589" s="15" t="n">
        <v>20</v>
      </c>
      <c r="F589" s="16" t="n">
        <v>0.683367586279351</v>
      </c>
      <c r="G589" s="17" t="s">
        <v>89</v>
      </c>
      <c r="H589" s="18" t="n">
        <v>0.3</v>
      </c>
      <c r="I589" s="18" t="n">
        <v>1.5</v>
      </c>
      <c r="J589" s="19" t="n">
        <v>0.974781056159695</v>
      </c>
      <c r="K589" s="19" t="n">
        <v>0.415906191948536</v>
      </c>
      <c r="L589" s="16" t="n">
        <v>11.2937654407674</v>
      </c>
      <c r="M589" s="19" t="n">
        <v>0.847124352913817</v>
      </c>
      <c r="N589" s="19" t="n">
        <v>0.779258040835824</v>
      </c>
      <c r="O589" s="19" t="n">
        <v>1.25946284571407</v>
      </c>
      <c r="P589" s="19" t="n">
        <v>0.424230280399059</v>
      </c>
      <c r="Q589" s="17" t="s">
        <v>31</v>
      </c>
      <c r="R589" s="5" t="str">
        <f aca="false">IF(OR(Q589="Steel plate",Q589="Concrete jacket"),"Steel plate or jacket",Q589)</f>
        <v>Polymer laminate</v>
      </c>
      <c r="S589" s="5" t="str">
        <f aca="false">IF(O589&lt;='Tree rules'!$C$4,IF(N589&lt;='Tree rules'!$C$5,IF(P589&lt;='Tree rules'!$C$6,"Monitor","Polymer laminate"),IF(P589&lt;='Tree rules'!$C$7,"Seal cracks","Polymer laminate")),IF(O589&lt;='Tree rules'!$C$8,IF(M589&lt;='Tree rules'!$C$9,"Steel plate or jacket","Polymer laminate"),IF(L589&lt;='Tree rules'!$C$10,"Steel plate or jacket","Polymer laminate")))</f>
        <v>Polymer laminate</v>
      </c>
      <c r="T589" s="5" t="str">
        <f aca="false">IF(S589=R589,"Yes","No")</f>
        <v>Yes</v>
      </c>
    </row>
    <row r="590" customFormat="false" ht="15" hidden="false" customHeight="false" outlineLevel="0" collapsed="false">
      <c r="A590" s="15" t="n">
        <v>837</v>
      </c>
      <c r="B590" s="16" t="n">
        <v>6.51163631255615</v>
      </c>
      <c r="C590" s="15" t="n">
        <v>230</v>
      </c>
      <c r="D590" s="15" t="n">
        <v>550</v>
      </c>
      <c r="E590" s="15" t="n">
        <v>30</v>
      </c>
      <c r="F590" s="16" t="n">
        <v>0.520346609290235</v>
      </c>
      <c r="G590" s="17" t="s">
        <v>89</v>
      </c>
      <c r="H590" s="18" t="n">
        <v>0.3</v>
      </c>
      <c r="I590" s="18" t="n">
        <v>2</v>
      </c>
      <c r="J590" s="19" t="n">
        <v>0.956480688775909</v>
      </c>
      <c r="K590" s="19" t="n">
        <v>0.519842983636658</v>
      </c>
      <c r="L590" s="16" t="n">
        <v>12.9199133185638</v>
      </c>
      <c r="M590" s="19" t="n">
        <v>0.762574768372925</v>
      </c>
      <c r="N590" s="19" t="n">
        <v>0.982816282425712</v>
      </c>
      <c r="O590" s="19" t="n">
        <v>1.4157416025077</v>
      </c>
      <c r="P590" s="19" t="n">
        <v>0.46964760232392</v>
      </c>
      <c r="Q590" s="17" t="s">
        <v>31</v>
      </c>
      <c r="R590" s="5" t="str">
        <f aca="false">IF(OR(Q590="Steel plate",Q590="Concrete jacket"),"Steel plate or jacket",Q590)</f>
        <v>Polymer laminate</v>
      </c>
      <c r="S590" s="5" t="str">
        <f aca="false">IF(O590&lt;='Tree rules'!$C$4,IF(N590&lt;='Tree rules'!$C$5,IF(P590&lt;='Tree rules'!$C$6,"Monitor","Polymer laminate"),IF(P590&lt;='Tree rules'!$C$7,"Seal cracks","Polymer laminate")),IF(O590&lt;='Tree rules'!$C$8,IF(M590&lt;='Tree rules'!$C$9,"Steel plate or jacket","Polymer laminate"),IF(L590&lt;='Tree rules'!$C$10,"Steel plate or jacket","Polymer laminate")))</f>
        <v>Steel plate or jacket</v>
      </c>
      <c r="T590" s="5" t="str">
        <f aca="false">IF(S590=R590,"Yes","No")</f>
        <v>No</v>
      </c>
    </row>
    <row r="591" customFormat="false" ht="15" hidden="false" customHeight="false" outlineLevel="0" collapsed="false">
      <c r="A591" s="15" t="n">
        <v>838</v>
      </c>
      <c r="B591" s="16" t="n">
        <v>5.21099222515505</v>
      </c>
      <c r="C591" s="15" t="n">
        <v>300</v>
      </c>
      <c r="D591" s="15" t="n">
        <v>400</v>
      </c>
      <c r="E591" s="15" t="n">
        <v>25</v>
      </c>
      <c r="F591" s="16" t="n">
        <v>0.567971553191375</v>
      </c>
      <c r="G591" s="17" t="s">
        <v>89</v>
      </c>
      <c r="H591" s="18" t="n">
        <v>0.3</v>
      </c>
      <c r="I591" s="18" t="n">
        <v>1</v>
      </c>
      <c r="J591" s="19" t="n">
        <v>0.924347540666325</v>
      </c>
      <c r="K591" s="19" t="n">
        <v>0.494860327584202</v>
      </c>
      <c r="L591" s="16" t="n">
        <v>14.720317020212</v>
      </c>
      <c r="M591" s="19" t="n">
        <v>0.328456911790218</v>
      </c>
      <c r="N591" s="19" t="n">
        <v>0.808083771493355</v>
      </c>
      <c r="O591" s="19" t="n">
        <v>0.924347540666325</v>
      </c>
      <c r="P591" s="19" t="n">
        <v>0.935242585432489</v>
      </c>
      <c r="Q591" s="17" t="s">
        <v>29</v>
      </c>
      <c r="R591" s="5" t="str">
        <f aca="false">IF(OR(Q591="Steel plate",Q591="Concrete jacket"),"Steel plate or jacket",Q591)</f>
        <v>Monitor</v>
      </c>
      <c r="S591" s="5" t="str">
        <f aca="false">IF(O591&lt;='Tree rules'!$C$4,IF(N591&lt;='Tree rules'!$C$5,IF(P591&lt;='Tree rules'!$C$6,"Monitor","Polymer laminate"),IF(P591&lt;='Tree rules'!$C$7,"Seal cracks","Polymer laminate")),IF(O591&lt;='Tree rules'!$C$8,IF(M591&lt;='Tree rules'!$C$9,"Steel plate or jacket","Polymer laminate"),IF(L591&lt;='Tree rules'!$C$10,"Steel plate or jacket","Polymer laminate")))</f>
        <v>Monitor</v>
      </c>
      <c r="T591" s="5" t="str">
        <f aca="false">IF(S591=R591,"Yes","No")</f>
        <v>Yes</v>
      </c>
    </row>
    <row r="592" customFormat="false" ht="15" hidden="false" customHeight="false" outlineLevel="0" collapsed="false">
      <c r="A592" s="15" t="n">
        <v>840</v>
      </c>
      <c r="B592" s="16" t="n">
        <v>4.61292506008721</v>
      </c>
      <c r="C592" s="15" t="n">
        <v>300</v>
      </c>
      <c r="D592" s="15" t="n">
        <v>425</v>
      </c>
      <c r="E592" s="15" t="n">
        <v>30</v>
      </c>
      <c r="F592" s="16" t="n">
        <v>0.884177351933803</v>
      </c>
      <c r="G592" s="17" t="s">
        <v>89</v>
      </c>
      <c r="H592" s="18" t="n">
        <v>0.3</v>
      </c>
      <c r="I592" s="18" t="n">
        <v>1</v>
      </c>
      <c r="J592" s="19" t="n">
        <v>0.929628060379318</v>
      </c>
      <c r="K592" s="19" t="n">
        <v>0.473389758617792</v>
      </c>
      <c r="L592" s="16" t="n">
        <v>12.171306227143</v>
      </c>
      <c r="M592" s="19" t="n">
        <v>0.864671096261358</v>
      </c>
      <c r="N592" s="19" t="n">
        <v>0.594959217785453</v>
      </c>
      <c r="O592" s="19" t="n">
        <v>0.929628060379318</v>
      </c>
      <c r="P592" s="19" t="n">
        <v>0.437474146479112</v>
      </c>
      <c r="Q592" s="17" t="s">
        <v>29</v>
      </c>
      <c r="R592" s="5" t="str">
        <f aca="false">IF(OR(Q592="Steel plate",Q592="Concrete jacket"),"Steel plate or jacket",Q592)</f>
        <v>Monitor</v>
      </c>
      <c r="S592" s="5" t="str">
        <f aca="false">IF(O592&lt;='Tree rules'!$C$4,IF(N592&lt;='Tree rules'!$C$5,IF(P592&lt;='Tree rules'!$C$6,"Monitor","Polymer laminate"),IF(P592&lt;='Tree rules'!$C$7,"Seal cracks","Polymer laminate")),IF(O592&lt;='Tree rules'!$C$8,IF(M592&lt;='Tree rules'!$C$9,"Steel plate or jacket","Polymer laminate"),IF(L592&lt;='Tree rules'!$C$10,"Steel plate or jacket","Polymer laminate")))</f>
        <v>Monitor</v>
      </c>
      <c r="T592" s="5" t="str">
        <f aca="false">IF(S592=R592,"Yes","No")</f>
        <v>Yes</v>
      </c>
    </row>
    <row r="593" customFormat="false" ht="15" hidden="false" customHeight="false" outlineLevel="0" collapsed="false">
      <c r="A593" s="15" t="n">
        <v>841</v>
      </c>
      <c r="B593" s="16" t="n">
        <v>3.84470652585619</v>
      </c>
      <c r="C593" s="15" t="n">
        <v>230</v>
      </c>
      <c r="D593" s="15" t="n">
        <v>350</v>
      </c>
      <c r="E593" s="15" t="n">
        <v>25</v>
      </c>
      <c r="F593" s="16" t="n">
        <v>0.862679904875916</v>
      </c>
      <c r="G593" s="17" t="s">
        <v>89</v>
      </c>
      <c r="H593" s="18" t="n">
        <v>0.3</v>
      </c>
      <c r="I593" s="18" t="n">
        <v>1.5</v>
      </c>
      <c r="J593" s="19" t="n">
        <v>0.892715837522556</v>
      </c>
      <c r="K593" s="19" t="n">
        <v>0.538508986689813</v>
      </c>
      <c r="L593" s="16" t="n">
        <v>12.6470609403164</v>
      </c>
      <c r="M593" s="19" t="n">
        <v>0.32125064223451</v>
      </c>
      <c r="N593" s="19" t="n">
        <v>0.846550461481385</v>
      </c>
      <c r="O593" s="19" t="n">
        <v>1.09870600575073</v>
      </c>
      <c r="P593" s="19" t="n">
        <v>1.22928490842397</v>
      </c>
      <c r="Q593" s="17" t="s">
        <v>31</v>
      </c>
      <c r="R593" s="5" t="str">
        <f aca="false">IF(OR(Q593="Steel plate",Q593="Concrete jacket"),"Steel plate or jacket",Q593)</f>
        <v>Polymer laminate</v>
      </c>
      <c r="S593" s="5" t="str">
        <f aca="false">IF(O593&lt;='Tree rules'!$C$4,IF(N593&lt;='Tree rules'!$C$5,IF(P593&lt;='Tree rules'!$C$6,"Monitor","Polymer laminate"),IF(P593&lt;='Tree rules'!$C$7,"Seal cracks","Polymer laminate")),IF(O593&lt;='Tree rules'!$C$8,IF(M593&lt;='Tree rules'!$C$9,"Steel plate or jacket","Polymer laminate"),IF(L593&lt;='Tree rules'!$C$10,"Steel plate or jacket","Polymer laminate")))</f>
        <v>Polymer laminate</v>
      </c>
      <c r="T593" s="5" t="str">
        <f aca="false">IF(S593=R593,"Yes","No")</f>
        <v>Yes</v>
      </c>
    </row>
    <row r="594" customFormat="false" ht="15" hidden="false" customHeight="false" outlineLevel="0" collapsed="false">
      <c r="A594" s="15" t="n">
        <v>844</v>
      </c>
      <c r="B594" s="16" t="n">
        <v>4.31162211555782</v>
      </c>
      <c r="C594" s="15" t="n">
        <v>230</v>
      </c>
      <c r="D594" s="15" t="n">
        <v>350</v>
      </c>
      <c r="E594" s="15" t="n">
        <v>25</v>
      </c>
      <c r="F594" s="16" t="n">
        <v>0.675914152273913</v>
      </c>
      <c r="G594" s="17" t="s">
        <v>90</v>
      </c>
      <c r="H594" s="18" t="n">
        <v>0.1</v>
      </c>
      <c r="I594" s="18" t="n">
        <v>1.5</v>
      </c>
      <c r="J594" s="19" t="n">
        <v>0.97443455469877</v>
      </c>
      <c r="K594" s="19" t="n">
        <v>0.548992937108706</v>
      </c>
      <c r="L594" s="16" t="n">
        <v>14.8165708438413</v>
      </c>
      <c r="M594" s="19" t="n">
        <v>0.319704889719507</v>
      </c>
      <c r="N594" s="19" t="n">
        <v>3.44375666106803</v>
      </c>
      <c r="O594" s="19" t="n">
        <v>1.19417298794601</v>
      </c>
      <c r="P594" s="19" t="n">
        <v>1.13610049039193</v>
      </c>
      <c r="Q594" s="17" t="s">
        <v>31</v>
      </c>
      <c r="R594" s="5" t="str">
        <f aca="false">IF(OR(Q594="Steel plate",Q594="Concrete jacket"),"Steel plate or jacket",Q594)</f>
        <v>Polymer laminate</v>
      </c>
      <c r="S594" s="5" t="str">
        <f aca="false">IF(O594&lt;='Tree rules'!$C$4,IF(N594&lt;='Tree rules'!$C$5,IF(P594&lt;='Tree rules'!$C$6,"Monitor","Polymer laminate"),IF(P594&lt;='Tree rules'!$C$7,"Seal cracks","Polymer laminate")),IF(O594&lt;='Tree rules'!$C$8,IF(M594&lt;='Tree rules'!$C$9,"Steel plate or jacket","Polymer laminate"),IF(L594&lt;='Tree rules'!$C$10,"Steel plate or jacket","Polymer laminate")))</f>
        <v>Polymer laminate</v>
      </c>
      <c r="T594" s="5" t="str">
        <f aca="false">IF(S594=R594,"Yes","No")</f>
        <v>Yes</v>
      </c>
    </row>
    <row r="595" customFormat="false" ht="15" hidden="false" customHeight="false" outlineLevel="0" collapsed="false">
      <c r="A595" s="15" t="n">
        <v>845</v>
      </c>
      <c r="B595" s="16" t="n">
        <v>4.08215042719834</v>
      </c>
      <c r="C595" s="15" t="n">
        <v>300</v>
      </c>
      <c r="D595" s="15" t="n">
        <v>400</v>
      </c>
      <c r="E595" s="15" t="n">
        <v>30</v>
      </c>
      <c r="F595" s="16" t="n">
        <v>0.757295404255167</v>
      </c>
      <c r="G595" s="17" t="s">
        <v>91</v>
      </c>
      <c r="H595" s="18" t="n">
        <v>0.2</v>
      </c>
      <c r="I595" s="18" t="n">
        <v>2</v>
      </c>
      <c r="J595" s="19" t="n">
        <v>0.883435380804978</v>
      </c>
      <c r="K595" s="19" t="n">
        <v>0.410214618358333</v>
      </c>
      <c r="L595" s="16" t="n">
        <v>11.5314983819162</v>
      </c>
      <c r="M595" s="19" t="n">
        <v>0.893315736034518</v>
      </c>
      <c r="N595" s="19" t="n">
        <v>1.49628457274754</v>
      </c>
      <c r="O595" s="19" t="n">
        <v>1.40447265402879</v>
      </c>
      <c r="P595" s="19" t="n">
        <v>0.412738827038917</v>
      </c>
      <c r="Q595" s="17" t="s">
        <v>31</v>
      </c>
      <c r="R595" s="5" t="str">
        <f aca="false">IF(OR(Q595="Steel plate",Q595="Concrete jacket"),"Steel plate or jacket",Q595)</f>
        <v>Polymer laminate</v>
      </c>
      <c r="S595" s="5" t="str">
        <f aca="false">IF(O595&lt;='Tree rules'!$C$4,IF(N595&lt;='Tree rules'!$C$5,IF(P595&lt;='Tree rules'!$C$6,"Monitor","Polymer laminate"),IF(P595&lt;='Tree rules'!$C$7,"Seal cracks","Polymer laminate")),IF(O595&lt;='Tree rules'!$C$8,IF(M595&lt;='Tree rules'!$C$9,"Steel plate or jacket","Polymer laminate"),IF(L595&lt;='Tree rules'!$C$10,"Steel plate or jacket","Polymer laminate")))</f>
        <v>Steel plate or jacket</v>
      </c>
      <c r="T595" s="5" t="str">
        <f aca="false">IF(S595=R595,"Yes","No")</f>
        <v>No</v>
      </c>
    </row>
    <row r="596" customFormat="false" ht="15" hidden="false" customHeight="false" outlineLevel="0" collapsed="false">
      <c r="A596" s="15" t="n">
        <v>848</v>
      </c>
      <c r="B596" s="16" t="n">
        <v>5.02442507276994</v>
      </c>
      <c r="C596" s="15" t="n">
        <v>300</v>
      </c>
      <c r="D596" s="15" t="n">
        <v>400</v>
      </c>
      <c r="E596" s="15" t="n">
        <v>25</v>
      </c>
      <c r="F596" s="16" t="n">
        <v>0.594998608634431</v>
      </c>
      <c r="G596" s="17" t="s">
        <v>91</v>
      </c>
      <c r="H596" s="18" t="n">
        <v>0.2</v>
      </c>
      <c r="I596" s="18" t="n">
        <v>1.5</v>
      </c>
      <c r="J596" s="19" t="n">
        <v>0.981069173692163</v>
      </c>
      <c r="K596" s="19" t="n">
        <v>0.597695252642578</v>
      </c>
      <c r="L596" s="16" t="n">
        <v>14.2739348658237</v>
      </c>
      <c r="M596" s="19" t="n">
        <v>0.932247592056817</v>
      </c>
      <c r="N596" s="19" t="n">
        <v>1.86403126721103</v>
      </c>
      <c r="O596" s="19" t="n">
        <v>1.17841356672335</v>
      </c>
      <c r="P596" s="19" t="n">
        <v>0.445665067218717</v>
      </c>
      <c r="Q596" s="17" t="s">
        <v>31</v>
      </c>
      <c r="R596" s="5" t="str">
        <f aca="false">IF(OR(Q596="Steel plate",Q596="Concrete jacket"),"Steel plate or jacket",Q596)</f>
        <v>Polymer laminate</v>
      </c>
      <c r="S596" s="5" t="str">
        <f aca="false">IF(O596&lt;='Tree rules'!$C$4,IF(N596&lt;='Tree rules'!$C$5,IF(P596&lt;='Tree rules'!$C$6,"Monitor","Polymer laminate"),IF(P596&lt;='Tree rules'!$C$7,"Seal cracks","Polymer laminate")),IF(O596&lt;='Tree rules'!$C$8,IF(M596&lt;='Tree rules'!$C$9,"Steel plate or jacket","Polymer laminate"),IF(L596&lt;='Tree rules'!$C$10,"Steel plate or jacket","Polymer laminate")))</f>
        <v>Polymer laminate</v>
      </c>
      <c r="T596" s="5" t="str">
        <f aca="false">IF(S596=R596,"Yes","No")</f>
        <v>Yes</v>
      </c>
    </row>
    <row r="597" customFormat="false" ht="15" hidden="false" customHeight="false" outlineLevel="0" collapsed="false">
      <c r="A597" s="15" t="n">
        <v>849</v>
      </c>
      <c r="B597" s="16" t="n">
        <v>6.36796684922804</v>
      </c>
      <c r="C597" s="15" t="n">
        <v>300</v>
      </c>
      <c r="D597" s="15" t="n">
        <v>600</v>
      </c>
      <c r="E597" s="15" t="n">
        <v>20</v>
      </c>
      <c r="F597" s="16" t="n">
        <v>0.604879451954714</v>
      </c>
      <c r="G597" s="17" t="s">
        <v>89</v>
      </c>
      <c r="H597" s="18" t="n">
        <v>0.3</v>
      </c>
      <c r="I597" s="18" t="n">
        <v>1</v>
      </c>
      <c r="J597" s="19" t="n">
        <v>0.905132776614827</v>
      </c>
      <c r="K597" s="19" t="n">
        <v>0.574512196127704</v>
      </c>
      <c r="L597" s="16" t="n">
        <v>11.4945249986066</v>
      </c>
      <c r="M597" s="19" t="n">
        <v>0.294242182085208</v>
      </c>
      <c r="N597" s="19" t="n">
        <v>0.616145517447325</v>
      </c>
      <c r="O597" s="19" t="n">
        <v>0.905132776614827</v>
      </c>
      <c r="P597" s="19" t="n">
        <v>1.08722740243102</v>
      </c>
      <c r="Q597" s="17" t="s">
        <v>31</v>
      </c>
      <c r="R597" s="5" t="str">
        <f aca="false">IF(OR(Q597="Steel plate",Q597="Concrete jacket"),"Steel plate or jacket",Q597)</f>
        <v>Polymer laminate</v>
      </c>
      <c r="S597" s="5" t="str">
        <f aca="false">IF(O597&lt;='Tree rules'!$C$4,IF(N597&lt;='Tree rules'!$C$5,IF(P597&lt;='Tree rules'!$C$6,"Monitor","Polymer laminate"),IF(P597&lt;='Tree rules'!$C$7,"Seal cracks","Polymer laminate")),IF(O597&lt;='Tree rules'!$C$8,IF(M597&lt;='Tree rules'!$C$9,"Steel plate or jacket","Polymer laminate"),IF(L597&lt;='Tree rules'!$C$10,"Steel plate or jacket","Polymer laminate")))</f>
        <v>Polymer laminate</v>
      </c>
      <c r="T597" s="5" t="str">
        <f aca="false">IF(S597=R597,"Yes","No")</f>
        <v>Yes</v>
      </c>
    </row>
    <row r="598" customFormat="false" ht="15" hidden="false" customHeight="false" outlineLevel="0" collapsed="false">
      <c r="A598" s="15" t="n">
        <v>852</v>
      </c>
      <c r="B598" s="16" t="n">
        <v>3.69396103313775</v>
      </c>
      <c r="C598" s="15" t="n">
        <v>230</v>
      </c>
      <c r="D598" s="15" t="n">
        <v>325</v>
      </c>
      <c r="E598" s="15" t="n">
        <v>25</v>
      </c>
      <c r="F598" s="16" t="n">
        <v>0.626653981080713</v>
      </c>
      <c r="G598" s="17" t="s">
        <v>89</v>
      </c>
      <c r="H598" s="18" t="n">
        <v>0.3</v>
      </c>
      <c r="I598" s="18" t="n">
        <v>2</v>
      </c>
      <c r="J598" s="19" t="n">
        <v>0.866119921214762</v>
      </c>
      <c r="K598" s="19" t="n">
        <v>0.585872565931801</v>
      </c>
      <c r="L598" s="16" t="n">
        <v>13.2400037030027</v>
      </c>
      <c r="M598" s="19" t="n">
        <v>0.884415575702959</v>
      </c>
      <c r="N598" s="19" t="n">
        <v>1.08208182844064</v>
      </c>
      <c r="O598" s="19" t="n">
        <v>1.22480394178278</v>
      </c>
      <c r="P598" s="19" t="n">
        <v>0.397544342486212</v>
      </c>
      <c r="Q598" s="17" t="s">
        <v>31</v>
      </c>
      <c r="R598" s="5" t="str">
        <f aca="false">IF(OR(Q598="Steel plate",Q598="Concrete jacket"),"Steel plate or jacket",Q598)</f>
        <v>Polymer laminate</v>
      </c>
      <c r="S598" s="5" t="str">
        <f aca="false">IF(O598&lt;='Tree rules'!$C$4,IF(N598&lt;='Tree rules'!$C$5,IF(P598&lt;='Tree rules'!$C$6,"Monitor","Polymer laminate"),IF(P598&lt;='Tree rules'!$C$7,"Seal cracks","Polymer laminate")),IF(O598&lt;='Tree rules'!$C$8,IF(M598&lt;='Tree rules'!$C$9,"Steel plate or jacket","Polymer laminate"),IF(L598&lt;='Tree rules'!$C$10,"Steel plate or jacket","Polymer laminate")))</f>
        <v>Polymer laminate</v>
      </c>
      <c r="T598" s="5" t="str">
        <f aca="false">IF(S598=R598,"Yes","No")</f>
        <v>Yes</v>
      </c>
    </row>
    <row r="599" customFormat="false" ht="15" hidden="false" customHeight="false" outlineLevel="0" collapsed="false">
      <c r="A599" s="15" t="n">
        <v>854</v>
      </c>
      <c r="B599" s="16" t="n">
        <v>6.62814500897656</v>
      </c>
      <c r="C599" s="15" t="n">
        <v>300</v>
      </c>
      <c r="D599" s="15" t="n">
        <v>575</v>
      </c>
      <c r="E599" s="15" t="n">
        <v>20</v>
      </c>
      <c r="F599" s="16" t="n">
        <v>0.651951782846131</v>
      </c>
      <c r="G599" s="17" t="s">
        <v>90</v>
      </c>
      <c r="H599" s="18" t="n">
        <v>0.1</v>
      </c>
      <c r="I599" s="18" t="n">
        <v>1.5</v>
      </c>
      <c r="J599" s="19" t="n">
        <v>0.854390493613241</v>
      </c>
      <c r="K599" s="19" t="n">
        <v>0.404753285700171</v>
      </c>
      <c r="L599" s="16" t="n">
        <v>12.8952237528727</v>
      </c>
      <c r="M599" s="19" t="n">
        <v>0.551328357920189</v>
      </c>
      <c r="N599" s="19" t="n">
        <v>2.84639862681782</v>
      </c>
      <c r="O599" s="19" t="n">
        <v>1.10867706063939</v>
      </c>
      <c r="P599" s="19" t="n">
        <v>0.632054690404073</v>
      </c>
      <c r="Q599" s="17" t="s">
        <v>31</v>
      </c>
      <c r="R599" s="5" t="str">
        <f aca="false">IF(OR(Q599="Steel plate",Q599="Concrete jacket"),"Steel plate or jacket",Q599)</f>
        <v>Polymer laminate</v>
      </c>
      <c r="S599" s="5" t="str">
        <f aca="false">IF(O599&lt;='Tree rules'!$C$4,IF(N599&lt;='Tree rules'!$C$5,IF(P599&lt;='Tree rules'!$C$6,"Monitor","Polymer laminate"),IF(P599&lt;='Tree rules'!$C$7,"Seal cracks","Polymer laminate")),IF(O599&lt;='Tree rules'!$C$8,IF(M599&lt;='Tree rules'!$C$9,"Steel plate or jacket","Polymer laminate"),IF(L599&lt;='Tree rules'!$C$10,"Steel plate or jacket","Polymer laminate")))</f>
        <v>Polymer laminate</v>
      </c>
      <c r="T599" s="5" t="str">
        <f aca="false">IF(S599=R599,"Yes","No")</f>
        <v>Yes</v>
      </c>
    </row>
    <row r="600" customFormat="false" ht="15" hidden="false" customHeight="false" outlineLevel="0" collapsed="false">
      <c r="A600" s="15" t="n">
        <v>855</v>
      </c>
      <c r="B600" s="16" t="n">
        <v>7.31233812488231</v>
      </c>
      <c r="C600" s="15" t="n">
        <v>300</v>
      </c>
      <c r="D600" s="15" t="n">
        <v>600</v>
      </c>
      <c r="E600" s="15" t="n">
        <v>25</v>
      </c>
      <c r="F600" s="16" t="n">
        <v>0.621712831879242</v>
      </c>
      <c r="G600" s="17" t="s">
        <v>90</v>
      </c>
      <c r="H600" s="18" t="n">
        <v>0.1</v>
      </c>
      <c r="I600" s="18" t="n">
        <v>1</v>
      </c>
      <c r="J600" s="19" t="n">
        <v>0.898706650866804</v>
      </c>
      <c r="K600" s="19" t="n">
        <v>0.560725927842624</v>
      </c>
      <c r="L600" s="16" t="n">
        <v>13.566490027611</v>
      </c>
      <c r="M600" s="19" t="n">
        <v>0.922295622154989</v>
      </c>
      <c r="N600" s="19" t="n">
        <v>2.06534217972082</v>
      </c>
      <c r="O600" s="19" t="n">
        <v>0.898706650866804</v>
      </c>
      <c r="P600" s="19" t="n">
        <v>0.39230541992559</v>
      </c>
      <c r="Q600" s="17" t="s">
        <v>30</v>
      </c>
      <c r="R600" s="5" t="str">
        <f aca="false">IF(OR(Q600="Steel plate",Q600="Concrete jacket"),"Steel plate or jacket",Q600)</f>
        <v>Seal cracks</v>
      </c>
      <c r="S600" s="5" t="str">
        <f aca="false">IF(O600&lt;='Tree rules'!$C$4,IF(N600&lt;='Tree rules'!$C$5,IF(P600&lt;='Tree rules'!$C$6,"Monitor","Polymer laminate"),IF(P600&lt;='Tree rules'!$C$7,"Seal cracks","Polymer laminate")),IF(O600&lt;='Tree rules'!$C$8,IF(M600&lt;='Tree rules'!$C$9,"Steel plate or jacket","Polymer laminate"),IF(L600&lt;='Tree rules'!$C$10,"Steel plate or jacket","Polymer laminate")))</f>
        <v>Seal cracks</v>
      </c>
      <c r="T600" s="5" t="str">
        <f aca="false">IF(S600=R600,"Yes","No")</f>
        <v>Yes</v>
      </c>
    </row>
    <row r="601" customFormat="false" ht="15" hidden="false" customHeight="false" outlineLevel="0" collapsed="false">
      <c r="A601" s="15" t="n">
        <v>857</v>
      </c>
      <c r="B601" s="16" t="n">
        <v>7.83106539338787</v>
      </c>
      <c r="C601" s="15" t="n">
        <v>230</v>
      </c>
      <c r="D601" s="15" t="n">
        <v>675</v>
      </c>
      <c r="E601" s="15" t="n">
        <v>20</v>
      </c>
      <c r="F601" s="16" t="n">
        <v>0.653545382481754</v>
      </c>
      <c r="G601" s="17" t="s">
        <v>89</v>
      </c>
      <c r="H601" s="18" t="n">
        <v>0.3</v>
      </c>
      <c r="I601" s="18" t="n">
        <v>1</v>
      </c>
      <c r="J601" s="19" t="n">
        <v>0.863011136383537</v>
      </c>
      <c r="K601" s="19" t="n">
        <v>0.501705083682649</v>
      </c>
      <c r="L601" s="16" t="n">
        <v>12.4897374695181</v>
      </c>
      <c r="M601" s="19" t="n">
        <v>0.663735171428725</v>
      </c>
      <c r="N601" s="19" t="n">
        <v>0.566459450868766</v>
      </c>
      <c r="O601" s="19" t="n">
        <v>0.863011136383537</v>
      </c>
      <c r="P601" s="19" t="n">
        <v>0.53757515323331</v>
      </c>
      <c r="Q601" s="17" t="s">
        <v>29</v>
      </c>
      <c r="R601" s="5" t="str">
        <f aca="false">IF(OR(Q601="Steel plate",Q601="Concrete jacket"),"Steel plate or jacket",Q601)</f>
        <v>Monitor</v>
      </c>
      <c r="S601" s="5" t="str">
        <f aca="false">IF(O601&lt;='Tree rules'!$C$4,IF(N601&lt;='Tree rules'!$C$5,IF(P601&lt;='Tree rules'!$C$6,"Monitor","Polymer laminate"),IF(P601&lt;='Tree rules'!$C$7,"Seal cracks","Polymer laminate")),IF(O601&lt;='Tree rules'!$C$8,IF(M601&lt;='Tree rules'!$C$9,"Steel plate or jacket","Polymer laminate"),IF(L601&lt;='Tree rules'!$C$10,"Steel plate or jacket","Polymer laminate")))</f>
        <v>Monitor</v>
      </c>
      <c r="T601" s="5" t="str">
        <f aca="false">IF(S601=R601,"Yes","No")</f>
        <v>Yes</v>
      </c>
    </row>
    <row r="602" customFormat="false" ht="15" hidden="false" customHeight="false" outlineLevel="0" collapsed="false">
      <c r="A602" s="15" t="n">
        <v>860</v>
      </c>
      <c r="B602" s="16" t="n">
        <v>3.11502045607842</v>
      </c>
      <c r="C602" s="15" t="n">
        <v>300</v>
      </c>
      <c r="D602" s="15" t="n">
        <v>300</v>
      </c>
      <c r="E602" s="15" t="n">
        <v>20</v>
      </c>
      <c r="F602" s="16" t="n">
        <v>0.52772160060301</v>
      </c>
      <c r="G602" s="17" t="s">
        <v>89</v>
      </c>
      <c r="H602" s="18" t="n">
        <v>0.3</v>
      </c>
      <c r="I602" s="18" t="n">
        <v>2</v>
      </c>
      <c r="J602" s="19" t="n">
        <v>0.984692209513115</v>
      </c>
      <c r="K602" s="19" t="n">
        <v>0.552912596162721</v>
      </c>
      <c r="L602" s="16" t="n">
        <v>12.2638600633009</v>
      </c>
      <c r="M602" s="19" t="n">
        <v>0.280626670066199</v>
      </c>
      <c r="N602" s="19" t="n">
        <v>1.64565623683391</v>
      </c>
      <c r="O602" s="19" t="n">
        <v>1.42493569304313</v>
      </c>
      <c r="P602" s="19" t="n">
        <v>1.10269345385713</v>
      </c>
      <c r="Q602" s="17" t="s">
        <v>31</v>
      </c>
      <c r="R602" s="5" t="str">
        <f aca="false">IF(OR(Q602="Steel plate",Q602="Concrete jacket"),"Steel plate or jacket",Q602)</f>
        <v>Polymer laminate</v>
      </c>
      <c r="S602" s="5" t="str">
        <f aca="false">IF(O602&lt;='Tree rules'!$C$4,IF(N602&lt;='Tree rules'!$C$5,IF(P602&lt;='Tree rules'!$C$6,"Monitor","Polymer laminate"),IF(P602&lt;='Tree rules'!$C$7,"Seal cracks","Polymer laminate")),IF(O602&lt;='Tree rules'!$C$8,IF(M602&lt;='Tree rules'!$C$9,"Steel plate or jacket","Polymer laminate"),IF(L602&lt;='Tree rules'!$C$10,"Steel plate or jacket","Polymer laminate")))</f>
        <v>Steel plate or jacket</v>
      </c>
      <c r="T602" s="5" t="str">
        <f aca="false">IF(S602=R602,"Yes","No")</f>
        <v>No</v>
      </c>
    </row>
    <row r="603" customFormat="false" ht="15" hidden="false" customHeight="false" outlineLevel="0" collapsed="false">
      <c r="A603" s="15" t="n">
        <v>861</v>
      </c>
      <c r="B603" s="16" t="n">
        <v>3.24679590664511</v>
      </c>
      <c r="C603" s="15" t="n">
        <v>300</v>
      </c>
      <c r="D603" s="15" t="n">
        <v>300</v>
      </c>
      <c r="E603" s="15" t="n">
        <v>20</v>
      </c>
      <c r="F603" s="16" t="n">
        <v>0.736310778185108</v>
      </c>
      <c r="G603" s="17" t="s">
        <v>91</v>
      </c>
      <c r="H603" s="18" t="n">
        <v>0.2</v>
      </c>
      <c r="I603" s="18" t="n">
        <v>1</v>
      </c>
      <c r="J603" s="19" t="n">
        <v>0.981373651807699</v>
      </c>
      <c r="K603" s="19" t="n">
        <v>0.414469183640847</v>
      </c>
      <c r="L603" s="16" t="n">
        <v>12.6827965103325</v>
      </c>
      <c r="M603" s="19" t="n">
        <v>0.890475259957055</v>
      </c>
      <c r="N603" s="19" t="n">
        <v>0.932888601730422</v>
      </c>
      <c r="O603" s="19" t="n">
        <v>0.981373651807699</v>
      </c>
      <c r="P603" s="19" t="n">
        <v>0.380828779627404</v>
      </c>
      <c r="Q603" s="17" t="s">
        <v>29</v>
      </c>
      <c r="R603" s="5" t="str">
        <f aca="false">IF(OR(Q603="Steel plate",Q603="Concrete jacket"),"Steel plate or jacket",Q603)</f>
        <v>Monitor</v>
      </c>
      <c r="S603" s="5" t="str">
        <f aca="false">IF(O603&lt;='Tree rules'!$C$4,IF(N603&lt;='Tree rules'!$C$5,IF(P603&lt;='Tree rules'!$C$6,"Monitor","Polymer laminate"),IF(P603&lt;='Tree rules'!$C$7,"Seal cracks","Polymer laminate")),IF(O603&lt;='Tree rules'!$C$8,IF(M603&lt;='Tree rules'!$C$9,"Steel plate or jacket","Polymer laminate"),IF(L603&lt;='Tree rules'!$C$10,"Steel plate or jacket","Polymer laminate")))</f>
        <v>Monitor</v>
      </c>
      <c r="T603" s="5" t="str">
        <f aca="false">IF(S603=R603,"Yes","No")</f>
        <v>Yes</v>
      </c>
    </row>
    <row r="604" customFormat="false" ht="15" hidden="false" customHeight="false" outlineLevel="0" collapsed="false">
      <c r="A604" s="15" t="n">
        <v>862</v>
      </c>
      <c r="B604" s="16" t="n">
        <v>5.75633005354548</v>
      </c>
      <c r="C604" s="15" t="n">
        <v>300</v>
      </c>
      <c r="D604" s="15" t="n">
        <v>450</v>
      </c>
      <c r="E604" s="15" t="n">
        <v>25</v>
      </c>
      <c r="F604" s="16" t="n">
        <v>0.520993806565472</v>
      </c>
      <c r="G604" s="17" t="s">
        <v>89</v>
      </c>
      <c r="H604" s="18" t="n">
        <v>0.3</v>
      </c>
      <c r="I604" s="18" t="n">
        <v>2</v>
      </c>
      <c r="J604" s="19" t="n">
        <v>0.919579150191788</v>
      </c>
      <c r="K604" s="19" t="n">
        <v>0.484680808627823</v>
      </c>
      <c r="L604" s="16" t="n">
        <v>14.3192289889191</v>
      </c>
      <c r="M604" s="19" t="n">
        <v>0.597868074864076</v>
      </c>
      <c r="N604" s="19" t="n">
        <v>1.62288681332494</v>
      </c>
      <c r="O604" s="19" t="n">
        <v>1.39345593427133</v>
      </c>
      <c r="P604" s="19" t="n">
        <v>0.622314428926642</v>
      </c>
      <c r="Q604" s="17" t="s">
        <v>31</v>
      </c>
      <c r="R604" s="5" t="str">
        <f aca="false">IF(OR(Q604="Steel plate",Q604="Concrete jacket"),"Steel plate or jacket",Q604)</f>
        <v>Polymer laminate</v>
      </c>
      <c r="S604" s="5" t="str">
        <f aca="false">IF(O604&lt;='Tree rules'!$C$4,IF(N604&lt;='Tree rules'!$C$5,IF(P604&lt;='Tree rules'!$C$6,"Monitor","Polymer laminate"),IF(P604&lt;='Tree rules'!$C$7,"Seal cracks","Polymer laminate")),IF(O604&lt;='Tree rules'!$C$8,IF(M604&lt;='Tree rules'!$C$9,"Steel plate or jacket","Polymer laminate"),IF(L604&lt;='Tree rules'!$C$10,"Steel plate or jacket","Polymer laminate")))</f>
        <v>Polymer laminate</v>
      </c>
      <c r="T604" s="5" t="str">
        <f aca="false">IF(S604=R604,"Yes","No")</f>
        <v>Yes</v>
      </c>
    </row>
    <row r="605" customFormat="false" ht="15" hidden="false" customHeight="false" outlineLevel="0" collapsed="false">
      <c r="A605" s="15" t="n">
        <v>863</v>
      </c>
      <c r="B605" s="16" t="n">
        <v>6.43123024703412</v>
      </c>
      <c r="C605" s="15" t="n">
        <v>300</v>
      </c>
      <c r="D605" s="15" t="n">
        <v>625</v>
      </c>
      <c r="E605" s="15" t="n">
        <v>30</v>
      </c>
      <c r="F605" s="16" t="n">
        <v>0.578762031749415</v>
      </c>
      <c r="G605" s="17" t="s">
        <v>91</v>
      </c>
      <c r="H605" s="18" t="n">
        <v>0.2</v>
      </c>
      <c r="I605" s="18" t="n">
        <v>1.5</v>
      </c>
      <c r="J605" s="19" t="n">
        <v>0.94342804731924</v>
      </c>
      <c r="K605" s="19" t="n">
        <v>0.594438043097935</v>
      </c>
      <c r="L605" s="16" t="n">
        <v>11.1074788377101</v>
      </c>
      <c r="M605" s="19" t="n">
        <v>0.773391542495926</v>
      </c>
      <c r="N605" s="19" t="n">
        <v>1.06603692974631</v>
      </c>
      <c r="O605" s="19" t="n">
        <v>1.13473730985278</v>
      </c>
      <c r="P605" s="19" t="n">
        <v>0.421622611981327</v>
      </c>
      <c r="Q605" s="17" t="s">
        <v>31</v>
      </c>
      <c r="R605" s="5" t="str">
        <f aca="false">IF(OR(Q605="Steel plate",Q605="Concrete jacket"),"Steel plate or jacket",Q605)</f>
        <v>Polymer laminate</v>
      </c>
      <c r="S605" s="5" t="str">
        <f aca="false">IF(O605&lt;='Tree rules'!$C$4,IF(N605&lt;='Tree rules'!$C$5,IF(P605&lt;='Tree rules'!$C$6,"Monitor","Polymer laminate"),IF(P605&lt;='Tree rules'!$C$7,"Seal cracks","Polymer laminate")),IF(O605&lt;='Tree rules'!$C$8,IF(M605&lt;='Tree rules'!$C$9,"Steel plate or jacket","Polymer laminate"),IF(L605&lt;='Tree rules'!$C$10,"Steel plate or jacket","Polymer laminate")))</f>
        <v>Polymer laminate</v>
      </c>
      <c r="T605" s="5" t="str">
        <f aca="false">IF(S605=R605,"Yes","No")</f>
        <v>Yes</v>
      </c>
    </row>
    <row r="606" customFormat="false" ht="15" hidden="false" customHeight="false" outlineLevel="0" collapsed="false">
      <c r="A606" s="15" t="n">
        <v>865</v>
      </c>
      <c r="B606" s="16" t="n">
        <v>6.74556323111289</v>
      </c>
      <c r="C606" s="15" t="n">
        <v>230</v>
      </c>
      <c r="D606" s="15" t="n">
        <v>575</v>
      </c>
      <c r="E606" s="15" t="n">
        <v>30</v>
      </c>
      <c r="F606" s="16" t="n">
        <v>0.518371859349855</v>
      </c>
      <c r="G606" s="17" t="s">
        <v>89</v>
      </c>
      <c r="H606" s="18" t="n">
        <v>0.3</v>
      </c>
      <c r="I606" s="18" t="n">
        <v>2</v>
      </c>
      <c r="J606" s="19" t="n">
        <v>0.944451038702912</v>
      </c>
      <c r="K606" s="19" t="n">
        <v>0.497338875288947</v>
      </c>
      <c r="L606" s="16" t="n">
        <v>12.7999302298157</v>
      </c>
      <c r="M606" s="19" t="n">
        <v>0.510424846639717</v>
      </c>
      <c r="N606" s="19" t="n">
        <v>1.38308147375121</v>
      </c>
      <c r="O606" s="19" t="n">
        <v>1.41918986005184</v>
      </c>
      <c r="P606" s="19" t="n">
        <v>0.662194110894598</v>
      </c>
      <c r="Q606" s="17" t="s">
        <v>31</v>
      </c>
      <c r="R606" s="5" t="str">
        <f aca="false">IF(OR(Q606="Steel plate",Q606="Concrete jacket"),"Steel plate or jacket",Q606)</f>
        <v>Polymer laminate</v>
      </c>
      <c r="S606" s="5" t="str">
        <f aca="false">IF(O606&lt;='Tree rules'!$C$4,IF(N606&lt;='Tree rules'!$C$5,IF(P606&lt;='Tree rules'!$C$6,"Monitor","Polymer laminate"),IF(P606&lt;='Tree rules'!$C$7,"Seal cracks","Polymer laminate")),IF(O606&lt;='Tree rules'!$C$8,IF(M606&lt;='Tree rules'!$C$9,"Steel plate or jacket","Polymer laminate"),IF(L606&lt;='Tree rules'!$C$10,"Steel plate or jacket","Polymer laminate")))</f>
        <v>Steel plate or jacket</v>
      </c>
      <c r="T606" s="5" t="str">
        <f aca="false">IF(S606=R606,"Yes","No")</f>
        <v>No</v>
      </c>
    </row>
    <row r="607" customFormat="false" ht="15" hidden="false" customHeight="false" outlineLevel="0" collapsed="false">
      <c r="A607" s="15" t="n">
        <v>866</v>
      </c>
      <c r="B607" s="16" t="n">
        <v>7.39940450674899</v>
      </c>
      <c r="C607" s="15" t="n">
        <v>300</v>
      </c>
      <c r="D607" s="15" t="n">
        <v>725</v>
      </c>
      <c r="E607" s="15" t="n">
        <v>20</v>
      </c>
      <c r="F607" s="16" t="n">
        <v>0.592229542944762</v>
      </c>
      <c r="G607" s="17" t="s">
        <v>89</v>
      </c>
      <c r="H607" s="18" t="n">
        <v>0.3</v>
      </c>
      <c r="I607" s="18" t="n">
        <v>1.5</v>
      </c>
      <c r="J607" s="19" t="n">
        <v>0.955738499149332</v>
      </c>
      <c r="K607" s="19" t="n">
        <v>0.447853313144703</v>
      </c>
      <c r="L607" s="16" t="n">
        <v>10.8975029554477</v>
      </c>
      <c r="M607" s="19" t="n">
        <v>0.839933495325294</v>
      </c>
      <c r="N607" s="19" t="n">
        <v>0.698189622544301</v>
      </c>
      <c r="O607" s="19" t="n">
        <v>1.21959242205201</v>
      </c>
      <c r="P607" s="19" t="n">
        <v>0.431795287214736</v>
      </c>
      <c r="Q607" s="17" t="s">
        <v>31</v>
      </c>
      <c r="R607" s="5" t="str">
        <f aca="false">IF(OR(Q607="Steel plate",Q607="Concrete jacket"),"Steel plate or jacket",Q607)</f>
        <v>Polymer laminate</v>
      </c>
      <c r="S607" s="5" t="str">
        <f aca="false">IF(O607&lt;='Tree rules'!$C$4,IF(N607&lt;='Tree rules'!$C$5,IF(P607&lt;='Tree rules'!$C$6,"Monitor","Polymer laminate"),IF(P607&lt;='Tree rules'!$C$7,"Seal cracks","Polymer laminate")),IF(O607&lt;='Tree rules'!$C$8,IF(M607&lt;='Tree rules'!$C$9,"Steel plate or jacket","Polymer laminate"),IF(L607&lt;='Tree rules'!$C$10,"Steel plate or jacket","Polymer laminate")))</f>
        <v>Polymer laminate</v>
      </c>
      <c r="T607" s="5" t="str">
        <f aca="false">IF(S607=R607,"Yes","No")</f>
        <v>Yes</v>
      </c>
    </row>
    <row r="608" customFormat="false" ht="15" hidden="false" customHeight="false" outlineLevel="0" collapsed="false">
      <c r="A608" s="15" t="n">
        <v>867</v>
      </c>
      <c r="B608" s="16" t="n">
        <v>4.89739962287542</v>
      </c>
      <c r="C608" s="15" t="n">
        <v>300</v>
      </c>
      <c r="D608" s="15" t="n">
        <v>450</v>
      </c>
      <c r="E608" s="15" t="n">
        <v>25</v>
      </c>
      <c r="F608" s="16" t="n">
        <v>0.829463406888394</v>
      </c>
      <c r="G608" s="17" t="s">
        <v>89</v>
      </c>
      <c r="H608" s="18" t="n">
        <v>0.3</v>
      </c>
      <c r="I608" s="18" t="n">
        <v>1</v>
      </c>
      <c r="J608" s="19" t="n">
        <v>0.913410777976555</v>
      </c>
      <c r="K608" s="19" t="n">
        <v>0.506005246854379</v>
      </c>
      <c r="L608" s="16" t="n">
        <v>12.1222762942461</v>
      </c>
      <c r="M608" s="19" t="n">
        <v>0.32872593724901</v>
      </c>
      <c r="N608" s="19" t="n">
        <v>0.635464371599817</v>
      </c>
      <c r="O608" s="19" t="n">
        <v>0.913410777976555</v>
      </c>
      <c r="P608" s="19" t="n">
        <v>1.08851521618629</v>
      </c>
      <c r="Q608" s="17" t="s">
        <v>31</v>
      </c>
      <c r="R608" s="5" t="str">
        <f aca="false">IF(OR(Q608="Steel plate",Q608="Concrete jacket"),"Steel plate or jacket",Q608)</f>
        <v>Polymer laminate</v>
      </c>
      <c r="S608" s="5" t="str">
        <f aca="false">IF(O608&lt;='Tree rules'!$C$4,IF(N608&lt;='Tree rules'!$C$5,IF(P608&lt;='Tree rules'!$C$6,"Monitor","Polymer laminate"),IF(P608&lt;='Tree rules'!$C$7,"Seal cracks","Polymer laminate")),IF(O608&lt;='Tree rules'!$C$8,IF(M608&lt;='Tree rules'!$C$9,"Steel plate or jacket","Polymer laminate"),IF(L608&lt;='Tree rules'!$C$10,"Steel plate or jacket","Polymer laminate")))</f>
        <v>Polymer laminate</v>
      </c>
      <c r="T608" s="5" t="str">
        <f aca="false">IF(S608=R608,"Yes","No")</f>
        <v>Yes</v>
      </c>
    </row>
    <row r="609" customFormat="false" ht="15" hidden="false" customHeight="false" outlineLevel="0" collapsed="false">
      <c r="A609" s="15" t="n">
        <v>868</v>
      </c>
      <c r="B609" s="16" t="n">
        <v>3.34643795059747</v>
      </c>
      <c r="C609" s="15" t="n">
        <v>230</v>
      </c>
      <c r="D609" s="15" t="n">
        <v>300</v>
      </c>
      <c r="E609" s="15" t="n">
        <v>25</v>
      </c>
      <c r="F609" s="16" t="n">
        <v>0.688332522525665</v>
      </c>
      <c r="G609" s="17" t="s">
        <v>91</v>
      </c>
      <c r="H609" s="18" t="n">
        <v>0.2</v>
      </c>
      <c r="I609" s="18" t="n">
        <v>2</v>
      </c>
      <c r="J609" s="19" t="n">
        <v>0.916623040398687</v>
      </c>
      <c r="K609" s="19" t="n">
        <v>0.472599113959123</v>
      </c>
      <c r="L609" s="16" t="n">
        <v>13.1749525614074</v>
      </c>
      <c r="M609" s="19" t="n">
        <v>0.499691320716016</v>
      </c>
      <c r="N609" s="19" t="n">
        <v>2.013394093093</v>
      </c>
      <c r="O609" s="19" t="n">
        <v>1.40005084407044</v>
      </c>
      <c r="P609" s="19" t="n">
        <v>0.716613055811267</v>
      </c>
      <c r="Q609" s="17" t="s">
        <v>31</v>
      </c>
      <c r="R609" s="5" t="str">
        <f aca="false">IF(OR(Q609="Steel plate",Q609="Concrete jacket"),"Steel plate or jacket",Q609)</f>
        <v>Polymer laminate</v>
      </c>
      <c r="S609" s="5" t="str">
        <f aca="false">IF(O609&lt;='Tree rules'!$C$4,IF(N609&lt;='Tree rules'!$C$5,IF(P609&lt;='Tree rules'!$C$6,"Monitor","Polymer laminate"),IF(P609&lt;='Tree rules'!$C$7,"Seal cracks","Polymer laminate")),IF(O609&lt;='Tree rules'!$C$8,IF(M609&lt;='Tree rules'!$C$9,"Steel plate or jacket","Polymer laminate"),IF(L609&lt;='Tree rules'!$C$10,"Steel plate or jacket","Polymer laminate")))</f>
        <v>Polymer laminate</v>
      </c>
      <c r="T609" s="5" t="str">
        <f aca="false">IF(S609=R609,"Yes","No")</f>
        <v>Yes</v>
      </c>
    </row>
    <row r="610" customFormat="false" ht="15" hidden="false" customHeight="false" outlineLevel="0" collapsed="false">
      <c r="A610" s="15" t="n">
        <v>870</v>
      </c>
      <c r="B610" s="16" t="n">
        <v>5.46518448131845</v>
      </c>
      <c r="C610" s="15" t="n">
        <v>230</v>
      </c>
      <c r="D610" s="15" t="n">
        <v>525</v>
      </c>
      <c r="E610" s="15" t="n">
        <v>25</v>
      </c>
      <c r="F610" s="16" t="n">
        <v>0.85906279835652</v>
      </c>
      <c r="G610" s="17" t="s">
        <v>91</v>
      </c>
      <c r="H610" s="18" t="n">
        <v>0.2</v>
      </c>
      <c r="I610" s="18" t="n">
        <v>2</v>
      </c>
      <c r="J610" s="19" t="n">
        <v>0.926577347955797</v>
      </c>
      <c r="K610" s="19" t="n">
        <v>0.424113498831896</v>
      </c>
      <c r="L610" s="16" t="n">
        <v>11.4574098140848</v>
      </c>
      <c r="M610" s="19" t="n">
        <v>0.409869544861277</v>
      </c>
      <c r="N610" s="19" t="n">
        <v>1.59308653736776</v>
      </c>
      <c r="O610" s="19" t="n">
        <v>1.46018073493168</v>
      </c>
      <c r="P610" s="19" t="n">
        <v>1.10370682684233</v>
      </c>
      <c r="Q610" s="17" t="s">
        <v>92</v>
      </c>
      <c r="R610" s="5" t="str">
        <f aca="false">IF(OR(Q610="Steel plate",Q610="Concrete jacket"),"Steel plate or jacket",Q610)</f>
        <v>Steel plate or jacket</v>
      </c>
      <c r="S610" s="5" t="str">
        <f aca="false">IF(O610&lt;='Tree rules'!$C$4,IF(N610&lt;='Tree rules'!$C$5,IF(P610&lt;='Tree rules'!$C$6,"Monitor","Polymer laminate"),IF(P610&lt;='Tree rules'!$C$7,"Seal cracks","Polymer laminate")),IF(O610&lt;='Tree rules'!$C$8,IF(M610&lt;='Tree rules'!$C$9,"Steel plate or jacket","Polymer laminate"),IF(L610&lt;='Tree rules'!$C$10,"Steel plate or jacket","Polymer laminate")))</f>
        <v>Steel plate or jacket</v>
      </c>
      <c r="T610" s="5" t="str">
        <f aca="false">IF(S610=R610,"Yes","No")</f>
        <v>Yes</v>
      </c>
    </row>
    <row r="611" customFormat="false" ht="15" hidden="false" customHeight="false" outlineLevel="0" collapsed="false">
      <c r="A611" s="15" t="n">
        <v>873</v>
      </c>
      <c r="B611" s="16" t="n">
        <v>5.22073294177451</v>
      </c>
      <c r="C611" s="15" t="n">
        <v>300</v>
      </c>
      <c r="D611" s="15" t="n">
        <v>500</v>
      </c>
      <c r="E611" s="15" t="n">
        <v>30</v>
      </c>
      <c r="F611" s="16" t="n">
        <v>0.738112811416104</v>
      </c>
      <c r="G611" s="17" t="s">
        <v>91</v>
      </c>
      <c r="H611" s="18" t="n">
        <v>0.2</v>
      </c>
      <c r="I611" s="18" t="n">
        <v>2</v>
      </c>
      <c r="J611" s="19" t="n">
        <v>0.947684845914231</v>
      </c>
      <c r="K611" s="19" t="n">
        <v>0.604533244959767</v>
      </c>
      <c r="L611" s="16" t="n">
        <v>11.4994117660232</v>
      </c>
      <c r="M611" s="19" t="n">
        <v>0.479808123778464</v>
      </c>
      <c r="N611" s="19" t="n">
        <v>1.36143142562586</v>
      </c>
      <c r="O611" s="19" t="n">
        <v>1.32246269672874</v>
      </c>
      <c r="P611" s="19" t="n">
        <v>0.854878379645724</v>
      </c>
      <c r="Q611" s="17" t="s">
        <v>31</v>
      </c>
      <c r="R611" s="5" t="str">
        <f aca="false">IF(OR(Q611="Steel plate",Q611="Concrete jacket"),"Steel plate or jacket",Q611)</f>
        <v>Polymer laminate</v>
      </c>
      <c r="S611" s="5" t="str">
        <f aca="false">IF(O611&lt;='Tree rules'!$C$4,IF(N611&lt;='Tree rules'!$C$5,IF(P611&lt;='Tree rules'!$C$6,"Monitor","Polymer laminate"),IF(P611&lt;='Tree rules'!$C$7,"Seal cracks","Polymer laminate")),IF(O611&lt;='Tree rules'!$C$8,IF(M611&lt;='Tree rules'!$C$9,"Steel plate or jacket","Polymer laminate"),IF(L611&lt;='Tree rules'!$C$10,"Steel plate or jacket","Polymer laminate")))</f>
        <v>Steel plate or jacket</v>
      </c>
      <c r="T611" s="5" t="str">
        <f aca="false">IF(S611=R611,"Yes","No")</f>
        <v>No</v>
      </c>
    </row>
    <row r="612" customFormat="false" ht="15" hidden="false" customHeight="false" outlineLevel="0" collapsed="false">
      <c r="A612" s="15" t="n">
        <v>875</v>
      </c>
      <c r="B612" s="16" t="n">
        <v>4.96996159918384</v>
      </c>
      <c r="C612" s="15" t="n">
        <v>230</v>
      </c>
      <c r="D612" s="15" t="n">
        <v>500</v>
      </c>
      <c r="E612" s="15" t="n">
        <v>30</v>
      </c>
      <c r="F612" s="16" t="n">
        <v>0.604384889109233</v>
      </c>
      <c r="G612" s="17" t="s">
        <v>89</v>
      </c>
      <c r="H612" s="18" t="n">
        <v>0.3</v>
      </c>
      <c r="I612" s="18" t="n">
        <v>1.5</v>
      </c>
      <c r="J612" s="19" t="n">
        <v>0.949237428121197</v>
      </c>
      <c r="K612" s="19" t="n">
        <v>0.418067240659886</v>
      </c>
      <c r="L612" s="16" t="n">
        <v>10.9954902636811</v>
      </c>
      <c r="M612" s="19" t="n">
        <v>0.308595014852408</v>
      </c>
      <c r="N612" s="19" t="n">
        <v>1.23266162194967</v>
      </c>
      <c r="O612" s="19" t="n">
        <v>1.22543360602894</v>
      </c>
      <c r="P612" s="19" t="n">
        <v>0.867368158856423</v>
      </c>
      <c r="Q612" s="17" t="s">
        <v>31</v>
      </c>
      <c r="R612" s="5" t="str">
        <f aca="false">IF(OR(Q612="Steel plate",Q612="Concrete jacket"),"Steel plate or jacket",Q612)</f>
        <v>Polymer laminate</v>
      </c>
      <c r="S612" s="5" t="str">
        <f aca="false">IF(O612&lt;='Tree rules'!$C$4,IF(N612&lt;='Tree rules'!$C$5,IF(P612&lt;='Tree rules'!$C$6,"Monitor","Polymer laminate"),IF(P612&lt;='Tree rules'!$C$7,"Seal cracks","Polymer laminate")),IF(O612&lt;='Tree rules'!$C$8,IF(M612&lt;='Tree rules'!$C$9,"Steel plate or jacket","Polymer laminate"),IF(L612&lt;='Tree rules'!$C$10,"Steel plate or jacket","Polymer laminate")))</f>
        <v>Polymer laminate</v>
      </c>
      <c r="T612" s="5" t="str">
        <f aca="false">IF(S612=R612,"Yes","No")</f>
        <v>Yes</v>
      </c>
    </row>
    <row r="613" customFormat="false" ht="15" hidden="false" customHeight="false" outlineLevel="0" collapsed="false">
      <c r="A613" s="15" t="n">
        <v>876</v>
      </c>
      <c r="B613" s="16" t="n">
        <v>4.96102534291625</v>
      </c>
      <c r="C613" s="15" t="n">
        <v>230</v>
      </c>
      <c r="D613" s="15" t="n">
        <v>450</v>
      </c>
      <c r="E613" s="15" t="n">
        <v>30</v>
      </c>
      <c r="F613" s="16" t="n">
        <v>0.865527033274846</v>
      </c>
      <c r="G613" s="17" t="s">
        <v>89</v>
      </c>
      <c r="H613" s="18" t="n">
        <v>0.3</v>
      </c>
      <c r="I613" s="18" t="n">
        <v>2</v>
      </c>
      <c r="J613" s="19" t="n">
        <v>0.898126390156033</v>
      </c>
      <c r="K613" s="19" t="n">
        <v>0.532697037178355</v>
      </c>
      <c r="L613" s="16" t="n">
        <v>12.2797657002878</v>
      </c>
      <c r="M613" s="19" t="n">
        <v>0.904258317366244</v>
      </c>
      <c r="N613" s="19" t="n">
        <v>0.845861159734137</v>
      </c>
      <c r="O613" s="19" t="n">
        <v>1.31782351326426</v>
      </c>
      <c r="P613" s="19" t="n">
        <v>0.523895588565098</v>
      </c>
      <c r="Q613" s="17" t="s">
        <v>31</v>
      </c>
      <c r="R613" s="5" t="str">
        <f aca="false">IF(OR(Q613="Steel plate",Q613="Concrete jacket"),"Steel plate or jacket",Q613)</f>
        <v>Polymer laminate</v>
      </c>
      <c r="S613" s="5" t="str">
        <f aca="false">IF(O613&lt;='Tree rules'!$C$4,IF(N613&lt;='Tree rules'!$C$5,IF(P613&lt;='Tree rules'!$C$6,"Monitor","Polymer laminate"),IF(P613&lt;='Tree rules'!$C$7,"Seal cracks","Polymer laminate")),IF(O613&lt;='Tree rules'!$C$8,IF(M613&lt;='Tree rules'!$C$9,"Steel plate or jacket","Polymer laminate"),IF(L613&lt;='Tree rules'!$C$10,"Steel plate or jacket","Polymer laminate")))</f>
        <v>Steel plate or jacket</v>
      </c>
      <c r="T613" s="5" t="str">
        <f aca="false">IF(S613=R613,"Yes","No")</f>
        <v>No</v>
      </c>
    </row>
    <row r="614" customFormat="false" ht="15" hidden="false" customHeight="false" outlineLevel="0" collapsed="false">
      <c r="A614" s="15" t="n">
        <v>877</v>
      </c>
      <c r="B614" s="16" t="n">
        <v>6.75984948849423</v>
      </c>
      <c r="C614" s="15" t="n">
        <v>300</v>
      </c>
      <c r="D614" s="15" t="n">
        <v>625</v>
      </c>
      <c r="E614" s="15" t="n">
        <v>25</v>
      </c>
      <c r="F614" s="16" t="n">
        <v>0.725960174139756</v>
      </c>
      <c r="G614" s="17" t="s">
        <v>91</v>
      </c>
      <c r="H614" s="18" t="n">
        <v>0.2</v>
      </c>
      <c r="I614" s="18" t="n">
        <v>1</v>
      </c>
      <c r="J614" s="19" t="n">
        <v>0.906730087215621</v>
      </c>
      <c r="K614" s="19" t="n">
        <v>0.456858424039286</v>
      </c>
      <c r="L614" s="16" t="n">
        <v>11.7155103786728</v>
      </c>
      <c r="M614" s="19" t="n">
        <v>0.609208838674554</v>
      </c>
      <c r="N614" s="19" t="n">
        <v>0.930967244807056</v>
      </c>
      <c r="O614" s="19" t="n">
        <v>0.906730087215621</v>
      </c>
      <c r="P614" s="19" t="n">
        <v>0.549279439272011</v>
      </c>
      <c r="Q614" s="17" t="s">
        <v>29</v>
      </c>
      <c r="R614" s="5" t="str">
        <f aca="false">IF(OR(Q614="Steel plate",Q614="Concrete jacket"),"Steel plate or jacket",Q614)</f>
        <v>Monitor</v>
      </c>
      <c r="S614" s="5" t="str">
        <f aca="false">IF(O614&lt;='Tree rules'!$C$4,IF(N614&lt;='Tree rules'!$C$5,IF(P614&lt;='Tree rules'!$C$6,"Monitor","Polymer laminate"),IF(P614&lt;='Tree rules'!$C$7,"Seal cracks","Polymer laminate")),IF(O614&lt;='Tree rules'!$C$8,IF(M614&lt;='Tree rules'!$C$9,"Steel plate or jacket","Polymer laminate"),IF(L614&lt;='Tree rules'!$C$10,"Steel plate or jacket","Polymer laminate")))</f>
        <v>Monitor</v>
      </c>
      <c r="T614" s="5" t="str">
        <f aca="false">IF(S614=R614,"Yes","No")</f>
        <v>Yes</v>
      </c>
    </row>
    <row r="615" customFormat="false" ht="15" hidden="false" customHeight="false" outlineLevel="0" collapsed="false">
      <c r="A615" s="15" t="n">
        <v>878</v>
      </c>
      <c r="B615" s="16" t="n">
        <v>4.48311163954816</v>
      </c>
      <c r="C615" s="15" t="n">
        <v>230</v>
      </c>
      <c r="D615" s="15" t="n">
        <v>375</v>
      </c>
      <c r="E615" s="15" t="n">
        <v>25</v>
      </c>
      <c r="F615" s="16" t="n">
        <v>0.594232683721175</v>
      </c>
      <c r="G615" s="17" t="s">
        <v>89</v>
      </c>
      <c r="H615" s="18" t="n">
        <v>0.3</v>
      </c>
      <c r="I615" s="18" t="n">
        <v>1</v>
      </c>
      <c r="J615" s="19" t="n">
        <v>0.954366331364895</v>
      </c>
      <c r="K615" s="19" t="n">
        <v>0.477111697419797</v>
      </c>
      <c r="L615" s="16" t="n">
        <v>13.5441439261274</v>
      </c>
      <c r="M615" s="19" t="n">
        <v>0.428130183837326</v>
      </c>
      <c r="N615" s="19" t="n">
        <v>0.647850701149105</v>
      </c>
      <c r="O615" s="19" t="n">
        <v>0.954366331364895</v>
      </c>
      <c r="P615" s="19" t="n">
        <v>0.693646228780736</v>
      </c>
      <c r="Q615" s="17" t="s">
        <v>29</v>
      </c>
      <c r="R615" s="5" t="str">
        <f aca="false">IF(OR(Q615="Steel plate",Q615="Concrete jacket"),"Steel plate or jacket",Q615)</f>
        <v>Monitor</v>
      </c>
      <c r="S615" s="5" t="str">
        <f aca="false">IF(O615&lt;='Tree rules'!$C$4,IF(N615&lt;='Tree rules'!$C$5,IF(P615&lt;='Tree rules'!$C$6,"Monitor","Polymer laminate"),IF(P615&lt;='Tree rules'!$C$7,"Seal cracks","Polymer laminate")),IF(O615&lt;='Tree rules'!$C$8,IF(M615&lt;='Tree rules'!$C$9,"Steel plate or jacket","Polymer laminate"),IF(L615&lt;='Tree rules'!$C$10,"Steel plate or jacket","Polymer laminate")))</f>
        <v>Monitor</v>
      </c>
      <c r="T615" s="5" t="str">
        <f aca="false">IF(S615=R615,"Yes","No")</f>
        <v>Yes</v>
      </c>
    </row>
    <row r="616" customFormat="false" ht="15" hidden="false" customHeight="false" outlineLevel="0" collapsed="false">
      <c r="A616" s="15" t="n">
        <v>879</v>
      </c>
      <c r="B616" s="16" t="n">
        <v>3.88025352144035</v>
      </c>
      <c r="C616" s="15" t="n">
        <v>230</v>
      </c>
      <c r="D616" s="15" t="n">
        <v>325</v>
      </c>
      <c r="E616" s="15" t="n">
        <v>25</v>
      </c>
      <c r="F616" s="16" t="n">
        <v>0.662259320914844</v>
      </c>
      <c r="G616" s="17" t="s">
        <v>90</v>
      </c>
      <c r="H616" s="18" t="n">
        <v>0.1</v>
      </c>
      <c r="I616" s="18" t="n">
        <v>1</v>
      </c>
      <c r="J616" s="19" t="n">
        <v>0.933971856299267</v>
      </c>
      <c r="K616" s="19" t="n">
        <v>0.533620414856622</v>
      </c>
      <c r="L616" s="16" t="n">
        <v>14.6979300054559</v>
      </c>
      <c r="M616" s="19" t="n">
        <v>0.761462090674369</v>
      </c>
      <c r="N616" s="19" t="n">
        <v>2.81743775459404</v>
      </c>
      <c r="O616" s="19" t="n">
        <v>0.933971856299267</v>
      </c>
      <c r="P616" s="19" t="n">
        <v>0.392718987452752</v>
      </c>
      <c r="Q616" s="17" t="s">
        <v>30</v>
      </c>
      <c r="R616" s="5" t="str">
        <f aca="false">IF(OR(Q616="Steel plate",Q616="Concrete jacket"),"Steel plate or jacket",Q616)</f>
        <v>Seal cracks</v>
      </c>
      <c r="S616" s="5" t="str">
        <f aca="false">IF(O616&lt;='Tree rules'!$C$4,IF(N616&lt;='Tree rules'!$C$5,IF(P616&lt;='Tree rules'!$C$6,"Monitor","Polymer laminate"),IF(P616&lt;='Tree rules'!$C$7,"Seal cracks","Polymer laminate")),IF(O616&lt;='Tree rules'!$C$8,IF(M616&lt;='Tree rules'!$C$9,"Steel plate or jacket","Polymer laminate"),IF(L616&lt;='Tree rules'!$C$10,"Steel plate or jacket","Polymer laminate")))</f>
        <v>Seal cracks</v>
      </c>
      <c r="T616" s="5" t="str">
        <f aca="false">IF(S616=R616,"Yes","No")</f>
        <v>Yes</v>
      </c>
    </row>
    <row r="617" customFormat="false" ht="15" hidden="false" customHeight="false" outlineLevel="0" collapsed="false">
      <c r="A617" s="15" t="n">
        <v>880</v>
      </c>
      <c r="B617" s="16" t="n">
        <v>3.5422988339161</v>
      </c>
      <c r="C617" s="15" t="n">
        <v>300</v>
      </c>
      <c r="D617" s="15" t="n">
        <v>350</v>
      </c>
      <c r="E617" s="15" t="n">
        <v>25</v>
      </c>
      <c r="F617" s="16" t="n">
        <v>0.693508312050727</v>
      </c>
      <c r="G617" s="17" t="s">
        <v>89</v>
      </c>
      <c r="H617" s="18" t="n">
        <v>0.3</v>
      </c>
      <c r="I617" s="18" t="n">
        <v>2</v>
      </c>
      <c r="J617" s="19" t="n">
        <v>0.867176411245874</v>
      </c>
      <c r="K617" s="19" t="n">
        <v>0.563275841662301</v>
      </c>
      <c r="L617" s="16" t="n">
        <v>11.7294663374705</v>
      </c>
      <c r="M617" s="19" t="n">
        <v>0.442503176297467</v>
      </c>
      <c r="N617" s="19" t="n">
        <v>1.43549627236263</v>
      </c>
      <c r="O617" s="19" t="n">
        <v>1.24589329957753</v>
      </c>
      <c r="P617" s="19" t="n">
        <v>0.7495875092493</v>
      </c>
      <c r="Q617" s="17" t="s">
        <v>31</v>
      </c>
      <c r="R617" s="5" t="str">
        <f aca="false">IF(OR(Q617="Steel plate",Q617="Concrete jacket"),"Steel plate or jacket",Q617)</f>
        <v>Polymer laminate</v>
      </c>
      <c r="S617" s="5" t="str">
        <f aca="false">IF(O617&lt;='Tree rules'!$C$4,IF(N617&lt;='Tree rules'!$C$5,IF(P617&lt;='Tree rules'!$C$6,"Monitor","Polymer laminate"),IF(P617&lt;='Tree rules'!$C$7,"Seal cracks","Polymer laminate")),IF(O617&lt;='Tree rules'!$C$8,IF(M617&lt;='Tree rules'!$C$9,"Steel plate or jacket","Polymer laminate"),IF(L617&lt;='Tree rules'!$C$10,"Steel plate or jacket","Polymer laminate")))</f>
        <v>Polymer laminate</v>
      </c>
      <c r="T617" s="5" t="str">
        <f aca="false">IF(S617=R617,"Yes","No")</f>
        <v>Yes</v>
      </c>
    </row>
    <row r="618" customFormat="false" ht="15" hidden="false" customHeight="false" outlineLevel="0" collapsed="false">
      <c r="A618" s="15" t="n">
        <v>882</v>
      </c>
      <c r="B618" s="16" t="n">
        <v>6.29429262819567</v>
      </c>
      <c r="C618" s="15" t="n">
        <v>230</v>
      </c>
      <c r="D618" s="15" t="n">
        <v>550</v>
      </c>
      <c r="E618" s="15" t="n">
        <v>30</v>
      </c>
      <c r="F618" s="16" t="n">
        <v>0.693795479053647</v>
      </c>
      <c r="G618" s="17" t="s">
        <v>89</v>
      </c>
      <c r="H618" s="18" t="n">
        <v>0.3</v>
      </c>
      <c r="I618" s="18" t="n">
        <v>1.5</v>
      </c>
      <c r="J618" s="19" t="n">
        <v>0.937993189500457</v>
      </c>
      <c r="K618" s="19" t="n">
        <v>0.466004601577391</v>
      </c>
      <c r="L618" s="16" t="n">
        <v>12.4886758495946</v>
      </c>
      <c r="M618" s="19" t="n">
        <v>0.377228573745614</v>
      </c>
      <c r="N618" s="19" t="n">
        <v>0.803583462634536</v>
      </c>
      <c r="O618" s="19" t="n">
        <v>1.18843521297295</v>
      </c>
      <c r="P618" s="19" t="n">
        <v>0.965064551897842</v>
      </c>
      <c r="Q618" s="17" t="s">
        <v>31</v>
      </c>
      <c r="R618" s="5" t="str">
        <f aca="false">IF(OR(Q618="Steel plate",Q618="Concrete jacket"),"Steel plate or jacket",Q618)</f>
        <v>Polymer laminate</v>
      </c>
      <c r="S618" s="5" t="str">
        <f aca="false">IF(O618&lt;='Tree rules'!$C$4,IF(N618&lt;='Tree rules'!$C$5,IF(P618&lt;='Tree rules'!$C$6,"Monitor","Polymer laminate"),IF(P618&lt;='Tree rules'!$C$7,"Seal cracks","Polymer laminate")),IF(O618&lt;='Tree rules'!$C$8,IF(M618&lt;='Tree rules'!$C$9,"Steel plate or jacket","Polymer laminate"),IF(L618&lt;='Tree rules'!$C$10,"Steel plate or jacket","Polymer laminate")))</f>
        <v>Polymer laminate</v>
      </c>
      <c r="T618" s="5" t="str">
        <f aca="false">IF(S618=R618,"Yes","No")</f>
        <v>Yes</v>
      </c>
    </row>
    <row r="619" customFormat="false" ht="15" hidden="false" customHeight="false" outlineLevel="0" collapsed="false">
      <c r="A619" s="15" t="n">
        <v>883</v>
      </c>
      <c r="B619" s="16" t="n">
        <v>7.36328486182486</v>
      </c>
      <c r="C619" s="15" t="n">
        <v>300</v>
      </c>
      <c r="D619" s="15" t="n">
        <v>600</v>
      </c>
      <c r="E619" s="15" t="n">
        <v>30</v>
      </c>
      <c r="F619" s="16" t="n">
        <v>0.604879451954714</v>
      </c>
      <c r="G619" s="17" t="s">
        <v>89</v>
      </c>
      <c r="H619" s="18" t="n">
        <v>0.3</v>
      </c>
      <c r="I619" s="18" t="n">
        <v>1</v>
      </c>
      <c r="J619" s="19" t="n">
        <v>0.961236449782756</v>
      </c>
      <c r="K619" s="19" t="n">
        <v>0.550858410741314</v>
      </c>
      <c r="L619" s="16" t="n">
        <v>13.2911279094312</v>
      </c>
      <c r="M619" s="19" t="n">
        <v>0.58731321468821</v>
      </c>
      <c r="N619" s="19" t="n">
        <v>0.622705478467927</v>
      </c>
      <c r="O619" s="19" t="n">
        <v>0.961236449782756</v>
      </c>
      <c r="P619" s="19" t="n">
        <v>0.59822584801327</v>
      </c>
      <c r="Q619" s="17" t="s">
        <v>29</v>
      </c>
      <c r="R619" s="5" t="str">
        <f aca="false">IF(OR(Q619="Steel plate",Q619="Concrete jacket"),"Steel plate or jacket",Q619)</f>
        <v>Monitor</v>
      </c>
      <c r="S619" s="5" t="str">
        <f aca="false">IF(O619&lt;='Tree rules'!$C$4,IF(N619&lt;='Tree rules'!$C$5,IF(P619&lt;='Tree rules'!$C$6,"Monitor","Polymer laminate"),IF(P619&lt;='Tree rules'!$C$7,"Seal cracks","Polymer laminate")),IF(O619&lt;='Tree rules'!$C$8,IF(M619&lt;='Tree rules'!$C$9,"Steel plate or jacket","Polymer laminate"),IF(L619&lt;='Tree rules'!$C$10,"Steel plate or jacket","Polymer laminate")))</f>
        <v>Monitor</v>
      </c>
      <c r="T619" s="5" t="str">
        <f aca="false">IF(S619=R619,"Yes","No")</f>
        <v>Yes</v>
      </c>
    </row>
    <row r="620" customFormat="false" ht="15" hidden="false" customHeight="false" outlineLevel="0" collapsed="false">
      <c r="A620" s="15" t="n">
        <v>884</v>
      </c>
      <c r="B620" s="16" t="n">
        <v>3.47527388713389</v>
      </c>
      <c r="C620" s="15" t="n">
        <v>300</v>
      </c>
      <c r="D620" s="15" t="n">
        <v>300</v>
      </c>
      <c r="E620" s="15" t="n">
        <v>30</v>
      </c>
      <c r="F620" s="16" t="n">
        <v>0.883572933822129</v>
      </c>
      <c r="G620" s="17" t="s">
        <v>91</v>
      </c>
      <c r="H620" s="18" t="n">
        <v>0.2</v>
      </c>
      <c r="I620" s="18" t="n">
        <v>2</v>
      </c>
      <c r="J620" s="19" t="n">
        <v>0.885742194273907</v>
      </c>
      <c r="K620" s="19" t="n">
        <v>0.414502384035247</v>
      </c>
      <c r="L620" s="16" t="n">
        <v>13.5752886216168</v>
      </c>
      <c r="M620" s="19" t="n">
        <v>0.537840174422901</v>
      </c>
      <c r="N620" s="19" t="n">
        <v>1.46055509697436</v>
      </c>
      <c r="O620" s="19" t="n">
        <v>1.40434213738067</v>
      </c>
      <c r="P620" s="19" t="n">
        <v>0.787398446040257</v>
      </c>
      <c r="Q620" s="17" t="s">
        <v>31</v>
      </c>
      <c r="R620" s="5" t="str">
        <f aca="false">IF(OR(Q620="Steel plate",Q620="Concrete jacket"),"Steel plate or jacket",Q620)</f>
        <v>Polymer laminate</v>
      </c>
      <c r="S620" s="5" t="str">
        <f aca="false">IF(O620&lt;='Tree rules'!$C$4,IF(N620&lt;='Tree rules'!$C$5,IF(P620&lt;='Tree rules'!$C$6,"Monitor","Polymer laminate"),IF(P620&lt;='Tree rules'!$C$7,"Seal cracks","Polymer laminate")),IF(O620&lt;='Tree rules'!$C$8,IF(M620&lt;='Tree rules'!$C$9,"Steel plate or jacket","Polymer laminate"),IF(L620&lt;='Tree rules'!$C$10,"Steel plate or jacket","Polymer laminate")))</f>
        <v>Polymer laminate</v>
      </c>
      <c r="T620" s="5" t="str">
        <f aca="false">IF(S620=R620,"Yes","No")</f>
        <v>Yes</v>
      </c>
    </row>
    <row r="621" customFormat="false" ht="15" hidden="false" customHeight="false" outlineLevel="0" collapsed="false">
      <c r="A621" s="15" t="n">
        <v>885</v>
      </c>
      <c r="B621" s="16" t="n">
        <v>4.87097614581406</v>
      </c>
      <c r="C621" s="15" t="n">
        <v>300</v>
      </c>
      <c r="D621" s="15" t="n">
        <v>375</v>
      </c>
      <c r="E621" s="15" t="n">
        <v>20</v>
      </c>
      <c r="F621" s="16" t="n">
        <v>0.59650493422591</v>
      </c>
      <c r="G621" s="17" t="s">
        <v>90</v>
      </c>
      <c r="H621" s="18" t="n">
        <v>0.1</v>
      </c>
      <c r="I621" s="18" t="n">
        <v>1</v>
      </c>
      <c r="J621" s="19" t="n">
        <v>0.968086159852424</v>
      </c>
      <c r="K621" s="19" t="n">
        <v>0.53121810428642</v>
      </c>
      <c r="L621" s="16" t="n">
        <v>15.4144814740951</v>
      </c>
      <c r="M621" s="19" t="n">
        <v>0.389505922447874</v>
      </c>
      <c r="N621" s="19" t="n">
        <v>2.69697416826859</v>
      </c>
      <c r="O621" s="19" t="n">
        <v>0.968086159852424</v>
      </c>
      <c r="P621" s="19" t="n">
        <v>0.877814518431131</v>
      </c>
      <c r="Q621" s="17" t="s">
        <v>30</v>
      </c>
      <c r="R621" s="5" t="str">
        <f aca="false">IF(OR(Q621="Steel plate",Q621="Concrete jacket"),"Steel plate or jacket",Q621)</f>
        <v>Seal cracks</v>
      </c>
      <c r="S621" s="5" t="str">
        <f aca="false">IF(O621&lt;='Tree rules'!$C$4,IF(N621&lt;='Tree rules'!$C$5,IF(P621&lt;='Tree rules'!$C$6,"Monitor","Polymer laminate"),IF(P621&lt;='Tree rules'!$C$7,"Seal cracks","Polymer laminate")),IF(O621&lt;='Tree rules'!$C$8,IF(M621&lt;='Tree rules'!$C$9,"Steel plate or jacket","Polymer laminate"),IF(L621&lt;='Tree rules'!$C$10,"Steel plate or jacket","Polymer laminate")))</f>
        <v>Seal cracks</v>
      </c>
      <c r="T621" s="5" t="str">
        <f aca="false">IF(S621=R621,"Yes","No")</f>
        <v>Yes</v>
      </c>
    </row>
    <row r="622" customFormat="false" ht="15" hidden="false" customHeight="false" outlineLevel="0" collapsed="false">
      <c r="A622" s="15" t="n">
        <v>886</v>
      </c>
      <c r="B622" s="16" t="n">
        <v>3.12945035185558</v>
      </c>
      <c r="C622" s="15" t="n">
        <v>230</v>
      </c>
      <c r="D622" s="15" t="n">
        <v>300</v>
      </c>
      <c r="E622" s="15" t="n">
        <v>30</v>
      </c>
      <c r="F622" s="16" t="n">
        <v>0.768324290280112</v>
      </c>
      <c r="G622" s="17" t="s">
        <v>91</v>
      </c>
      <c r="H622" s="18" t="n">
        <v>0.2</v>
      </c>
      <c r="I622" s="18" t="n">
        <v>1</v>
      </c>
      <c r="J622" s="19" t="n">
        <v>0.97411132530223</v>
      </c>
      <c r="K622" s="19" t="n">
        <v>0.53078837152108</v>
      </c>
      <c r="L622" s="16" t="n">
        <v>12.2244154369359</v>
      </c>
      <c r="M622" s="19" t="n">
        <v>0.876340766491842</v>
      </c>
      <c r="N622" s="19" t="n">
        <v>0.940079544106436</v>
      </c>
      <c r="O622" s="19" t="n">
        <v>0.97411132530223</v>
      </c>
      <c r="P622" s="19" t="n">
        <v>0.364279940041155</v>
      </c>
      <c r="Q622" s="17" t="s">
        <v>29</v>
      </c>
      <c r="R622" s="5" t="str">
        <f aca="false">IF(OR(Q622="Steel plate",Q622="Concrete jacket"),"Steel plate or jacket",Q622)</f>
        <v>Monitor</v>
      </c>
      <c r="S622" s="5" t="str">
        <f aca="false">IF(O622&lt;='Tree rules'!$C$4,IF(N622&lt;='Tree rules'!$C$5,IF(P622&lt;='Tree rules'!$C$6,"Monitor","Polymer laminate"),IF(P622&lt;='Tree rules'!$C$7,"Seal cracks","Polymer laminate")),IF(O622&lt;='Tree rules'!$C$8,IF(M622&lt;='Tree rules'!$C$9,"Steel plate or jacket","Polymer laminate"),IF(L622&lt;='Tree rules'!$C$10,"Steel plate or jacket","Polymer laminate")))</f>
        <v>Monitor</v>
      </c>
      <c r="T622" s="5" t="str">
        <f aca="false">IF(S622=R622,"Yes","No")</f>
        <v>Yes</v>
      </c>
    </row>
    <row r="623" customFormat="false" ht="15" hidden="false" customHeight="false" outlineLevel="0" collapsed="false">
      <c r="A623" s="15" t="n">
        <v>887</v>
      </c>
      <c r="B623" s="16" t="n">
        <v>6.12954670612492</v>
      </c>
      <c r="C623" s="15" t="n">
        <v>230</v>
      </c>
      <c r="D623" s="15" t="n">
        <v>550</v>
      </c>
      <c r="E623" s="15" t="n">
        <v>30</v>
      </c>
      <c r="F623" s="16" t="n">
        <v>0.693795479053647</v>
      </c>
      <c r="G623" s="17" t="s">
        <v>89</v>
      </c>
      <c r="H623" s="18" t="n">
        <v>0.3</v>
      </c>
      <c r="I623" s="18" t="n">
        <v>1</v>
      </c>
      <c r="J623" s="19" t="n">
        <v>0.887259584817613</v>
      </c>
      <c r="K623" s="19" t="n">
        <v>0.437176429910578</v>
      </c>
      <c r="L623" s="16" t="n">
        <v>12.1617990200891</v>
      </c>
      <c r="M623" s="19" t="n">
        <v>0.602019770836428</v>
      </c>
      <c r="N623" s="19" t="n">
        <v>0.565814907626644</v>
      </c>
      <c r="O623" s="19" t="n">
        <v>0.887259584817613</v>
      </c>
      <c r="P623" s="19" t="n">
        <v>0.495556606594479</v>
      </c>
      <c r="Q623" s="17" t="s">
        <v>29</v>
      </c>
      <c r="R623" s="5" t="str">
        <f aca="false">IF(OR(Q623="Steel plate",Q623="Concrete jacket"),"Steel plate or jacket",Q623)</f>
        <v>Monitor</v>
      </c>
      <c r="S623" s="5" t="str">
        <f aca="false">IF(O623&lt;='Tree rules'!$C$4,IF(N623&lt;='Tree rules'!$C$5,IF(P623&lt;='Tree rules'!$C$6,"Monitor","Polymer laminate"),IF(P623&lt;='Tree rules'!$C$7,"Seal cracks","Polymer laminate")),IF(O623&lt;='Tree rules'!$C$8,IF(M623&lt;='Tree rules'!$C$9,"Steel plate or jacket","Polymer laminate"),IF(L623&lt;='Tree rules'!$C$10,"Steel plate or jacket","Polymer laminate")))</f>
        <v>Monitor</v>
      </c>
      <c r="T623" s="5" t="str">
        <f aca="false">IF(S623=R623,"Yes","No")</f>
        <v>Yes</v>
      </c>
    </row>
    <row r="624" customFormat="false" ht="15" hidden="false" customHeight="false" outlineLevel="0" collapsed="false">
      <c r="A624" s="15" t="n">
        <v>889</v>
      </c>
      <c r="B624" s="16" t="n">
        <v>3.04371336758416</v>
      </c>
      <c r="C624" s="15" t="n">
        <v>230</v>
      </c>
      <c r="D624" s="15" t="n">
        <v>300</v>
      </c>
      <c r="E624" s="15" t="n">
        <v>30</v>
      </c>
      <c r="F624" s="16" t="n">
        <v>0.688332522525665</v>
      </c>
      <c r="G624" s="17" t="s">
        <v>89</v>
      </c>
      <c r="H624" s="18" t="n">
        <v>0.3</v>
      </c>
      <c r="I624" s="18" t="n">
        <v>1</v>
      </c>
      <c r="J624" s="19" t="n">
        <v>0.914897194569907</v>
      </c>
      <c r="K624" s="19" t="n">
        <v>0.514810852908391</v>
      </c>
      <c r="L624" s="16" t="n">
        <v>11.9831234944258</v>
      </c>
      <c r="M624" s="19" t="n">
        <v>0.320749576241468</v>
      </c>
      <c r="N624" s="19" t="n">
        <v>0.902702198154362</v>
      </c>
      <c r="O624" s="19" t="n">
        <v>0.914897194569907</v>
      </c>
      <c r="P624" s="19" t="n">
        <v>0.75014228921644</v>
      </c>
      <c r="Q624" s="17" t="s">
        <v>29</v>
      </c>
      <c r="R624" s="5" t="str">
        <f aca="false">IF(OR(Q624="Steel plate",Q624="Concrete jacket"),"Steel plate or jacket",Q624)</f>
        <v>Monitor</v>
      </c>
      <c r="S624" s="5" t="str">
        <f aca="false">IF(O624&lt;='Tree rules'!$C$4,IF(N624&lt;='Tree rules'!$C$5,IF(P624&lt;='Tree rules'!$C$6,"Monitor","Polymer laminate"),IF(P624&lt;='Tree rules'!$C$7,"Seal cracks","Polymer laminate")),IF(O624&lt;='Tree rules'!$C$8,IF(M624&lt;='Tree rules'!$C$9,"Steel plate or jacket","Polymer laminate"),IF(L624&lt;='Tree rules'!$C$10,"Steel plate or jacket","Polymer laminate")))</f>
        <v>Monitor</v>
      </c>
      <c r="T624" s="5" t="str">
        <f aca="false">IF(S624=R624,"Yes","No")</f>
        <v>Yes</v>
      </c>
    </row>
    <row r="625" customFormat="false" ht="15" hidden="false" customHeight="false" outlineLevel="0" collapsed="false">
      <c r="A625" s="15" t="n">
        <v>890</v>
      </c>
      <c r="B625" s="16" t="n">
        <v>6.23870310953279</v>
      </c>
      <c r="C625" s="15" t="n">
        <v>300</v>
      </c>
      <c r="D625" s="15" t="n">
        <v>550</v>
      </c>
      <c r="E625" s="15" t="n">
        <v>20</v>
      </c>
      <c r="F625" s="16" t="n">
        <v>0.685282651089798</v>
      </c>
      <c r="G625" s="17" t="s">
        <v>90</v>
      </c>
      <c r="H625" s="18" t="n">
        <v>0.1</v>
      </c>
      <c r="I625" s="18" t="n">
        <v>2</v>
      </c>
      <c r="J625" s="19" t="n">
        <v>0.93654619075712</v>
      </c>
      <c r="K625" s="19" t="n">
        <v>0.416494271170669</v>
      </c>
      <c r="L625" s="16" t="n">
        <v>12.7580840685742</v>
      </c>
      <c r="M625" s="19" t="n">
        <v>0.756583216859292</v>
      </c>
      <c r="N625" s="19" t="n">
        <v>3.75776862274121</v>
      </c>
      <c r="O625" s="19" t="n">
        <v>1.48302625837719</v>
      </c>
      <c r="P625" s="19" t="n">
        <v>0.595622962411664</v>
      </c>
      <c r="Q625" s="17" t="s">
        <v>92</v>
      </c>
      <c r="R625" s="5" t="str">
        <f aca="false">IF(OR(Q625="Steel plate",Q625="Concrete jacket"),"Steel plate or jacket",Q625)</f>
        <v>Steel plate or jacket</v>
      </c>
      <c r="S625" s="5" t="str">
        <f aca="false">IF(O625&lt;='Tree rules'!$C$4,IF(N625&lt;='Tree rules'!$C$5,IF(P625&lt;='Tree rules'!$C$6,"Monitor","Polymer laminate"),IF(P625&lt;='Tree rules'!$C$7,"Seal cracks","Polymer laminate")),IF(O625&lt;='Tree rules'!$C$8,IF(M625&lt;='Tree rules'!$C$9,"Steel plate or jacket","Polymer laminate"),IF(L625&lt;='Tree rules'!$C$10,"Steel plate or jacket","Polymer laminate")))</f>
        <v>Steel plate or jacket</v>
      </c>
      <c r="T625" s="5" t="str">
        <f aca="false">IF(S625=R625,"Yes","No")</f>
        <v>Yes</v>
      </c>
    </row>
    <row r="626" customFormat="false" ht="15" hidden="false" customHeight="false" outlineLevel="0" collapsed="false">
      <c r="A626" s="15" t="n">
        <v>891</v>
      </c>
      <c r="B626" s="16" t="n">
        <v>4.53906478753792</v>
      </c>
      <c r="C626" s="15" t="n">
        <v>230</v>
      </c>
      <c r="D626" s="15" t="n">
        <v>375</v>
      </c>
      <c r="E626" s="15" t="n">
        <v>30</v>
      </c>
      <c r="F626" s="16" t="n">
        <v>0.875583236786453</v>
      </c>
      <c r="G626" s="17" t="s">
        <v>90</v>
      </c>
      <c r="H626" s="18" t="n">
        <v>0.1</v>
      </c>
      <c r="I626" s="18" t="n">
        <v>1</v>
      </c>
      <c r="J626" s="19" t="n">
        <v>0.877174258091407</v>
      </c>
      <c r="K626" s="19" t="n">
        <v>0.580163256266868</v>
      </c>
      <c r="L626" s="16" t="n">
        <v>14.548284575442</v>
      </c>
      <c r="M626" s="19" t="n">
        <v>0.599628170325049</v>
      </c>
      <c r="N626" s="19" t="n">
        <v>2.79223753826622</v>
      </c>
      <c r="O626" s="19" t="n">
        <v>0.877174258091407</v>
      </c>
      <c r="P626" s="19" t="n">
        <v>0.608976780528481</v>
      </c>
      <c r="Q626" s="17" t="s">
        <v>30</v>
      </c>
      <c r="R626" s="5" t="str">
        <f aca="false">IF(OR(Q626="Steel plate",Q626="Concrete jacket"),"Steel plate or jacket",Q626)</f>
        <v>Seal cracks</v>
      </c>
      <c r="S626" s="5" t="str">
        <f aca="false">IF(O626&lt;='Tree rules'!$C$4,IF(N626&lt;='Tree rules'!$C$5,IF(P626&lt;='Tree rules'!$C$6,"Monitor","Polymer laminate"),IF(P626&lt;='Tree rules'!$C$7,"Seal cracks","Polymer laminate")),IF(O626&lt;='Tree rules'!$C$8,IF(M626&lt;='Tree rules'!$C$9,"Steel plate or jacket","Polymer laminate"),IF(L626&lt;='Tree rules'!$C$10,"Steel plate or jacket","Polymer laminate")))</f>
        <v>Seal cracks</v>
      </c>
      <c r="T626" s="5" t="str">
        <f aca="false">IF(S626=R626,"Yes","No")</f>
        <v>Yes</v>
      </c>
    </row>
    <row r="627" customFormat="false" ht="15" hidden="false" customHeight="false" outlineLevel="0" collapsed="false">
      <c r="A627" s="15" t="n">
        <v>892</v>
      </c>
      <c r="B627" s="16" t="n">
        <v>3.84775131376492</v>
      </c>
      <c r="C627" s="15" t="n">
        <v>230</v>
      </c>
      <c r="D627" s="15" t="n">
        <v>375</v>
      </c>
      <c r="E627" s="15" t="n">
        <v>30</v>
      </c>
      <c r="F627" s="16" t="n">
        <v>0.835418868126524</v>
      </c>
      <c r="G627" s="17" t="s">
        <v>91</v>
      </c>
      <c r="H627" s="18" t="n">
        <v>0.2</v>
      </c>
      <c r="I627" s="18" t="n">
        <v>1</v>
      </c>
      <c r="J627" s="19" t="n">
        <v>0.918723187225012</v>
      </c>
      <c r="K627" s="19" t="n">
        <v>0.5898889202376</v>
      </c>
      <c r="L627" s="16" t="n">
        <v>11.7668235894952</v>
      </c>
      <c r="M627" s="19" t="n">
        <v>0.758496940624885</v>
      </c>
      <c r="N627" s="19" t="n">
        <v>1.24857826671606</v>
      </c>
      <c r="O627" s="19" t="n">
        <v>0.918723187225012</v>
      </c>
      <c r="P627" s="19" t="n">
        <v>0.457847740316325</v>
      </c>
      <c r="Q627" s="17" t="s">
        <v>30</v>
      </c>
      <c r="R627" s="5" t="str">
        <f aca="false">IF(OR(Q627="Steel plate",Q627="Concrete jacket"),"Steel plate or jacket",Q627)</f>
        <v>Seal cracks</v>
      </c>
      <c r="S627" s="5" t="str">
        <f aca="false">IF(O627&lt;='Tree rules'!$C$4,IF(N627&lt;='Tree rules'!$C$5,IF(P627&lt;='Tree rules'!$C$6,"Monitor","Polymer laminate"),IF(P627&lt;='Tree rules'!$C$7,"Seal cracks","Polymer laminate")),IF(O627&lt;='Tree rules'!$C$8,IF(M627&lt;='Tree rules'!$C$9,"Steel plate or jacket","Polymer laminate"),IF(L627&lt;='Tree rules'!$C$10,"Steel plate or jacket","Polymer laminate")))</f>
        <v>Seal cracks</v>
      </c>
      <c r="T627" s="5" t="str">
        <f aca="false">IF(S627=R627,"Yes","No")</f>
        <v>Yes</v>
      </c>
    </row>
    <row r="628" customFormat="false" ht="15" hidden="false" customHeight="false" outlineLevel="0" collapsed="false">
      <c r="A628" s="15" t="n">
        <v>893</v>
      </c>
      <c r="B628" s="16" t="n">
        <v>6.7389107659925</v>
      </c>
      <c r="C628" s="15" t="n">
        <v>300</v>
      </c>
      <c r="D628" s="15" t="n">
        <v>575</v>
      </c>
      <c r="E628" s="15" t="n">
        <v>30</v>
      </c>
      <c r="F628" s="16" t="n">
        <v>0.993546063753888</v>
      </c>
      <c r="G628" s="17" t="s">
        <v>89</v>
      </c>
      <c r="H628" s="18" t="n">
        <v>0.3</v>
      </c>
      <c r="I628" s="18" t="n">
        <v>1.5</v>
      </c>
      <c r="J628" s="19" t="n">
        <v>0.851333923208474</v>
      </c>
      <c r="K628" s="19" t="n">
        <v>0.409972523699478</v>
      </c>
      <c r="L628" s="16" t="n">
        <v>12.7873069563425</v>
      </c>
      <c r="M628" s="19" t="n">
        <v>0.954096104882609</v>
      </c>
      <c r="N628" s="19" t="n">
        <v>0.682226699754611</v>
      </c>
      <c r="O628" s="19" t="n">
        <v>1.10248912630833</v>
      </c>
      <c r="P628" s="19" t="n">
        <v>0.499741890630119</v>
      </c>
      <c r="Q628" s="17" t="s">
        <v>31</v>
      </c>
      <c r="R628" s="5" t="str">
        <f aca="false">IF(OR(Q628="Steel plate",Q628="Concrete jacket"),"Steel plate or jacket",Q628)</f>
        <v>Polymer laminate</v>
      </c>
      <c r="S628" s="5" t="str">
        <f aca="false">IF(O628&lt;='Tree rules'!$C$4,IF(N628&lt;='Tree rules'!$C$5,IF(P628&lt;='Tree rules'!$C$6,"Monitor","Polymer laminate"),IF(P628&lt;='Tree rules'!$C$7,"Seal cracks","Polymer laminate")),IF(O628&lt;='Tree rules'!$C$8,IF(M628&lt;='Tree rules'!$C$9,"Steel plate or jacket","Polymer laminate"),IF(L628&lt;='Tree rules'!$C$10,"Steel plate or jacket","Polymer laminate")))</f>
        <v>Polymer laminate</v>
      </c>
      <c r="T628" s="5" t="str">
        <f aca="false">IF(S628=R628,"Yes","No")</f>
        <v>Yes</v>
      </c>
    </row>
    <row r="629" customFormat="false" ht="15" hidden="false" customHeight="false" outlineLevel="0" collapsed="false">
      <c r="A629" s="15" t="n">
        <v>897</v>
      </c>
      <c r="B629" s="16" t="n">
        <v>5.12511671553397</v>
      </c>
      <c r="C629" s="15" t="n">
        <v>230</v>
      </c>
      <c r="D629" s="15" t="n">
        <v>450</v>
      </c>
      <c r="E629" s="15" t="n">
        <v>25</v>
      </c>
      <c r="F629" s="16" t="n">
        <v>0.679557138998441</v>
      </c>
      <c r="G629" s="17" t="s">
        <v>91</v>
      </c>
      <c r="H629" s="18" t="n">
        <v>0.2</v>
      </c>
      <c r="I629" s="18" t="n">
        <v>1</v>
      </c>
      <c r="J629" s="19" t="n">
        <v>0.86365967748633</v>
      </c>
      <c r="K629" s="19" t="n">
        <v>0.468383175174702</v>
      </c>
      <c r="L629" s="16" t="n">
        <v>12.7490465560547</v>
      </c>
      <c r="M629" s="19" t="n">
        <v>0.732052058041836</v>
      </c>
      <c r="N629" s="19" t="n">
        <v>1.15372938158275</v>
      </c>
      <c r="O629" s="19" t="n">
        <v>0.86365967748633</v>
      </c>
      <c r="P629" s="19" t="n">
        <v>0.424109487257053</v>
      </c>
      <c r="Q629" s="17" t="s">
        <v>30</v>
      </c>
      <c r="R629" s="5" t="str">
        <f aca="false">IF(OR(Q629="Steel plate",Q629="Concrete jacket"),"Steel plate or jacket",Q629)</f>
        <v>Seal cracks</v>
      </c>
      <c r="S629" s="5" t="str">
        <f aca="false">IF(O629&lt;='Tree rules'!$C$4,IF(N629&lt;='Tree rules'!$C$5,IF(P629&lt;='Tree rules'!$C$6,"Monitor","Polymer laminate"),IF(P629&lt;='Tree rules'!$C$7,"Seal cracks","Polymer laminate")),IF(O629&lt;='Tree rules'!$C$8,IF(M629&lt;='Tree rules'!$C$9,"Steel plate or jacket","Polymer laminate"),IF(L629&lt;='Tree rules'!$C$10,"Steel plate or jacket","Polymer laminate")))</f>
        <v>Seal cracks</v>
      </c>
      <c r="T629" s="5" t="str">
        <f aca="false">IF(S629=R629,"Yes","No")</f>
        <v>Yes</v>
      </c>
    </row>
    <row r="630" customFormat="false" ht="15" hidden="false" customHeight="false" outlineLevel="0" collapsed="false">
      <c r="A630" s="15" t="n">
        <v>898</v>
      </c>
      <c r="B630" s="16" t="n">
        <v>3.7682473274254</v>
      </c>
      <c r="C630" s="15" t="n">
        <v>230</v>
      </c>
      <c r="D630" s="15" t="n">
        <v>325</v>
      </c>
      <c r="E630" s="15" t="n">
        <v>25</v>
      </c>
      <c r="F630" s="16" t="n">
        <v>0.739439918465071</v>
      </c>
      <c r="G630" s="17" t="s">
        <v>90</v>
      </c>
      <c r="H630" s="18" t="n">
        <v>0.1</v>
      </c>
      <c r="I630" s="18" t="n">
        <v>2</v>
      </c>
      <c r="J630" s="19" t="n">
        <v>0.851496761134403</v>
      </c>
      <c r="K630" s="19" t="n">
        <v>0.428263343733981</v>
      </c>
      <c r="L630" s="16" t="n">
        <v>14.1663433361857</v>
      </c>
      <c r="M630" s="19" t="n">
        <v>0.387556774347333</v>
      </c>
      <c r="N630" s="19" t="n">
        <v>3.88142165726053</v>
      </c>
      <c r="O630" s="19" t="n">
        <v>1.33832867216673</v>
      </c>
      <c r="P630" s="19" t="n">
        <v>0.874840318412227</v>
      </c>
      <c r="Q630" s="17" t="s">
        <v>31</v>
      </c>
      <c r="R630" s="5" t="str">
        <f aca="false">IF(OR(Q630="Steel plate",Q630="Concrete jacket"),"Steel plate or jacket",Q630)</f>
        <v>Polymer laminate</v>
      </c>
      <c r="S630" s="5" t="str">
        <f aca="false">IF(O630&lt;='Tree rules'!$C$4,IF(N630&lt;='Tree rules'!$C$5,IF(P630&lt;='Tree rules'!$C$6,"Monitor","Polymer laminate"),IF(P630&lt;='Tree rules'!$C$7,"Seal cracks","Polymer laminate")),IF(O630&lt;='Tree rules'!$C$8,IF(M630&lt;='Tree rules'!$C$9,"Steel plate or jacket","Polymer laminate"),IF(L630&lt;='Tree rules'!$C$10,"Steel plate or jacket","Polymer laminate")))</f>
        <v>Polymer laminate</v>
      </c>
      <c r="T630" s="5" t="str">
        <f aca="false">IF(S630=R630,"Yes","No")</f>
        <v>Yes</v>
      </c>
    </row>
    <row r="631" customFormat="false" ht="15" hidden="false" customHeight="false" outlineLevel="0" collapsed="false">
      <c r="A631" s="15" t="n">
        <v>899</v>
      </c>
      <c r="B631" s="16" t="n">
        <v>4.53715107669886</v>
      </c>
      <c r="C631" s="15" t="n">
        <v>300</v>
      </c>
      <c r="D631" s="15" t="n">
        <v>400</v>
      </c>
      <c r="E631" s="15" t="n">
        <v>30</v>
      </c>
      <c r="F631" s="16" t="n">
        <v>0.594998608634431</v>
      </c>
      <c r="G631" s="17" t="s">
        <v>91</v>
      </c>
      <c r="H631" s="18" t="n">
        <v>0.2</v>
      </c>
      <c r="I631" s="18" t="n">
        <v>2</v>
      </c>
      <c r="J631" s="19" t="n">
        <v>0.856689196915787</v>
      </c>
      <c r="K631" s="19" t="n">
        <v>0.562519738533323</v>
      </c>
      <c r="L631" s="16" t="n">
        <v>12.8896337406218</v>
      </c>
      <c r="M631" s="19" t="n">
        <v>0.953073562601474</v>
      </c>
      <c r="N631" s="19" t="n">
        <v>1.97276650371407</v>
      </c>
      <c r="O631" s="19" t="n">
        <v>1.23147381077818</v>
      </c>
      <c r="P631" s="19" t="n">
        <v>0.353007280704388</v>
      </c>
      <c r="Q631" s="17" t="s">
        <v>31</v>
      </c>
      <c r="R631" s="5" t="str">
        <f aca="false">IF(OR(Q631="Steel plate",Q631="Concrete jacket"),"Steel plate or jacket",Q631)</f>
        <v>Polymer laminate</v>
      </c>
      <c r="S631" s="5" t="str">
        <f aca="false">IF(O631&lt;='Tree rules'!$C$4,IF(N631&lt;='Tree rules'!$C$5,IF(P631&lt;='Tree rules'!$C$6,"Monitor","Polymer laminate"),IF(P631&lt;='Tree rules'!$C$7,"Seal cracks","Polymer laminate")),IF(O631&lt;='Tree rules'!$C$8,IF(M631&lt;='Tree rules'!$C$9,"Steel plate or jacket","Polymer laminate"),IF(L631&lt;='Tree rules'!$C$10,"Steel plate or jacket","Polymer laminate")))</f>
        <v>Polymer laminate</v>
      </c>
      <c r="T631" s="5" t="str">
        <f aca="false">IF(S631=R631,"Yes","No")</f>
        <v>Yes</v>
      </c>
    </row>
    <row r="632" customFormat="false" ht="15" hidden="false" customHeight="false" outlineLevel="0" collapsed="false">
      <c r="A632" s="15" t="n">
        <v>901</v>
      </c>
      <c r="B632" s="16" t="n">
        <v>3.30740041035009</v>
      </c>
      <c r="C632" s="15" t="n">
        <v>300</v>
      </c>
      <c r="D632" s="15" t="n">
        <v>300</v>
      </c>
      <c r="E632" s="15" t="n">
        <v>25</v>
      </c>
      <c r="F632" s="16" t="n">
        <v>0.883572933822129</v>
      </c>
      <c r="G632" s="17" t="s">
        <v>89</v>
      </c>
      <c r="H632" s="18" t="n">
        <v>0.3</v>
      </c>
      <c r="I632" s="18" t="n">
        <v>1</v>
      </c>
      <c r="J632" s="19" t="n">
        <v>0.88822822515074</v>
      </c>
      <c r="K632" s="19" t="n">
        <v>0.415213846478662</v>
      </c>
      <c r="L632" s="16" t="n">
        <v>12.9195328529301</v>
      </c>
      <c r="M632" s="19" t="n">
        <v>0.947874800056523</v>
      </c>
      <c r="N632" s="19" t="n">
        <v>0.546752356243558</v>
      </c>
      <c r="O632" s="19" t="n">
        <v>0.88822822515074</v>
      </c>
      <c r="P632" s="19" t="n">
        <v>0.365659796034702</v>
      </c>
      <c r="Q632" s="17" t="s">
        <v>29</v>
      </c>
      <c r="R632" s="5" t="str">
        <f aca="false">IF(OR(Q632="Steel plate",Q632="Concrete jacket"),"Steel plate or jacket",Q632)</f>
        <v>Monitor</v>
      </c>
      <c r="S632" s="5" t="str">
        <f aca="false">IF(O632&lt;='Tree rules'!$C$4,IF(N632&lt;='Tree rules'!$C$5,IF(P632&lt;='Tree rules'!$C$6,"Monitor","Polymer laminate"),IF(P632&lt;='Tree rules'!$C$7,"Seal cracks","Polymer laminate")),IF(O632&lt;='Tree rules'!$C$8,IF(M632&lt;='Tree rules'!$C$9,"Steel plate or jacket","Polymer laminate"),IF(L632&lt;='Tree rules'!$C$10,"Steel plate or jacket","Polymer laminate")))</f>
        <v>Monitor</v>
      </c>
      <c r="T632" s="5" t="str">
        <f aca="false">IF(S632=R632,"Yes","No")</f>
        <v>Yes</v>
      </c>
    </row>
    <row r="633" customFormat="false" ht="15" hidden="false" customHeight="false" outlineLevel="0" collapsed="false">
      <c r="A633" s="15" t="n">
        <v>902</v>
      </c>
      <c r="B633" s="16" t="n">
        <v>3.86481059446813</v>
      </c>
      <c r="C633" s="15" t="n">
        <v>300</v>
      </c>
      <c r="D633" s="15" t="n">
        <v>350</v>
      </c>
      <c r="E633" s="15" t="n">
        <v>30</v>
      </c>
      <c r="F633" s="16" t="n">
        <v>0.693508312050727</v>
      </c>
      <c r="G633" s="17" t="s">
        <v>91</v>
      </c>
      <c r="H633" s="18" t="n">
        <v>0.2</v>
      </c>
      <c r="I633" s="18" t="n">
        <v>1</v>
      </c>
      <c r="J633" s="19" t="n">
        <v>0.889169078135792</v>
      </c>
      <c r="K633" s="19" t="n">
        <v>0.516424112384405</v>
      </c>
      <c r="L633" s="16" t="n">
        <v>12.7973860743978</v>
      </c>
      <c r="M633" s="19" t="n">
        <v>0.768399430990715</v>
      </c>
      <c r="N633" s="19" t="n">
        <v>1.41073825520626</v>
      </c>
      <c r="O633" s="19" t="n">
        <v>0.889169078135792</v>
      </c>
      <c r="P633" s="19" t="n">
        <v>0.378801003806605</v>
      </c>
      <c r="Q633" s="17" t="s">
        <v>30</v>
      </c>
      <c r="R633" s="5" t="str">
        <f aca="false">IF(OR(Q633="Steel plate",Q633="Concrete jacket"),"Steel plate or jacket",Q633)</f>
        <v>Seal cracks</v>
      </c>
      <c r="S633" s="5" t="str">
        <f aca="false">IF(O633&lt;='Tree rules'!$C$4,IF(N633&lt;='Tree rules'!$C$5,IF(P633&lt;='Tree rules'!$C$6,"Monitor","Polymer laminate"),IF(P633&lt;='Tree rules'!$C$7,"Seal cracks","Polymer laminate")),IF(O633&lt;='Tree rules'!$C$8,IF(M633&lt;='Tree rules'!$C$9,"Steel plate or jacket","Polymer laminate"),IF(L633&lt;='Tree rules'!$C$10,"Steel plate or jacket","Polymer laminate")))</f>
        <v>Seal cracks</v>
      </c>
      <c r="T633" s="5" t="str">
        <f aca="false">IF(S633=R633,"Yes","No")</f>
        <v>Yes</v>
      </c>
    </row>
    <row r="634" customFormat="false" ht="15" hidden="false" customHeight="false" outlineLevel="0" collapsed="false">
      <c r="A634" s="15" t="n">
        <v>903</v>
      </c>
      <c r="B634" s="16" t="n">
        <v>3.10684982217161</v>
      </c>
      <c r="C634" s="15" t="n">
        <v>300</v>
      </c>
      <c r="D634" s="15" t="n">
        <v>300</v>
      </c>
      <c r="E634" s="15" t="n">
        <v>30</v>
      </c>
      <c r="F634" s="16" t="n">
        <v>0.736310778185108</v>
      </c>
      <c r="G634" s="17" t="s">
        <v>89</v>
      </c>
      <c r="H634" s="18" t="n">
        <v>0.3</v>
      </c>
      <c r="I634" s="18" t="n">
        <v>1</v>
      </c>
      <c r="J634" s="19" t="n">
        <v>0.869183918925801</v>
      </c>
      <c r="K634" s="19" t="n">
        <v>0.544913951678787</v>
      </c>
      <c r="L634" s="16" t="n">
        <v>12.1361321178578</v>
      </c>
      <c r="M634" s="19" t="n">
        <v>0.680876821969175</v>
      </c>
      <c r="N634" s="19" t="n">
        <v>0.584844185504312</v>
      </c>
      <c r="O634" s="19" t="n">
        <v>0.869183918925801</v>
      </c>
      <c r="P634" s="19" t="n">
        <v>0.405158172288971</v>
      </c>
      <c r="Q634" s="17" t="s">
        <v>29</v>
      </c>
      <c r="R634" s="5" t="str">
        <f aca="false">IF(OR(Q634="Steel plate",Q634="Concrete jacket"),"Steel plate or jacket",Q634)</f>
        <v>Monitor</v>
      </c>
      <c r="S634" s="5" t="str">
        <f aca="false">IF(O634&lt;='Tree rules'!$C$4,IF(N634&lt;='Tree rules'!$C$5,IF(P634&lt;='Tree rules'!$C$6,"Monitor","Polymer laminate"),IF(P634&lt;='Tree rules'!$C$7,"Seal cracks","Polymer laminate")),IF(O634&lt;='Tree rules'!$C$8,IF(M634&lt;='Tree rules'!$C$9,"Steel plate or jacket","Polymer laminate"),IF(L634&lt;='Tree rules'!$C$10,"Steel plate or jacket","Polymer laminate")))</f>
        <v>Monitor</v>
      </c>
      <c r="T634" s="5" t="str">
        <f aca="false">IF(S634=R634,"Yes","No")</f>
        <v>Yes</v>
      </c>
    </row>
    <row r="635" customFormat="false" ht="15" hidden="false" customHeight="false" outlineLevel="0" collapsed="false">
      <c r="A635" s="15" t="n">
        <v>904</v>
      </c>
      <c r="B635" s="16" t="n">
        <v>5.02108992387665</v>
      </c>
      <c r="C635" s="15" t="n">
        <v>300</v>
      </c>
      <c r="D635" s="15" t="n">
        <v>475</v>
      </c>
      <c r="E635" s="15" t="n">
        <v>25</v>
      </c>
      <c r="F635" s="16" t="n">
        <v>0.735735984447258</v>
      </c>
      <c r="G635" s="17" t="s">
        <v>91</v>
      </c>
      <c r="H635" s="18" t="n">
        <v>0.2</v>
      </c>
      <c r="I635" s="18" t="n">
        <v>2</v>
      </c>
      <c r="J635" s="19" t="n">
        <v>0.885758447750974</v>
      </c>
      <c r="K635" s="19" t="n">
        <v>0.425555345494785</v>
      </c>
      <c r="L635" s="16" t="n">
        <v>11.758992795964</v>
      </c>
      <c r="M635" s="19" t="n">
        <v>0.56238975537716</v>
      </c>
      <c r="N635" s="19" t="n">
        <v>1.75411397016214</v>
      </c>
      <c r="O635" s="19" t="n">
        <v>1.39457765324436</v>
      </c>
      <c r="P635" s="19" t="n">
        <v>0.69824398229492</v>
      </c>
      <c r="Q635" s="17" t="s">
        <v>31</v>
      </c>
      <c r="R635" s="5" t="str">
        <f aca="false">IF(OR(Q635="Steel plate",Q635="Concrete jacket"),"Steel plate or jacket",Q635)</f>
        <v>Polymer laminate</v>
      </c>
      <c r="S635" s="5" t="str">
        <f aca="false">IF(O635&lt;='Tree rules'!$C$4,IF(N635&lt;='Tree rules'!$C$5,IF(P635&lt;='Tree rules'!$C$6,"Monitor","Polymer laminate"),IF(P635&lt;='Tree rules'!$C$7,"Seal cracks","Polymer laminate")),IF(O635&lt;='Tree rules'!$C$8,IF(M635&lt;='Tree rules'!$C$9,"Steel plate or jacket","Polymer laminate"),IF(L635&lt;='Tree rules'!$C$10,"Steel plate or jacket","Polymer laminate")))</f>
        <v>Steel plate or jacket</v>
      </c>
      <c r="T635" s="5" t="str">
        <f aca="false">IF(S635=R635,"Yes","No")</f>
        <v>No</v>
      </c>
    </row>
    <row r="636" customFormat="false" ht="15" hidden="false" customHeight="false" outlineLevel="0" collapsed="false">
      <c r="A636" s="15" t="n">
        <v>905</v>
      </c>
      <c r="B636" s="16" t="n">
        <v>4.82585463529564</v>
      </c>
      <c r="C636" s="15" t="n">
        <v>230</v>
      </c>
      <c r="D636" s="15" t="n">
        <v>375</v>
      </c>
      <c r="E636" s="15" t="n">
        <v>30</v>
      </c>
      <c r="F636" s="16" t="n">
        <v>0.622439931366167</v>
      </c>
      <c r="G636" s="17" t="s">
        <v>90</v>
      </c>
      <c r="H636" s="18" t="n">
        <v>0.1</v>
      </c>
      <c r="I636" s="18" t="n">
        <v>2</v>
      </c>
      <c r="J636" s="19" t="n">
        <v>0.908252782682087</v>
      </c>
      <c r="K636" s="19" t="n">
        <v>0.579806935509633</v>
      </c>
      <c r="L636" s="16" t="n">
        <v>15.271691883847</v>
      </c>
      <c r="M636" s="19" t="n">
        <v>0.735885661776684</v>
      </c>
      <c r="N636" s="19" t="n">
        <v>3.42946334979855</v>
      </c>
      <c r="O636" s="19" t="n">
        <v>1.28989430276918</v>
      </c>
      <c r="P636" s="19" t="n">
        <v>0.505478815935635</v>
      </c>
      <c r="Q636" s="17" t="s">
        <v>31</v>
      </c>
      <c r="R636" s="5" t="str">
        <f aca="false">IF(OR(Q636="Steel plate",Q636="Concrete jacket"),"Steel plate or jacket",Q636)</f>
        <v>Polymer laminate</v>
      </c>
      <c r="S636" s="5" t="str">
        <f aca="false">IF(O636&lt;='Tree rules'!$C$4,IF(N636&lt;='Tree rules'!$C$5,IF(P636&lt;='Tree rules'!$C$6,"Monitor","Polymer laminate"),IF(P636&lt;='Tree rules'!$C$7,"Seal cracks","Polymer laminate")),IF(O636&lt;='Tree rules'!$C$8,IF(M636&lt;='Tree rules'!$C$9,"Steel plate or jacket","Polymer laminate"),IF(L636&lt;='Tree rules'!$C$10,"Steel plate or jacket","Polymer laminate")))</f>
        <v>Polymer laminate</v>
      </c>
      <c r="T636" s="5" t="str">
        <f aca="false">IF(S636=R636,"Yes","No")</f>
        <v>Yes</v>
      </c>
    </row>
    <row r="637" customFormat="false" ht="15" hidden="false" customHeight="false" outlineLevel="0" collapsed="false">
      <c r="A637" s="15" t="n">
        <v>906</v>
      </c>
      <c r="B637" s="16" t="n">
        <v>5.25568929880453</v>
      </c>
      <c r="C637" s="15" t="n">
        <v>230</v>
      </c>
      <c r="D637" s="15" t="n">
        <v>475</v>
      </c>
      <c r="E637" s="15" t="n">
        <v>25</v>
      </c>
      <c r="F637" s="16" t="n">
        <v>0.639770421258486</v>
      </c>
      <c r="G637" s="17" t="s">
        <v>89</v>
      </c>
      <c r="H637" s="18" t="n">
        <v>0.3</v>
      </c>
      <c r="I637" s="18" t="n">
        <v>1</v>
      </c>
      <c r="J637" s="19" t="n">
        <v>0.965422420029686</v>
      </c>
      <c r="K637" s="19" t="n">
        <v>0.497767630477981</v>
      </c>
      <c r="L637" s="16" t="n">
        <v>12.3084058520012</v>
      </c>
      <c r="M637" s="19" t="n">
        <v>0.32411859066352</v>
      </c>
      <c r="N637" s="19" t="n">
        <v>0.958353583668891</v>
      </c>
      <c r="O637" s="19" t="n">
        <v>0.965422420029686</v>
      </c>
      <c r="P637" s="19" t="n">
        <v>0.957303472700474</v>
      </c>
      <c r="Q637" s="17" t="s">
        <v>29</v>
      </c>
      <c r="R637" s="5" t="str">
        <f aca="false">IF(OR(Q637="Steel plate",Q637="Concrete jacket"),"Steel plate or jacket",Q637)</f>
        <v>Monitor</v>
      </c>
      <c r="S637" s="5" t="str">
        <f aca="false">IF(O637&lt;='Tree rules'!$C$4,IF(N637&lt;='Tree rules'!$C$5,IF(P637&lt;='Tree rules'!$C$6,"Monitor","Polymer laminate"),IF(P637&lt;='Tree rules'!$C$7,"Seal cracks","Polymer laminate")),IF(O637&lt;='Tree rules'!$C$8,IF(M637&lt;='Tree rules'!$C$9,"Steel plate or jacket","Polymer laminate"),IF(L637&lt;='Tree rules'!$C$10,"Steel plate or jacket","Polymer laminate")))</f>
        <v>Monitor</v>
      </c>
      <c r="T637" s="5" t="str">
        <f aca="false">IF(S637=R637,"Yes","No")</f>
        <v>Yes</v>
      </c>
    </row>
    <row r="638" customFormat="false" ht="15" hidden="false" customHeight="false" outlineLevel="0" collapsed="false">
      <c r="A638" s="15" t="n">
        <v>908</v>
      </c>
      <c r="B638" s="16" t="n">
        <v>6.80406490743973</v>
      </c>
      <c r="C638" s="15" t="n">
        <v>300</v>
      </c>
      <c r="D638" s="15" t="n">
        <v>550</v>
      </c>
      <c r="E638" s="15" t="n">
        <v>30</v>
      </c>
      <c r="F638" s="16" t="n">
        <v>0.645090893960943</v>
      </c>
      <c r="G638" s="17" t="s">
        <v>90</v>
      </c>
      <c r="H638" s="18" t="n">
        <v>0.1</v>
      </c>
      <c r="I638" s="18" t="n">
        <v>1</v>
      </c>
      <c r="J638" s="19" t="n">
        <v>0.911723794135186</v>
      </c>
      <c r="K638" s="19" t="n">
        <v>0.58473207076026</v>
      </c>
      <c r="L638" s="16" t="n">
        <v>13.9713858468988</v>
      </c>
      <c r="M638" s="19" t="n">
        <v>0.381860165035241</v>
      </c>
      <c r="N638" s="19" t="n">
        <v>2.7867475241445</v>
      </c>
      <c r="O638" s="19" t="n">
        <v>0.911723794135186</v>
      </c>
      <c r="P638" s="19" t="n">
        <v>0.860258884327902</v>
      </c>
      <c r="Q638" s="17" t="s">
        <v>30</v>
      </c>
      <c r="R638" s="5" t="str">
        <f aca="false">IF(OR(Q638="Steel plate",Q638="Concrete jacket"),"Steel plate or jacket",Q638)</f>
        <v>Seal cracks</v>
      </c>
      <c r="S638" s="5" t="str">
        <f aca="false">IF(O638&lt;='Tree rules'!$C$4,IF(N638&lt;='Tree rules'!$C$5,IF(P638&lt;='Tree rules'!$C$6,"Monitor","Polymer laminate"),IF(P638&lt;='Tree rules'!$C$7,"Seal cracks","Polymer laminate")),IF(O638&lt;='Tree rules'!$C$8,IF(M638&lt;='Tree rules'!$C$9,"Steel plate or jacket","Polymer laminate"),IF(L638&lt;='Tree rules'!$C$10,"Steel plate or jacket","Polymer laminate")))</f>
        <v>Seal cracks</v>
      </c>
      <c r="T638" s="5" t="str">
        <f aca="false">IF(S638=R638,"Yes","No")</f>
        <v>Yes</v>
      </c>
    </row>
    <row r="639" customFormat="false" ht="15" hidden="false" customHeight="false" outlineLevel="0" collapsed="false">
      <c r="A639" s="15" t="n">
        <v>909</v>
      </c>
      <c r="B639" s="16" t="n">
        <v>3.21374013449253</v>
      </c>
      <c r="C639" s="15" t="n">
        <v>300</v>
      </c>
      <c r="D639" s="15" t="n">
        <v>300</v>
      </c>
      <c r="E639" s="15" t="n">
        <v>30</v>
      </c>
      <c r="F639" s="16" t="n">
        <v>0.831109167616348</v>
      </c>
      <c r="G639" s="17" t="s">
        <v>89</v>
      </c>
      <c r="H639" s="18" t="n">
        <v>0.3</v>
      </c>
      <c r="I639" s="18" t="n">
        <v>1</v>
      </c>
      <c r="J639" s="19" t="n">
        <v>0.887430046865838</v>
      </c>
      <c r="K639" s="19" t="n">
        <v>0.526048607841742</v>
      </c>
      <c r="L639" s="16" t="n">
        <v>12.752937041637</v>
      </c>
      <c r="M639" s="19" t="n">
        <v>0.941144081642042</v>
      </c>
      <c r="N639" s="19" t="n">
        <v>0.891689155711352</v>
      </c>
      <c r="O639" s="19" t="n">
        <v>0.887430046865838</v>
      </c>
      <c r="P639" s="19" t="n">
        <v>0.342755913434624</v>
      </c>
      <c r="Q639" s="17" t="s">
        <v>29</v>
      </c>
      <c r="R639" s="5" t="str">
        <f aca="false">IF(OR(Q639="Steel plate",Q639="Concrete jacket"),"Steel plate or jacket",Q639)</f>
        <v>Monitor</v>
      </c>
      <c r="S639" s="5" t="str">
        <f aca="false">IF(O639&lt;='Tree rules'!$C$4,IF(N639&lt;='Tree rules'!$C$5,IF(P639&lt;='Tree rules'!$C$6,"Monitor","Polymer laminate"),IF(P639&lt;='Tree rules'!$C$7,"Seal cracks","Polymer laminate")),IF(O639&lt;='Tree rules'!$C$8,IF(M639&lt;='Tree rules'!$C$9,"Steel plate or jacket","Polymer laminate"),IF(L639&lt;='Tree rules'!$C$10,"Steel plate or jacket","Polymer laminate")))</f>
        <v>Monitor</v>
      </c>
      <c r="T639" s="5" t="str">
        <f aca="false">IF(S639=R639,"Yes","No")</f>
        <v>Yes</v>
      </c>
    </row>
    <row r="640" customFormat="false" ht="15" hidden="false" customHeight="false" outlineLevel="0" collapsed="false">
      <c r="A640" s="15" t="n">
        <v>910</v>
      </c>
      <c r="B640" s="16" t="n">
        <v>5.62289501642712</v>
      </c>
      <c r="C640" s="15" t="n">
        <v>300</v>
      </c>
      <c r="D640" s="15" t="n">
        <v>500</v>
      </c>
      <c r="E640" s="15" t="n">
        <v>25</v>
      </c>
      <c r="F640" s="16" t="n">
        <v>0.590490249132883</v>
      </c>
      <c r="G640" s="17" t="s">
        <v>89</v>
      </c>
      <c r="H640" s="18" t="n">
        <v>0.3</v>
      </c>
      <c r="I640" s="18" t="n">
        <v>2</v>
      </c>
      <c r="J640" s="19" t="n">
        <v>0.977035089035607</v>
      </c>
      <c r="K640" s="19" t="n">
        <v>0.499369853000533</v>
      </c>
      <c r="L640" s="16" t="n">
        <v>12.3852313137161</v>
      </c>
      <c r="M640" s="19" t="n">
        <v>0.953350030193495</v>
      </c>
      <c r="N640" s="19" t="n">
        <v>0.994873636895134</v>
      </c>
      <c r="O640" s="19" t="n">
        <v>1.46616830928314</v>
      </c>
      <c r="P640" s="19" t="n">
        <v>0.435424811772249</v>
      </c>
      <c r="Q640" s="17" t="s">
        <v>31</v>
      </c>
      <c r="R640" s="5" t="str">
        <f aca="false">IF(OR(Q640="Steel plate",Q640="Concrete jacket"),"Steel plate or jacket",Q640)</f>
        <v>Polymer laminate</v>
      </c>
      <c r="S640" s="5" t="str">
        <f aca="false">IF(O640&lt;='Tree rules'!$C$4,IF(N640&lt;='Tree rules'!$C$5,IF(P640&lt;='Tree rules'!$C$6,"Monitor","Polymer laminate"),IF(P640&lt;='Tree rules'!$C$7,"Seal cracks","Polymer laminate")),IF(O640&lt;='Tree rules'!$C$8,IF(M640&lt;='Tree rules'!$C$9,"Steel plate or jacket","Polymer laminate"),IF(L640&lt;='Tree rules'!$C$10,"Steel plate or jacket","Polymer laminate")))</f>
        <v>Steel plate or jacket</v>
      </c>
      <c r="T640" s="5" t="str">
        <f aca="false">IF(S640=R640,"Yes","No")</f>
        <v>No</v>
      </c>
    </row>
    <row r="641" customFormat="false" ht="15" hidden="false" customHeight="false" outlineLevel="0" collapsed="false">
      <c r="A641" s="15" t="n">
        <v>911</v>
      </c>
      <c r="B641" s="16" t="n">
        <v>4.82273957776275</v>
      </c>
      <c r="C641" s="15" t="n">
        <v>300</v>
      </c>
      <c r="D641" s="15" t="n">
        <v>375</v>
      </c>
      <c r="E641" s="15" t="n">
        <v>30</v>
      </c>
      <c r="F641" s="16" t="n">
        <v>0.569472988566126</v>
      </c>
      <c r="G641" s="17" t="s">
        <v>91</v>
      </c>
      <c r="H641" s="18" t="n">
        <v>0.2</v>
      </c>
      <c r="I641" s="18" t="n">
        <v>1</v>
      </c>
      <c r="J641" s="19" t="n">
        <v>0.908542687912413</v>
      </c>
      <c r="K641" s="19" t="n">
        <v>0.614676110556587</v>
      </c>
      <c r="L641" s="16" t="n">
        <v>14.5702102047213</v>
      </c>
      <c r="M641" s="19" t="n">
        <v>0.460006953334795</v>
      </c>
      <c r="N641" s="19" t="n">
        <v>0.934544456861034</v>
      </c>
      <c r="O641" s="19" t="n">
        <v>0.908542687912413</v>
      </c>
      <c r="P641" s="19" t="n">
        <v>0.677325717543012</v>
      </c>
      <c r="Q641" s="17" t="s">
        <v>29</v>
      </c>
      <c r="R641" s="5" t="str">
        <f aca="false">IF(OR(Q641="Steel plate",Q641="Concrete jacket"),"Steel plate or jacket",Q641)</f>
        <v>Monitor</v>
      </c>
      <c r="S641" s="5" t="str">
        <f aca="false">IF(O641&lt;='Tree rules'!$C$4,IF(N641&lt;='Tree rules'!$C$5,IF(P641&lt;='Tree rules'!$C$6,"Monitor","Polymer laminate"),IF(P641&lt;='Tree rules'!$C$7,"Seal cracks","Polymer laminate")),IF(O641&lt;='Tree rules'!$C$8,IF(M641&lt;='Tree rules'!$C$9,"Steel plate or jacket","Polymer laminate"),IF(L641&lt;='Tree rules'!$C$10,"Steel plate or jacket","Polymer laminate")))</f>
        <v>Monitor</v>
      </c>
      <c r="T641" s="5" t="str">
        <f aca="false">IF(S641=R641,"Yes","No")</f>
        <v>Yes</v>
      </c>
    </row>
    <row r="642" customFormat="false" ht="15" hidden="false" customHeight="false" outlineLevel="0" collapsed="false">
      <c r="A642" s="15" t="n">
        <v>912</v>
      </c>
      <c r="B642" s="16" t="n">
        <v>3.514646517251</v>
      </c>
      <c r="C642" s="15" t="n">
        <v>300</v>
      </c>
      <c r="D642" s="15" t="n">
        <v>325</v>
      </c>
      <c r="E642" s="15" t="n">
        <v>25</v>
      </c>
      <c r="F642" s="16" t="n">
        <v>0.804963242200943</v>
      </c>
      <c r="G642" s="17" t="s">
        <v>91</v>
      </c>
      <c r="H642" s="18" t="n">
        <v>0.2</v>
      </c>
      <c r="I642" s="18" t="n">
        <v>2</v>
      </c>
      <c r="J642" s="19" t="n">
        <v>0.877105680463567</v>
      </c>
      <c r="K642" s="19" t="n">
        <v>0.552162830620097</v>
      </c>
      <c r="L642" s="16" t="n">
        <v>12.5076388514271</v>
      </c>
      <c r="M642" s="19" t="n">
        <v>0.894078011841089</v>
      </c>
      <c r="N642" s="19" t="n">
        <v>1.21727284424849</v>
      </c>
      <c r="O642" s="19" t="n">
        <v>1.2699062056494</v>
      </c>
      <c r="P642" s="19" t="n">
        <v>0.477016389733744</v>
      </c>
      <c r="Q642" s="17" t="s">
        <v>31</v>
      </c>
      <c r="R642" s="5" t="str">
        <f aca="false">IF(OR(Q642="Steel plate",Q642="Concrete jacket"),"Steel plate or jacket",Q642)</f>
        <v>Polymer laminate</v>
      </c>
      <c r="S642" s="5" t="str">
        <f aca="false">IF(O642&lt;='Tree rules'!$C$4,IF(N642&lt;='Tree rules'!$C$5,IF(P642&lt;='Tree rules'!$C$6,"Monitor","Polymer laminate"),IF(P642&lt;='Tree rules'!$C$7,"Seal cracks","Polymer laminate")),IF(O642&lt;='Tree rules'!$C$8,IF(M642&lt;='Tree rules'!$C$9,"Steel plate or jacket","Polymer laminate"),IF(L642&lt;='Tree rules'!$C$10,"Steel plate or jacket","Polymer laminate")))</f>
        <v>Polymer laminate</v>
      </c>
      <c r="T642" s="5" t="str">
        <f aca="false">IF(S642=R642,"Yes","No")</f>
        <v>Yes</v>
      </c>
    </row>
    <row r="643" customFormat="false" ht="15" hidden="false" customHeight="false" outlineLevel="0" collapsed="false">
      <c r="A643" s="15" t="n">
        <v>913</v>
      </c>
      <c r="B643" s="16" t="n">
        <v>4.246426880709</v>
      </c>
      <c r="C643" s="15" t="n">
        <v>230</v>
      </c>
      <c r="D643" s="15" t="n">
        <v>350</v>
      </c>
      <c r="E643" s="15" t="n">
        <v>25</v>
      </c>
      <c r="F643" s="16" t="n">
        <v>0.64278110559382</v>
      </c>
      <c r="G643" s="17" t="s">
        <v>89</v>
      </c>
      <c r="H643" s="18" t="n">
        <v>0.3</v>
      </c>
      <c r="I643" s="18" t="n">
        <v>1.5</v>
      </c>
      <c r="J643" s="19" t="n">
        <v>0.887826454070851</v>
      </c>
      <c r="K643" s="19" t="n">
        <v>0.522628671949714</v>
      </c>
      <c r="L643" s="16" t="n">
        <v>13.8772120284608</v>
      </c>
      <c r="M643" s="19" t="n">
        <v>0.25950596113494</v>
      </c>
      <c r="N643" s="19" t="n">
        <v>0.785434931788996</v>
      </c>
      <c r="O643" s="19" t="n">
        <v>1.09973790079984</v>
      </c>
      <c r="P643" s="19" t="n">
        <v>1.29896706649925</v>
      </c>
      <c r="Q643" s="17" t="s">
        <v>31</v>
      </c>
      <c r="R643" s="5" t="str">
        <f aca="false">IF(OR(Q643="Steel plate",Q643="Concrete jacket"),"Steel plate or jacket",Q643)</f>
        <v>Polymer laminate</v>
      </c>
      <c r="S643" s="5" t="str">
        <f aca="false">IF(O643&lt;='Tree rules'!$C$4,IF(N643&lt;='Tree rules'!$C$5,IF(P643&lt;='Tree rules'!$C$6,"Monitor","Polymer laminate"),IF(P643&lt;='Tree rules'!$C$7,"Seal cracks","Polymer laminate")),IF(O643&lt;='Tree rules'!$C$8,IF(M643&lt;='Tree rules'!$C$9,"Steel plate or jacket","Polymer laminate"),IF(L643&lt;='Tree rules'!$C$10,"Steel plate or jacket","Polymer laminate")))</f>
        <v>Steel plate or jacket</v>
      </c>
      <c r="T643" s="5" t="str">
        <f aca="false">IF(S643=R643,"Yes","No")</f>
        <v>No</v>
      </c>
    </row>
    <row r="644" customFormat="false" ht="15" hidden="false" customHeight="false" outlineLevel="0" collapsed="false">
      <c r="A644" s="15" t="n">
        <v>914</v>
      </c>
      <c r="B644" s="16" t="n">
        <v>5.05976635534322</v>
      </c>
      <c r="C644" s="15" t="n">
        <v>230</v>
      </c>
      <c r="D644" s="15" t="n">
        <v>475</v>
      </c>
      <c r="E644" s="15" t="n">
        <v>25</v>
      </c>
      <c r="F644" s="16" t="n">
        <v>0.611316296229087</v>
      </c>
      <c r="G644" s="17" t="s">
        <v>89</v>
      </c>
      <c r="H644" s="18" t="n">
        <v>0.3</v>
      </c>
      <c r="I644" s="18" t="n">
        <v>1</v>
      </c>
      <c r="J644" s="19" t="n">
        <v>0.912736570457641</v>
      </c>
      <c r="K644" s="19" t="n">
        <v>0.605053340827532</v>
      </c>
      <c r="L644" s="16" t="n">
        <v>11.7943271686322</v>
      </c>
      <c r="M644" s="19" t="n">
        <v>0.576881960451772</v>
      </c>
      <c r="N644" s="19" t="n">
        <v>0.644478234945696</v>
      </c>
      <c r="O644" s="19" t="n">
        <v>0.912736570457641</v>
      </c>
      <c r="P644" s="19" t="n">
        <v>0.537269027410976</v>
      </c>
      <c r="Q644" s="17" t="s">
        <v>29</v>
      </c>
      <c r="R644" s="5" t="str">
        <f aca="false">IF(OR(Q644="Steel plate",Q644="Concrete jacket"),"Steel plate or jacket",Q644)</f>
        <v>Monitor</v>
      </c>
      <c r="S644" s="5" t="str">
        <f aca="false">IF(O644&lt;='Tree rules'!$C$4,IF(N644&lt;='Tree rules'!$C$5,IF(P644&lt;='Tree rules'!$C$6,"Monitor","Polymer laminate"),IF(P644&lt;='Tree rules'!$C$7,"Seal cracks","Polymer laminate")),IF(O644&lt;='Tree rules'!$C$8,IF(M644&lt;='Tree rules'!$C$9,"Steel plate or jacket","Polymer laminate"),IF(L644&lt;='Tree rules'!$C$10,"Steel plate or jacket","Polymer laminate")))</f>
        <v>Monitor</v>
      </c>
      <c r="T644" s="5" t="str">
        <f aca="false">IF(S644=R644,"Yes","No")</f>
        <v>Yes</v>
      </c>
    </row>
    <row r="645" customFormat="false" ht="15" hidden="false" customHeight="false" outlineLevel="0" collapsed="false">
      <c r="A645" s="15" t="n">
        <v>915</v>
      </c>
      <c r="B645" s="16" t="n">
        <v>4.81433316713397</v>
      </c>
      <c r="C645" s="15" t="n">
        <v>300</v>
      </c>
      <c r="D645" s="15" t="n">
        <v>450</v>
      </c>
      <c r="E645" s="15" t="n">
        <v>30</v>
      </c>
      <c r="F645" s="16" t="n">
        <v>0.781490709848207</v>
      </c>
      <c r="G645" s="17" t="s">
        <v>91</v>
      </c>
      <c r="H645" s="18" t="n">
        <v>0.2</v>
      </c>
      <c r="I645" s="18" t="n">
        <v>1</v>
      </c>
      <c r="J645" s="19" t="n">
        <v>0.917232840386093</v>
      </c>
      <c r="K645" s="19" t="n">
        <v>0.488725978132557</v>
      </c>
      <c r="L645" s="16" t="n">
        <v>11.9759531520746</v>
      </c>
      <c r="M645" s="19" t="n">
        <v>0.441583298925417</v>
      </c>
      <c r="N645" s="19" t="n">
        <v>1.17581881756089</v>
      </c>
      <c r="O645" s="19" t="n">
        <v>0.917232840386093</v>
      </c>
      <c r="P645" s="19" t="n">
        <v>0.718743195421795</v>
      </c>
      <c r="Q645" s="17" t="s">
        <v>30</v>
      </c>
      <c r="R645" s="5" t="str">
        <f aca="false">IF(OR(Q645="Steel plate",Q645="Concrete jacket"),"Steel plate or jacket",Q645)</f>
        <v>Seal cracks</v>
      </c>
      <c r="S645" s="5" t="str">
        <f aca="false">IF(O645&lt;='Tree rules'!$C$4,IF(N645&lt;='Tree rules'!$C$5,IF(P645&lt;='Tree rules'!$C$6,"Monitor","Polymer laminate"),IF(P645&lt;='Tree rules'!$C$7,"Seal cracks","Polymer laminate")),IF(O645&lt;='Tree rules'!$C$8,IF(M645&lt;='Tree rules'!$C$9,"Steel plate or jacket","Polymer laminate"),IF(L645&lt;='Tree rules'!$C$10,"Steel plate or jacket","Polymer laminate")))</f>
        <v>Seal cracks</v>
      </c>
      <c r="T645" s="5" t="str">
        <f aca="false">IF(S645=R645,"Yes","No")</f>
        <v>Yes</v>
      </c>
    </row>
    <row r="646" customFormat="false" ht="15" hidden="false" customHeight="false" outlineLevel="0" collapsed="false">
      <c r="A646" s="15" t="n">
        <v>916</v>
      </c>
      <c r="B646" s="16" t="n">
        <v>5.70084112870354</v>
      </c>
      <c r="C646" s="15" t="n">
        <v>300</v>
      </c>
      <c r="D646" s="15" t="n">
        <v>525</v>
      </c>
      <c r="E646" s="15" t="n">
        <v>30</v>
      </c>
      <c r="F646" s="16" t="n">
        <v>0.658614812073332</v>
      </c>
      <c r="G646" s="17" t="s">
        <v>91</v>
      </c>
      <c r="H646" s="18" t="n">
        <v>0.2</v>
      </c>
      <c r="I646" s="18" t="n">
        <v>2</v>
      </c>
      <c r="J646" s="19" t="n">
        <v>0.88980264771658</v>
      </c>
      <c r="K646" s="19" t="n">
        <v>0.50217144555542</v>
      </c>
      <c r="L646" s="16" t="n">
        <v>11.9514489071353</v>
      </c>
      <c r="M646" s="19" t="n">
        <v>0.624454570871146</v>
      </c>
      <c r="N646" s="19" t="n">
        <v>1.67136201202043</v>
      </c>
      <c r="O646" s="19" t="n">
        <v>1.33277181357029</v>
      </c>
      <c r="P646" s="19" t="n">
        <v>0.58471574027339</v>
      </c>
      <c r="Q646" s="17" t="s">
        <v>31</v>
      </c>
      <c r="R646" s="5" t="str">
        <f aca="false">IF(OR(Q646="Steel plate",Q646="Concrete jacket"),"Steel plate or jacket",Q646)</f>
        <v>Polymer laminate</v>
      </c>
      <c r="S646" s="5" t="str">
        <f aca="false">IF(O646&lt;='Tree rules'!$C$4,IF(N646&lt;='Tree rules'!$C$5,IF(P646&lt;='Tree rules'!$C$6,"Monitor","Polymer laminate"),IF(P646&lt;='Tree rules'!$C$7,"Seal cracks","Polymer laminate")),IF(O646&lt;='Tree rules'!$C$8,IF(M646&lt;='Tree rules'!$C$9,"Steel plate or jacket","Polymer laminate"),IF(L646&lt;='Tree rules'!$C$10,"Steel plate or jacket","Polymer laminate")))</f>
        <v>Steel plate or jacket</v>
      </c>
      <c r="T646" s="5" t="str">
        <f aca="false">IF(S646=R646,"Yes","No")</f>
        <v>No</v>
      </c>
    </row>
    <row r="647" customFormat="false" ht="15" hidden="false" customHeight="false" outlineLevel="0" collapsed="false">
      <c r="A647" s="15" t="n">
        <v>918</v>
      </c>
      <c r="B647" s="16" t="n">
        <v>4.20896854822547</v>
      </c>
      <c r="C647" s="15" t="n">
        <v>300</v>
      </c>
      <c r="D647" s="15" t="n">
        <v>350</v>
      </c>
      <c r="E647" s="15" t="n">
        <v>30</v>
      </c>
      <c r="F647" s="16" t="n">
        <v>0.661387927071535</v>
      </c>
      <c r="G647" s="17" t="s">
        <v>91</v>
      </c>
      <c r="H647" s="18" t="n">
        <v>0.2</v>
      </c>
      <c r="I647" s="18" t="n">
        <v>1</v>
      </c>
      <c r="J647" s="19" t="n">
        <v>0.866467940721326</v>
      </c>
      <c r="K647" s="19" t="n">
        <v>0.437960461155409</v>
      </c>
      <c r="L647" s="16" t="n">
        <v>13.8452912770575</v>
      </c>
      <c r="M647" s="19" t="n">
        <v>0.863492900054883</v>
      </c>
      <c r="N647" s="19" t="n">
        <v>0.991817610702339</v>
      </c>
      <c r="O647" s="19" t="n">
        <v>0.866467940721326</v>
      </c>
      <c r="P647" s="19" t="n">
        <v>0.332522859508368</v>
      </c>
      <c r="Q647" s="17" t="s">
        <v>29</v>
      </c>
      <c r="R647" s="5" t="str">
        <f aca="false">IF(OR(Q647="Steel plate",Q647="Concrete jacket"),"Steel plate or jacket",Q647)</f>
        <v>Monitor</v>
      </c>
      <c r="S647" s="5" t="str">
        <f aca="false">IF(O647&lt;='Tree rules'!$C$4,IF(N647&lt;='Tree rules'!$C$5,IF(P647&lt;='Tree rules'!$C$6,"Monitor","Polymer laminate"),IF(P647&lt;='Tree rules'!$C$7,"Seal cracks","Polymer laminate")),IF(O647&lt;='Tree rules'!$C$8,IF(M647&lt;='Tree rules'!$C$9,"Steel plate or jacket","Polymer laminate"),IF(L647&lt;='Tree rules'!$C$10,"Steel plate or jacket","Polymer laminate")))</f>
        <v>Monitor</v>
      </c>
      <c r="T647" s="5" t="str">
        <f aca="false">IF(S647=R647,"Yes","No")</f>
        <v>Yes</v>
      </c>
    </row>
    <row r="648" customFormat="false" ht="15" hidden="false" customHeight="false" outlineLevel="0" collapsed="false">
      <c r="A648" s="15" t="n">
        <v>919</v>
      </c>
      <c r="B648" s="16" t="n">
        <v>3.59991360732934</v>
      </c>
      <c r="C648" s="15" t="n">
        <v>300</v>
      </c>
      <c r="D648" s="15" t="n">
        <v>350</v>
      </c>
      <c r="E648" s="15" t="n">
        <v>20</v>
      </c>
      <c r="F648" s="16" t="n">
        <v>0.693508312050727</v>
      </c>
      <c r="G648" s="17" t="s">
        <v>89</v>
      </c>
      <c r="H648" s="18" t="n">
        <v>0.3</v>
      </c>
      <c r="I648" s="18" t="n">
        <v>2</v>
      </c>
      <c r="J648" s="19" t="n">
        <v>0.855338761776402</v>
      </c>
      <c r="K648" s="19" t="n">
        <v>0.594295296409293</v>
      </c>
      <c r="L648" s="16" t="n">
        <v>11.9202437328786</v>
      </c>
      <c r="M648" s="19" t="n">
        <v>0.307682077808811</v>
      </c>
      <c r="N648" s="19" t="n">
        <v>1.39723430277023</v>
      </c>
      <c r="O648" s="19" t="n">
        <v>1.20235372059254</v>
      </c>
      <c r="P648" s="19" t="n">
        <v>1.15694066239071</v>
      </c>
      <c r="Q648" s="17" t="s">
        <v>31</v>
      </c>
      <c r="R648" s="5" t="str">
        <f aca="false">IF(OR(Q648="Steel plate",Q648="Concrete jacket"),"Steel plate or jacket",Q648)</f>
        <v>Polymer laminate</v>
      </c>
      <c r="S648" s="5" t="str">
        <f aca="false">IF(O648&lt;='Tree rules'!$C$4,IF(N648&lt;='Tree rules'!$C$5,IF(P648&lt;='Tree rules'!$C$6,"Monitor","Polymer laminate"),IF(P648&lt;='Tree rules'!$C$7,"Seal cracks","Polymer laminate")),IF(O648&lt;='Tree rules'!$C$8,IF(M648&lt;='Tree rules'!$C$9,"Steel plate or jacket","Polymer laminate"),IF(L648&lt;='Tree rules'!$C$10,"Steel plate or jacket","Polymer laminate")))</f>
        <v>Polymer laminate</v>
      </c>
      <c r="T648" s="5" t="str">
        <f aca="false">IF(S648=R648,"Yes","No")</f>
        <v>Yes</v>
      </c>
    </row>
    <row r="649" customFormat="false" ht="15" hidden="false" customHeight="false" outlineLevel="0" collapsed="false">
      <c r="A649" s="15" t="n">
        <v>920</v>
      </c>
      <c r="B649" s="16" t="n">
        <v>6.74429402373919</v>
      </c>
      <c r="C649" s="15" t="n">
        <v>300</v>
      </c>
      <c r="D649" s="15" t="n">
        <v>625</v>
      </c>
      <c r="E649" s="15" t="n">
        <v>20</v>
      </c>
      <c r="F649" s="16" t="n">
        <v>0.694514438099298</v>
      </c>
      <c r="G649" s="17" t="s">
        <v>91</v>
      </c>
      <c r="H649" s="18" t="n">
        <v>0.2</v>
      </c>
      <c r="I649" s="18" t="n">
        <v>1</v>
      </c>
      <c r="J649" s="19" t="n">
        <v>0.919241217384681</v>
      </c>
      <c r="K649" s="19" t="n">
        <v>0.469954872247802</v>
      </c>
      <c r="L649" s="16" t="n">
        <v>11.6481762068034</v>
      </c>
      <c r="M649" s="19" t="n">
        <v>0.695936912472352</v>
      </c>
      <c r="N649" s="19" t="n">
        <v>0.804606782351924</v>
      </c>
      <c r="O649" s="19" t="n">
        <v>0.919241217384681</v>
      </c>
      <c r="P649" s="19" t="n">
        <v>0.514313299177455</v>
      </c>
      <c r="Q649" s="17" t="s">
        <v>29</v>
      </c>
      <c r="R649" s="5" t="str">
        <f aca="false">IF(OR(Q649="Steel plate",Q649="Concrete jacket"),"Steel plate or jacket",Q649)</f>
        <v>Monitor</v>
      </c>
      <c r="S649" s="5" t="str">
        <f aca="false">IF(O649&lt;='Tree rules'!$C$4,IF(N649&lt;='Tree rules'!$C$5,IF(P649&lt;='Tree rules'!$C$6,"Monitor","Polymer laminate"),IF(P649&lt;='Tree rules'!$C$7,"Seal cracks","Polymer laminate")),IF(O649&lt;='Tree rules'!$C$8,IF(M649&lt;='Tree rules'!$C$9,"Steel plate or jacket","Polymer laminate"),IF(L649&lt;='Tree rules'!$C$10,"Steel plate or jacket","Polymer laminate")))</f>
        <v>Monitor</v>
      </c>
      <c r="T649" s="5" t="str">
        <f aca="false">IF(S649=R649,"Yes","No")</f>
        <v>Yes</v>
      </c>
    </row>
    <row r="650" customFormat="false" ht="15" hidden="false" customHeight="false" outlineLevel="0" collapsed="false">
      <c r="A650" s="15" t="n">
        <v>921</v>
      </c>
      <c r="B650" s="16" t="n">
        <v>7.75075629748053</v>
      </c>
      <c r="C650" s="15" t="n">
        <v>300</v>
      </c>
      <c r="D650" s="15" t="n">
        <v>725</v>
      </c>
      <c r="E650" s="15" t="n">
        <v>20</v>
      </c>
      <c r="F650" s="16" t="n">
        <v>0.6187282429522</v>
      </c>
      <c r="G650" s="17" t="s">
        <v>89</v>
      </c>
      <c r="H650" s="18" t="n">
        <v>0.3</v>
      </c>
      <c r="I650" s="18" t="n">
        <v>1</v>
      </c>
      <c r="J650" s="19" t="n">
        <v>0.865311921134908</v>
      </c>
      <c r="K650" s="19" t="n">
        <v>0.507497565567165</v>
      </c>
      <c r="L650" s="16" t="n">
        <v>11.4486799076522</v>
      </c>
      <c r="M650" s="19" t="n">
        <v>0.477419826113428</v>
      </c>
      <c r="N650" s="19" t="n">
        <v>0.593515641104502</v>
      </c>
      <c r="O650" s="19" t="n">
        <v>0.865311921134908</v>
      </c>
      <c r="P650" s="19" t="n">
        <v>0.651773109085381</v>
      </c>
      <c r="Q650" s="17" t="s">
        <v>29</v>
      </c>
      <c r="R650" s="5" t="str">
        <f aca="false">IF(OR(Q650="Steel plate",Q650="Concrete jacket"),"Steel plate or jacket",Q650)</f>
        <v>Monitor</v>
      </c>
      <c r="S650" s="5" t="str">
        <f aca="false">IF(O650&lt;='Tree rules'!$C$4,IF(N650&lt;='Tree rules'!$C$5,IF(P650&lt;='Tree rules'!$C$6,"Monitor","Polymer laminate"),IF(P650&lt;='Tree rules'!$C$7,"Seal cracks","Polymer laminate")),IF(O650&lt;='Tree rules'!$C$8,IF(M650&lt;='Tree rules'!$C$9,"Steel plate or jacket","Polymer laminate"),IF(L650&lt;='Tree rules'!$C$10,"Steel plate or jacket","Polymer laminate")))</f>
        <v>Monitor</v>
      </c>
      <c r="T650" s="5" t="str">
        <f aca="false">IF(S650=R650,"Yes","No")</f>
        <v>Yes</v>
      </c>
    </row>
    <row r="651" customFormat="false" ht="15" hidden="false" customHeight="false" outlineLevel="0" collapsed="false">
      <c r="A651" s="15" t="n">
        <v>922</v>
      </c>
      <c r="B651" s="16" t="n">
        <v>4.69215990952893</v>
      </c>
      <c r="C651" s="15" t="n">
        <v>300</v>
      </c>
      <c r="D651" s="15" t="n">
        <v>450</v>
      </c>
      <c r="E651" s="15" t="n">
        <v>25</v>
      </c>
      <c r="F651" s="16" t="n">
        <v>0.781490709848207</v>
      </c>
      <c r="G651" s="17" t="s">
        <v>91</v>
      </c>
      <c r="H651" s="18" t="n">
        <v>0.2</v>
      </c>
      <c r="I651" s="18" t="n">
        <v>1.5</v>
      </c>
      <c r="J651" s="19" t="n">
        <v>0.877797643187907</v>
      </c>
      <c r="K651" s="19" t="n">
        <v>0.480516391237314</v>
      </c>
      <c r="L651" s="16" t="n">
        <v>11.6720395759426</v>
      </c>
      <c r="M651" s="19" t="n">
        <v>0.345509117014301</v>
      </c>
      <c r="N651" s="19" t="n">
        <v>1.43089098147519</v>
      </c>
      <c r="O651" s="19" t="n">
        <v>1.10579838691122</v>
      </c>
      <c r="P651" s="19" t="n">
        <v>1.01311070774295</v>
      </c>
      <c r="Q651" s="17" t="s">
        <v>31</v>
      </c>
      <c r="R651" s="5" t="str">
        <f aca="false">IF(OR(Q651="Steel plate",Q651="Concrete jacket"),"Steel plate or jacket",Q651)</f>
        <v>Polymer laminate</v>
      </c>
      <c r="S651" s="5" t="str">
        <f aca="false">IF(O651&lt;='Tree rules'!$C$4,IF(N651&lt;='Tree rules'!$C$5,IF(P651&lt;='Tree rules'!$C$6,"Monitor","Polymer laminate"),IF(P651&lt;='Tree rules'!$C$7,"Seal cracks","Polymer laminate")),IF(O651&lt;='Tree rules'!$C$8,IF(M651&lt;='Tree rules'!$C$9,"Steel plate or jacket","Polymer laminate"),IF(L651&lt;='Tree rules'!$C$10,"Steel plate or jacket","Polymer laminate")))</f>
        <v>Polymer laminate</v>
      </c>
      <c r="T651" s="5" t="str">
        <f aca="false">IF(S651=R651,"Yes","No")</f>
        <v>Yes</v>
      </c>
    </row>
    <row r="652" customFormat="false" ht="15" hidden="false" customHeight="false" outlineLevel="0" collapsed="false">
      <c r="A652" s="15" t="n">
        <v>923</v>
      </c>
      <c r="B652" s="16" t="n">
        <v>4.64955302794762</v>
      </c>
      <c r="C652" s="15" t="n">
        <v>230</v>
      </c>
      <c r="D652" s="15" t="n">
        <v>450</v>
      </c>
      <c r="E652" s="15" t="n">
        <v>30</v>
      </c>
      <c r="F652" s="16" t="n">
        <v>0.649145274956135</v>
      </c>
      <c r="G652" s="17" t="s">
        <v>89</v>
      </c>
      <c r="H652" s="18" t="n">
        <v>0.3</v>
      </c>
      <c r="I652" s="18" t="n">
        <v>1</v>
      </c>
      <c r="J652" s="19" t="n">
        <v>0.928111730154262</v>
      </c>
      <c r="K652" s="19" t="n">
        <v>0.496682666835475</v>
      </c>
      <c r="L652" s="16" t="n">
        <v>11.5087946236327</v>
      </c>
      <c r="M652" s="19" t="n">
        <v>0.739425232330309</v>
      </c>
      <c r="N652" s="19" t="n">
        <v>0.637732380990724</v>
      </c>
      <c r="O652" s="19" t="n">
        <v>0.928111730154262</v>
      </c>
      <c r="P652" s="19" t="n">
        <v>0.378709220902916</v>
      </c>
      <c r="Q652" s="17" t="s">
        <v>29</v>
      </c>
      <c r="R652" s="5" t="str">
        <f aca="false">IF(OR(Q652="Steel plate",Q652="Concrete jacket"),"Steel plate or jacket",Q652)</f>
        <v>Monitor</v>
      </c>
      <c r="S652" s="5" t="str">
        <f aca="false">IF(O652&lt;='Tree rules'!$C$4,IF(N652&lt;='Tree rules'!$C$5,IF(P652&lt;='Tree rules'!$C$6,"Monitor","Polymer laminate"),IF(P652&lt;='Tree rules'!$C$7,"Seal cracks","Polymer laminate")),IF(O652&lt;='Tree rules'!$C$8,IF(M652&lt;='Tree rules'!$C$9,"Steel plate or jacket","Polymer laminate"),IF(L652&lt;='Tree rules'!$C$10,"Steel plate or jacket","Polymer laminate")))</f>
        <v>Monitor</v>
      </c>
      <c r="T652" s="5" t="str">
        <f aca="false">IF(S652=R652,"Yes","No")</f>
        <v>Yes</v>
      </c>
    </row>
    <row r="653" customFormat="false" ht="15" hidden="false" customHeight="false" outlineLevel="0" collapsed="false">
      <c r="A653" s="15" t="n">
        <v>926</v>
      </c>
      <c r="B653" s="16" t="n">
        <v>3.45367827946166</v>
      </c>
      <c r="C653" s="15" t="n">
        <v>230</v>
      </c>
      <c r="D653" s="15" t="n">
        <v>300</v>
      </c>
      <c r="E653" s="15" t="n">
        <v>25</v>
      </c>
      <c r="F653" s="16" t="n">
        <v>0.576243217710084</v>
      </c>
      <c r="G653" s="17" t="s">
        <v>89</v>
      </c>
      <c r="H653" s="18" t="n">
        <v>0.3</v>
      </c>
      <c r="I653" s="18" t="n">
        <v>1.5</v>
      </c>
      <c r="J653" s="19" t="n">
        <v>0.982282475796189</v>
      </c>
      <c r="K653" s="19" t="n">
        <v>0.52756504290593</v>
      </c>
      <c r="L653" s="16" t="n">
        <v>13.4909307791471</v>
      </c>
      <c r="M653" s="19" t="n">
        <v>0.443241252078046</v>
      </c>
      <c r="N653" s="19" t="n">
        <v>0.923451973406165</v>
      </c>
      <c r="O653" s="19" t="n">
        <v>1.2143147654497</v>
      </c>
      <c r="P653" s="19" t="n">
        <v>0.701507285028483</v>
      </c>
      <c r="Q653" s="17" t="s">
        <v>31</v>
      </c>
      <c r="R653" s="5" t="str">
        <f aca="false">IF(OR(Q653="Steel plate",Q653="Concrete jacket"),"Steel plate or jacket",Q653)</f>
        <v>Polymer laminate</v>
      </c>
      <c r="S653" s="5" t="str">
        <f aca="false">IF(O653&lt;='Tree rules'!$C$4,IF(N653&lt;='Tree rules'!$C$5,IF(P653&lt;='Tree rules'!$C$6,"Monitor","Polymer laminate"),IF(P653&lt;='Tree rules'!$C$7,"Seal cracks","Polymer laminate")),IF(O653&lt;='Tree rules'!$C$8,IF(M653&lt;='Tree rules'!$C$9,"Steel plate or jacket","Polymer laminate"),IF(L653&lt;='Tree rules'!$C$10,"Steel plate or jacket","Polymer laminate")))</f>
        <v>Polymer laminate</v>
      </c>
      <c r="T653" s="5" t="str">
        <f aca="false">IF(S653=R653,"Yes","No")</f>
        <v>Yes</v>
      </c>
    </row>
    <row r="654" customFormat="false" ht="15" hidden="false" customHeight="false" outlineLevel="0" collapsed="false">
      <c r="A654" s="15" t="n">
        <v>927</v>
      </c>
      <c r="B654" s="16" t="n">
        <v>7.04402903173483</v>
      </c>
      <c r="C654" s="15" t="n">
        <v>300</v>
      </c>
      <c r="D654" s="15" t="n">
        <v>650</v>
      </c>
      <c r="E654" s="15" t="n">
        <v>30</v>
      </c>
      <c r="F654" s="16" t="n">
        <v>0.695812326376477</v>
      </c>
      <c r="G654" s="17" t="s">
        <v>89</v>
      </c>
      <c r="H654" s="18" t="n">
        <v>0.3</v>
      </c>
      <c r="I654" s="18" t="n">
        <v>1</v>
      </c>
      <c r="J654" s="19" t="n">
        <v>0.88276096089972</v>
      </c>
      <c r="K654" s="19" t="n">
        <v>0.452538348367044</v>
      </c>
      <c r="L654" s="16" t="n">
        <v>11.701044903214</v>
      </c>
      <c r="M654" s="19" t="n">
        <v>0.653489839578137</v>
      </c>
      <c r="N654" s="19" t="n">
        <v>0.602744538074551</v>
      </c>
      <c r="O654" s="19" t="n">
        <v>0.88276096089972</v>
      </c>
      <c r="P654" s="19" t="n">
        <v>0.463151846031351</v>
      </c>
      <c r="Q654" s="17" t="s">
        <v>29</v>
      </c>
      <c r="R654" s="5" t="str">
        <f aca="false">IF(OR(Q654="Steel plate",Q654="Concrete jacket"),"Steel plate or jacket",Q654)</f>
        <v>Monitor</v>
      </c>
      <c r="S654" s="5" t="str">
        <f aca="false">IF(O654&lt;='Tree rules'!$C$4,IF(N654&lt;='Tree rules'!$C$5,IF(P654&lt;='Tree rules'!$C$6,"Monitor","Polymer laminate"),IF(P654&lt;='Tree rules'!$C$7,"Seal cracks","Polymer laminate")),IF(O654&lt;='Tree rules'!$C$8,IF(M654&lt;='Tree rules'!$C$9,"Steel plate or jacket","Polymer laminate"),IF(L654&lt;='Tree rules'!$C$10,"Steel plate or jacket","Polymer laminate")))</f>
        <v>Monitor</v>
      </c>
      <c r="T654" s="5" t="str">
        <f aca="false">IF(S654=R654,"Yes","No")</f>
        <v>Yes</v>
      </c>
    </row>
    <row r="655" customFormat="false" ht="15" hidden="false" customHeight="false" outlineLevel="0" collapsed="false">
      <c r="A655" s="15" t="n">
        <v>928</v>
      </c>
      <c r="B655" s="16" t="n">
        <v>3.60843012975762</v>
      </c>
      <c r="C655" s="15" t="n">
        <v>300</v>
      </c>
      <c r="D655" s="15" t="n">
        <v>350</v>
      </c>
      <c r="E655" s="15" t="n">
        <v>25</v>
      </c>
      <c r="F655" s="16" t="n">
        <v>0.693508312050727</v>
      </c>
      <c r="G655" s="17" t="s">
        <v>89</v>
      </c>
      <c r="H655" s="18" t="n">
        <v>0.3</v>
      </c>
      <c r="I655" s="18" t="n">
        <v>1</v>
      </c>
      <c r="J655" s="19" t="n">
        <v>0.899005825039648</v>
      </c>
      <c r="K655" s="19" t="n">
        <v>0.432767835364257</v>
      </c>
      <c r="L655" s="16" t="n">
        <v>11.9484441382703</v>
      </c>
      <c r="M655" s="19" t="n">
        <v>0.359039219558627</v>
      </c>
      <c r="N655" s="19" t="n">
        <v>1.04326643459369</v>
      </c>
      <c r="O655" s="19" t="n">
        <v>0.899005825039648</v>
      </c>
      <c r="P655" s="19" t="n">
        <v>0.709511592823461</v>
      </c>
      <c r="Q655" s="17" t="s">
        <v>30</v>
      </c>
      <c r="R655" s="5" t="str">
        <f aca="false">IF(OR(Q655="Steel plate",Q655="Concrete jacket"),"Steel plate or jacket",Q655)</f>
        <v>Seal cracks</v>
      </c>
      <c r="S655" s="5" t="str">
        <f aca="false">IF(O655&lt;='Tree rules'!$C$4,IF(N655&lt;='Tree rules'!$C$5,IF(P655&lt;='Tree rules'!$C$6,"Monitor","Polymer laminate"),IF(P655&lt;='Tree rules'!$C$7,"Seal cracks","Polymer laminate")),IF(O655&lt;='Tree rules'!$C$8,IF(M655&lt;='Tree rules'!$C$9,"Steel plate or jacket","Polymer laminate"),IF(L655&lt;='Tree rules'!$C$10,"Steel plate or jacket","Polymer laminate")))</f>
        <v>Seal cracks</v>
      </c>
      <c r="T655" s="5" t="str">
        <f aca="false">IF(S655=R655,"Yes","No")</f>
        <v>Yes</v>
      </c>
    </row>
    <row r="656" customFormat="false" ht="15" hidden="false" customHeight="false" outlineLevel="0" collapsed="false">
      <c r="A656" s="15" t="n">
        <v>929</v>
      </c>
      <c r="B656" s="16" t="n">
        <v>4.14785276766902</v>
      </c>
      <c r="C656" s="15" t="n">
        <v>230</v>
      </c>
      <c r="D656" s="15" t="n">
        <v>375</v>
      </c>
      <c r="E656" s="15" t="n">
        <v>30</v>
      </c>
      <c r="F656" s="16" t="n">
        <v>0.797126720614828</v>
      </c>
      <c r="G656" s="17" t="s">
        <v>91</v>
      </c>
      <c r="H656" s="18" t="n">
        <v>0.2</v>
      </c>
      <c r="I656" s="18" t="n">
        <v>1</v>
      </c>
      <c r="J656" s="19" t="n">
        <v>0.865341075503317</v>
      </c>
      <c r="K656" s="19" t="n">
        <v>0.458620106556416</v>
      </c>
      <c r="L656" s="16" t="n">
        <v>12.6074552208785</v>
      </c>
      <c r="M656" s="19" t="n">
        <v>0.759625365122722</v>
      </c>
      <c r="N656" s="19" t="n">
        <v>0.908686326199736</v>
      </c>
      <c r="O656" s="19" t="n">
        <v>0.865341075503317</v>
      </c>
      <c r="P656" s="19" t="n">
        <v>0.409705908080986</v>
      </c>
      <c r="Q656" s="17" t="s">
        <v>29</v>
      </c>
      <c r="R656" s="5" t="str">
        <f aca="false">IF(OR(Q656="Steel plate",Q656="Concrete jacket"),"Steel plate or jacket",Q656)</f>
        <v>Monitor</v>
      </c>
      <c r="S656" s="5" t="str">
        <f aca="false">IF(O656&lt;='Tree rules'!$C$4,IF(N656&lt;='Tree rules'!$C$5,IF(P656&lt;='Tree rules'!$C$6,"Monitor","Polymer laminate"),IF(P656&lt;='Tree rules'!$C$7,"Seal cracks","Polymer laminate")),IF(O656&lt;='Tree rules'!$C$8,IF(M656&lt;='Tree rules'!$C$9,"Steel plate or jacket","Polymer laminate"),IF(L656&lt;='Tree rules'!$C$10,"Steel plate or jacket","Polymer laminate")))</f>
        <v>Monitor</v>
      </c>
      <c r="T656" s="5" t="str">
        <f aca="false">IF(S656=R656,"Yes","No")</f>
        <v>Yes</v>
      </c>
    </row>
    <row r="657" customFormat="false" ht="15" hidden="false" customHeight="false" outlineLevel="0" collapsed="false">
      <c r="A657" s="15" t="n">
        <v>931</v>
      </c>
      <c r="B657" s="16" t="n">
        <v>4.4683705584707</v>
      </c>
      <c r="C657" s="15" t="n">
        <v>230</v>
      </c>
      <c r="D657" s="15" t="n">
        <v>400</v>
      </c>
      <c r="E657" s="15" t="n">
        <v>30</v>
      </c>
      <c r="F657" s="16" t="n">
        <v>0.740832460684402</v>
      </c>
      <c r="G657" s="17" t="s">
        <v>89</v>
      </c>
      <c r="H657" s="18" t="n">
        <v>0.3</v>
      </c>
      <c r="I657" s="18" t="n">
        <v>1.5</v>
      </c>
      <c r="J657" s="19" t="n">
        <v>0.950604218828275</v>
      </c>
      <c r="K657" s="19" t="n">
        <v>0.600613512278729</v>
      </c>
      <c r="L657" s="16" t="n">
        <v>12.6225157018946</v>
      </c>
      <c r="M657" s="19" t="n">
        <v>0.549343436827407</v>
      </c>
      <c r="N657" s="19" t="n">
        <v>0.844032712273317</v>
      </c>
      <c r="O657" s="19" t="n">
        <v>1.1404334589137</v>
      </c>
      <c r="P657" s="19" t="n">
        <v>0.706717643331631</v>
      </c>
      <c r="Q657" s="17" t="s">
        <v>31</v>
      </c>
      <c r="R657" s="5" t="str">
        <f aca="false">IF(OR(Q657="Steel plate",Q657="Concrete jacket"),"Steel plate or jacket",Q657)</f>
        <v>Polymer laminate</v>
      </c>
      <c r="S657" s="5" t="str">
        <f aca="false">IF(O657&lt;='Tree rules'!$C$4,IF(N657&lt;='Tree rules'!$C$5,IF(P657&lt;='Tree rules'!$C$6,"Monitor","Polymer laminate"),IF(P657&lt;='Tree rules'!$C$7,"Seal cracks","Polymer laminate")),IF(O657&lt;='Tree rules'!$C$8,IF(M657&lt;='Tree rules'!$C$9,"Steel plate or jacket","Polymer laminate"),IF(L657&lt;='Tree rules'!$C$10,"Steel plate or jacket","Polymer laminate")))</f>
        <v>Polymer laminate</v>
      </c>
      <c r="T657" s="5" t="str">
        <f aca="false">IF(S657=R657,"Yes","No")</f>
        <v>Yes</v>
      </c>
    </row>
    <row r="658" customFormat="false" ht="15" hidden="false" customHeight="false" outlineLevel="0" collapsed="false">
      <c r="A658" s="15" t="n">
        <v>932</v>
      </c>
      <c r="B658" s="16" t="n">
        <v>5.04603679588341</v>
      </c>
      <c r="C658" s="15" t="n">
        <v>300</v>
      </c>
      <c r="D658" s="15" t="n">
        <v>450</v>
      </c>
      <c r="E658" s="15" t="n">
        <v>20</v>
      </c>
      <c r="F658" s="16" t="n">
        <v>0.663570725510715</v>
      </c>
      <c r="G658" s="17" t="s">
        <v>89</v>
      </c>
      <c r="H658" s="18" t="n">
        <v>0.3</v>
      </c>
      <c r="I658" s="18" t="n">
        <v>1.5</v>
      </c>
      <c r="J658" s="19" t="n">
        <v>0.894076280227923</v>
      </c>
      <c r="K658" s="19" t="n">
        <v>0.42536789260413</v>
      </c>
      <c r="L658" s="16" t="n">
        <v>12.4901900888203</v>
      </c>
      <c r="M658" s="19" t="n">
        <v>0.656199597070775</v>
      </c>
      <c r="N658" s="19" t="n">
        <v>0.804329167073994</v>
      </c>
      <c r="O658" s="19" t="n">
        <v>1.15095874876794</v>
      </c>
      <c r="P658" s="19" t="n">
        <v>0.563455719923121</v>
      </c>
      <c r="Q658" s="17" t="s">
        <v>31</v>
      </c>
      <c r="R658" s="5" t="str">
        <f aca="false">IF(OR(Q658="Steel plate",Q658="Concrete jacket"),"Steel plate or jacket",Q658)</f>
        <v>Polymer laminate</v>
      </c>
      <c r="S658" s="5" t="str">
        <f aca="false">IF(O658&lt;='Tree rules'!$C$4,IF(N658&lt;='Tree rules'!$C$5,IF(P658&lt;='Tree rules'!$C$6,"Monitor","Polymer laminate"),IF(P658&lt;='Tree rules'!$C$7,"Seal cracks","Polymer laminate")),IF(O658&lt;='Tree rules'!$C$8,IF(M658&lt;='Tree rules'!$C$9,"Steel plate or jacket","Polymer laminate"),IF(L658&lt;='Tree rules'!$C$10,"Steel plate or jacket","Polymer laminate")))</f>
        <v>Polymer laminate</v>
      </c>
      <c r="T658" s="5" t="str">
        <f aca="false">IF(S658=R658,"Yes","No")</f>
        <v>Yes</v>
      </c>
    </row>
    <row r="659" customFormat="false" ht="15" hidden="false" customHeight="false" outlineLevel="0" collapsed="false">
      <c r="A659" s="15" t="n">
        <v>934</v>
      </c>
      <c r="B659" s="16" t="n">
        <v>6.50994750800445</v>
      </c>
      <c r="C659" s="15" t="n">
        <v>230</v>
      </c>
      <c r="D659" s="15" t="n">
        <v>600</v>
      </c>
      <c r="E659" s="15" t="n">
        <v>25</v>
      </c>
      <c r="F659" s="16" t="n">
        <v>0.742342309449384</v>
      </c>
      <c r="G659" s="17" t="s">
        <v>91</v>
      </c>
      <c r="H659" s="18" t="n">
        <v>0.2</v>
      </c>
      <c r="I659" s="18" t="n">
        <v>2</v>
      </c>
      <c r="J659" s="19" t="n">
        <v>0.950008341673335</v>
      </c>
      <c r="K659" s="19" t="n">
        <v>0.413108605718068</v>
      </c>
      <c r="L659" s="16" t="n">
        <v>11.7933831666747</v>
      </c>
      <c r="M659" s="19" t="n">
        <v>0.513761597402466</v>
      </c>
      <c r="N659" s="19" t="n">
        <v>1.61925807227528</v>
      </c>
      <c r="O659" s="19" t="n">
        <v>1.50756006189746</v>
      </c>
      <c r="P659" s="19" t="n">
        <v>0.866236762385038</v>
      </c>
      <c r="Q659" s="17" t="s">
        <v>92</v>
      </c>
      <c r="R659" s="5" t="str">
        <f aca="false">IF(OR(Q659="Steel plate",Q659="Concrete jacket"),"Steel plate or jacket",Q659)</f>
        <v>Steel plate or jacket</v>
      </c>
      <c r="S659" s="5" t="str">
        <f aca="false">IF(O659&lt;='Tree rules'!$C$4,IF(N659&lt;='Tree rules'!$C$5,IF(P659&lt;='Tree rules'!$C$6,"Monitor","Polymer laminate"),IF(P659&lt;='Tree rules'!$C$7,"Seal cracks","Polymer laminate")),IF(O659&lt;='Tree rules'!$C$8,IF(M659&lt;='Tree rules'!$C$9,"Steel plate or jacket","Polymer laminate"),IF(L659&lt;='Tree rules'!$C$10,"Steel plate or jacket","Polymer laminate")))</f>
        <v>Steel plate or jacket</v>
      </c>
      <c r="T659" s="5" t="str">
        <f aca="false">IF(S659=R659,"Yes","No")</f>
        <v>Yes</v>
      </c>
    </row>
    <row r="660" customFormat="false" ht="15" hidden="false" customHeight="false" outlineLevel="0" collapsed="false">
      <c r="A660" s="15" t="n">
        <v>935</v>
      </c>
      <c r="B660" s="16" t="n">
        <v>3.14278497876579</v>
      </c>
      <c r="C660" s="15" t="n">
        <v>300</v>
      </c>
      <c r="D660" s="15" t="n">
        <v>300</v>
      </c>
      <c r="E660" s="15" t="n">
        <v>30</v>
      </c>
      <c r="F660" s="16" t="n">
        <v>0.736310778185108</v>
      </c>
      <c r="G660" s="17" t="s">
        <v>89</v>
      </c>
      <c r="H660" s="18" t="n">
        <v>0.3</v>
      </c>
      <c r="I660" s="18" t="n">
        <v>1</v>
      </c>
      <c r="J660" s="19" t="n">
        <v>0.933379150393524</v>
      </c>
      <c r="K660" s="19" t="n">
        <v>0.631881702268043</v>
      </c>
      <c r="L660" s="16" t="n">
        <v>12.2765038233039</v>
      </c>
      <c r="M660" s="19" t="n">
        <v>0.613618417928286</v>
      </c>
      <c r="N660" s="19" t="n">
        <v>0.642708237939021</v>
      </c>
      <c r="O660" s="19" t="n">
        <v>0.933379150393524</v>
      </c>
      <c r="P660" s="19" t="n">
        <v>0.512381300660426</v>
      </c>
      <c r="Q660" s="17" t="s">
        <v>29</v>
      </c>
      <c r="R660" s="5" t="str">
        <f aca="false">IF(OR(Q660="Steel plate",Q660="Concrete jacket"),"Steel plate or jacket",Q660)</f>
        <v>Monitor</v>
      </c>
      <c r="S660" s="5" t="str">
        <f aca="false">IF(O660&lt;='Tree rules'!$C$4,IF(N660&lt;='Tree rules'!$C$5,IF(P660&lt;='Tree rules'!$C$6,"Monitor","Polymer laminate"),IF(P660&lt;='Tree rules'!$C$7,"Seal cracks","Polymer laminate")),IF(O660&lt;='Tree rules'!$C$8,IF(M660&lt;='Tree rules'!$C$9,"Steel plate or jacket","Polymer laminate"),IF(L660&lt;='Tree rules'!$C$10,"Steel plate or jacket","Polymer laminate")))</f>
        <v>Monitor</v>
      </c>
      <c r="T660" s="5" t="str">
        <f aca="false">IF(S660=R660,"Yes","No")</f>
        <v>Yes</v>
      </c>
    </row>
    <row r="661" customFormat="false" ht="15" hidden="false" customHeight="false" outlineLevel="0" collapsed="false">
      <c r="A661" s="15" t="n">
        <v>936</v>
      </c>
      <c r="B661" s="16" t="n">
        <v>6.6242781851643</v>
      </c>
      <c r="C661" s="15" t="n">
        <v>230</v>
      </c>
      <c r="D661" s="15" t="n">
        <v>575</v>
      </c>
      <c r="E661" s="15" t="n">
        <v>25</v>
      </c>
      <c r="F661" s="16" t="n">
        <v>0.661007412935799</v>
      </c>
      <c r="G661" s="17" t="s">
        <v>89</v>
      </c>
      <c r="H661" s="18" t="n">
        <v>0.3</v>
      </c>
      <c r="I661" s="18" t="n">
        <v>1</v>
      </c>
      <c r="J661" s="19" t="n">
        <v>0.962996433745396</v>
      </c>
      <c r="K661" s="19" t="n">
        <v>0.461688315982064</v>
      </c>
      <c r="L661" s="16" t="n">
        <v>12.5222650003106</v>
      </c>
      <c r="M661" s="19" t="n">
        <v>0.753925549676436</v>
      </c>
      <c r="N661" s="19" t="n">
        <v>0.586750076355191</v>
      </c>
      <c r="O661" s="19" t="n">
        <v>0.962996433745396</v>
      </c>
      <c r="P661" s="19" t="n">
        <v>0.472412484614155</v>
      </c>
      <c r="Q661" s="17" t="s">
        <v>29</v>
      </c>
      <c r="R661" s="5" t="str">
        <f aca="false">IF(OR(Q661="Steel plate",Q661="Concrete jacket"),"Steel plate or jacket",Q661)</f>
        <v>Monitor</v>
      </c>
      <c r="S661" s="5" t="str">
        <f aca="false">IF(O661&lt;='Tree rules'!$C$4,IF(N661&lt;='Tree rules'!$C$5,IF(P661&lt;='Tree rules'!$C$6,"Monitor","Polymer laminate"),IF(P661&lt;='Tree rules'!$C$7,"Seal cracks","Polymer laminate")),IF(O661&lt;='Tree rules'!$C$8,IF(M661&lt;='Tree rules'!$C$9,"Steel plate or jacket","Polymer laminate"),IF(L661&lt;='Tree rules'!$C$10,"Steel plate or jacket","Polymer laminate")))</f>
        <v>Monitor</v>
      </c>
      <c r="T661" s="5" t="str">
        <f aca="false">IF(S661=R661,"Yes","No")</f>
        <v>Yes</v>
      </c>
    </row>
    <row r="662" customFormat="false" ht="15" hidden="false" customHeight="false" outlineLevel="0" collapsed="false">
      <c r="A662" s="15" t="n">
        <v>938</v>
      </c>
      <c r="B662" s="16" t="n">
        <v>4.97431441778495</v>
      </c>
      <c r="C662" s="15" t="n">
        <v>230</v>
      </c>
      <c r="D662" s="15" t="n">
        <v>450</v>
      </c>
      <c r="E662" s="15" t="n">
        <v>30</v>
      </c>
      <c r="F662" s="16" t="n">
        <v>0.865527033274846</v>
      </c>
      <c r="G662" s="17" t="s">
        <v>89</v>
      </c>
      <c r="H662" s="18" t="n">
        <v>0.3</v>
      </c>
      <c r="I662" s="18" t="n">
        <v>1</v>
      </c>
      <c r="J662" s="19" t="n">
        <v>0.898002073438319</v>
      </c>
      <c r="K662" s="19" t="n">
        <v>0.440607599300512</v>
      </c>
      <c r="L662" s="16" t="n">
        <v>12.3126594499627</v>
      </c>
      <c r="M662" s="19" t="n">
        <v>0.922424103036081</v>
      </c>
      <c r="N662" s="19" t="n">
        <v>0.55202789192594</v>
      </c>
      <c r="O662" s="19" t="n">
        <v>0.898002073438319</v>
      </c>
      <c r="P662" s="19" t="n">
        <v>0.394065945498305</v>
      </c>
      <c r="Q662" s="17" t="s">
        <v>29</v>
      </c>
      <c r="R662" s="5" t="str">
        <f aca="false">IF(OR(Q662="Steel plate",Q662="Concrete jacket"),"Steel plate or jacket",Q662)</f>
        <v>Monitor</v>
      </c>
      <c r="S662" s="5" t="str">
        <f aca="false">IF(O662&lt;='Tree rules'!$C$4,IF(N662&lt;='Tree rules'!$C$5,IF(P662&lt;='Tree rules'!$C$6,"Monitor","Polymer laminate"),IF(P662&lt;='Tree rules'!$C$7,"Seal cracks","Polymer laminate")),IF(O662&lt;='Tree rules'!$C$8,IF(M662&lt;='Tree rules'!$C$9,"Steel plate or jacket","Polymer laminate"),IF(L662&lt;='Tree rules'!$C$10,"Steel plate or jacket","Polymer laminate")))</f>
        <v>Monitor</v>
      </c>
      <c r="T662" s="5" t="str">
        <f aca="false">IF(S662=R662,"Yes","No")</f>
        <v>Yes</v>
      </c>
    </row>
    <row r="663" customFormat="false" ht="15" hidden="false" customHeight="false" outlineLevel="0" collapsed="false">
      <c r="A663" s="15" t="n">
        <v>939</v>
      </c>
      <c r="B663" s="16" t="n">
        <v>5.50693025940685</v>
      </c>
      <c r="C663" s="15" t="n">
        <v>230</v>
      </c>
      <c r="D663" s="15" t="n">
        <v>450</v>
      </c>
      <c r="E663" s="15" t="n">
        <v>30</v>
      </c>
      <c r="F663" s="16" t="n">
        <v>0.679557138998441</v>
      </c>
      <c r="G663" s="17" t="s">
        <v>91</v>
      </c>
      <c r="H663" s="18" t="n">
        <v>0.2</v>
      </c>
      <c r="I663" s="18" t="n">
        <v>2</v>
      </c>
      <c r="J663" s="19" t="n">
        <v>0.994053074299963</v>
      </c>
      <c r="K663" s="19" t="n">
        <v>0.429440623313567</v>
      </c>
      <c r="L663" s="16" t="n">
        <v>13.6988314910618</v>
      </c>
      <c r="M663" s="19" t="n">
        <v>0.945312392183082</v>
      </c>
      <c r="N663" s="19" t="n">
        <v>2.15482123977032</v>
      </c>
      <c r="O663" s="19" t="n">
        <v>1.56121937676578</v>
      </c>
      <c r="P663" s="19" t="n">
        <v>0.485213672992596</v>
      </c>
      <c r="Q663" s="17" t="s">
        <v>31</v>
      </c>
      <c r="R663" s="5" t="str">
        <f aca="false">IF(OR(Q663="Steel plate",Q663="Concrete jacket"),"Steel plate or jacket",Q663)</f>
        <v>Polymer laminate</v>
      </c>
      <c r="S663" s="5" t="str">
        <f aca="false">IF(O663&lt;='Tree rules'!$C$4,IF(N663&lt;='Tree rules'!$C$5,IF(P663&lt;='Tree rules'!$C$6,"Monitor","Polymer laminate"),IF(P663&lt;='Tree rules'!$C$7,"Seal cracks","Polymer laminate")),IF(O663&lt;='Tree rules'!$C$8,IF(M663&lt;='Tree rules'!$C$9,"Steel plate or jacket","Polymer laminate"),IF(L663&lt;='Tree rules'!$C$10,"Steel plate or jacket","Polymer laminate")))</f>
        <v>Polymer laminate</v>
      </c>
      <c r="T663" s="5" t="str">
        <f aca="false">IF(S663=R663,"Yes","No")</f>
        <v>Yes</v>
      </c>
    </row>
    <row r="664" customFormat="false" ht="15" hidden="false" customHeight="false" outlineLevel="0" collapsed="false">
      <c r="A664" s="15" t="n">
        <v>942</v>
      </c>
      <c r="B664" s="16" t="n">
        <v>3.46808175473536</v>
      </c>
      <c r="C664" s="15" t="n">
        <v>300</v>
      </c>
      <c r="D664" s="15" t="n">
        <v>325</v>
      </c>
      <c r="E664" s="15" t="n">
        <v>30</v>
      </c>
      <c r="F664" s="16" t="n">
        <v>0.756099314943392</v>
      </c>
      <c r="G664" s="17" t="s">
        <v>91</v>
      </c>
      <c r="H664" s="18" t="n">
        <v>0.2</v>
      </c>
      <c r="I664" s="18" t="n">
        <v>1.5</v>
      </c>
      <c r="J664" s="19" t="n">
        <v>0.883659130236902</v>
      </c>
      <c r="K664" s="19" t="n">
        <v>0.564104230928125</v>
      </c>
      <c r="L664" s="16" t="n">
        <v>12.5201507391168</v>
      </c>
      <c r="M664" s="19" t="n">
        <v>0.711531379161259</v>
      </c>
      <c r="N664" s="19" t="n">
        <v>1.7569225951729</v>
      </c>
      <c r="O664" s="19" t="n">
        <v>1.0762507683229</v>
      </c>
      <c r="P664" s="19" t="n">
        <v>0.467636917072342</v>
      </c>
      <c r="Q664" s="17" t="s">
        <v>31</v>
      </c>
      <c r="R664" s="5" t="str">
        <f aca="false">IF(OR(Q664="Steel plate",Q664="Concrete jacket"),"Steel plate or jacket",Q664)</f>
        <v>Polymer laminate</v>
      </c>
      <c r="S664" s="5" t="str">
        <f aca="false">IF(O664&lt;='Tree rules'!$C$4,IF(N664&lt;='Tree rules'!$C$5,IF(P664&lt;='Tree rules'!$C$6,"Monitor","Polymer laminate"),IF(P664&lt;='Tree rules'!$C$7,"Seal cracks","Polymer laminate")),IF(O664&lt;='Tree rules'!$C$8,IF(M664&lt;='Tree rules'!$C$9,"Steel plate or jacket","Polymer laminate"),IF(L664&lt;='Tree rules'!$C$10,"Steel plate or jacket","Polymer laminate")))</f>
        <v>Polymer laminate</v>
      </c>
      <c r="T664" s="5" t="str">
        <f aca="false">IF(S664=R664,"Yes","No")</f>
        <v>Yes</v>
      </c>
    </row>
    <row r="665" customFormat="false" ht="15" hidden="false" customHeight="false" outlineLevel="0" collapsed="false">
      <c r="A665" s="15" t="n">
        <v>943</v>
      </c>
      <c r="B665" s="16" t="n">
        <v>6.65640890788031</v>
      </c>
      <c r="C665" s="15" t="n">
        <v>300</v>
      </c>
      <c r="D665" s="15" t="n">
        <v>600</v>
      </c>
      <c r="E665" s="15" t="n">
        <v>30</v>
      </c>
      <c r="F665" s="16" t="n">
        <v>0.758838805214926</v>
      </c>
      <c r="G665" s="17" t="s">
        <v>89</v>
      </c>
      <c r="H665" s="18" t="n">
        <v>0.3</v>
      </c>
      <c r="I665" s="18" t="n">
        <v>1</v>
      </c>
      <c r="J665" s="19" t="n">
        <v>0.869441914727005</v>
      </c>
      <c r="K665" s="19" t="n">
        <v>0.537127500634285</v>
      </c>
      <c r="L665" s="16" t="n">
        <v>12.0587117896383</v>
      </c>
      <c r="M665" s="19" t="n">
        <v>0.586977767888273</v>
      </c>
      <c r="N665" s="19" t="n">
        <v>0.607324316842417</v>
      </c>
      <c r="O665" s="19" t="n">
        <v>0.869441914727005</v>
      </c>
      <c r="P665" s="19" t="n">
        <v>0.583316555451352</v>
      </c>
      <c r="Q665" s="17" t="s">
        <v>29</v>
      </c>
      <c r="R665" s="5" t="str">
        <f aca="false">IF(OR(Q665="Steel plate",Q665="Concrete jacket"),"Steel plate or jacket",Q665)</f>
        <v>Monitor</v>
      </c>
      <c r="S665" s="5" t="str">
        <f aca="false">IF(O665&lt;='Tree rules'!$C$4,IF(N665&lt;='Tree rules'!$C$5,IF(P665&lt;='Tree rules'!$C$6,"Monitor","Polymer laminate"),IF(P665&lt;='Tree rules'!$C$7,"Seal cracks","Polymer laminate")),IF(O665&lt;='Tree rules'!$C$8,IF(M665&lt;='Tree rules'!$C$9,"Steel plate or jacket","Polymer laminate"),IF(L665&lt;='Tree rules'!$C$10,"Steel plate or jacket","Polymer laminate")))</f>
        <v>Monitor</v>
      </c>
      <c r="T665" s="5" t="str">
        <f aca="false">IF(S665=R665,"Yes","No")</f>
        <v>Yes</v>
      </c>
    </row>
    <row r="666" customFormat="false" ht="15" hidden="false" customHeight="false" outlineLevel="0" collapsed="false">
      <c r="A666" s="15" t="n">
        <v>944</v>
      </c>
      <c r="B666" s="16" t="n">
        <v>4.86613993480549</v>
      </c>
      <c r="C666" s="15" t="n">
        <v>300</v>
      </c>
      <c r="D666" s="15" t="n">
        <v>400</v>
      </c>
      <c r="E666" s="15" t="n">
        <v>25</v>
      </c>
      <c r="F666" s="16" t="n">
        <v>0.594998608634431</v>
      </c>
      <c r="G666" s="17" t="s">
        <v>91</v>
      </c>
      <c r="H666" s="18" t="n">
        <v>0.2</v>
      </c>
      <c r="I666" s="18" t="n">
        <v>2</v>
      </c>
      <c r="J666" s="19" t="n">
        <v>0.949211720084574</v>
      </c>
      <c r="K666" s="19" t="n">
        <v>0.618415893827255</v>
      </c>
      <c r="L666" s="16" t="n">
        <v>13.8242611784247</v>
      </c>
      <c r="M666" s="19" t="n">
        <v>0.929970681093615</v>
      </c>
      <c r="N666" s="19" t="n">
        <v>2.10929246674623</v>
      </c>
      <c r="O666" s="19" t="n">
        <v>1.31141582586174</v>
      </c>
      <c r="P666" s="19" t="n">
        <v>0.456944270584463</v>
      </c>
      <c r="Q666" s="17" t="s">
        <v>31</v>
      </c>
      <c r="R666" s="5" t="str">
        <f aca="false">IF(OR(Q666="Steel plate",Q666="Concrete jacket"),"Steel plate or jacket",Q666)</f>
        <v>Polymer laminate</v>
      </c>
      <c r="S666" s="5" t="str">
        <f aca="false">IF(O666&lt;='Tree rules'!$C$4,IF(N666&lt;='Tree rules'!$C$5,IF(P666&lt;='Tree rules'!$C$6,"Monitor","Polymer laminate"),IF(P666&lt;='Tree rules'!$C$7,"Seal cracks","Polymer laminate")),IF(O666&lt;='Tree rules'!$C$8,IF(M666&lt;='Tree rules'!$C$9,"Steel plate or jacket","Polymer laminate"),IF(L666&lt;='Tree rules'!$C$10,"Steel plate or jacket","Polymer laminate")))</f>
        <v>Polymer laminate</v>
      </c>
      <c r="T666" s="5" t="str">
        <f aca="false">IF(S666=R666,"Yes","No")</f>
        <v>Yes</v>
      </c>
    </row>
    <row r="667" customFormat="false" ht="15" hidden="false" customHeight="false" outlineLevel="0" collapsed="false">
      <c r="A667" s="15" t="n">
        <v>945</v>
      </c>
      <c r="B667" s="16" t="n">
        <v>3.55498859848204</v>
      </c>
      <c r="C667" s="15" t="n">
        <v>300</v>
      </c>
      <c r="D667" s="15" t="n">
        <v>325</v>
      </c>
      <c r="E667" s="15" t="n">
        <v>25</v>
      </c>
      <c r="F667" s="16" t="n">
        <v>0.67080270183412</v>
      </c>
      <c r="G667" s="17" t="s">
        <v>89</v>
      </c>
      <c r="H667" s="18" t="n">
        <v>0.3</v>
      </c>
      <c r="I667" s="18" t="n">
        <v>1</v>
      </c>
      <c r="J667" s="19" t="n">
        <v>0.878411004631704</v>
      </c>
      <c r="K667" s="19" t="n">
        <v>0.534325228797998</v>
      </c>
      <c r="L667" s="16" t="n">
        <v>12.6512049768044</v>
      </c>
      <c r="M667" s="19" t="n">
        <v>0.769012519270375</v>
      </c>
      <c r="N667" s="19" t="n">
        <v>0.562743292212067</v>
      </c>
      <c r="O667" s="19" t="n">
        <v>0.878411004631704</v>
      </c>
      <c r="P667" s="19" t="n">
        <v>0.387364298373487</v>
      </c>
      <c r="Q667" s="17" t="s">
        <v>29</v>
      </c>
      <c r="R667" s="5" t="str">
        <f aca="false">IF(OR(Q667="Steel plate",Q667="Concrete jacket"),"Steel plate or jacket",Q667)</f>
        <v>Monitor</v>
      </c>
      <c r="S667" s="5" t="str">
        <f aca="false">IF(O667&lt;='Tree rules'!$C$4,IF(N667&lt;='Tree rules'!$C$5,IF(P667&lt;='Tree rules'!$C$6,"Monitor","Polymer laminate"),IF(P667&lt;='Tree rules'!$C$7,"Seal cracks","Polymer laminate")),IF(O667&lt;='Tree rules'!$C$8,IF(M667&lt;='Tree rules'!$C$9,"Steel plate or jacket","Polymer laminate"),IF(L667&lt;='Tree rules'!$C$10,"Steel plate or jacket","Polymer laminate")))</f>
        <v>Monitor</v>
      </c>
      <c r="T667" s="5" t="str">
        <f aca="false">IF(S667=R667,"Yes","No")</f>
        <v>Yes</v>
      </c>
    </row>
    <row r="668" customFormat="false" ht="15" hidden="false" customHeight="false" outlineLevel="0" collapsed="false">
      <c r="A668" s="15" t="n">
        <v>946</v>
      </c>
      <c r="B668" s="16" t="n">
        <v>5.61860156408528</v>
      </c>
      <c r="C668" s="15" t="n">
        <v>230</v>
      </c>
      <c r="D668" s="15" t="n">
        <v>525</v>
      </c>
      <c r="E668" s="15" t="n">
        <v>30</v>
      </c>
      <c r="F668" s="16" t="n">
        <v>0.730006099046008</v>
      </c>
      <c r="G668" s="17" t="s">
        <v>91</v>
      </c>
      <c r="H668" s="18" t="n">
        <v>0.2</v>
      </c>
      <c r="I668" s="18" t="n">
        <v>1.5</v>
      </c>
      <c r="J668" s="19" t="n">
        <v>0.889504058409271</v>
      </c>
      <c r="K668" s="19" t="n">
        <v>0.476782605381345</v>
      </c>
      <c r="L668" s="16" t="n">
        <v>11.7298571275267</v>
      </c>
      <c r="M668" s="19" t="n">
        <v>0.467698579916706</v>
      </c>
      <c r="N668" s="19" t="n">
        <v>1.123952617346</v>
      </c>
      <c r="O668" s="19" t="n">
        <v>1.12220605638108</v>
      </c>
      <c r="P668" s="19" t="n">
        <v>0.729811127237224</v>
      </c>
      <c r="Q668" s="17" t="s">
        <v>31</v>
      </c>
      <c r="R668" s="5" t="str">
        <f aca="false">IF(OR(Q668="Steel plate",Q668="Concrete jacket"),"Steel plate or jacket",Q668)</f>
        <v>Polymer laminate</v>
      </c>
      <c r="S668" s="5" t="str">
        <f aca="false">IF(O668&lt;='Tree rules'!$C$4,IF(N668&lt;='Tree rules'!$C$5,IF(P668&lt;='Tree rules'!$C$6,"Monitor","Polymer laminate"),IF(P668&lt;='Tree rules'!$C$7,"Seal cracks","Polymer laminate")),IF(O668&lt;='Tree rules'!$C$8,IF(M668&lt;='Tree rules'!$C$9,"Steel plate or jacket","Polymer laminate"),IF(L668&lt;='Tree rules'!$C$10,"Steel plate or jacket","Polymer laminate")))</f>
        <v>Polymer laminate</v>
      </c>
      <c r="T668" s="5" t="str">
        <f aca="false">IF(S668=R668,"Yes","No")</f>
        <v>Yes</v>
      </c>
    </row>
    <row r="669" customFormat="false" ht="15" hidden="false" customHeight="false" outlineLevel="0" collapsed="false">
      <c r="A669" s="15" t="n">
        <v>947</v>
      </c>
      <c r="B669" s="16" t="n">
        <v>4.52955106798154</v>
      </c>
      <c r="C669" s="15" t="n">
        <v>300</v>
      </c>
      <c r="D669" s="15" t="n">
        <v>375</v>
      </c>
      <c r="E669" s="15" t="n">
        <v>30</v>
      </c>
      <c r="F669" s="16" t="n">
        <v>0.611130485804701</v>
      </c>
      <c r="G669" s="17" t="s">
        <v>89</v>
      </c>
      <c r="H669" s="18" t="n">
        <v>0.3</v>
      </c>
      <c r="I669" s="18" t="n">
        <v>1</v>
      </c>
      <c r="J669" s="19" t="n">
        <v>0.932271583648668</v>
      </c>
      <c r="K669" s="19" t="n">
        <v>0.532170456336729</v>
      </c>
      <c r="L669" s="16" t="n">
        <v>13.7676324254758</v>
      </c>
      <c r="M669" s="19" t="n">
        <v>0.555865889302233</v>
      </c>
      <c r="N669" s="19" t="n">
        <v>0.774945849297941</v>
      </c>
      <c r="O669" s="19" t="n">
        <v>0.932271583648668</v>
      </c>
      <c r="P669" s="19" t="n">
        <v>0.540840683370508</v>
      </c>
      <c r="Q669" s="17" t="s">
        <v>29</v>
      </c>
      <c r="R669" s="5" t="str">
        <f aca="false">IF(OR(Q669="Steel plate",Q669="Concrete jacket"),"Steel plate or jacket",Q669)</f>
        <v>Monitor</v>
      </c>
      <c r="S669" s="5" t="str">
        <f aca="false">IF(O669&lt;='Tree rules'!$C$4,IF(N669&lt;='Tree rules'!$C$5,IF(P669&lt;='Tree rules'!$C$6,"Monitor","Polymer laminate"),IF(P669&lt;='Tree rules'!$C$7,"Seal cracks","Polymer laminate")),IF(O669&lt;='Tree rules'!$C$8,IF(M669&lt;='Tree rules'!$C$9,"Steel plate or jacket","Polymer laminate"),IF(L669&lt;='Tree rules'!$C$10,"Steel plate or jacket","Polymer laminate")))</f>
        <v>Monitor</v>
      </c>
      <c r="T669" s="5" t="str">
        <f aca="false">IF(S669=R669,"Yes","No")</f>
        <v>Yes</v>
      </c>
    </row>
    <row r="670" customFormat="false" ht="15" hidden="false" customHeight="false" outlineLevel="0" collapsed="false">
      <c r="A670" s="15" t="n">
        <v>949</v>
      </c>
      <c r="B670" s="16" t="n">
        <v>6.62180177162869</v>
      </c>
      <c r="C670" s="15" t="n">
        <v>230</v>
      </c>
      <c r="D670" s="15" t="n">
        <v>525</v>
      </c>
      <c r="E670" s="15" t="n">
        <v>30</v>
      </c>
      <c r="F670" s="16" t="n">
        <v>0.730006099046008</v>
      </c>
      <c r="G670" s="17" t="s">
        <v>89</v>
      </c>
      <c r="H670" s="18" t="n">
        <v>0.3</v>
      </c>
      <c r="I670" s="18" t="n">
        <v>1.5</v>
      </c>
      <c r="J670" s="19" t="n">
        <v>0.87148182920868</v>
      </c>
      <c r="K670" s="19" t="n">
        <v>0.615650261925686</v>
      </c>
      <c r="L670" s="16" t="n">
        <v>13.8242208175964</v>
      </c>
      <c r="M670" s="19" t="n">
        <v>0.931407317590409</v>
      </c>
      <c r="N670" s="19" t="n">
        <v>0.631028826246277</v>
      </c>
      <c r="O670" s="19" t="n">
        <v>1.03895873560512</v>
      </c>
      <c r="P670" s="19" t="n">
        <v>0.482643929483082</v>
      </c>
      <c r="Q670" s="17" t="s">
        <v>31</v>
      </c>
      <c r="R670" s="5" t="str">
        <f aca="false">IF(OR(Q670="Steel plate",Q670="Concrete jacket"),"Steel plate or jacket",Q670)</f>
        <v>Polymer laminate</v>
      </c>
      <c r="S670" s="5" t="str">
        <f aca="false">IF(O670&lt;='Tree rules'!$C$4,IF(N670&lt;='Tree rules'!$C$5,IF(P670&lt;='Tree rules'!$C$6,"Monitor","Polymer laminate"),IF(P670&lt;='Tree rules'!$C$7,"Seal cracks","Polymer laminate")),IF(O670&lt;='Tree rules'!$C$8,IF(M670&lt;='Tree rules'!$C$9,"Steel plate or jacket","Polymer laminate"),IF(L670&lt;='Tree rules'!$C$10,"Steel plate or jacket","Polymer laminate")))</f>
        <v>Polymer laminate</v>
      </c>
      <c r="T670" s="5" t="str">
        <f aca="false">IF(S670=R670,"Yes","No")</f>
        <v>Yes</v>
      </c>
    </row>
    <row r="671" customFormat="false" ht="15" hidden="false" customHeight="false" outlineLevel="0" collapsed="false">
      <c r="A671" s="15" t="n">
        <v>950</v>
      </c>
      <c r="B671" s="16" t="n">
        <v>6.6353047008574</v>
      </c>
      <c r="C671" s="15" t="n">
        <v>300</v>
      </c>
      <c r="D671" s="15" t="n">
        <v>525</v>
      </c>
      <c r="E671" s="15" t="n">
        <v>25</v>
      </c>
      <c r="F671" s="16" t="n">
        <v>0.658614812073332</v>
      </c>
      <c r="G671" s="17" t="s">
        <v>89</v>
      </c>
      <c r="H671" s="18" t="n">
        <v>0.3</v>
      </c>
      <c r="I671" s="18" t="n">
        <v>1</v>
      </c>
      <c r="J671" s="19" t="n">
        <v>0.855880458323474</v>
      </c>
      <c r="K671" s="19" t="n">
        <v>0.562644925754992</v>
      </c>
      <c r="L671" s="16" t="n">
        <v>13.9104920353405</v>
      </c>
      <c r="M671" s="19" t="n">
        <v>0.929416556907825</v>
      </c>
      <c r="N671" s="19" t="n">
        <v>0.627672023533581</v>
      </c>
      <c r="O671" s="19" t="n">
        <v>0.855880458323474</v>
      </c>
      <c r="P671" s="19" t="n">
        <v>0.412877008314593</v>
      </c>
      <c r="Q671" s="17" t="s">
        <v>29</v>
      </c>
      <c r="R671" s="5" t="str">
        <f aca="false">IF(OR(Q671="Steel plate",Q671="Concrete jacket"),"Steel plate or jacket",Q671)</f>
        <v>Monitor</v>
      </c>
      <c r="S671" s="5" t="str">
        <f aca="false">IF(O671&lt;='Tree rules'!$C$4,IF(N671&lt;='Tree rules'!$C$5,IF(P671&lt;='Tree rules'!$C$6,"Monitor","Polymer laminate"),IF(P671&lt;='Tree rules'!$C$7,"Seal cracks","Polymer laminate")),IF(O671&lt;='Tree rules'!$C$8,IF(M671&lt;='Tree rules'!$C$9,"Steel plate or jacket","Polymer laminate"),IF(L671&lt;='Tree rules'!$C$10,"Steel plate or jacket","Polymer laminate")))</f>
        <v>Monitor</v>
      </c>
      <c r="T671" s="5" t="str">
        <f aca="false">IF(S671=R671,"Yes","No")</f>
        <v>Yes</v>
      </c>
    </row>
    <row r="672" customFormat="false" ht="15" hidden="false" customHeight="false" outlineLevel="0" collapsed="false">
      <c r="A672" s="15" t="n">
        <v>952</v>
      </c>
      <c r="B672" s="16" t="n">
        <v>3.76158974976344</v>
      </c>
      <c r="C672" s="15" t="n">
        <v>230</v>
      </c>
      <c r="D672" s="15" t="n">
        <v>325</v>
      </c>
      <c r="E672" s="15" t="n">
        <v>25</v>
      </c>
      <c r="F672" s="16" t="n">
        <v>0.662259320914844</v>
      </c>
      <c r="G672" s="17" t="s">
        <v>90</v>
      </c>
      <c r="H672" s="18" t="n">
        <v>0.1</v>
      </c>
      <c r="I672" s="18" t="n">
        <v>1.5</v>
      </c>
      <c r="J672" s="19" t="n">
        <v>0.958807056638781</v>
      </c>
      <c r="K672" s="19" t="n">
        <v>0.55605725121735</v>
      </c>
      <c r="L672" s="16" t="n">
        <v>14.2484460218312</v>
      </c>
      <c r="M672" s="19" t="n">
        <v>0.610936026970009</v>
      </c>
      <c r="N672" s="19" t="n">
        <v>3.76501429977665</v>
      </c>
      <c r="O672" s="19" t="n">
        <v>1.17163477677699</v>
      </c>
      <c r="P672" s="19" t="n">
        <v>0.537164245681506</v>
      </c>
      <c r="Q672" s="17" t="s">
        <v>31</v>
      </c>
      <c r="R672" s="5" t="str">
        <f aca="false">IF(OR(Q672="Steel plate",Q672="Concrete jacket"),"Steel plate or jacket",Q672)</f>
        <v>Polymer laminate</v>
      </c>
      <c r="S672" s="5" t="str">
        <f aca="false">IF(O672&lt;='Tree rules'!$C$4,IF(N672&lt;='Tree rules'!$C$5,IF(P672&lt;='Tree rules'!$C$6,"Monitor","Polymer laminate"),IF(P672&lt;='Tree rules'!$C$7,"Seal cracks","Polymer laminate")),IF(O672&lt;='Tree rules'!$C$8,IF(M672&lt;='Tree rules'!$C$9,"Steel plate or jacket","Polymer laminate"),IF(L672&lt;='Tree rules'!$C$10,"Steel plate or jacket","Polymer laminate")))</f>
        <v>Polymer laminate</v>
      </c>
      <c r="T672" s="5" t="str">
        <f aca="false">IF(S672=R672,"Yes","No")</f>
        <v>Yes</v>
      </c>
    </row>
    <row r="673" customFormat="false" ht="15" hidden="false" customHeight="false" outlineLevel="0" collapsed="false">
      <c r="A673" s="15" t="n">
        <v>953</v>
      </c>
      <c r="B673" s="16" t="n">
        <v>3.08824307368564</v>
      </c>
      <c r="C673" s="15" t="n">
        <v>300</v>
      </c>
      <c r="D673" s="15" t="n">
        <v>300</v>
      </c>
      <c r="E673" s="15" t="n">
        <v>30</v>
      </c>
      <c r="F673" s="16" t="n">
        <v>0.841263304726974</v>
      </c>
      <c r="G673" s="17" t="s">
        <v>90</v>
      </c>
      <c r="H673" s="18" t="n">
        <v>0.1</v>
      </c>
      <c r="I673" s="18" t="n">
        <v>2</v>
      </c>
      <c r="J673" s="19" t="n">
        <v>0.963275432059947</v>
      </c>
      <c r="K673" s="19" t="n">
        <v>0.605568300722732</v>
      </c>
      <c r="L673" s="16" t="n">
        <v>12.92151913676</v>
      </c>
      <c r="M673" s="19" t="n">
        <v>0.482712719726982</v>
      </c>
      <c r="N673" s="19" t="n">
        <v>4.39781993369623</v>
      </c>
      <c r="O673" s="19" t="n">
        <v>1.3432217975994</v>
      </c>
      <c r="P673" s="19" t="n">
        <v>0.747096455672476</v>
      </c>
      <c r="Q673" s="17" t="s">
        <v>31</v>
      </c>
      <c r="R673" s="5" t="str">
        <f aca="false">IF(OR(Q673="Steel plate",Q673="Concrete jacket"),"Steel plate or jacket",Q673)</f>
        <v>Polymer laminate</v>
      </c>
      <c r="S673" s="5" t="str">
        <f aca="false">IF(O673&lt;='Tree rules'!$C$4,IF(N673&lt;='Tree rules'!$C$5,IF(P673&lt;='Tree rules'!$C$6,"Monitor","Polymer laminate"),IF(P673&lt;='Tree rules'!$C$7,"Seal cracks","Polymer laminate")),IF(O673&lt;='Tree rules'!$C$8,IF(M673&lt;='Tree rules'!$C$9,"Steel plate or jacket","Polymer laminate"),IF(L673&lt;='Tree rules'!$C$10,"Steel plate or jacket","Polymer laminate")))</f>
        <v>Steel plate or jacket</v>
      </c>
      <c r="T673" s="5" t="str">
        <f aca="false">IF(S673=R673,"Yes","No")</f>
        <v>No</v>
      </c>
    </row>
    <row r="674" customFormat="false" ht="15" hidden="false" customHeight="false" outlineLevel="0" collapsed="false">
      <c r="A674" s="15" t="n">
        <v>955</v>
      </c>
      <c r="B674" s="16" t="n">
        <v>5.18453185651109</v>
      </c>
      <c r="C674" s="15" t="n">
        <v>230</v>
      </c>
      <c r="D674" s="15" t="n">
        <v>450</v>
      </c>
      <c r="E674" s="15" t="n">
        <v>25</v>
      </c>
      <c r="F674" s="16" t="n">
        <v>0.679557138998441</v>
      </c>
      <c r="G674" s="17" t="s">
        <v>91</v>
      </c>
      <c r="H674" s="18" t="n">
        <v>0.2</v>
      </c>
      <c r="I674" s="18" t="n">
        <v>1</v>
      </c>
      <c r="J674" s="19" t="n">
        <v>0.903968152187916</v>
      </c>
      <c r="K674" s="19" t="n">
        <v>0.547379932118816</v>
      </c>
      <c r="L674" s="16" t="n">
        <v>12.8968454142067</v>
      </c>
      <c r="M674" s="19" t="n">
        <v>0.802980456091096</v>
      </c>
      <c r="N674" s="19" t="n">
        <v>1.19213187703926</v>
      </c>
      <c r="O674" s="19" t="n">
        <v>0.903968152187916</v>
      </c>
      <c r="P674" s="19" t="n">
        <v>0.437848768590714</v>
      </c>
      <c r="Q674" s="17" t="s">
        <v>30</v>
      </c>
      <c r="R674" s="5" t="str">
        <f aca="false">IF(OR(Q674="Steel plate",Q674="Concrete jacket"),"Steel plate or jacket",Q674)</f>
        <v>Seal cracks</v>
      </c>
      <c r="S674" s="5" t="str">
        <f aca="false">IF(O674&lt;='Tree rules'!$C$4,IF(N674&lt;='Tree rules'!$C$5,IF(P674&lt;='Tree rules'!$C$6,"Monitor","Polymer laminate"),IF(P674&lt;='Tree rules'!$C$7,"Seal cracks","Polymer laminate")),IF(O674&lt;='Tree rules'!$C$8,IF(M674&lt;='Tree rules'!$C$9,"Steel plate or jacket","Polymer laminate"),IF(L674&lt;='Tree rules'!$C$10,"Steel plate or jacket","Polymer laminate")))</f>
        <v>Seal cracks</v>
      </c>
      <c r="T674" s="5" t="str">
        <f aca="false">IF(S674=R674,"Yes","No")</f>
        <v>Yes</v>
      </c>
    </row>
    <row r="675" customFormat="false" ht="15" hidden="false" customHeight="false" outlineLevel="0" collapsed="false">
      <c r="A675" s="15" t="n">
        <v>956</v>
      </c>
      <c r="B675" s="16" t="n">
        <v>7.5431785465466</v>
      </c>
      <c r="C675" s="15" t="n">
        <v>230</v>
      </c>
      <c r="D675" s="15" t="n">
        <v>675</v>
      </c>
      <c r="E675" s="15" t="n">
        <v>30</v>
      </c>
      <c r="F675" s="16" t="n">
        <v>0.653545382481754</v>
      </c>
      <c r="G675" s="17" t="s">
        <v>89</v>
      </c>
      <c r="H675" s="18" t="n">
        <v>0.3</v>
      </c>
      <c r="I675" s="18" t="n">
        <v>2</v>
      </c>
      <c r="J675" s="19" t="n">
        <v>0.875408604239718</v>
      </c>
      <c r="K675" s="19" t="n">
        <v>0.514772967729481</v>
      </c>
      <c r="L675" s="16" t="n">
        <v>12.0305877935353</v>
      </c>
      <c r="M675" s="19" t="n">
        <v>0.402165297756967</v>
      </c>
      <c r="N675" s="19" t="n">
        <v>0.948855153435285</v>
      </c>
      <c r="O675" s="19" t="n">
        <v>1.30018052329903</v>
      </c>
      <c r="P675" s="19" t="n">
        <v>0.922910594238804</v>
      </c>
      <c r="Q675" s="17" t="s">
        <v>31</v>
      </c>
      <c r="R675" s="5" t="str">
        <f aca="false">IF(OR(Q675="Steel plate",Q675="Concrete jacket"),"Steel plate or jacket",Q675)</f>
        <v>Polymer laminate</v>
      </c>
      <c r="S675" s="5" t="str">
        <f aca="false">IF(O675&lt;='Tree rules'!$C$4,IF(N675&lt;='Tree rules'!$C$5,IF(P675&lt;='Tree rules'!$C$6,"Monitor","Polymer laminate"),IF(P675&lt;='Tree rules'!$C$7,"Seal cracks","Polymer laminate")),IF(O675&lt;='Tree rules'!$C$8,IF(M675&lt;='Tree rules'!$C$9,"Steel plate or jacket","Polymer laminate"),IF(L675&lt;='Tree rules'!$C$10,"Steel plate or jacket","Polymer laminate")))</f>
        <v>Steel plate or jacket</v>
      </c>
      <c r="T675" s="5" t="str">
        <f aca="false">IF(S675=R675,"Yes","No")</f>
        <v>No</v>
      </c>
    </row>
    <row r="676" customFormat="false" ht="15" hidden="false" customHeight="false" outlineLevel="0" collapsed="false">
      <c r="A676" s="15" t="n">
        <v>958</v>
      </c>
      <c r="B676" s="16" t="n">
        <v>5.36214050111065</v>
      </c>
      <c r="C676" s="15" t="n">
        <v>300</v>
      </c>
      <c r="D676" s="15" t="n">
        <v>450</v>
      </c>
      <c r="E676" s="15" t="n">
        <v>25</v>
      </c>
      <c r="F676" s="16" t="n">
        <v>0.663570725510715</v>
      </c>
      <c r="G676" s="17" t="s">
        <v>89</v>
      </c>
      <c r="H676" s="18" t="n">
        <v>0.3</v>
      </c>
      <c r="I676" s="18" t="n">
        <v>1</v>
      </c>
      <c r="J676" s="19" t="n">
        <v>0.929580020567309</v>
      </c>
      <c r="K676" s="19" t="n">
        <v>0.473260002995066</v>
      </c>
      <c r="L676" s="16" t="n">
        <v>13.2726250027491</v>
      </c>
      <c r="M676" s="19" t="n">
        <v>0.357331294144463</v>
      </c>
      <c r="N676" s="19" t="n">
        <v>0.696371610618726</v>
      </c>
      <c r="O676" s="19" t="n">
        <v>0.929580020567309</v>
      </c>
      <c r="P676" s="19" t="n">
        <v>0.914520228856482</v>
      </c>
      <c r="Q676" s="17" t="s">
        <v>29</v>
      </c>
      <c r="R676" s="5" t="str">
        <f aca="false">IF(OR(Q676="Steel plate",Q676="Concrete jacket"),"Steel plate or jacket",Q676)</f>
        <v>Monitor</v>
      </c>
      <c r="S676" s="5" t="str">
        <f aca="false">IF(O676&lt;='Tree rules'!$C$4,IF(N676&lt;='Tree rules'!$C$5,IF(P676&lt;='Tree rules'!$C$6,"Monitor","Polymer laminate"),IF(P676&lt;='Tree rules'!$C$7,"Seal cracks","Polymer laminate")),IF(O676&lt;='Tree rules'!$C$8,IF(M676&lt;='Tree rules'!$C$9,"Steel plate or jacket","Polymer laminate"),IF(L676&lt;='Tree rules'!$C$10,"Steel plate or jacket","Polymer laminate")))</f>
        <v>Monitor</v>
      </c>
      <c r="T676" s="5" t="str">
        <f aca="false">IF(S676=R676,"Yes","No")</f>
        <v>Yes</v>
      </c>
    </row>
    <row r="677" customFormat="false" ht="15" hidden="false" customHeight="false" outlineLevel="0" collapsed="false">
      <c r="A677" s="15" t="n">
        <v>959</v>
      </c>
      <c r="B677" s="16" t="n">
        <v>3.43689167437706</v>
      </c>
      <c r="C677" s="15" t="n">
        <v>230</v>
      </c>
      <c r="D677" s="15" t="n">
        <v>300</v>
      </c>
      <c r="E677" s="15" t="n">
        <v>25</v>
      </c>
      <c r="F677" s="16" t="n">
        <v>0.768324290280112</v>
      </c>
      <c r="G677" s="17" t="s">
        <v>91</v>
      </c>
      <c r="H677" s="18" t="n">
        <v>0.2</v>
      </c>
      <c r="I677" s="18" t="n">
        <v>1</v>
      </c>
      <c r="J677" s="19" t="n">
        <v>0.855329064208119</v>
      </c>
      <c r="K677" s="19" t="n">
        <v>0.437361663854759</v>
      </c>
      <c r="L677" s="16" t="n">
        <v>13.4253581030354</v>
      </c>
      <c r="M677" s="19" t="n">
        <v>0.939239219437082</v>
      </c>
      <c r="N677" s="19" t="n">
        <v>0.788970185596295</v>
      </c>
      <c r="O677" s="19" t="n">
        <v>0.855329064208119</v>
      </c>
      <c r="P677" s="19" t="n">
        <v>0.330837131320321</v>
      </c>
      <c r="Q677" s="17" t="s">
        <v>29</v>
      </c>
      <c r="R677" s="5" t="str">
        <f aca="false">IF(OR(Q677="Steel plate",Q677="Concrete jacket"),"Steel plate or jacket",Q677)</f>
        <v>Monitor</v>
      </c>
      <c r="S677" s="5" t="str">
        <f aca="false">IF(O677&lt;='Tree rules'!$C$4,IF(N677&lt;='Tree rules'!$C$5,IF(P677&lt;='Tree rules'!$C$6,"Monitor","Polymer laminate"),IF(P677&lt;='Tree rules'!$C$7,"Seal cracks","Polymer laminate")),IF(O677&lt;='Tree rules'!$C$8,IF(M677&lt;='Tree rules'!$C$9,"Steel plate or jacket","Polymer laminate"),IF(L677&lt;='Tree rules'!$C$10,"Steel plate or jacket","Polymer laminate")))</f>
        <v>Monitor</v>
      </c>
      <c r="T677" s="5" t="str">
        <f aca="false">IF(S677=R677,"Yes","No")</f>
        <v>Yes</v>
      </c>
    </row>
    <row r="678" customFormat="false" ht="15" hidden="false" customHeight="false" outlineLevel="0" collapsed="false">
      <c r="A678" s="15" t="n">
        <v>960</v>
      </c>
      <c r="B678" s="16" t="n">
        <v>3.87194377470134</v>
      </c>
      <c r="C678" s="15" t="n">
        <v>300</v>
      </c>
      <c r="D678" s="15" t="n">
        <v>350</v>
      </c>
      <c r="E678" s="15" t="n">
        <v>25</v>
      </c>
      <c r="F678" s="16" t="n">
        <v>0.739198271432892</v>
      </c>
      <c r="G678" s="17" t="s">
        <v>89</v>
      </c>
      <c r="H678" s="18" t="n">
        <v>0.3</v>
      </c>
      <c r="I678" s="18" t="n">
        <v>1.5</v>
      </c>
      <c r="J678" s="19" t="n">
        <v>0.869977227443645</v>
      </c>
      <c r="K678" s="19" t="n">
        <v>0.578219129814389</v>
      </c>
      <c r="L678" s="16" t="n">
        <v>12.6534110284358</v>
      </c>
      <c r="M678" s="19" t="n">
        <v>0.332409862454994</v>
      </c>
      <c r="N678" s="19" t="n">
        <v>0.726939978393212</v>
      </c>
      <c r="O678" s="19" t="n">
        <v>1.05344710346007</v>
      </c>
      <c r="P678" s="19" t="n">
        <v>1.06568199354956</v>
      </c>
      <c r="Q678" s="17" t="s">
        <v>31</v>
      </c>
      <c r="R678" s="5" t="str">
        <f aca="false">IF(OR(Q678="Steel plate",Q678="Concrete jacket"),"Steel plate or jacket",Q678)</f>
        <v>Polymer laminate</v>
      </c>
      <c r="S678" s="5" t="str">
        <f aca="false">IF(O678&lt;='Tree rules'!$C$4,IF(N678&lt;='Tree rules'!$C$5,IF(P678&lt;='Tree rules'!$C$6,"Monitor","Polymer laminate"),IF(P678&lt;='Tree rules'!$C$7,"Seal cracks","Polymer laminate")),IF(O678&lt;='Tree rules'!$C$8,IF(M678&lt;='Tree rules'!$C$9,"Steel plate or jacket","Polymer laminate"),IF(L678&lt;='Tree rules'!$C$10,"Steel plate or jacket","Polymer laminate")))</f>
        <v>Polymer laminate</v>
      </c>
      <c r="T678" s="5" t="str">
        <f aca="false">IF(S678=R678,"Yes","No")</f>
        <v>Yes</v>
      </c>
    </row>
    <row r="679" customFormat="false" ht="15" hidden="false" customHeight="false" outlineLevel="0" collapsed="false">
      <c r="A679" s="15" t="n">
        <v>961</v>
      </c>
      <c r="B679" s="16" t="n">
        <v>3.69070612812277</v>
      </c>
      <c r="C679" s="15" t="n">
        <v>300</v>
      </c>
      <c r="D679" s="15" t="n">
        <v>350</v>
      </c>
      <c r="E679" s="15" t="n">
        <v>20</v>
      </c>
      <c r="F679" s="16" t="n">
        <v>0.739198271432892</v>
      </c>
      <c r="G679" s="17" t="s">
        <v>89</v>
      </c>
      <c r="H679" s="18" t="n">
        <v>0.3</v>
      </c>
      <c r="I679" s="18" t="n">
        <v>1.5</v>
      </c>
      <c r="J679" s="19" t="n">
        <v>0.92155896930867</v>
      </c>
      <c r="K679" s="19" t="n">
        <v>0.604811366395029</v>
      </c>
      <c r="L679" s="16" t="n">
        <v>12.0611311376561</v>
      </c>
      <c r="M679" s="19" t="n">
        <v>0.55262335135416</v>
      </c>
      <c r="N679" s="19" t="n">
        <v>0.722235153370677</v>
      </c>
      <c r="O679" s="19" t="n">
        <v>1.10365378424242</v>
      </c>
      <c r="P679" s="19" t="n">
        <v>0.723488563150738</v>
      </c>
      <c r="Q679" s="17" t="s">
        <v>31</v>
      </c>
      <c r="R679" s="5" t="str">
        <f aca="false">IF(OR(Q679="Steel plate",Q679="Concrete jacket"),"Steel plate or jacket",Q679)</f>
        <v>Polymer laminate</v>
      </c>
      <c r="S679" s="5" t="str">
        <f aca="false">IF(O679&lt;='Tree rules'!$C$4,IF(N679&lt;='Tree rules'!$C$5,IF(P679&lt;='Tree rules'!$C$6,"Monitor","Polymer laminate"),IF(P679&lt;='Tree rules'!$C$7,"Seal cracks","Polymer laminate")),IF(O679&lt;='Tree rules'!$C$8,IF(M679&lt;='Tree rules'!$C$9,"Steel plate or jacket","Polymer laminate"),IF(L679&lt;='Tree rules'!$C$10,"Steel plate or jacket","Polymer laminate")))</f>
        <v>Polymer laminate</v>
      </c>
      <c r="T679" s="5" t="str">
        <f aca="false">IF(S679=R679,"Yes","No")</f>
        <v>Yes</v>
      </c>
    </row>
    <row r="680" customFormat="false" ht="15" hidden="false" customHeight="false" outlineLevel="0" collapsed="false">
      <c r="A680" s="15" t="n">
        <v>962</v>
      </c>
      <c r="B680" s="16" t="n">
        <v>7.91091001363986</v>
      </c>
      <c r="C680" s="15" t="n">
        <v>300</v>
      </c>
      <c r="D680" s="15" t="n">
        <v>775</v>
      </c>
      <c r="E680" s="15" t="n">
        <v>20</v>
      </c>
      <c r="F680" s="16" t="n">
        <v>0.576174718677633</v>
      </c>
      <c r="G680" s="17" t="s">
        <v>89</v>
      </c>
      <c r="H680" s="18" t="n">
        <v>0.3</v>
      </c>
      <c r="I680" s="18" t="n">
        <v>1</v>
      </c>
      <c r="J680" s="19" t="n">
        <v>0.960941131655268</v>
      </c>
      <c r="K680" s="19" t="n">
        <v>0.421761109821111</v>
      </c>
      <c r="L680" s="16" t="n">
        <v>10.881581861953</v>
      </c>
      <c r="M680" s="19" t="n">
        <v>0.769665150687876</v>
      </c>
      <c r="N680" s="19" t="n">
        <v>0.608987365779668</v>
      </c>
      <c r="O680" s="19" t="n">
        <v>0.960941131655268</v>
      </c>
      <c r="P680" s="19" t="n">
        <v>0.394764910801775</v>
      </c>
      <c r="Q680" s="17" t="s">
        <v>29</v>
      </c>
      <c r="R680" s="5" t="str">
        <f aca="false">IF(OR(Q680="Steel plate",Q680="Concrete jacket"),"Steel plate or jacket",Q680)</f>
        <v>Monitor</v>
      </c>
      <c r="S680" s="5" t="str">
        <f aca="false">IF(O680&lt;='Tree rules'!$C$4,IF(N680&lt;='Tree rules'!$C$5,IF(P680&lt;='Tree rules'!$C$6,"Monitor","Polymer laminate"),IF(P680&lt;='Tree rules'!$C$7,"Seal cracks","Polymer laminate")),IF(O680&lt;='Tree rules'!$C$8,IF(M680&lt;='Tree rules'!$C$9,"Steel plate or jacket","Polymer laminate"),IF(L680&lt;='Tree rules'!$C$10,"Steel plate or jacket","Polymer laminate")))</f>
        <v>Monitor</v>
      </c>
      <c r="T680" s="5" t="str">
        <f aca="false">IF(S680=R680,"Yes","No")</f>
        <v>Yes</v>
      </c>
    </row>
    <row r="681" customFormat="false" ht="15" hidden="false" customHeight="false" outlineLevel="0" collapsed="false">
      <c r="A681" s="15" t="n">
        <v>965</v>
      </c>
      <c r="B681" s="16" t="n">
        <v>6.84149996996068</v>
      </c>
      <c r="C681" s="15" t="n">
        <v>300</v>
      </c>
      <c r="D681" s="15" t="n">
        <v>650</v>
      </c>
      <c r="E681" s="15" t="n">
        <v>30</v>
      </c>
      <c r="F681" s="16" t="n">
        <v>0.869765407970596</v>
      </c>
      <c r="G681" s="17" t="s">
        <v>91</v>
      </c>
      <c r="H681" s="18" t="n">
        <v>0.2</v>
      </c>
      <c r="I681" s="18" t="n">
        <v>1.5</v>
      </c>
      <c r="J681" s="19" t="n">
        <v>0.875651158523099</v>
      </c>
      <c r="K681" s="19" t="n">
        <v>0.451402236463987</v>
      </c>
      <c r="L681" s="16" t="n">
        <v>11.3646178903001</v>
      </c>
      <c r="M681" s="19" t="n">
        <v>0.618245782326244</v>
      </c>
      <c r="N681" s="19" t="n">
        <v>1.08293279239345</v>
      </c>
      <c r="O681" s="19" t="n">
        <v>1.11584129212484</v>
      </c>
      <c r="P681" s="19" t="n">
        <v>0.634924333929049</v>
      </c>
      <c r="Q681" s="17" t="s">
        <v>31</v>
      </c>
      <c r="R681" s="5" t="str">
        <f aca="false">IF(OR(Q681="Steel plate",Q681="Concrete jacket"),"Steel plate or jacket",Q681)</f>
        <v>Polymer laminate</v>
      </c>
      <c r="S681" s="5" t="str">
        <f aca="false">IF(O681&lt;='Tree rules'!$C$4,IF(N681&lt;='Tree rules'!$C$5,IF(P681&lt;='Tree rules'!$C$6,"Monitor","Polymer laminate"),IF(P681&lt;='Tree rules'!$C$7,"Seal cracks","Polymer laminate")),IF(O681&lt;='Tree rules'!$C$8,IF(M681&lt;='Tree rules'!$C$9,"Steel plate or jacket","Polymer laminate"),IF(L681&lt;='Tree rules'!$C$10,"Steel plate or jacket","Polymer laminate")))</f>
        <v>Polymer laminate</v>
      </c>
      <c r="T681" s="5" t="str">
        <f aca="false">IF(S681=R681,"Yes","No")</f>
        <v>Yes</v>
      </c>
    </row>
    <row r="682" customFormat="false" ht="15" hidden="false" customHeight="false" outlineLevel="0" collapsed="false">
      <c r="A682" s="15" t="n">
        <v>966</v>
      </c>
      <c r="B682" s="16" t="n">
        <v>4.26079274840968</v>
      </c>
      <c r="C682" s="15" t="n">
        <v>300</v>
      </c>
      <c r="D682" s="15" t="n">
        <v>325</v>
      </c>
      <c r="E682" s="15" t="n">
        <v>20</v>
      </c>
      <c r="F682" s="16" t="n">
        <v>0.67080270183412</v>
      </c>
      <c r="G682" s="17" t="s">
        <v>91</v>
      </c>
      <c r="H682" s="18" t="n">
        <v>0.2</v>
      </c>
      <c r="I682" s="18" t="n">
        <v>1</v>
      </c>
      <c r="J682" s="19" t="n">
        <v>0.856605140931078</v>
      </c>
      <c r="K682" s="19" t="n">
        <v>0.513560709901791</v>
      </c>
      <c r="L682" s="16" t="n">
        <v>15.1629635174722</v>
      </c>
      <c r="M682" s="19" t="n">
        <v>0.786582301371844</v>
      </c>
      <c r="N682" s="19" t="n">
        <v>0.806350740215793</v>
      </c>
      <c r="O682" s="19" t="n">
        <v>0.856605140931078</v>
      </c>
      <c r="P682" s="19" t="n">
        <v>0.470778892714377</v>
      </c>
      <c r="Q682" s="17" t="s">
        <v>29</v>
      </c>
      <c r="R682" s="5" t="str">
        <f aca="false">IF(OR(Q682="Steel plate",Q682="Concrete jacket"),"Steel plate or jacket",Q682)</f>
        <v>Monitor</v>
      </c>
      <c r="S682" s="5" t="str">
        <f aca="false">IF(O682&lt;='Tree rules'!$C$4,IF(N682&lt;='Tree rules'!$C$5,IF(P682&lt;='Tree rules'!$C$6,"Monitor","Polymer laminate"),IF(P682&lt;='Tree rules'!$C$7,"Seal cracks","Polymer laminate")),IF(O682&lt;='Tree rules'!$C$8,IF(M682&lt;='Tree rules'!$C$9,"Steel plate or jacket","Polymer laminate"),IF(L682&lt;='Tree rules'!$C$10,"Steel plate or jacket","Polymer laminate")))</f>
        <v>Monitor</v>
      </c>
      <c r="T682" s="5" t="str">
        <f aca="false">IF(S682=R682,"Yes","No")</f>
        <v>Yes</v>
      </c>
    </row>
    <row r="683" customFormat="false" ht="15" hidden="false" customHeight="false" outlineLevel="0" collapsed="false">
      <c r="A683" s="15" t="n">
        <v>967</v>
      </c>
      <c r="B683" s="16" t="n">
        <v>3.84370087216555</v>
      </c>
      <c r="C683" s="15" t="n">
        <v>300</v>
      </c>
      <c r="D683" s="15" t="n">
        <v>325</v>
      </c>
      <c r="E683" s="15" t="n">
        <v>25</v>
      </c>
      <c r="F683" s="16" t="n">
        <v>0.72065207824282</v>
      </c>
      <c r="G683" s="17" t="s">
        <v>91</v>
      </c>
      <c r="H683" s="18" t="n">
        <v>0.2</v>
      </c>
      <c r="I683" s="18" t="n">
        <v>2</v>
      </c>
      <c r="J683" s="19" t="n">
        <v>0.925665051268463</v>
      </c>
      <c r="K683" s="19" t="n">
        <v>0.402408347388128</v>
      </c>
      <c r="L683" s="16" t="n">
        <v>13.776705635002</v>
      </c>
      <c r="M683" s="19" t="n">
        <v>0.620964275376468</v>
      </c>
      <c r="N683" s="19" t="n">
        <v>1.87857107864071</v>
      </c>
      <c r="O683" s="19" t="n">
        <v>1.47883475902104</v>
      </c>
      <c r="P683" s="19" t="n">
        <v>0.665074318618442</v>
      </c>
      <c r="Q683" s="17" t="s">
        <v>31</v>
      </c>
      <c r="R683" s="5" t="str">
        <f aca="false">IF(OR(Q683="Steel plate",Q683="Concrete jacket"),"Steel plate or jacket",Q683)</f>
        <v>Polymer laminate</v>
      </c>
      <c r="S683" s="5" t="str">
        <f aca="false">IF(O683&lt;='Tree rules'!$C$4,IF(N683&lt;='Tree rules'!$C$5,IF(P683&lt;='Tree rules'!$C$6,"Monitor","Polymer laminate"),IF(P683&lt;='Tree rules'!$C$7,"Seal cracks","Polymer laminate")),IF(O683&lt;='Tree rules'!$C$8,IF(M683&lt;='Tree rules'!$C$9,"Steel plate or jacket","Polymer laminate"),IF(L683&lt;='Tree rules'!$C$10,"Steel plate or jacket","Polymer laminate")))</f>
        <v>Polymer laminate</v>
      </c>
      <c r="T683" s="5" t="str">
        <f aca="false">IF(S683=R683,"Yes","No")</f>
        <v>Yes</v>
      </c>
    </row>
    <row r="684" customFormat="false" ht="15" hidden="false" customHeight="false" outlineLevel="0" collapsed="false">
      <c r="A684" s="15" t="n">
        <v>968</v>
      </c>
      <c r="B684" s="16" t="n">
        <v>5.69191151432626</v>
      </c>
      <c r="C684" s="15" t="n">
        <v>230</v>
      </c>
      <c r="D684" s="15" t="n">
        <v>550</v>
      </c>
      <c r="E684" s="15" t="n">
        <v>30</v>
      </c>
      <c r="F684" s="16" t="n">
        <v>0.816280786486175</v>
      </c>
      <c r="G684" s="17" t="s">
        <v>89</v>
      </c>
      <c r="H684" s="18" t="n">
        <v>0.3</v>
      </c>
      <c r="I684" s="18" t="n">
        <v>1</v>
      </c>
      <c r="J684" s="19" t="n">
        <v>0.854862743867393</v>
      </c>
      <c r="K684" s="19" t="n">
        <v>0.462135354004219</v>
      </c>
      <c r="L684" s="16" t="n">
        <v>11.3384691520444</v>
      </c>
      <c r="M684" s="19" t="n">
        <v>0.881109122190276</v>
      </c>
      <c r="N684" s="19" t="n">
        <v>0.563270977530037</v>
      </c>
      <c r="O684" s="19" t="n">
        <v>0.854862743867393</v>
      </c>
      <c r="P684" s="19" t="n">
        <v>0.368141967799543</v>
      </c>
      <c r="Q684" s="17" t="s">
        <v>29</v>
      </c>
      <c r="R684" s="5" t="str">
        <f aca="false">IF(OR(Q684="Steel plate",Q684="Concrete jacket"),"Steel plate or jacket",Q684)</f>
        <v>Monitor</v>
      </c>
      <c r="S684" s="5" t="str">
        <f aca="false">IF(O684&lt;='Tree rules'!$C$4,IF(N684&lt;='Tree rules'!$C$5,IF(P684&lt;='Tree rules'!$C$6,"Monitor","Polymer laminate"),IF(P684&lt;='Tree rules'!$C$7,"Seal cracks","Polymer laminate")),IF(O684&lt;='Tree rules'!$C$8,IF(M684&lt;='Tree rules'!$C$9,"Steel plate or jacket","Polymer laminate"),IF(L684&lt;='Tree rules'!$C$10,"Steel plate or jacket","Polymer laminate")))</f>
        <v>Monitor</v>
      </c>
      <c r="T684" s="5" t="str">
        <f aca="false">IF(S684=R684,"Yes","No")</f>
        <v>Yes</v>
      </c>
    </row>
    <row r="685" customFormat="false" ht="15" hidden="false" customHeight="false" outlineLevel="0" collapsed="false">
      <c r="A685" s="15" t="n">
        <v>969</v>
      </c>
      <c r="B685" s="16" t="n">
        <v>5.07175060078007</v>
      </c>
      <c r="C685" s="15" t="n">
        <v>230</v>
      </c>
      <c r="D685" s="15" t="n">
        <v>450</v>
      </c>
      <c r="E685" s="15" t="n">
        <v>30</v>
      </c>
      <c r="F685" s="16" t="n">
        <v>0.865527033274846</v>
      </c>
      <c r="G685" s="17" t="s">
        <v>89</v>
      </c>
      <c r="H685" s="18" t="n">
        <v>0.3</v>
      </c>
      <c r="I685" s="18" t="n">
        <v>1.5</v>
      </c>
      <c r="J685" s="19" t="n">
        <v>0.890994114249825</v>
      </c>
      <c r="K685" s="19" t="n">
        <v>0.483461410144811</v>
      </c>
      <c r="L685" s="16" t="n">
        <v>12.5538381207428</v>
      </c>
      <c r="M685" s="19" t="n">
        <v>0.809124098906734</v>
      </c>
      <c r="N685" s="19" t="n">
        <v>0.720273863539513</v>
      </c>
      <c r="O685" s="19" t="n">
        <v>1.12111053592176</v>
      </c>
      <c r="P685" s="19" t="n">
        <v>0.521773906706662</v>
      </c>
      <c r="Q685" s="17" t="s">
        <v>31</v>
      </c>
      <c r="R685" s="5" t="str">
        <f aca="false">IF(OR(Q685="Steel plate",Q685="Concrete jacket"),"Steel plate or jacket",Q685)</f>
        <v>Polymer laminate</v>
      </c>
      <c r="S685" s="5" t="str">
        <f aca="false">IF(O685&lt;='Tree rules'!$C$4,IF(N685&lt;='Tree rules'!$C$5,IF(P685&lt;='Tree rules'!$C$6,"Monitor","Polymer laminate"),IF(P685&lt;='Tree rules'!$C$7,"Seal cracks","Polymer laminate")),IF(O685&lt;='Tree rules'!$C$8,IF(M685&lt;='Tree rules'!$C$9,"Steel plate or jacket","Polymer laminate"),IF(L685&lt;='Tree rules'!$C$10,"Steel plate or jacket","Polymer laminate")))</f>
        <v>Polymer laminate</v>
      </c>
      <c r="T685" s="5" t="str">
        <f aca="false">IF(S685=R685,"Yes","No")</f>
        <v>Yes</v>
      </c>
    </row>
    <row r="686" customFormat="false" ht="15" hidden="false" customHeight="false" outlineLevel="0" collapsed="false">
      <c r="A686" s="15" t="n">
        <v>971</v>
      </c>
      <c r="B686" s="16" t="n">
        <v>4.11452040997388</v>
      </c>
      <c r="C686" s="15" t="n">
        <v>300</v>
      </c>
      <c r="D686" s="15" t="n">
        <v>375</v>
      </c>
      <c r="E686" s="15" t="n">
        <v>30</v>
      </c>
      <c r="F686" s="16" t="n">
        <v>0.611130485804701</v>
      </c>
      <c r="G686" s="17" t="s">
        <v>89</v>
      </c>
      <c r="H686" s="18" t="n">
        <v>0.3</v>
      </c>
      <c r="I686" s="18" t="n">
        <v>1</v>
      </c>
      <c r="J686" s="19" t="n">
        <v>0.9479692422384</v>
      </c>
      <c r="K686" s="19" t="n">
        <v>0.630607289291407</v>
      </c>
      <c r="L686" s="16" t="n">
        <v>12.5061410637504</v>
      </c>
      <c r="M686" s="19" t="n">
        <v>0.608059344252605</v>
      </c>
      <c r="N686" s="19" t="n">
        <v>0.778495762463309</v>
      </c>
      <c r="O686" s="19" t="n">
        <v>0.9479692422384</v>
      </c>
      <c r="P686" s="19" t="n">
        <v>0.495155636261139</v>
      </c>
      <c r="Q686" s="17" t="s">
        <v>29</v>
      </c>
      <c r="R686" s="5" t="str">
        <f aca="false">IF(OR(Q686="Steel plate",Q686="Concrete jacket"),"Steel plate or jacket",Q686)</f>
        <v>Monitor</v>
      </c>
      <c r="S686" s="5" t="str">
        <f aca="false">IF(O686&lt;='Tree rules'!$C$4,IF(N686&lt;='Tree rules'!$C$5,IF(P686&lt;='Tree rules'!$C$6,"Monitor","Polymer laminate"),IF(P686&lt;='Tree rules'!$C$7,"Seal cracks","Polymer laminate")),IF(O686&lt;='Tree rules'!$C$8,IF(M686&lt;='Tree rules'!$C$9,"Steel plate or jacket","Polymer laminate"),IF(L686&lt;='Tree rules'!$C$10,"Steel plate or jacket","Polymer laminate")))</f>
        <v>Monitor</v>
      </c>
      <c r="T686" s="5" t="str">
        <f aca="false">IF(S686=R686,"Yes","No")</f>
        <v>Yes</v>
      </c>
    </row>
    <row r="687" customFormat="false" ht="15" hidden="false" customHeight="false" outlineLevel="0" collapsed="false">
      <c r="A687" s="15" t="n">
        <v>972</v>
      </c>
      <c r="B687" s="16" t="n">
        <v>6.7656209294624</v>
      </c>
      <c r="C687" s="15" t="n">
        <v>230</v>
      </c>
      <c r="D687" s="15" t="n">
        <v>525</v>
      </c>
      <c r="E687" s="15" t="n">
        <v>20</v>
      </c>
      <c r="F687" s="16" t="n">
        <v>0.57270853223768</v>
      </c>
      <c r="G687" s="17" t="s">
        <v>91</v>
      </c>
      <c r="H687" s="18" t="n">
        <v>0.2</v>
      </c>
      <c r="I687" s="18" t="n">
        <v>1</v>
      </c>
      <c r="J687" s="19" t="n">
        <v>0.936402263065226</v>
      </c>
      <c r="K687" s="19" t="n">
        <v>0.47815695250962</v>
      </c>
      <c r="L687" s="16" t="n">
        <v>14.1836916760218</v>
      </c>
      <c r="M687" s="19" t="n">
        <v>0.525623796882634</v>
      </c>
      <c r="N687" s="19" t="n">
        <v>1.31386822332678</v>
      </c>
      <c r="O687" s="19" t="n">
        <v>0.936402263065226</v>
      </c>
      <c r="P687" s="19" t="n">
        <v>0.680798369180735</v>
      </c>
      <c r="Q687" s="17" t="s">
        <v>30</v>
      </c>
      <c r="R687" s="5" t="str">
        <f aca="false">IF(OR(Q687="Steel plate",Q687="Concrete jacket"),"Steel plate or jacket",Q687)</f>
        <v>Seal cracks</v>
      </c>
      <c r="S687" s="5" t="str">
        <f aca="false">IF(O687&lt;='Tree rules'!$C$4,IF(N687&lt;='Tree rules'!$C$5,IF(P687&lt;='Tree rules'!$C$6,"Monitor","Polymer laminate"),IF(P687&lt;='Tree rules'!$C$7,"Seal cracks","Polymer laminate")),IF(O687&lt;='Tree rules'!$C$8,IF(M687&lt;='Tree rules'!$C$9,"Steel plate or jacket","Polymer laminate"),IF(L687&lt;='Tree rules'!$C$10,"Steel plate or jacket","Polymer laminate")))</f>
        <v>Seal cracks</v>
      </c>
      <c r="T687" s="5" t="str">
        <f aca="false">IF(S687=R687,"Yes","No")</f>
        <v>Yes</v>
      </c>
    </row>
    <row r="688" customFormat="false" ht="15" hidden="false" customHeight="false" outlineLevel="0" collapsed="false">
      <c r="A688" s="15" t="n">
        <v>974</v>
      </c>
      <c r="B688" s="16" t="n">
        <v>6.21908860490639</v>
      </c>
      <c r="C688" s="15" t="n">
        <v>230</v>
      </c>
      <c r="D688" s="15" t="n">
        <v>550</v>
      </c>
      <c r="E688" s="15" t="n">
        <v>30</v>
      </c>
      <c r="F688" s="16" t="n">
        <v>0.693795479053647</v>
      </c>
      <c r="G688" s="17" t="s">
        <v>91</v>
      </c>
      <c r="H688" s="18" t="n">
        <v>0.2</v>
      </c>
      <c r="I688" s="18" t="n">
        <v>1</v>
      </c>
      <c r="J688" s="19" t="n">
        <v>0.873817741567111</v>
      </c>
      <c r="K688" s="19" t="n">
        <v>0.609930021293961</v>
      </c>
      <c r="L688" s="16" t="n">
        <v>12.3394615176714</v>
      </c>
      <c r="M688" s="19" t="n">
        <v>0.327257796072389</v>
      </c>
      <c r="N688" s="19" t="n">
        <v>0.890976531150763</v>
      </c>
      <c r="O688" s="19" t="n">
        <v>0.873817741567111</v>
      </c>
      <c r="P688" s="19" t="n">
        <v>1.00247895401882</v>
      </c>
      <c r="Q688" s="17" t="s">
        <v>31</v>
      </c>
      <c r="R688" s="5" t="str">
        <f aca="false">IF(OR(Q688="Steel plate",Q688="Concrete jacket"),"Steel plate or jacket",Q688)</f>
        <v>Polymer laminate</v>
      </c>
      <c r="S688" s="5" t="str">
        <f aca="false">IF(O688&lt;='Tree rules'!$C$4,IF(N688&lt;='Tree rules'!$C$5,IF(P688&lt;='Tree rules'!$C$6,"Monitor","Polymer laminate"),IF(P688&lt;='Tree rules'!$C$7,"Seal cracks","Polymer laminate")),IF(O688&lt;='Tree rules'!$C$8,IF(M688&lt;='Tree rules'!$C$9,"Steel plate or jacket","Polymer laminate"),IF(L688&lt;='Tree rules'!$C$10,"Steel plate or jacket","Polymer laminate")))</f>
        <v>Polymer laminate</v>
      </c>
      <c r="T688" s="5" t="str">
        <f aca="false">IF(S688=R688,"Yes","No")</f>
        <v>Yes</v>
      </c>
    </row>
    <row r="689" customFormat="false" ht="15" hidden="false" customHeight="false" outlineLevel="0" collapsed="false">
      <c r="A689" s="15" t="n">
        <v>976</v>
      </c>
      <c r="B689" s="16" t="n">
        <v>3.82151723818606</v>
      </c>
      <c r="C689" s="15" t="n">
        <v>300</v>
      </c>
      <c r="D689" s="15" t="n">
        <v>325</v>
      </c>
      <c r="E689" s="15" t="n">
        <v>30</v>
      </c>
      <c r="F689" s="16" t="n">
        <v>0.67080270183412</v>
      </c>
      <c r="G689" s="17" t="s">
        <v>89</v>
      </c>
      <c r="H689" s="18" t="n">
        <v>0.3</v>
      </c>
      <c r="I689" s="18" t="n">
        <v>2</v>
      </c>
      <c r="J689" s="19" t="n">
        <v>0.880178920230236</v>
      </c>
      <c r="K689" s="19" t="n">
        <v>0.471558536854019</v>
      </c>
      <c r="L689" s="16" t="n">
        <v>13.5997054739717</v>
      </c>
      <c r="M689" s="19" t="n">
        <v>0.773345120951801</v>
      </c>
      <c r="N689" s="19" t="n">
        <v>0.913377516317272</v>
      </c>
      <c r="O689" s="19" t="n">
        <v>1.34530195666695</v>
      </c>
      <c r="P689" s="19" t="n">
        <v>0.470033390548143</v>
      </c>
      <c r="Q689" s="17" t="s">
        <v>31</v>
      </c>
      <c r="R689" s="5" t="str">
        <f aca="false">IF(OR(Q689="Steel plate",Q689="Concrete jacket"),"Steel plate or jacket",Q689)</f>
        <v>Polymer laminate</v>
      </c>
      <c r="S689" s="5" t="str">
        <f aca="false">IF(O689&lt;='Tree rules'!$C$4,IF(N689&lt;='Tree rules'!$C$5,IF(P689&lt;='Tree rules'!$C$6,"Monitor","Polymer laminate"),IF(P689&lt;='Tree rules'!$C$7,"Seal cracks","Polymer laminate")),IF(O689&lt;='Tree rules'!$C$8,IF(M689&lt;='Tree rules'!$C$9,"Steel plate or jacket","Polymer laminate"),IF(L689&lt;='Tree rules'!$C$10,"Steel plate or jacket","Polymer laminate")))</f>
        <v>Polymer laminate</v>
      </c>
      <c r="T689" s="5" t="str">
        <f aca="false">IF(S689=R689,"Yes","No")</f>
        <v>Yes</v>
      </c>
    </row>
    <row r="690" customFormat="false" ht="15" hidden="false" customHeight="false" outlineLevel="0" collapsed="false">
      <c r="A690" s="15" t="n">
        <v>977</v>
      </c>
      <c r="B690" s="16" t="n">
        <v>5.8760007242366</v>
      </c>
      <c r="C690" s="15" t="n">
        <v>300</v>
      </c>
      <c r="D690" s="15" t="n">
        <v>500</v>
      </c>
      <c r="E690" s="15" t="n">
        <v>30</v>
      </c>
      <c r="F690" s="16" t="n">
        <v>0.738112811416104</v>
      </c>
      <c r="G690" s="17" t="s">
        <v>89</v>
      </c>
      <c r="H690" s="18" t="n">
        <v>0.3</v>
      </c>
      <c r="I690" s="18" t="n">
        <v>1</v>
      </c>
      <c r="J690" s="19" t="n">
        <v>0.915260838741884</v>
      </c>
      <c r="K690" s="19" t="n">
        <v>0.401310518588755</v>
      </c>
      <c r="L690" s="16" t="n">
        <v>12.9427328727678</v>
      </c>
      <c r="M690" s="19" t="n">
        <v>0.479734119632589</v>
      </c>
      <c r="N690" s="19" t="n">
        <v>0.619980636316995</v>
      </c>
      <c r="O690" s="19" t="n">
        <v>0.915260838741884</v>
      </c>
      <c r="P690" s="19" t="n">
        <v>0.664835152491015</v>
      </c>
      <c r="Q690" s="17" t="s">
        <v>29</v>
      </c>
      <c r="R690" s="5" t="str">
        <f aca="false">IF(OR(Q690="Steel plate",Q690="Concrete jacket"),"Steel plate or jacket",Q690)</f>
        <v>Monitor</v>
      </c>
      <c r="S690" s="5" t="str">
        <f aca="false">IF(O690&lt;='Tree rules'!$C$4,IF(N690&lt;='Tree rules'!$C$5,IF(P690&lt;='Tree rules'!$C$6,"Monitor","Polymer laminate"),IF(P690&lt;='Tree rules'!$C$7,"Seal cracks","Polymer laminate")),IF(O690&lt;='Tree rules'!$C$8,IF(M690&lt;='Tree rules'!$C$9,"Steel plate or jacket","Polymer laminate"),IF(L690&lt;='Tree rules'!$C$10,"Steel plate or jacket","Polymer laminate")))</f>
        <v>Monitor</v>
      </c>
      <c r="T690" s="5" t="str">
        <f aca="false">IF(S690=R690,"Yes","No")</f>
        <v>Yes</v>
      </c>
    </row>
    <row r="691" customFormat="false" ht="15" hidden="false" customHeight="false" outlineLevel="0" collapsed="false">
      <c r="A691" s="15" t="n">
        <v>978</v>
      </c>
      <c r="B691" s="16" t="n">
        <v>3.25093524657905</v>
      </c>
      <c r="C691" s="15" t="n">
        <v>300</v>
      </c>
      <c r="D691" s="15" t="n">
        <v>300</v>
      </c>
      <c r="E691" s="15" t="n">
        <v>25</v>
      </c>
      <c r="F691" s="16" t="n">
        <v>0.831109167616348</v>
      </c>
      <c r="G691" s="17" t="s">
        <v>91</v>
      </c>
      <c r="H691" s="18" t="n">
        <v>0.2</v>
      </c>
      <c r="I691" s="18" t="n">
        <v>1.5</v>
      </c>
      <c r="J691" s="19" t="n">
        <v>0.868879074844923</v>
      </c>
      <c r="K691" s="19" t="n">
        <v>0.503469383496672</v>
      </c>
      <c r="L691" s="16" t="n">
        <v>12.900536692774</v>
      </c>
      <c r="M691" s="19" t="n">
        <v>0.315022903267385</v>
      </c>
      <c r="N691" s="19" t="n">
        <v>1.85417390084723</v>
      </c>
      <c r="O691" s="19" t="n">
        <v>1.08459160619472</v>
      </c>
      <c r="P691" s="19" t="n">
        <v>1.08256886317156</v>
      </c>
      <c r="Q691" s="17" t="s">
        <v>31</v>
      </c>
      <c r="R691" s="5" t="str">
        <f aca="false">IF(OR(Q691="Steel plate",Q691="Concrete jacket"),"Steel plate or jacket",Q691)</f>
        <v>Polymer laminate</v>
      </c>
      <c r="S691" s="5" t="str">
        <f aca="false">IF(O691&lt;='Tree rules'!$C$4,IF(N691&lt;='Tree rules'!$C$5,IF(P691&lt;='Tree rules'!$C$6,"Monitor","Polymer laminate"),IF(P691&lt;='Tree rules'!$C$7,"Seal cracks","Polymer laminate")),IF(O691&lt;='Tree rules'!$C$8,IF(M691&lt;='Tree rules'!$C$9,"Steel plate or jacket","Polymer laminate"),IF(L691&lt;='Tree rules'!$C$10,"Steel plate or jacket","Polymer laminate")))</f>
        <v>Polymer laminate</v>
      </c>
      <c r="T691" s="5" t="str">
        <f aca="false">IF(S691=R691,"Yes","No")</f>
        <v>Yes</v>
      </c>
    </row>
    <row r="692" customFormat="false" ht="15" hidden="false" customHeight="false" outlineLevel="0" collapsed="false">
      <c r="A692" s="15" t="n">
        <v>979</v>
      </c>
      <c r="B692" s="16" t="n">
        <v>5.067217193132</v>
      </c>
      <c r="C692" s="15" t="n">
        <v>230</v>
      </c>
      <c r="D692" s="15" t="n">
        <v>425</v>
      </c>
      <c r="E692" s="15" t="n">
        <v>20</v>
      </c>
      <c r="F692" s="16" t="n">
        <v>0.516249391894249</v>
      </c>
      <c r="G692" s="17" t="s">
        <v>91</v>
      </c>
      <c r="H692" s="18" t="n">
        <v>0.2</v>
      </c>
      <c r="I692" s="18" t="n">
        <v>2</v>
      </c>
      <c r="J692" s="19" t="n">
        <v>0.94492813176426</v>
      </c>
      <c r="K692" s="19" t="n">
        <v>0.477003146078244</v>
      </c>
      <c r="L692" s="16" t="n">
        <v>13.2997826591391</v>
      </c>
      <c r="M692" s="19" t="n">
        <v>0.426028393751644</v>
      </c>
      <c r="N692" s="19" t="n">
        <v>1.46071862925875</v>
      </c>
      <c r="O692" s="19" t="n">
        <v>1.43912257185913</v>
      </c>
      <c r="P692" s="19" t="n">
        <v>0.876176070287813</v>
      </c>
      <c r="Q692" s="17" t="s">
        <v>31</v>
      </c>
      <c r="R692" s="5" t="str">
        <f aca="false">IF(OR(Q692="Steel plate",Q692="Concrete jacket"),"Steel plate or jacket",Q692)</f>
        <v>Polymer laminate</v>
      </c>
      <c r="S692" s="5" t="str">
        <f aca="false">IF(O692&lt;='Tree rules'!$C$4,IF(N692&lt;='Tree rules'!$C$5,IF(P692&lt;='Tree rules'!$C$6,"Monitor","Polymer laminate"),IF(P692&lt;='Tree rules'!$C$7,"Seal cracks","Polymer laminate")),IF(O692&lt;='Tree rules'!$C$8,IF(M692&lt;='Tree rules'!$C$9,"Steel plate or jacket","Polymer laminate"),IF(L692&lt;='Tree rules'!$C$10,"Steel plate or jacket","Polymer laminate")))</f>
        <v>Polymer laminate</v>
      </c>
      <c r="T692" s="5" t="str">
        <f aca="false">IF(S692=R692,"Yes","No")</f>
        <v>Yes</v>
      </c>
    </row>
    <row r="693" customFormat="false" ht="15" hidden="false" customHeight="false" outlineLevel="0" collapsed="false">
      <c r="A693" s="15" t="n">
        <v>980</v>
      </c>
      <c r="B693" s="16" t="n">
        <v>3.36769499383792</v>
      </c>
      <c r="C693" s="15" t="n">
        <v>230</v>
      </c>
      <c r="D693" s="15" t="n">
        <v>300</v>
      </c>
      <c r="E693" s="15" t="n">
        <v>20</v>
      </c>
      <c r="F693" s="16" t="n">
        <v>0.731533308458238</v>
      </c>
      <c r="G693" s="17" t="s">
        <v>90</v>
      </c>
      <c r="H693" s="18" t="n">
        <v>0.1</v>
      </c>
      <c r="I693" s="18" t="n">
        <v>1</v>
      </c>
      <c r="J693" s="19" t="n">
        <v>0.974357359724747</v>
      </c>
      <c r="K693" s="19" t="n">
        <v>0.622059654794907</v>
      </c>
      <c r="L693" s="16" t="n">
        <v>14.0907740327947</v>
      </c>
      <c r="M693" s="19" t="n">
        <v>0.605294438812011</v>
      </c>
      <c r="N693" s="19" t="n">
        <v>3.06704535335585</v>
      </c>
      <c r="O693" s="19" t="n">
        <v>0.974357359724747</v>
      </c>
      <c r="P693" s="19" t="n">
        <v>0.569028833138902</v>
      </c>
      <c r="Q693" s="17" t="s">
        <v>30</v>
      </c>
      <c r="R693" s="5" t="str">
        <f aca="false">IF(OR(Q693="Steel plate",Q693="Concrete jacket"),"Steel plate or jacket",Q693)</f>
        <v>Seal cracks</v>
      </c>
      <c r="S693" s="5" t="str">
        <f aca="false">IF(O693&lt;='Tree rules'!$C$4,IF(N693&lt;='Tree rules'!$C$5,IF(P693&lt;='Tree rules'!$C$6,"Monitor","Polymer laminate"),IF(P693&lt;='Tree rules'!$C$7,"Seal cracks","Polymer laminate")),IF(O693&lt;='Tree rules'!$C$8,IF(M693&lt;='Tree rules'!$C$9,"Steel plate or jacket","Polymer laminate"),IF(L693&lt;='Tree rules'!$C$10,"Steel plate or jacket","Polymer laminate")))</f>
        <v>Seal cracks</v>
      </c>
      <c r="T693" s="5" t="str">
        <f aca="false">IF(S693=R693,"Yes","No")</f>
        <v>Yes</v>
      </c>
    </row>
    <row r="694" customFormat="false" ht="15" hidden="false" customHeight="false" outlineLevel="0" collapsed="false">
      <c r="A694" s="15" t="n">
        <v>981</v>
      </c>
      <c r="B694" s="16" t="n">
        <v>3.40788607280358</v>
      </c>
      <c r="C694" s="15" t="n">
        <v>230</v>
      </c>
      <c r="D694" s="15" t="n">
        <v>300</v>
      </c>
      <c r="E694" s="15" t="n">
        <v>30</v>
      </c>
      <c r="F694" s="16" t="n">
        <v>0.768324290280112</v>
      </c>
      <c r="G694" s="17" t="s">
        <v>89</v>
      </c>
      <c r="H694" s="18" t="n">
        <v>0.3</v>
      </c>
      <c r="I694" s="18" t="n">
        <v>1</v>
      </c>
      <c r="J694" s="19" t="n">
        <v>0.927719599816782</v>
      </c>
      <c r="K694" s="19" t="n">
        <v>0.536963336924781</v>
      </c>
      <c r="L694" s="16" t="n">
        <v>13.312054971889</v>
      </c>
      <c r="M694" s="19" t="n">
        <v>0.830322119663061</v>
      </c>
      <c r="N694" s="19" t="n">
        <v>0.599076599122221</v>
      </c>
      <c r="O694" s="19" t="n">
        <v>0.927719599816782</v>
      </c>
      <c r="P694" s="19" t="n">
        <v>0.400405623124704</v>
      </c>
      <c r="Q694" s="17" t="s">
        <v>29</v>
      </c>
      <c r="R694" s="5" t="str">
        <f aca="false">IF(OR(Q694="Steel plate",Q694="Concrete jacket"),"Steel plate or jacket",Q694)</f>
        <v>Monitor</v>
      </c>
      <c r="S694" s="5" t="str">
        <f aca="false">IF(O694&lt;='Tree rules'!$C$4,IF(N694&lt;='Tree rules'!$C$5,IF(P694&lt;='Tree rules'!$C$6,"Monitor","Polymer laminate"),IF(P694&lt;='Tree rules'!$C$7,"Seal cracks","Polymer laminate")),IF(O694&lt;='Tree rules'!$C$8,IF(M694&lt;='Tree rules'!$C$9,"Steel plate or jacket","Polymer laminate"),IF(L694&lt;='Tree rules'!$C$10,"Steel plate or jacket","Polymer laminate")))</f>
        <v>Monitor</v>
      </c>
      <c r="T694" s="5" t="str">
        <f aca="false">IF(S694=R694,"Yes","No")</f>
        <v>Yes</v>
      </c>
    </row>
    <row r="695" customFormat="false" ht="15" hidden="false" customHeight="false" outlineLevel="0" collapsed="false">
      <c r="A695" s="15" t="n">
        <v>983</v>
      </c>
      <c r="B695" s="16" t="n">
        <v>4.60000310493699</v>
      </c>
      <c r="C695" s="15" t="n">
        <v>300</v>
      </c>
      <c r="D695" s="15" t="n">
        <v>425</v>
      </c>
      <c r="E695" s="15" t="n">
        <v>30</v>
      </c>
      <c r="F695" s="16" t="n">
        <v>0.833313701217452</v>
      </c>
      <c r="G695" s="17" t="s">
        <v>89</v>
      </c>
      <c r="H695" s="18" t="n">
        <v>0.3</v>
      </c>
      <c r="I695" s="18" t="n">
        <v>1.5</v>
      </c>
      <c r="J695" s="19" t="n">
        <v>0.86724260344331</v>
      </c>
      <c r="K695" s="19" t="n">
        <v>0.451545625684124</v>
      </c>
      <c r="L695" s="16" t="n">
        <v>12.2015997478435</v>
      </c>
      <c r="M695" s="19" t="n">
        <v>0.498089731382371</v>
      </c>
      <c r="N695" s="19" t="n">
        <v>0.941723181338839</v>
      </c>
      <c r="O695" s="19" t="n">
        <v>1.1050641031691</v>
      </c>
      <c r="P695" s="19" t="n">
        <v>0.713694837195157</v>
      </c>
      <c r="Q695" s="17" t="s">
        <v>31</v>
      </c>
      <c r="R695" s="5" t="str">
        <f aca="false">IF(OR(Q695="Steel plate",Q695="Concrete jacket"),"Steel plate or jacket",Q695)</f>
        <v>Polymer laminate</v>
      </c>
      <c r="S695" s="5" t="str">
        <f aca="false">IF(O695&lt;='Tree rules'!$C$4,IF(N695&lt;='Tree rules'!$C$5,IF(P695&lt;='Tree rules'!$C$6,"Monitor","Polymer laminate"),IF(P695&lt;='Tree rules'!$C$7,"Seal cracks","Polymer laminate")),IF(O695&lt;='Tree rules'!$C$8,IF(M695&lt;='Tree rules'!$C$9,"Steel plate or jacket","Polymer laminate"),IF(L695&lt;='Tree rules'!$C$10,"Steel plate or jacket","Polymer laminate")))</f>
        <v>Polymer laminate</v>
      </c>
      <c r="T695" s="5" t="str">
        <f aca="false">IF(S695=R695,"Yes","No")</f>
        <v>Yes</v>
      </c>
    </row>
    <row r="696" customFormat="false" ht="15" hidden="false" customHeight="false" outlineLevel="0" collapsed="false">
      <c r="A696" s="15" t="n">
        <v>984</v>
      </c>
      <c r="B696" s="16" t="n">
        <v>6.01551424783639</v>
      </c>
      <c r="C696" s="15" t="n">
        <v>300</v>
      </c>
      <c r="D696" s="15" t="n">
        <v>525</v>
      </c>
      <c r="E696" s="15" t="n">
        <v>30</v>
      </c>
      <c r="F696" s="16" t="n">
        <v>0.878153082764443</v>
      </c>
      <c r="G696" s="17" t="s">
        <v>89</v>
      </c>
      <c r="H696" s="18" t="n">
        <v>0.3</v>
      </c>
      <c r="I696" s="18" t="n">
        <v>2</v>
      </c>
      <c r="J696" s="19" t="n">
        <v>0.856842517280399</v>
      </c>
      <c r="K696" s="19" t="n">
        <v>0.555527790066598</v>
      </c>
      <c r="L696" s="16" t="n">
        <v>12.6111409807891</v>
      </c>
      <c r="M696" s="19" t="n">
        <v>0.623805229250696</v>
      </c>
      <c r="N696" s="19" t="n">
        <v>0.883488607813239</v>
      </c>
      <c r="O696" s="19" t="n">
        <v>1.23768520450092</v>
      </c>
      <c r="P696" s="19" t="n">
        <v>0.758797464766442</v>
      </c>
      <c r="Q696" s="17" t="s">
        <v>31</v>
      </c>
      <c r="R696" s="5" t="str">
        <f aca="false">IF(OR(Q696="Steel plate",Q696="Concrete jacket"),"Steel plate or jacket",Q696)</f>
        <v>Polymer laminate</v>
      </c>
      <c r="S696" s="5" t="str">
        <f aca="false">IF(O696&lt;='Tree rules'!$C$4,IF(N696&lt;='Tree rules'!$C$5,IF(P696&lt;='Tree rules'!$C$6,"Monitor","Polymer laminate"),IF(P696&lt;='Tree rules'!$C$7,"Seal cracks","Polymer laminate")),IF(O696&lt;='Tree rules'!$C$8,IF(M696&lt;='Tree rules'!$C$9,"Steel plate or jacket","Polymer laminate"),IF(L696&lt;='Tree rules'!$C$10,"Steel plate or jacket","Polymer laminate")))</f>
        <v>Polymer laminate</v>
      </c>
      <c r="T696" s="5" t="str">
        <f aca="false">IF(S696=R696,"Yes","No")</f>
        <v>Yes</v>
      </c>
    </row>
    <row r="697" customFormat="false" ht="15" hidden="false" customHeight="false" outlineLevel="0" collapsed="false">
      <c r="A697" s="15" t="n">
        <v>986</v>
      </c>
      <c r="B697" s="16" t="n">
        <v>3.75613659927158</v>
      </c>
      <c r="C697" s="15" t="n">
        <v>300</v>
      </c>
      <c r="D697" s="15" t="n">
        <v>350</v>
      </c>
      <c r="E697" s="15" t="n">
        <v>20</v>
      </c>
      <c r="F697" s="16" t="n">
        <v>0.693508312050727</v>
      </c>
      <c r="G697" s="17" t="s">
        <v>91</v>
      </c>
      <c r="H697" s="18" t="n">
        <v>0.2</v>
      </c>
      <c r="I697" s="18" t="n">
        <v>1</v>
      </c>
      <c r="J697" s="19" t="n">
        <v>0.928631748744437</v>
      </c>
      <c r="K697" s="19" t="n">
        <v>0.434181850548329</v>
      </c>
      <c r="L697" s="16" t="n">
        <v>12.437538408184</v>
      </c>
      <c r="M697" s="19" t="n">
        <v>0.666167597052351</v>
      </c>
      <c r="N697" s="19" t="n">
        <v>1.4798493925249</v>
      </c>
      <c r="O697" s="19" t="n">
        <v>0.928631748744437</v>
      </c>
      <c r="P697" s="19" t="n">
        <v>0.464233600410308</v>
      </c>
      <c r="Q697" s="17" t="s">
        <v>30</v>
      </c>
      <c r="R697" s="5" t="str">
        <f aca="false">IF(OR(Q697="Steel plate",Q697="Concrete jacket"),"Steel plate or jacket",Q697)</f>
        <v>Seal cracks</v>
      </c>
      <c r="S697" s="5" t="str">
        <f aca="false">IF(O697&lt;='Tree rules'!$C$4,IF(N697&lt;='Tree rules'!$C$5,IF(P697&lt;='Tree rules'!$C$6,"Monitor","Polymer laminate"),IF(P697&lt;='Tree rules'!$C$7,"Seal cracks","Polymer laminate")),IF(O697&lt;='Tree rules'!$C$8,IF(M697&lt;='Tree rules'!$C$9,"Steel plate or jacket","Polymer laminate"),IF(L697&lt;='Tree rules'!$C$10,"Steel plate or jacket","Polymer laminate")))</f>
        <v>Seal cracks</v>
      </c>
      <c r="T697" s="5" t="str">
        <f aca="false">IF(S697=R697,"Yes","No")</f>
        <v>Yes</v>
      </c>
    </row>
    <row r="698" customFormat="false" ht="15" hidden="false" customHeight="false" outlineLevel="0" collapsed="false">
      <c r="A698" s="15" t="n">
        <v>988</v>
      </c>
      <c r="B698" s="16" t="n">
        <v>4.88990795005244</v>
      </c>
      <c r="C698" s="15" t="n">
        <v>300</v>
      </c>
      <c r="D698" s="15" t="n">
        <v>475</v>
      </c>
      <c r="E698" s="15" t="n">
        <v>25</v>
      </c>
      <c r="F698" s="16" t="n">
        <v>0.735735984447258</v>
      </c>
      <c r="G698" s="17" t="s">
        <v>89</v>
      </c>
      <c r="H698" s="18" t="n">
        <v>0.3</v>
      </c>
      <c r="I698" s="18" t="n">
        <v>1</v>
      </c>
      <c r="J698" s="19" t="n">
        <v>0.883653031022544</v>
      </c>
      <c r="K698" s="19" t="n">
        <v>0.496071026048574</v>
      </c>
      <c r="L698" s="16" t="n">
        <v>11.4517750586708</v>
      </c>
      <c r="M698" s="19" t="n">
        <v>0.436901623482895</v>
      </c>
      <c r="N698" s="19" t="n">
        <v>0.745495455644043</v>
      </c>
      <c r="O698" s="19" t="n">
        <v>0.883653031022544</v>
      </c>
      <c r="P698" s="19" t="n">
        <v>0.693441343399385</v>
      </c>
      <c r="Q698" s="17" t="s">
        <v>29</v>
      </c>
      <c r="R698" s="5" t="str">
        <f aca="false">IF(OR(Q698="Steel plate",Q698="Concrete jacket"),"Steel plate or jacket",Q698)</f>
        <v>Monitor</v>
      </c>
      <c r="S698" s="5" t="str">
        <f aca="false">IF(O698&lt;='Tree rules'!$C$4,IF(N698&lt;='Tree rules'!$C$5,IF(P698&lt;='Tree rules'!$C$6,"Monitor","Polymer laminate"),IF(P698&lt;='Tree rules'!$C$7,"Seal cracks","Polymer laminate")),IF(O698&lt;='Tree rules'!$C$8,IF(M698&lt;='Tree rules'!$C$9,"Steel plate or jacket","Polymer laminate"),IF(L698&lt;='Tree rules'!$C$10,"Steel plate or jacket","Polymer laminate")))</f>
        <v>Monitor</v>
      </c>
      <c r="T698" s="5" t="str">
        <f aca="false">IF(S698=R698,"Yes","No")</f>
        <v>Yes</v>
      </c>
    </row>
    <row r="699" customFormat="false" ht="15" hidden="false" customHeight="false" outlineLevel="0" collapsed="false">
      <c r="A699" s="15" t="n">
        <v>989</v>
      </c>
      <c r="B699" s="16" t="n">
        <v>7.2444922856961</v>
      </c>
      <c r="C699" s="15" t="n">
        <v>300</v>
      </c>
      <c r="D699" s="15" t="n">
        <v>725</v>
      </c>
      <c r="E699" s="15" t="n">
        <v>30</v>
      </c>
      <c r="F699" s="16" t="n">
        <v>0.592229542944762</v>
      </c>
      <c r="G699" s="17" t="s">
        <v>89</v>
      </c>
      <c r="H699" s="18" t="n">
        <v>0.3</v>
      </c>
      <c r="I699" s="18" t="n">
        <v>1</v>
      </c>
      <c r="J699" s="19" t="n">
        <v>0.967855596116307</v>
      </c>
      <c r="K699" s="19" t="n">
        <v>0.43696062345104</v>
      </c>
      <c r="L699" s="16" t="n">
        <v>10.6693553544862</v>
      </c>
      <c r="M699" s="19" t="n">
        <v>0.509543652979196</v>
      </c>
      <c r="N699" s="19" t="n">
        <v>0.60285467460195</v>
      </c>
      <c r="O699" s="19" t="n">
        <v>0.967855596116307</v>
      </c>
      <c r="P699" s="19" t="n">
        <v>0.512110248481145</v>
      </c>
      <c r="Q699" s="17" t="s">
        <v>29</v>
      </c>
      <c r="R699" s="5" t="str">
        <f aca="false">IF(OR(Q699="Steel plate",Q699="Concrete jacket"),"Steel plate or jacket",Q699)</f>
        <v>Monitor</v>
      </c>
      <c r="S699" s="5" t="str">
        <f aca="false">IF(O699&lt;='Tree rules'!$C$4,IF(N699&lt;='Tree rules'!$C$5,IF(P699&lt;='Tree rules'!$C$6,"Monitor","Polymer laminate"),IF(P699&lt;='Tree rules'!$C$7,"Seal cracks","Polymer laminate")),IF(O699&lt;='Tree rules'!$C$8,IF(M699&lt;='Tree rules'!$C$9,"Steel plate or jacket","Polymer laminate"),IF(L699&lt;='Tree rules'!$C$10,"Steel plate or jacket","Polymer laminate")))</f>
        <v>Monitor</v>
      </c>
      <c r="T699" s="5" t="str">
        <f aca="false">IF(S699=R699,"Yes","No")</f>
        <v>Yes</v>
      </c>
    </row>
    <row r="700" customFormat="false" ht="15" hidden="false" customHeight="false" outlineLevel="0" collapsed="false">
      <c r="A700" s="15" t="n">
        <v>990</v>
      </c>
      <c r="B700" s="16" t="n">
        <v>4.91679118524582</v>
      </c>
      <c r="C700" s="15" t="n">
        <v>300</v>
      </c>
      <c r="D700" s="15" t="n">
        <v>400</v>
      </c>
      <c r="E700" s="15" t="n">
        <v>25</v>
      </c>
      <c r="F700" s="16" t="n">
        <v>0.594998608634431</v>
      </c>
      <c r="G700" s="17" t="s">
        <v>89</v>
      </c>
      <c r="H700" s="18" t="n">
        <v>0.3</v>
      </c>
      <c r="I700" s="18" t="n">
        <v>2</v>
      </c>
      <c r="J700" s="19" t="n">
        <v>0.93282585062068</v>
      </c>
      <c r="K700" s="19" t="n">
        <v>0.427559826340013</v>
      </c>
      <c r="L700" s="16" t="n">
        <v>13.9681567762665</v>
      </c>
      <c r="M700" s="19" t="n">
        <v>0.269529241801802</v>
      </c>
      <c r="N700" s="19" t="n">
        <v>1.78625138540065</v>
      </c>
      <c r="O700" s="19" t="n">
        <v>1.46681284254451</v>
      </c>
      <c r="P700" s="19" t="n">
        <v>1.38302161782028</v>
      </c>
      <c r="Q700" s="17" t="s">
        <v>31</v>
      </c>
      <c r="R700" s="5" t="str">
        <f aca="false">IF(OR(Q700="Steel plate",Q700="Concrete jacket"),"Steel plate or jacket",Q700)</f>
        <v>Polymer laminate</v>
      </c>
      <c r="S700" s="5" t="str">
        <f aca="false">IF(O700&lt;='Tree rules'!$C$4,IF(N700&lt;='Tree rules'!$C$5,IF(P700&lt;='Tree rules'!$C$6,"Monitor","Polymer laminate"),IF(P700&lt;='Tree rules'!$C$7,"Seal cracks","Polymer laminate")),IF(O700&lt;='Tree rules'!$C$8,IF(M700&lt;='Tree rules'!$C$9,"Steel plate or jacket","Polymer laminate"),IF(L700&lt;='Tree rules'!$C$10,"Steel plate or jacket","Polymer laminate")))</f>
        <v>Polymer laminate</v>
      </c>
      <c r="T700" s="5" t="str">
        <f aca="false">IF(S700=R700,"Yes","No")</f>
        <v>Yes</v>
      </c>
    </row>
    <row r="701" customFormat="false" ht="15" hidden="false" customHeight="false" outlineLevel="0" collapsed="false">
      <c r="A701" s="15" t="n">
        <v>992</v>
      </c>
      <c r="B701" s="16" t="n">
        <v>6.96822391996106</v>
      </c>
      <c r="C701" s="15" t="n">
        <v>230</v>
      </c>
      <c r="D701" s="15" t="n">
        <v>550</v>
      </c>
      <c r="E701" s="15" t="n">
        <v>20</v>
      </c>
      <c r="F701" s="16" t="n">
        <v>0.544187190990784</v>
      </c>
      <c r="G701" s="17" t="s">
        <v>91</v>
      </c>
      <c r="H701" s="18" t="n">
        <v>0.2</v>
      </c>
      <c r="I701" s="18" t="n">
        <v>1</v>
      </c>
      <c r="J701" s="19" t="n">
        <v>0.937834427429781</v>
      </c>
      <c r="K701" s="19" t="n">
        <v>0.480036538915217</v>
      </c>
      <c r="L701" s="16" t="n">
        <v>13.8809241433487</v>
      </c>
      <c r="M701" s="19" t="n">
        <v>0.856651139103913</v>
      </c>
      <c r="N701" s="19" t="n">
        <v>1.18849202058184</v>
      </c>
      <c r="O701" s="19" t="n">
        <v>0.937834427429781</v>
      </c>
      <c r="P701" s="19" t="n">
        <v>0.416727451738495</v>
      </c>
      <c r="Q701" s="17" t="s">
        <v>30</v>
      </c>
      <c r="R701" s="5" t="str">
        <f aca="false">IF(OR(Q701="Steel plate",Q701="Concrete jacket"),"Steel plate or jacket",Q701)</f>
        <v>Seal cracks</v>
      </c>
      <c r="S701" s="5" t="str">
        <f aca="false">IF(O701&lt;='Tree rules'!$C$4,IF(N701&lt;='Tree rules'!$C$5,IF(P701&lt;='Tree rules'!$C$6,"Monitor","Polymer laminate"),IF(P701&lt;='Tree rules'!$C$7,"Seal cracks","Polymer laminate")),IF(O701&lt;='Tree rules'!$C$8,IF(M701&lt;='Tree rules'!$C$9,"Steel plate or jacket","Polymer laminate"),IF(L701&lt;='Tree rules'!$C$10,"Steel plate or jacket","Polymer laminate")))</f>
        <v>Seal cracks</v>
      </c>
      <c r="T701" s="5" t="str">
        <f aca="false">IF(S701=R701,"Yes","No")</f>
        <v>Yes</v>
      </c>
    </row>
    <row r="702" customFormat="false" ht="15" hidden="false" customHeight="false" outlineLevel="0" collapsed="false">
      <c r="A702" s="15" t="n">
        <v>993</v>
      </c>
      <c r="B702" s="16" t="n">
        <v>5.01316613159506</v>
      </c>
      <c r="C702" s="15" t="n">
        <v>230</v>
      </c>
      <c r="D702" s="15" t="n">
        <v>425</v>
      </c>
      <c r="E702" s="15" t="n">
        <v>30</v>
      </c>
      <c r="F702" s="16" t="n">
        <v>0.691964884122107</v>
      </c>
      <c r="G702" s="17" t="s">
        <v>91</v>
      </c>
      <c r="H702" s="18" t="n">
        <v>0.2</v>
      </c>
      <c r="I702" s="18" t="n">
        <v>2</v>
      </c>
      <c r="J702" s="19" t="n">
        <v>0.929896697593562</v>
      </c>
      <c r="K702" s="19" t="n">
        <v>0.628119704907507</v>
      </c>
      <c r="L702" s="16" t="n">
        <v>13.2273512706994</v>
      </c>
      <c r="M702" s="19" t="n">
        <v>0.397719840747667</v>
      </c>
      <c r="N702" s="19" t="n">
        <v>1.45042196870975</v>
      </c>
      <c r="O702" s="19" t="n">
        <v>1.27570695590019</v>
      </c>
      <c r="P702" s="19" t="n">
        <v>1.03897941300878</v>
      </c>
      <c r="Q702" s="17" t="s">
        <v>31</v>
      </c>
      <c r="R702" s="5" t="str">
        <f aca="false">IF(OR(Q702="Steel plate",Q702="Concrete jacket"),"Steel plate or jacket",Q702)</f>
        <v>Polymer laminate</v>
      </c>
      <c r="S702" s="5" t="str">
        <f aca="false">IF(O702&lt;='Tree rules'!$C$4,IF(N702&lt;='Tree rules'!$C$5,IF(P702&lt;='Tree rules'!$C$6,"Monitor","Polymer laminate"),IF(P702&lt;='Tree rules'!$C$7,"Seal cracks","Polymer laminate")),IF(O702&lt;='Tree rules'!$C$8,IF(M702&lt;='Tree rules'!$C$9,"Steel plate or jacket","Polymer laminate"),IF(L702&lt;='Tree rules'!$C$10,"Steel plate or jacket","Polymer laminate")))</f>
        <v>Polymer laminate</v>
      </c>
      <c r="T702" s="5" t="str">
        <f aca="false">IF(S702=R702,"Yes","No")</f>
        <v>Yes</v>
      </c>
    </row>
    <row r="703" customFormat="false" ht="15" hidden="false" customHeight="false" outlineLevel="0" collapsed="false">
      <c r="A703" s="15" t="n">
        <v>994</v>
      </c>
      <c r="B703" s="16" t="n">
        <v>3.8509259733988</v>
      </c>
      <c r="C703" s="15" t="n">
        <v>300</v>
      </c>
      <c r="D703" s="15" t="n">
        <v>350</v>
      </c>
      <c r="E703" s="15" t="n">
        <v>20</v>
      </c>
      <c r="F703" s="16" t="n">
        <v>0.693508312050727</v>
      </c>
      <c r="G703" s="17" t="s">
        <v>89</v>
      </c>
      <c r="H703" s="18" t="n">
        <v>0.3</v>
      </c>
      <c r="I703" s="18" t="n">
        <v>1.5</v>
      </c>
      <c r="J703" s="19" t="n">
        <v>0.92288060682404</v>
      </c>
      <c r="K703" s="19" t="n">
        <v>0.499124642907109</v>
      </c>
      <c r="L703" s="16" t="n">
        <v>12.751410507943</v>
      </c>
      <c r="M703" s="19" t="n">
        <v>0.362588043700812</v>
      </c>
      <c r="N703" s="19" t="n">
        <v>1.32681927732745</v>
      </c>
      <c r="O703" s="19" t="n">
        <v>1.15400468357259</v>
      </c>
      <c r="P703" s="19" t="n">
        <v>0.994712899741513</v>
      </c>
      <c r="Q703" s="17" t="s">
        <v>31</v>
      </c>
      <c r="R703" s="5" t="str">
        <f aca="false">IF(OR(Q703="Steel plate",Q703="Concrete jacket"),"Steel plate or jacket",Q703)</f>
        <v>Polymer laminate</v>
      </c>
      <c r="S703" s="5" t="str">
        <f aca="false">IF(O703&lt;='Tree rules'!$C$4,IF(N703&lt;='Tree rules'!$C$5,IF(P703&lt;='Tree rules'!$C$6,"Monitor","Polymer laminate"),IF(P703&lt;='Tree rules'!$C$7,"Seal cracks","Polymer laminate")),IF(O703&lt;='Tree rules'!$C$8,IF(M703&lt;='Tree rules'!$C$9,"Steel plate or jacket","Polymer laminate"),IF(L703&lt;='Tree rules'!$C$10,"Steel plate or jacket","Polymer laminate")))</f>
        <v>Polymer laminate</v>
      </c>
      <c r="T703" s="5" t="str">
        <f aca="false">IF(S703=R703,"Yes","No")</f>
        <v>Yes</v>
      </c>
    </row>
    <row r="704" customFormat="false" ht="15" hidden="false" customHeight="false" outlineLevel="0" collapsed="false">
      <c r="A704" s="15" t="n">
        <v>995</v>
      </c>
      <c r="B704" s="16" t="n">
        <v>4.75590052252451</v>
      </c>
      <c r="C704" s="15" t="n">
        <v>230</v>
      </c>
      <c r="D704" s="15" t="n">
        <v>475</v>
      </c>
      <c r="E704" s="15" t="n">
        <v>25</v>
      </c>
      <c r="F704" s="16" t="n">
        <v>0.639770421258486</v>
      </c>
      <c r="G704" s="17" t="s">
        <v>89</v>
      </c>
      <c r="H704" s="18" t="n">
        <v>0.3</v>
      </c>
      <c r="I704" s="18" t="n">
        <v>1</v>
      </c>
      <c r="J704" s="19" t="n">
        <v>0.85814632633934</v>
      </c>
      <c r="K704" s="19" t="n">
        <v>0.569150458398234</v>
      </c>
      <c r="L704" s="16" t="n">
        <v>11.1379403337811</v>
      </c>
      <c r="M704" s="19" t="n">
        <v>0.572559331095625</v>
      </c>
      <c r="N704" s="19" t="n">
        <v>0.795905402188314</v>
      </c>
      <c r="O704" s="19" t="n">
        <v>0.85814632633934</v>
      </c>
      <c r="P704" s="19" t="n">
        <v>0.48245163925899</v>
      </c>
      <c r="Q704" s="17" t="s">
        <v>29</v>
      </c>
      <c r="R704" s="5" t="str">
        <f aca="false">IF(OR(Q704="Steel plate",Q704="Concrete jacket"),"Steel plate or jacket",Q704)</f>
        <v>Monitor</v>
      </c>
      <c r="S704" s="5" t="str">
        <f aca="false">IF(O704&lt;='Tree rules'!$C$4,IF(N704&lt;='Tree rules'!$C$5,IF(P704&lt;='Tree rules'!$C$6,"Monitor","Polymer laminate"),IF(P704&lt;='Tree rules'!$C$7,"Seal cracks","Polymer laminate")),IF(O704&lt;='Tree rules'!$C$8,IF(M704&lt;='Tree rules'!$C$9,"Steel plate or jacket","Polymer laminate"),IF(L704&lt;='Tree rules'!$C$10,"Steel plate or jacket","Polymer laminate")))</f>
        <v>Monitor</v>
      </c>
      <c r="T704" s="5" t="str">
        <f aca="false">IF(S704=R704,"Yes","No")</f>
        <v>Yes</v>
      </c>
    </row>
    <row r="705" customFormat="false" ht="15" hidden="false" customHeight="false" outlineLevel="0" collapsed="false">
      <c r="A705" s="15" t="n">
        <v>996</v>
      </c>
      <c r="B705" s="16" t="n">
        <v>6.65919729112762</v>
      </c>
      <c r="C705" s="15" t="n">
        <v>300</v>
      </c>
      <c r="D705" s="15" t="n">
        <v>625</v>
      </c>
      <c r="E705" s="15" t="n">
        <v>25</v>
      </c>
      <c r="F705" s="16" t="n">
        <v>0.578762031749415</v>
      </c>
      <c r="G705" s="17" t="s">
        <v>89</v>
      </c>
      <c r="H705" s="18" t="n">
        <v>0.3</v>
      </c>
      <c r="I705" s="18" t="n">
        <v>1.5</v>
      </c>
      <c r="J705" s="19" t="n">
        <v>0.995939467786222</v>
      </c>
      <c r="K705" s="19" t="n">
        <v>0.641540504048275</v>
      </c>
      <c r="L705" s="16" t="n">
        <v>11.5012043024657</v>
      </c>
      <c r="M705" s="19" t="n">
        <v>0.528631990955941</v>
      </c>
      <c r="N705" s="19" t="n">
        <v>0.771089774071126</v>
      </c>
      <c r="O705" s="19" t="n">
        <v>1.17444144759676</v>
      </c>
      <c r="P705" s="19" t="n">
        <v>0.706902211795048</v>
      </c>
      <c r="Q705" s="17" t="s">
        <v>31</v>
      </c>
      <c r="R705" s="5" t="str">
        <f aca="false">IF(OR(Q705="Steel plate",Q705="Concrete jacket"),"Steel plate or jacket",Q705)</f>
        <v>Polymer laminate</v>
      </c>
      <c r="S705" s="5" t="str">
        <f aca="false">IF(O705&lt;='Tree rules'!$C$4,IF(N705&lt;='Tree rules'!$C$5,IF(P705&lt;='Tree rules'!$C$6,"Monitor","Polymer laminate"),IF(P705&lt;='Tree rules'!$C$7,"Seal cracks","Polymer laminate")),IF(O705&lt;='Tree rules'!$C$8,IF(M705&lt;='Tree rules'!$C$9,"Steel plate or jacket","Polymer laminate"),IF(L705&lt;='Tree rules'!$C$10,"Steel plate or jacket","Polymer laminate")))</f>
        <v>Polymer laminate</v>
      </c>
      <c r="T705" s="5" t="str">
        <f aca="false">IF(S705=R705,"Yes","No")</f>
        <v>Yes</v>
      </c>
    </row>
    <row r="706" customFormat="false" ht="15" hidden="false" customHeight="false" outlineLevel="0" collapsed="false">
      <c r="A706" s="15" t="n">
        <v>997</v>
      </c>
      <c r="B706" s="16" t="n">
        <v>3.13738515191406</v>
      </c>
      <c r="C706" s="15" t="n">
        <v>230</v>
      </c>
      <c r="D706" s="15" t="n">
        <v>300</v>
      </c>
      <c r="E706" s="15" t="n">
        <v>30</v>
      </c>
      <c r="F706" s="16" t="n">
        <v>0.576243217710084</v>
      </c>
      <c r="G706" s="17" t="s">
        <v>89</v>
      </c>
      <c r="H706" s="18" t="n">
        <v>0.3</v>
      </c>
      <c r="I706" s="18" t="n">
        <v>1</v>
      </c>
      <c r="J706" s="19" t="n">
        <v>0.957225713984616</v>
      </c>
      <c r="K706" s="19" t="n">
        <v>0.427282793820994</v>
      </c>
      <c r="L706" s="16" t="n">
        <v>12.2554107496643</v>
      </c>
      <c r="M706" s="19" t="n">
        <v>0.364700617774431</v>
      </c>
      <c r="N706" s="19" t="n">
        <v>0.738491527598385</v>
      </c>
      <c r="O706" s="19" t="n">
        <v>0.957225713984616</v>
      </c>
      <c r="P706" s="19" t="n">
        <v>0.572755630058328</v>
      </c>
      <c r="Q706" s="17" t="s">
        <v>29</v>
      </c>
      <c r="R706" s="5" t="str">
        <f aca="false">IF(OR(Q706="Steel plate",Q706="Concrete jacket"),"Steel plate or jacket",Q706)</f>
        <v>Monitor</v>
      </c>
      <c r="S706" s="5" t="str">
        <f aca="false">IF(O706&lt;='Tree rules'!$C$4,IF(N706&lt;='Tree rules'!$C$5,IF(P706&lt;='Tree rules'!$C$6,"Monitor","Polymer laminate"),IF(P706&lt;='Tree rules'!$C$7,"Seal cracks","Polymer laminate")),IF(O706&lt;='Tree rules'!$C$8,IF(M706&lt;='Tree rules'!$C$9,"Steel plate or jacket","Polymer laminate"),IF(L706&lt;='Tree rules'!$C$10,"Steel plate or jacket","Polymer laminate")))</f>
        <v>Monitor</v>
      </c>
      <c r="T706" s="5" t="str">
        <f aca="false">IF(S706=R706,"Yes","No")</f>
        <v>Yes</v>
      </c>
    </row>
    <row r="707" customFormat="false" ht="15" hidden="false" customHeight="false" outlineLevel="0" collapsed="false">
      <c r="A707" s="15" t="n">
        <v>998</v>
      </c>
      <c r="B707" s="16" t="n">
        <v>3.80162550574292</v>
      </c>
      <c r="C707" s="15" t="n">
        <v>300</v>
      </c>
      <c r="D707" s="15" t="n">
        <v>325</v>
      </c>
      <c r="E707" s="15" t="n">
        <v>25</v>
      </c>
      <c r="F707" s="16" t="n">
        <v>0.756099314943392</v>
      </c>
      <c r="G707" s="17" t="s">
        <v>91</v>
      </c>
      <c r="H707" s="18" t="n">
        <v>0.2</v>
      </c>
      <c r="I707" s="18" t="n">
        <v>1</v>
      </c>
      <c r="J707" s="19" t="n">
        <v>0.886702725948307</v>
      </c>
      <c r="K707" s="19" t="n">
        <v>0.644942457952913</v>
      </c>
      <c r="L707" s="16" t="n">
        <v>13.7242798041261</v>
      </c>
      <c r="M707" s="19" t="n">
        <v>0.934889212607098</v>
      </c>
      <c r="N707" s="19" t="n">
        <v>1.32403193800702</v>
      </c>
      <c r="O707" s="19" t="n">
        <v>0.886702725948307</v>
      </c>
      <c r="P707" s="19" t="n">
        <v>0.412206035049924</v>
      </c>
      <c r="Q707" s="17" t="s">
        <v>30</v>
      </c>
      <c r="R707" s="5" t="str">
        <f aca="false">IF(OR(Q707="Steel plate",Q707="Concrete jacket"),"Steel plate or jacket",Q707)</f>
        <v>Seal cracks</v>
      </c>
      <c r="S707" s="5" t="str">
        <f aca="false">IF(O707&lt;='Tree rules'!$C$4,IF(N707&lt;='Tree rules'!$C$5,IF(P707&lt;='Tree rules'!$C$6,"Monitor","Polymer laminate"),IF(P707&lt;='Tree rules'!$C$7,"Seal cracks","Polymer laminate")),IF(O707&lt;='Tree rules'!$C$8,IF(M707&lt;='Tree rules'!$C$9,"Steel plate or jacket","Polymer laminate"),IF(L707&lt;='Tree rules'!$C$10,"Steel plate or jacket","Polymer laminate")))</f>
        <v>Seal cracks</v>
      </c>
      <c r="T707" s="5" t="str">
        <f aca="false">IF(S707=R707,"Yes","No")</f>
        <v>Yes</v>
      </c>
    </row>
    <row r="708" customFormat="false" ht="15" hidden="false" customHeight="false" outlineLevel="0" collapsed="false">
      <c r="A708" s="15" t="n">
        <v>999</v>
      </c>
      <c r="B708" s="16" t="n">
        <v>7.36913733389878</v>
      </c>
      <c r="C708" s="15" t="n">
        <v>300</v>
      </c>
      <c r="D708" s="15" t="n">
        <v>675</v>
      </c>
      <c r="E708" s="15" t="n">
        <v>30</v>
      </c>
      <c r="F708" s="16" t="n">
        <v>0.835085766504464</v>
      </c>
      <c r="G708" s="17" t="s">
        <v>91</v>
      </c>
      <c r="H708" s="18" t="n">
        <v>0.2</v>
      </c>
      <c r="I708" s="18" t="n">
        <v>2</v>
      </c>
      <c r="J708" s="19" t="n">
        <v>0.888516308918725</v>
      </c>
      <c r="K708" s="19" t="n">
        <v>0.458810530912128</v>
      </c>
      <c r="L708" s="16" t="n">
        <v>11.7530101019119</v>
      </c>
      <c r="M708" s="19" t="n">
        <v>0.656960004824788</v>
      </c>
      <c r="N708" s="19" t="n">
        <v>1.33092839318298</v>
      </c>
      <c r="O708" s="19" t="n">
        <v>1.36937197841837</v>
      </c>
      <c r="P708" s="19" t="n">
        <v>0.692886721240922</v>
      </c>
      <c r="Q708" s="17" t="s">
        <v>92</v>
      </c>
      <c r="R708" s="5" t="str">
        <f aca="false">IF(OR(Q708="Steel plate",Q708="Concrete jacket"),"Steel plate or jacket",Q708)</f>
        <v>Steel plate or jacket</v>
      </c>
      <c r="S708" s="5" t="str">
        <f aca="false">IF(O708&lt;='Tree rules'!$C$4,IF(N708&lt;='Tree rules'!$C$5,IF(P708&lt;='Tree rules'!$C$6,"Monitor","Polymer laminate"),IF(P708&lt;='Tree rules'!$C$7,"Seal cracks","Polymer laminate")),IF(O708&lt;='Tree rules'!$C$8,IF(M708&lt;='Tree rules'!$C$9,"Steel plate or jacket","Polymer laminate"),IF(L708&lt;='Tree rules'!$C$10,"Steel plate or jacket","Polymer laminate")))</f>
        <v>Steel plate or jacket</v>
      </c>
      <c r="T708" s="5" t="str">
        <f aca="false">IF(S708=R708,"Yes","No")</f>
        <v>Yes</v>
      </c>
    </row>
    <row r="709" customFormat="false" ht="15" hidden="false" customHeight="false" outlineLevel="0" collapsed="false">
      <c r="A709" s="15" t="n">
        <v>1000</v>
      </c>
      <c r="B709" s="16" t="n">
        <v>7.61348706461885</v>
      </c>
      <c r="C709" s="15" t="n">
        <v>300</v>
      </c>
      <c r="D709" s="15" t="n">
        <v>750</v>
      </c>
      <c r="E709" s="15" t="n">
        <v>25</v>
      </c>
      <c r="F709" s="16" t="n">
        <v>0.571198664289053</v>
      </c>
      <c r="G709" s="17" t="s">
        <v>91</v>
      </c>
      <c r="H709" s="18" t="n">
        <v>0.2</v>
      </c>
      <c r="I709" s="18" t="n">
        <v>1</v>
      </c>
      <c r="J709" s="19" t="n">
        <v>0.878596635734317</v>
      </c>
      <c r="K709" s="19" t="n">
        <v>0.595878525611379</v>
      </c>
      <c r="L709" s="16" t="n">
        <v>10.8146123076972</v>
      </c>
      <c r="M709" s="19" t="n">
        <v>0.948226923704049</v>
      </c>
      <c r="N709" s="19" t="n">
        <v>0.703707162326657</v>
      </c>
      <c r="O709" s="19" t="n">
        <v>0.878596635734317</v>
      </c>
      <c r="P709" s="19" t="n">
        <v>0.322009757249882</v>
      </c>
      <c r="Q709" s="17" t="s">
        <v>29</v>
      </c>
      <c r="R709" s="5" t="str">
        <f aca="false">IF(OR(Q709="Steel plate",Q709="Concrete jacket"),"Steel plate or jacket",Q709)</f>
        <v>Monitor</v>
      </c>
      <c r="S709" s="5" t="str">
        <f aca="false">IF(O709&lt;='Tree rules'!$C$4,IF(N709&lt;='Tree rules'!$C$5,IF(P709&lt;='Tree rules'!$C$6,"Monitor","Polymer laminate"),IF(P709&lt;='Tree rules'!$C$7,"Seal cracks","Polymer laminate")),IF(O709&lt;='Tree rules'!$C$8,IF(M709&lt;='Tree rules'!$C$9,"Steel plate or jacket","Polymer laminate"),IF(L709&lt;='Tree rules'!$C$10,"Steel plate or jacket","Polymer laminate")))</f>
        <v>Monitor</v>
      </c>
      <c r="T709" s="5" t="str">
        <f aca="false">IF(S709=R709,"Yes","No")</f>
        <v>Yes</v>
      </c>
    </row>
    <row r="710" customFormat="false" ht="15" hidden="false" customHeight="false" outlineLevel="0" collapsed="false">
      <c r="A710" s="15" t="n">
        <v>1001</v>
      </c>
      <c r="B710" s="16" t="n">
        <v>5.46217038293065</v>
      </c>
      <c r="C710" s="15" t="n">
        <v>230</v>
      </c>
      <c r="D710" s="15" t="n">
        <v>450</v>
      </c>
      <c r="E710" s="15" t="n">
        <v>25</v>
      </c>
      <c r="F710" s="16" t="n">
        <v>0.679557138998441</v>
      </c>
      <c r="G710" s="17" t="s">
        <v>91</v>
      </c>
      <c r="H710" s="18" t="n">
        <v>0.2</v>
      </c>
      <c r="I710" s="18" t="n">
        <v>1</v>
      </c>
      <c r="J710" s="19" t="n">
        <v>0.90292476333708</v>
      </c>
      <c r="K710" s="19" t="n">
        <v>0.617122372366853</v>
      </c>
      <c r="L710" s="16" t="n">
        <v>13.5874885147529</v>
      </c>
      <c r="M710" s="19" t="n">
        <v>0.728402873029095</v>
      </c>
      <c r="N710" s="19" t="n">
        <v>1.21389090873395</v>
      </c>
      <c r="O710" s="19" t="n">
        <v>0.90292476333708</v>
      </c>
      <c r="P710" s="19" t="n">
        <v>0.52971519188677</v>
      </c>
      <c r="Q710" s="17" t="s">
        <v>30</v>
      </c>
      <c r="R710" s="5" t="str">
        <f aca="false">IF(OR(Q710="Steel plate",Q710="Concrete jacket"),"Steel plate or jacket",Q710)</f>
        <v>Seal cracks</v>
      </c>
      <c r="S710" s="5" t="str">
        <f aca="false">IF(O710&lt;='Tree rules'!$C$4,IF(N710&lt;='Tree rules'!$C$5,IF(P710&lt;='Tree rules'!$C$6,"Monitor","Polymer laminate"),IF(P710&lt;='Tree rules'!$C$7,"Seal cracks","Polymer laminate")),IF(O710&lt;='Tree rules'!$C$8,IF(M710&lt;='Tree rules'!$C$9,"Steel plate or jacket","Polymer laminate"),IF(L710&lt;='Tree rules'!$C$10,"Steel plate or jacket","Polymer laminate")))</f>
        <v>Seal cracks</v>
      </c>
      <c r="T710" s="5" t="str">
        <f aca="false">IF(S710=R710,"Yes","No")</f>
        <v>Yes</v>
      </c>
    </row>
    <row r="711" customFormat="false" ht="15" hidden="false" customHeight="false" outlineLevel="0" collapsed="false">
      <c r="A711" s="15" t="n">
        <v>1002</v>
      </c>
      <c r="B711" s="16" t="n">
        <v>4.68245483690524</v>
      </c>
      <c r="C711" s="15" t="n">
        <v>300</v>
      </c>
      <c r="D711" s="15" t="n">
        <v>350</v>
      </c>
      <c r="E711" s="15" t="n">
        <v>30</v>
      </c>
      <c r="F711" s="16" t="n">
        <v>0.739198271432892</v>
      </c>
      <c r="G711" s="17" t="s">
        <v>89</v>
      </c>
      <c r="H711" s="18" t="n">
        <v>0.3</v>
      </c>
      <c r="I711" s="18" t="n">
        <v>1</v>
      </c>
      <c r="J711" s="19" t="n">
        <v>0.862042636661914</v>
      </c>
      <c r="K711" s="19" t="n">
        <v>0.628716515064897</v>
      </c>
      <c r="L711" s="16" t="n">
        <v>15.3021399898864</v>
      </c>
      <c r="M711" s="19" t="n">
        <v>0.364460972045864</v>
      </c>
      <c r="N711" s="19" t="n">
        <v>0.593117426156119</v>
      </c>
      <c r="O711" s="19" t="n">
        <v>0.862042636661914</v>
      </c>
      <c r="P711" s="19" t="n">
        <v>1.03555447831909</v>
      </c>
      <c r="Q711" s="17" t="s">
        <v>31</v>
      </c>
      <c r="R711" s="5" t="str">
        <f aca="false">IF(OR(Q711="Steel plate",Q711="Concrete jacket"),"Steel plate or jacket",Q711)</f>
        <v>Polymer laminate</v>
      </c>
      <c r="S711" s="5" t="str">
        <f aca="false">IF(O711&lt;='Tree rules'!$C$4,IF(N711&lt;='Tree rules'!$C$5,IF(P711&lt;='Tree rules'!$C$6,"Monitor","Polymer laminate"),IF(P711&lt;='Tree rules'!$C$7,"Seal cracks","Polymer laminate")),IF(O711&lt;='Tree rules'!$C$8,IF(M711&lt;='Tree rules'!$C$9,"Steel plate or jacket","Polymer laminate"),IF(L711&lt;='Tree rules'!$C$10,"Steel plate or jacket","Polymer laminate")))</f>
        <v>Polymer laminate</v>
      </c>
      <c r="T711" s="5" t="str">
        <f aca="false">IF(S711=R711,"Yes","No")</f>
        <v>Yes</v>
      </c>
    </row>
    <row r="712" customFormat="false" ht="15" hidden="false" customHeight="false" outlineLevel="0" collapsed="false">
      <c r="A712" s="15" t="n">
        <v>1004</v>
      </c>
      <c r="B712" s="16" t="n">
        <v>3.46131978111775</v>
      </c>
      <c r="C712" s="15" t="n">
        <v>230</v>
      </c>
      <c r="D712" s="15" t="n">
        <v>300</v>
      </c>
      <c r="E712" s="15" t="n">
        <v>25</v>
      </c>
      <c r="F712" s="16" t="n">
        <v>0.688332522525665</v>
      </c>
      <c r="G712" s="17" t="s">
        <v>89</v>
      </c>
      <c r="H712" s="18" t="n">
        <v>0.3</v>
      </c>
      <c r="I712" s="18" t="n">
        <v>2</v>
      </c>
      <c r="J712" s="19" t="n">
        <v>0.876448842875816</v>
      </c>
      <c r="K712" s="19" t="n">
        <v>0.432613595078856</v>
      </c>
      <c r="L712" s="16" t="n">
        <v>13.627243232747</v>
      </c>
      <c r="M712" s="19" t="n">
        <v>0.828612062270476</v>
      </c>
      <c r="N712" s="19" t="n">
        <v>1.24617543969019</v>
      </c>
      <c r="O712" s="19" t="n">
        <v>1.37373400093242</v>
      </c>
      <c r="P712" s="19" t="n">
        <v>0.439814119727462</v>
      </c>
      <c r="Q712" s="17" t="s">
        <v>31</v>
      </c>
      <c r="R712" s="5" t="str">
        <f aca="false">IF(OR(Q712="Steel plate",Q712="Concrete jacket"),"Steel plate or jacket",Q712)</f>
        <v>Polymer laminate</v>
      </c>
      <c r="S712" s="5" t="str">
        <f aca="false">IF(O712&lt;='Tree rules'!$C$4,IF(N712&lt;='Tree rules'!$C$5,IF(P712&lt;='Tree rules'!$C$6,"Monitor","Polymer laminate"),IF(P712&lt;='Tree rules'!$C$7,"Seal cracks","Polymer laminate")),IF(O712&lt;='Tree rules'!$C$8,IF(M712&lt;='Tree rules'!$C$9,"Steel plate or jacket","Polymer laminate"),IF(L712&lt;='Tree rules'!$C$10,"Steel plate or jacket","Polymer laminate")))</f>
        <v>Polymer laminate</v>
      </c>
      <c r="T712" s="5" t="str">
        <f aca="false">IF(S712=R712,"Yes","No")</f>
        <v>Yes</v>
      </c>
    </row>
    <row r="713" customFormat="false" ht="15" hidden="false" customHeight="false" outlineLevel="0" collapsed="false">
      <c r="A713" s="15" t="n">
        <v>1005</v>
      </c>
      <c r="B713" s="16" t="n">
        <v>4.66820142291102</v>
      </c>
      <c r="C713" s="15" t="n">
        <v>300</v>
      </c>
      <c r="D713" s="15" t="n">
        <v>425</v>
      </c>
      <c r="E713" s="15" t="n">
        <v>30</v>
      </c>
      <c r="F713" s="16" t="n">
        <v>0.833313701217452</v>
      </c>
      <c r="G713" s="17" t="s">
        <v>89</v>
      </c>
      <c r="H713" s="18" t="n">
        <v>0.3</v>
      </c>
      <c r="I713" s="18" t="n">
        <v>1.5</v>
      </c>
      <c r="J713" s="19" t="n">
        <v>0.869852496448627</v>
      </c>
      <c r="K713" s="19" t="n">
        <v>0.42258347595463</v>
      </c>
      <c r="L713" s="16" t="n">
        <v>12.3824971430001</v>
      </c>
      <c r="M713" s="19" t="n">
        <v>0.363656391341129</v>
      </c>
      <c r="N713" s="19" t="n">
        <v>0.97638855466085</v>
      </c>
      <c r="O713" s="19" t="n">
        <v>1.1209860989144</v>
      </c>
      <c r="P713" s="19" t="n">
        <v>0.95928342105475</v>
      </c>
      <c r="Q713" s="17" t="s">
        <v>31</v>
      </c>
      <c r="R713" s="5" t="str">
        <f aca="false">IF(OR(Q713="Steel plate",Q713="Concrete jacket"),"Steel plate or jacket",Q713)</f>
        <v>Polymer laminate</v>
      </c>
      <c r="S713" s="5" t="str">
        <f aca="false">IF(O713&lt;='Tree rules'!$C$4,IF(N713&lt;='Tree rules'!$C$5,IF(P713&lt;='Tree rules'!$C$6,"Monitor","Polymer laminate"),IF(P713&lt;='Tree rules'!$C$7,"Seal cracks","Polymer laminate")),IF(O713&lt;='Tree rules'!$C$8,IF(M713&lt;='Tree rules'!$C$9,"Steel plate or jacket","Polymer laminate"),IF(L713&lt;='Tree rules'!$C$10,"Steel plate or jacket","Polymer laminate")))</f>
        <v>Polymer laminate</v>
      </c>
      <c r="T713" s="5" t="str">
        <f aca="false">IF(S713=R713,"Yes","No")</f>
        <v>Yes</v>
      </c>
    </row>
    <row r="714" customFormat="false" ht="15" hidden="false" customHeight="false" outlineLevel="0" collapsed="false">
      <c r="A714" s="15" t="n">
        <v>1007</v>
      </c>
      <c r="B714" s="16" t="n">
        <v>3.42504421321908</v>
      </c>
      <c r="C714" s="15" t="n">
        <v>300</v>
      </c>
      <c r="D714" s="15" t="n">
        <v>350</v>
      </c>
      <c r="E714" s="15" t="n">
        <v>20</v>
      </c>
      <c r="F714" s="16" t="n">
        <v>0.647751062595834</v>
      </c>
      <c r="G714" s="17" t="s">
        <v>90</v>
      </c>
      <c r="H714" s="18" t="n">
        <v>0.1</v>
      </c>
      <c r="I714" s="18" t="n">
        <v>1.5</v>
      </c>
      <c r="J714" s="19" t="n">
        <v>0.87737616502788</v>
      </c>
      <c r="K714" s="19" t="n">
        <v>0.489068153259847</v>
      </c>
      <c r="L714" s="16" t="n">
        <v>11.7699113856326</v>
      </c>
      <c r="M714" s="19" t="n">
        <v>0.403289026399858</v>
      </c>
      <c r="N714" s="19" t="n">
        <v>3.11270221122888</v>
      </c>
      <c r="O714" s="19" t="n">
        <v>1.10151587716962</v>
      </c>
      <c r="P714" s="19" t="n">
        <v>0.666450074779696</v>
      </c>
      <c r="Q714" s="17" t="s">
        <v>31</v>
      </c>
      <c r="R714" s="5" t="str">
        <f aca="false">IF(OR(Q714="Steel plate",Q714="Concrete jacket"),"Steel plate or jacket",Q714)</f>
        <v>Polymer laminate</v>
      </c>
      <c r="S714" s="5" t="str">
        <f aca="false">IF(O714&lt;='Tree rules'!$C$4,IF(N714&lt;='Tree rules'!$C$5,IF(P714&lt;='Tree rules'!$C$6,"Monitor","Polymer laminate"),IF(P714&lt;='Tree rules'!$C$7,"Seal cracks","Polymer laminate")),IF(O714&lt;='Tree rules'!$C$8,IF(M714&lt;='Tree rules'!$C$9,"Steel plate or jacket","Polymer laminate"),IF(L714&lt;='Tree rules'!$C$10,"Steel plate or jacket","Polymer laminate")))</f>
        <v>Polymer laminate</v>
      </c>
      <c r="T714" s="5" t="str">
        <f aca="false">IF(S714=R714,"Yes","No")</f>
        <v>Yes</v>
      </c>
    </row>
    <row r="715" customFormat="false" ht="15" hidden="false" customHeight="false" outlineLevel="0" collapsed="false">
      <c r="A715" s="15" t="n">
        <v>1008</v>
      </c>
      <c r="B715" s="16" t="n">
        <v>5.84704032292161</v>
      </c>
      <c r="C715" s="15" t="n">
        <v>230</v>
      </c>
      <c r="D715" s="15" t="n">
        <v>525</v>
      </c>
      <c r="E715" s="15" t="n">
        <v>30</v>
      </c>
      <c r="F715" s="16" t="n">
        <v>0.730006099046008</v>
      </c>
      <c r="G715" s="17" t="s">
        <v>89</v>
      </c>
      <c r="H715" s="18" t="n">
        <v>0.3</v>
      </c>
      <c r="I715" s="18" t="n">
        <v>1</v>
      </c>
      <c r="J715" s="19" t="n">
        <v>0.922253014889606</v>
      </c>
      <c r="K715" s="19" t="n">
        <v>0.649878684166899</v>
      </c>
      <c r="L715" s="16" t="n">
        <v>12.2067647660159</v>
      </c>
      <c r="M715" s="19" t="n">
        <v>0.938960635999861</v>
      </c>
      <c r="N715" s="19" t="n">
        <v>0.549583690125729</v>
      </c>
      <c r="O715" s="19" t="n">
        <v>0.922253014889606</v>
      </c>
      <c r="P715" s="19" t="n">
        <v>0.419992310822531</v>
      </c>
      <c r="Q715" s="17" t="s">
        <v>29</v>
      </c>
      <c r="R715" s="5" t="str">
        <f aca="false">IF(OR(Q715="Steel plate",Q715="Concrete jacket"),"Steel plate or jacket",Q715)</f>
        <v>Monitor</v>
      </c>
      <c r="S715" s="5" t="str">
        <f aca="false">IF(O715&lt;='Tree rules'!$C$4,IF(N715&lt;='Tree rules'!$C$5,IF(P715&lt;='Tree rules'!$C$6,"Monitor","Polymer laminate"),IF(P715&lt;='Tree rules'!$C$7,"Seal cracks","Polymer laminate")),IF(O715&lt;='Tree rules'!$C$8,IF(M715&lt;='Tree rules'!$C$9,"Steel plate or jacket","Polymer laminate"),IF(L715&lt;='Tree rules'!$C$10,"Steel plate or jacket","Polymer laminate")))</f>
        <v>Monitor</v>
      </c>
      <c r="T715" s="5" t="str">
        <f aca="false">IF(S715=R715,"Yes","No")</f>
        <v>Yes</v>
      </c>
    </row>
    <row r="716" customFormat="false" ht="15" hidden="false" customHeight="false" outlineLevel="0" collapsed="false">
      <c r="A716" s="15" t="n">
        <v>1009</v>
      </c>
      <c r="B716" s="16" t="n">
        <v>4.39416839301912</v>
      </c>
      <c r="C716" s="15" t="n">
        <v>300</v>
      </c>
      <c r="D716" s="15" t="n">
        <v>425</v>
      </c>
      <c r="E716" s="15" t="n">
        <v>30</v>
      </c>
      <c r="F716" s="16" t="n">
        <v>0.593686800678386</v>
      </c>
      <c r="G716" s="17" t="s">
        <v>91</v>
      </c>
      <c r="H716" s="18" t="n">
        <v>0.2</v>
      </c>
      <c r="I716" s="18" t="n">
        <v>1.5</v>
      </c>
      <c r="J716" s="19" t="n">
        <v>0.876470542305058</v>
      </c>
      <c r="K716" s="19" t="n">
        <v>0.487965159289007</v>
      </c>
      <c r="L716" s="16" t="n">
        <v>11.5332503753783</v>
      </c>
      <c r="M716" s="19" t="n">
        <v>0.364676018299924</v>
      </c>
      <c r="N716" s="19" t="n">
        <v>1.11397440642673</v>
      </c>
      <c r="O716" s="19" t="n">
        <v>1.10086226956358</v>
      </c>
      <c r="P716" s="19" t="n">
        <v>0.718124235795806</v>
      </c>
      <c r="Q716" s="17" t="s">
        <v>31</v>
      </c>
      <c r="R716" s="5" t="str">
        <f aca="false">IF(OR(Q716="Steel plate",Q716="Concrete jacket"),"Steel plate or jacket",Q716)</f>
        <v>Polymer laminate</v>
      </c>
      <c r="S716" s="5" t="str">
        <f aca="false">IF(O716&lt;='Tree rules'!$C$4,IF(N716&lt;='Tree rules'!$C$5,IF(P716&lt;='Tree rules'!$C$6,"Monitor","Polymer laminate"),IF(P716&lt;='Tree rules'!$C$7,"Seal cracks","Polymer laminate")),IF(O716&lt;='Tree rules'!$C$8,IF(M716&lt;='Tree rules'!$C$9,"Steel plate or jacket","Polymer laminate"),IF(L716&lt;='Tree rules'!$C$10,"Steel plate or jacket","Polymer laminate")))</f>
        <v>Polymer laminate</v>
      </c>
      <c r="T716" s="5" t="str">
        <f aca="false">IF(S716=R716,"Yes","No")</f>
        <v>Yes</v>
      </c>
    </row>
    <row r="717" customFormat="false" ht="15" hidden="false" customHeight="false" outlineLevel="0" collapsed="false">
      <c r="A717" s="15" t="n">
        <v>1010</v>
      </c>
      <c r="B717" s="16" t="n">
        <v>6.8240133941703</v>
      </c>
      <c r="C717" s="15" t="n">
        <v>300</v>
      </c>
      <c r="D717" s="15" t="n">
        <v>625</v>
      </c>
      <c r="E717" s="15" t="n">
        <v>25</v>
      </c>
      <c r="F717" s="16" t="n">
        <v>0.694514438099298</v>
      </c>
      <c r="G717" s="17" t="s">
        <v>91</v>
      </c>
      <c r="H717" s="18" t="n">
        <v>0.2</v>
      </c>
      <c r="I717" s="18" t="n">
        <v>1</v>
      </c>
      <c r="J717" s="19" t="n">
        <v>0.963229399876664</v>
      </c>
      <c r="K717" s="19" t="n">
        <v>0.564171714190185</v>
      </c>
      <c r="L717" s="16" t="n">
        <v>11.7858607844047</v>
      </c>
      <c r="M717" s="19" t="n">
        <v>0.448038508894183</v>
      </c>
      <c r="N717" s="19" t="n">
        <v>0.915931866887812</v>
      </c>
      <c r="O717" s="19" t="n">
        <v>0.963229399876664</v>
      </c>
      <c r="P717" s="19" t="n">
        <v>0.82407661931416</v>
      </c>
      <c r="Q717" s="17" t="s">
        <v>29</v>
      </c>
      <c r="R717" s="5" t="str">
        <f aca="false">IF(OR(Q717="Steel plate",Q717="Concrete jacket"),"Steel plate or jacket",Q717)</f>
        <v>Monitor</v>
      </c>
      <c r="S717" s="5" t="str">
        <f aca="false">IF(O717&lt;='Tree rules'!$C$4,IF(N717&lt;='Tree rules'!$C$5,IF(P717&lt;='Tree rules'!$C$6,"Monitor","Polymer laminate"),IF(P717&lt;='Tree rules'!$C$7,"Seal cracks","Polymer laminate")),IF(O717&lt;='Tree rules'!$C$8,IF(M717&lt;='Tree rules'!$C$9,"Steel plate or jacket","Polymer laminate"),IF(L717&lt;='Tree rules'!$C$10,"Steel plate or jacket","Polymer laminate")))</f>
        <v>Monitor</v>
      </c>
      <c r="T717" s="5" t="str">
        <f aca="false">IF(S717=R717,"Yes","No")</f>
        <v>Yes</v>
      </c>
    </row>
    <row r="718" customFormat="false" ht="15" hidden="false" customHeight="false" outlineLevel="0" collapsed="false">
      <c r="A718" s="15" t="n">
        <v>1011</v>
      </c>
      <c r="B718" s="16" t="n">
        <v>7.57794283376024</v>
      </c>
      <c r="C718" s="15" t="n">
        <v>300</v>
      </c>
      <c r="D718" s="15" t="n">
        <v>750</v>
      </c>
      <c r="E718" s="15" t="n">
        <v>20</v>
      </c>
      <c r="F718" s="16" t="n">
        <v>0.609722009430334</v>
      </c>
      <c r="G718" s="17" t="s">
        <v>90</v>
      </c>
      <c r="H718" s="18" t="n">
        <v>0.1</v>
      </c>
      <c r="I718" s="18" t="n">
        <v>2</v>
      </c>
      <c r="J718" s="19" t="n">
        <v>0.93251041014278</v>
      </c>
      <c r="K718" s="19" t="n">
        <v>0.446336602630753</v>
      </c>
      <c r="L718" s="16" t="n">
        <v>11.0304844741779</v>
      </c>
      <c r="M718" s="19" t="n">
        <v>0.898812350411296</v>
      </c>
      <c r="N718" s="19" t="n">
        <v>3.56747970596548</v>
      </c>
      <c r="O718" s="19" t="n">
        <v>1.44880729190462</v>
      </c>
      <c r="P718" s="19" t="n">
        <v>0.437172088477851</v>
      </c>
      <c r="Q718" s="17" t="s">
        <v>92</v>
      </c>
      <c r="R718" s="5" t="str">
        <f aca="false">IF(OR(Q718="Steel plate",Q718="Concrete jacket"),"Steel plate or jacket",Q718)</f>
        <v>Steel plate or jacket</v>
      </c>
      <c r="S718" s="5" t="str">
        <f aca="false">IF(O718&lt;='Tree rules'!$C$4,IF(N718&lt;='Tree rules'!$C$5,IF(P718&lt;='Tree rules'!$C$6,"Monitor","Polymer laminate"),IF(P718&lt;='Tree rules'!$C$7,"Seal cracks","Polymer laminate")),IF(O718&lt;='Tree rules'!$C$8,IF(M718&lt;='Tree rules'!$C$9,"Steel plate or jacket","Polymer laminate"),IF(L718&lt;='Tree rules'!$C$10,"Steel plate or jacket","Polymer laminate")))</f>
        <v>Steel plate or jacket</v>
      </c>
      <c r="T718" s="5" t="str">
        <f aca="false">IF(S718=R718,"Yes","No")</f>
        <v>Yes</v>
      </c>
    </row>
    <row r="719" customFormat="false" ht="15" hidden="false" customHeight="false" outlineLevel="0" collapsed="false">
      <c r="A719" s="15" t="n">
        <v>1013</v>
      </c>
      <c r="B719" s="16" t="n">
        <v>7.11824053432283</v>
      </c>
      <c r="C719" s="15" t="n">
        <v>230</v>
      </c>
      <c r="D719" s="15" t="n">
        <v>625</v>
      </c>
      <c r="E719" s="15" t="n">
        <v>25</v>
      </c>
      <c r="F719" s="16" t="n">
        <v>0.603925598347216</v>
      </c>
      <c r="G719" s="17" t="s">
        <v>89</v>
      </c>
      <c r="H719" s="18" t="n">
        <v>0.3</v>
      </c>
      <c r="I719" s="18" t="n">
        <v>2</v>
      </c>
      <c r="J719" s="19" t="n">
        <v>0.97386058615924</v>
      </c>
      <c r="K719" s="19" t="n">
        <v>0.508309772136964</v>
      </c>
      <c r="L719" s="16" t="n">
        <v>12.2940251024574</v>
      </c>
      <c r="M719" s="19" t="n">
        <v>0.911555886791312</v>
      </c>
      <c r="N719" s="19" t="n">
        <v>0.886014913995249</v>
      </c>
      <c r="O719" s="19" t="n">
        <v>1.45269831967471</v>
      </c>
      <c r="P719" s="19" t="n">
        <v>0.482430741452606</v>
      </c>
      <c r="Q719" s="17" t="s">
        <v>92</v>
      </c>
      <c r="R719" s="5" t="str">
        <f aca="false">IF(OR(Q719="Steel plate",Q719="Concrete jacket"),"Steel plate or jacket",Q719)</f>
        <v>Steel plate or jacket</v>
      </c>
      <c r="S719" s="5" t="str">
        <f aca="false">IF(O719&lt;='Tree rules'!$C$4,IF(N719&lt;='Tree rules'!$C$5,IF(P719&lt;='Tree rules'!$C$6,"Monitor","Polymer laminate"),IF(P719&lt;='Tree rules'!$C$7,"Seal cracks","Polymer laminate")),IF(O719&lt;='Tree rules'!$C$8,IF(M719&lt;='Tree rules'!$C$9,"Steel plate or jacket","Polymer laminate"),IF(L719&lt;='Tree rules'!$C$10,"Steel plate or jacket","Polymer laminate")))</f>
        <v>Steel plate or jacket</v>
      </c>
      <c r="T719" s="5" t="str">
        <f aca="false">IF(S719=R719,"Yes","No")</f>
        <v>Yes</v>
      </c>
    </row>
    <row r="720" customFormat="false" ht="15" hidden="false" customHeight="false" outlineLevel="0" collapsed="false">
      <c r="A720" s="15" t="n">
        <v>1014</v>
      </c>
      <c r="B720" s="16" t="n">
        <v>3.15999058149635</v>
      </c>
      <c r="C720" s="15" t="n">
        <v>230</v>
      </c>
      <c r="D720" s="15" t="n">
        <v>325</v>
      </c>
      <c r="E720" s="15" t="n">
        <v>30</v>
      </c>
      <c r="F720" s="16" t="n">
        <v>0.98621649775225</v>
      </c>
      <c r="G720" s="17" t="s">
        <v>89</v>
      </c>
      <c r="H720" s="18" t="n">
        <v>0.3</v>
      </c>
      <c r="I720" s="18" t="n">
        <v>2</v>
      </c>
      <c r="J720" s="19" t="n">
        <v>0.915798021572839</v>
      </c>
      <c r="K720" s="19" t="n">
        <v>0.626886825965638</v>
      </c>
      <c r="L720" s="16" t="n">
        <v>11.4079082364489</v>
      </c>
      <c r="M720" s="19" t="n">
        <v>0.80082496973173</v>
      </c>
      <c r="N720" s="19" t="n">
        <v>1.1610492149601</v>
      </c>
      <c r="O720" s="19" t="n">
        <v>1.25749432817627</v>
      </c>
      <c r="P720" s="19" t="n">
        <v>0.541609342653932</v>
      </c>
      <c r="Q720" s="17" t="s">
        <v>31</v>
      </c>
      <c r="R720" s="5" t="str">
        <f aca="false">IF(OR(Q720="Steel plate",Q720="Concrete jacket"),"Steel plate or jacket",Q720)</f>
        <v>Polymer laminate</v>
      </c>
      <c r="S720" s="5" t="str">
        <f aca="false">IF(O720&lt;='Tree rules'!$C$4,IF(N720&lt;='Tree rules'!$C$5,IF(P720&lt;='Tree rules'!$C$6,"Monitor","Polymer laminate"),IF(P720&lt;='Tree rules'!$C$7,"Seal cracks","Polymer laminate")),IF(O720&lt;='Tree rules'!$C$8,IF(M720&lt;='Tree rules'!$C$9,"Steel plate or jacket","Polymer laminate"),IF(L720&lt;='Tree rules'!$C$10,"Steel plate or jacket","Polymer laminate")))</f>
        <v>Polymer laminate</v>
      </c>
      <c r="T720" s="5" t="str">
        <f aca="false">IF(S720=R720,"Yes","No")</f>
        <v>Yes</v>
      </c>
    </row>
    <row r="721" customFormat="false" ht="15" hidden="false" customHeight="false" outlineLevel="0" collapsed="false">
      <c r="A721" s="15" t="n">
        <v>1016</v>
      </c>
      <c r="B721" s="16" t="n">
        <v>6.65825116758317</v>
      </c>
      <c r="C721" s="15" t="n">
        <v>300</v>
      </c>
      <c r="D721" s="15" t="n">
        <v>575</v>
      </c>
      <c r="E721" s="15" t="n">
        <v>25</v>
      </c>
      <c r="F721" s="16" t="n">
        <v>0.79483685100311</v>
      </c>
      <c r="G721" s="17" t="s">
        <v>89</v>
      </c>
      <c r="H721" s="18" t="n">
        <v>0.3</v>
      </c>
      <c r="I721" s="18" t="n">
        <v>1</v>
      </c>
      <c r="J721" s="19" t="n">
        <v>0.900388642167614</v>
      </c>
      <c r="K721" s="19" t="n">
        <v>0.453755039562762</v>
      </c>
      <c r="L721" s="16" t="n">
        <v>12.6342526899111</v>
      </c>
      <c r="M721" s="19" t="n">
        <v>0.89190054008517</v>
      </c>
      <c r="N721" s="19" t="n">
        <v>0.580940553937436</v>
      </c>
      <c r="O721" s="19" t="n">
        <v>0.900388642167614</v>
      </c>
      <c r="P721" s="19" t="n">
        <v>0.440673820703071</v>
      </c>
      <c r="Q721" s="17" t="s">
        <v>29</v>
      </c>
      <c r="R721" s="5" t="str">
        <f aca="false">IF(OR(Q721="Steel plate",Q721="Concrete jacket"),"Steel plate or jacket",Q721)</f>
        <v>Monitor</v>
      </c>
      <c r="S721" s="5" t="str">
        <f aca="false">IF(O721&lt;='Tree rules'!$C$4,IF(N721&lt;='Tree rules'!$C$5,IF(P721&lt;='Tree rules'!$C$6,"Monitor","Polymer laminate"),IF(P721&lt;='Tree rules'!$C$7,"Seal cracks","Polymer laminate")),IF(O721&lt;='Tree rules'!$C$8,IF(M721&lt;='Tree rules'!$C$9,"Steel plate or jacket","Polymer laminate"),IF(L721&lt;='Tree rules'!$C$10,"Steel plate or jacket","Polymer laminate")))</f>
        <v>Monitor</v>
      </c>
      <c r="T721" s="5" t="str">
        <f aca="false">IF(S721=R721,"Yes","No")</f>
        <v>Yes</v>
      </c>
    </row>
    <row r="722" customFormat="false" ht="15" hidden="false" customHeight="false" outlineLevel="0" collapsed="false">
      <c r="A722" s="15" t="n">
        <v>1017</v>
      </c>
      <c r="B722" s="16" t="n">
        <v>6.3358139534047</v>
      </c>
      <c r="C722" s="15" t="n">
        <v>230</v>
      </c>
      <c r="D722" s="15" t="n">
        <v>550</v>
      </c>
      <c r="E722" s="15" t="n">
        <v>25</v>
      </c>
      <c r="F722" s="16" t="n">
        <v>0.544187190990784</v>
      </c>
      <c r="G722" s="17" t="s">
        <v>91</v>
      </c>
      <c r="H722" s="18" t="n">
        <v>0.2</v>
      </c>
      <c r="I722" s="18" t="n">
        <v>1</v>
      </c>
      <c r="J722" s="19" t="n">
        <v>0.90551242378444</v>
      </c>
      <c r="K722" s="19" t="n">
        <v>0.442524915270104</v>
      </c>
      <c r="L722" s="16" t="n">
        <v>12.6211433334755</v>
      </c>
      <c r="M722" s="19" t="n">
        <v>0.796081846343374</v>
      </c>
      <c r="N722" s="19" t="n">
        <v>1.17378680578688</v>
      </c>
      <c r="O722" s="19" t="n">
        <v>0.90551242378444</v>
      </c>
      <c r="P722" s="19" t="n">
        <v>0.352494590862822</v>
      </c>
      <c r="Q722" s="17" t="s">
        <v>30</v>
      </c>
      <c r="R722" s="5" t="str">
        <f aca="false">IF(OR(Q722="Steel plate",Q722="Concrete jacket"),"Steel plate or jacket",Q722)</f>
        <v>Seal cracks</v>
      </c>
      <c r="S722" s="5" t="str">
        <f aca="false">IF(O722&lt;='Tree rules'!$C$4,IF(N722&lt;='Tree rules'!$C$5,IF(P722&lt;='Tree rules'!$C$6,"Monitor","Polymer laminate"),IF(P722&lt;='Tree rules'!$C$7,"Seal cracks","Polymer laminate")),IF(O722&lt;='Tree rules'!$C$8,IF(M722&lt;='Tree rules'!$C$9,"Steel plate or jacket","Polymer laminate"),IF(L722&lt;='Tree rules'!$C$10,"Steel plate or jacket","Polymer laminate")))</f>
        <v>Seal cracks</v>
      </c>
      <c r="T722" s="5" t="str">
        <f aca="false">IF(S722=R722,"Yes","No")</f>
        <v>Yes</v>
      </c>
    </row>
    <row r="723" customFormat="false" ht="15" hidden="false" customHeight="false" outlineLevel="0" collapsed="false">
      <c r="A723" s="15" t="n">
        <v>1018</v>
      </c>
      <c r="B723" s="16" t="n">
        <v>5.24124106877421</v>
      </c>
      <c r="C723" s="15" t="n">
        <v>300</v>
      </c>
      <c r="D723" s="15" t="n">
        <v>450</v>
      </c>
      <c r="E723" s="15" t="n">
        <v>30</v>
      </c>
      <c r="F723" s="16" t="n">
        <v>0.781490709848207</v>
      </c>
      <c r="G723" s="17" t="s">
        <v>91</v>
      </c>
      <c r="H723" s="18" t="n">
        <v>0.2</v>
      </c>
      <c r="I723" s="18" t="n">
        <v>1.5</v>
      </c>
      <c r="J723" s="19" t="n">
        <v>0.876829897197926</v>
      </c>
      <c r="K723" s="19" t="n">
        <v>0.534145955055784</v>
      </c>
      <c r="L723" s="16" t="n">
        <v>13.0379131064035</v>
      </c>
      <c r="M723" s="19" t="n">
        <v>0.327674461080345</v>
      </c>
      <c r="N723" s="19" t="n">
        <v>1.42031105484736</v>
      </c>
      <c r="O723" s="19" t="n">
        <v>1.08106727436676</v>
      </c>
      <c r="P723" s="19" t="n">
        <v>1.15142275956255</v>
      </c>
      <c r="Q723" s="17" t="s">
        <v>31</v>
      </c>
      <c r="R723" s="5" t="str">
        <f aca="false">IF(OR(Q723="Steel plate",Q723="Concrete jacket"),"Steel plate or jacket",Q723)</f>
        <v>Polymer laminate</v>
      </c>
      <c r="S723" s="5" t="str">
        <f aca="false">IF(O723&lt;='Tree rules'!$C$4,IF(N723&lt;='Tree rules'!$C$5,IF(P723&lt;='Tree rules'!$C$6,"Monitor","Polymer laminate"),IF(P723&lt;='Tree rules'!$C$7,"Seal cracks","Polymer laminate")),IF(O723&lt;='Tree rules'!$C$8,IF(M723&lt;='Tree rules'!$C$9,"Steel plate or jacket","Polymer laminate"),IF(L723&lt;='Tree rules'!$C$10,"Steel plate or jacket","Polymer laminate")))</f>
        <v>Polymer laminate</v>
      </c>
      <c r="T723" s="5" t="str">
        <f aca="false">IF(S723=R723,"Yes","No")</f>
        <v>Yes</v>
      </c>
    </row>
    <row r="724" customFormat="false" ht="15" hidden="false" customHeight="false" outlineLevel="0" collapsed="false">
      <c r="A724" s="15" t="n">
        <v>1020</v>
      </c>
      <c r="B724" s="16" t="n">
        <v>4.70143773953392</v>
      </c>
      <c r="C724" s="15" t="n">
        <v>230</v>
      </c>
      <c r="D724" s="15" t="n">
        <v>375</v>
      </c>
      <c r="E724" s="15" t="n">
        <v>25</v>
      </c>
      <c r="F724" s="16" t="n">
        <v>0.594232683721175</v>
      </c>
      <c r="G724" s="17" t="s">
        <v>91</v>
      </c>
      <c r="H724" s="18" t="n">
        <v>0.2</v>
      </c>
      <c r="I724" s="18" t="n">
        <v>1.5</v>
      </c>
      <c r="J724" s="19" t="n">
        <v>0.961526657104369</v>
      </c>
      <c r="K724" s="19" t="n">
        <v>0.534001337010363</v>
      </c>
      <c r="L724" s="16" t="n">
        <v>14.2037393943623</v>
      </c>
      <c r="M724" s="19" t="n">
        <v>0.791408862367547</v>
      </c>
      <c r="N724" s="19" t="n">
        <v>1.12784948204323</v>
      </c>
      <c r="O724" s="19" t="n">
        <v>1.18556172542414</v>
      </c>
      <c r="P724" s="19" t="n">
        <v>0.48443141037908</v>
      </c>
      <c r="Q724" s="17" t="s">
        <v>31</v>
      </c>
      <c r="R724" s="5" t="str">
        <f aca="false">IF(OR(Q724="Steel plate",Q724="Concrete jacket"),"Steel plate or jacket",Q724)</f>
        <v>Polymer laminate</v>
      </c>
      <c r="S724" s="5" t="str">
        <f aca="false">IF(O724&lt;='Tree rules'!$C$4,IF(N724&lt;='Tree rules'!$C$5,IF(P724&lt;='Tree rules'!$C$6,"Monitor","Polymer laminate"),IF(P724&lt;='Tree rules'!$C$7,"Seal cracks","Polymer laminate")),IF(O724&lt;='Tree rules'!$C$8,IF(M724&lt;='Tree rules'!$C$9,"Steel plate or jacket","Polymer laminate"),IF(L724&lt;='Tree rules'!$C$10,"Steel plate or jacket","Polymer laminate")))</f>
        <v>Polymer laminate</v>
      </c>
      <c r="T724" s="5" t="str">
        <f aca="false">IF(S724=R724,"Yes","No")</f>
        <v>Yes</v>
      </c>
    </row>
    <row r="725" customFormat="false" ht="15" hidden="false" customHeight="false" outlineLevel="0" collapsed="false">
      <c r="A725" s="15" t="n">
        <v>1021</v>
      </c>
      <c r="B725" s="16" t="n">
        <v>3.27187761429613</v>
      </c>
      <c r="C725" s="15" t="n">
        <v>230</v>
      </c>
      <c r="D725" s="15" t="n">
        <v>300</v>
      </c>
      <c r="E725" s="15" t="n">
        <v>25</v>
      </c>
      <c r="F725" s="16" t="n">
        <v>0.768324290280112</v>
      </c>
      <c r="G725" s="17" t="s">
        <v>89</v>
      </c>
      <c r="H725" s="18" t="n">
        <v>0.3</v>
      </c>
      <c r="I725" s="18" t="n">
        <v>1</v>
      </c>
      <c r="J725" s="19" t="n">
        <v>0.922945134784787</v>
      </c>
      <c r="K725" s="19" t="n">
        <v>0.419580764113165</v>
      </c>
      <c r="L725" s="16" t="n">
        <v>12.7807719308442</v>
      </c>
      <c r="M725" s="19" t="n">
        <v>0.900929546528429</v>
      </c>
      <c r="N725" s="19" t="n">
        <v>0.580484331437143</v>
      </c>
      <c r="O725" s="19" t="n">
        <v>0.922945134784787</v>
      </c>
      <c r="P725" s="19" t="n">
        <v>0.343902329247895</v>
      </c>
      <c r="Q725" s="17" t="s">
        <v>29</v>
      </c>
      <c r="R725" s="5" t="str">
        <f aca="false">IF(OR(Q725="Steel plate",Q725="Concrete jacket"),"Steel plate or jacket",Q725)</f>
        <v>Monitor</v>
      </c>
      <c r="S725" s="5" t="str">
        <f aca="false">IF(O725&lt;='Tree rules'!$C$4,IF(N725&lt;='Tree rules'!$C$5,IF(P725&lt;='Tree rules'!$C$6,"Monitor","Polymer laminate"),IF(P725&lt;='Tree rules'!$C$7,"Seal cracks","Polymer laminate")),IF(O725&lt;='Tree rules'!$C$8,IF(M725&lt;='Tree rules'!$C$9,"Steel plate or jacket","Polymer laminate"),IF(L725&lt;='Tree rules'!$C$10,"Steel plate or jacket","Polymer laminate")))</f>
        <v>Monitor</v>
      </c>
      <c r="T725" s="5" t="str">
        <f aca="false">IF(S725=R725,"Yes","No")</f>
        <v>Yes</v>
      </c>
    </row>
    <row r="726" customFormat="false" ht="15" hidden="false" customHeight="false" outlineLevel="0" collapsed="false">
      <c r="A726" s="15" t="n">
        <v>1022</v>
      </c>
      <c r="B726" s="16" t="n">
        <v>4.24151978365512</v>
      </c>
      <c r="C726" s="15" t="n">
        <v>230</v>
      </c>
      <c r="D726" s="15" t="n">
        <v>375</v>
      </c>
      <c r="E726" s="15" t="n">
        <v>30</v>
      </c>
      <c r="F726" s="16" t="n">
        <v>0.835418868126524</v>
      </c>
      <c r="G726" s="17" t="s">
        <v>89</v>
      </c>
      <c r="H726" s="18" t="n">
        <v>0.3</v>
      </c>
      <c r="I726" s="18" t="n">
        <v>1</v>
      </c>
      <c r="J726" s="19" t="n">
        <v>0.935406509251099</v>
      </c>
      <c r="K726" s="19" t="n">
        <v>0.474582363987496</v>
      </c>
      <c r="L726" s="16" t="n">
        <v>12.9710085127068</v>
      </c>
      <c r="M726" s="19" t="n">
        <v>0.869958137781673</v>
      </c>
      <c r="N726" s="19" t="n">
        <v>0.829655845932056</v>
      </c>
      <c r="O726" s="19" t="n">
        <v>0.935406509251099</v>
      </c>
      <c r="P726" s="19" t="n">
        <v>0.41579309281683</v>
      </c>
      <c r="Q726" s="17" t="s">
        <v>29</v>
      </c>
      <c r="R726" s="5" t="str">
        <f aca="false">IF(OR(Q726="Steel plate",Q726="Concrete jacket"),"Steel plate or jacket",Q726)</f>
        <v>Monitor</v>
      </c>
      <c r="S726" s="5" t="str">
        <f aca="false">IF(O726&lt;='Tree rules'!$C$4,IF(N726&lt;='Tree rules'!$C$5,IF(P726&lt;='Tree rules'!$C$6,"Monitor","Polymer laminate"),IF(P726&lt;='Tree rules'!$C$7,"Seal cracks","Polymer laminate")),IF(O726&lt;='Tree rules'!$C$8,IF(M726&lt;='Tree rules'!$C$9,"Steel plate or jacket","Polymer laminate"),IF(L726&lt;='Tree rules'!$C$10,"Steel plate or jacket","Polymer laminate")))</f>
        <v>Monitor</v>
      </c>
      <c r="T726" s="5" t="str">
        <f aca="false">IF(S726=R726,"Yes","No")</f>
        <v>Yes</v>
      </c>
    </row>
    <row r="727" customFormat="false" ht="15" hidden="false" customHeight="false" outlineLevel="0" collapsed="false">
      <c r="A727" s="15" t="n">
        <v>1023</v>
      </c>
      <c r="B727" s="16" t="n">
        <v>4.41768454099422</v>
      </c>
      <c r="C727" s="15" t="n">
        <v>230</v>
      </c>
      <c r="D727" s="15" t="n">
        <v>425</v>
      </c>
      <c r="E727" s="15" t="n">
        <v>30</v>
      </c>
      <c r="F727" s="16" t="n">
        <v>0.724620609754306</v>
      </c>
      <c r="G727" s="17" t="s">
        <v>91</v>
      </c>
      <c r="H727" s="18" t="n">
        <v>0.2</v>
      </c>
      <c r="I727" s="18" t="n">
        <v>1</v>
      </c>
      <c r="J727" s="19" t="n">
        <v>0.854668242048997</v>
      </c>
      <c r="K727" s="19" t="n">
        <v>0.402863210860132</v>
      </c>
      <c r="L727" s="16" t="n">
        <v>11.7179961299581</v>
      </c>
      <c r="M727" s="19" t="n">
        <v>0.929355541634145</v>
      </c>
      <c r="N727" s="19" t="n">
        <v>1.09537138328192</v>
      </c>
      <c r="O727" s="19" t="n">
        <v>0.854668242048997</v>
      </c>
      <c r="P727" s="19" t="n">
        <v>0.289588114498359</v>
      </c>
      <c r="Q727" s="17" t="s">
        <v>30</v>
      </c>
      <c r="R727" s="5" t="str">
        <f aca="false">IF(OR(Q727="Steel plate",Q727="Concrete jacket"),"Steel plate or jacket",Q727)</f>
        <v>Seal cracks</v>
      </c>
      <c r="S727" s="5" t="str">
        <f aca="false">IF(O727&lt;='Tree rules'!$C$4,IF(N727&lt;='Tree rules'!$C$5,IF(P727&lt;='Tree rules'!$C$6,"Monitor","Polymer laminate"),IF(P727&lt;='Tree rules'!$C$7,"Seal cracks","Polymer laminate")),IF(O727&lt;='Tree rules'!$C$8,IF(M727&lt;='Tree rules'!$C$9,"Steel plate or jacket","Polymer laminate"),IF(L727&lt;='Tree rules'!$C$10,"Steel plate or jacket","Polymer laminate")))</f>
        <v>Seal cracks</v>
      </c>
      <c r="T727" s="5" t="str">
        <f aca="false">IF(S727=R727,"Yes","No")</f>
        <v>Yes</v>
      </c>
    </row>
    <row r="728" customFormat="false" ht="15" hidden="false" customHeight="false" outlineLevel="0" collapsed="false">
      <c r="A728" s="15" t="n">
        <v>1025</v>
      </c>
      <c r="B728" s="16" t="n">
        <v>3.19567224006696</v>
      </c>
      <c r="C728" s="15" t="n">
        <v>230</v>
      </c>
      <c r="D728" s="15" t="n">
        <v>300</v>
      </c>
      <c r="E728" s="15" t="n">
        <v>30</v>
      </c>
      <c r="F728" s="16" t="n">
        <v>0.576243217710084</v>
      </c>
      <c r="G728" s="17" t="s">
        <v>89</v>
      </c>
      <c r="H728" s="18" t="n">
        <v>0.3</v>
      </c>
      <c r="I728" s="18" t="n">
        <v>2</v>
      </c>
      <c r="J728" s="19" t="n">
        <v>0.902916187619027</v>
      </c>
      <c r="K728" s="19" t="n">
        <v>0.42370130317359</v>
      </c>
      <c r="L728" s="16" t="n">
        <v>12.4830946877616</v>
      </c>
      <c r="M728" s="19" t="n">
        <v>0.960496946295062</v>
      </c>
      <c r="N728" s="19" t="n">
        <v>0.998079315286508</v>
      </c>
      <c r="O728" s="19" t="n">
        <v>1.42326560988734</v>
      </c>
      <c r="P728" s="19" t="n">
        <v>0.295013434921612</v>
      </c>
      <c r="Q728" s="17" t="s">
        <v>31</v>
      </c>
      <c r="R728" s="5" t="str">
        <f aca="false">IF(OR(Q728="Steel plate",Q728="Concrete jacket"),"Steel plate or jacket",Q728)</f>
        <v>Polymer laminate</v>
      </c>
      <c r="S728" s="5" t="str">
        <f aca="false">IF(O728&lt;='Tree rules'!$C$4,IF(N728&lt;='Tree rules'!$C$5,IF(P728&lt;='Tree rules'!$C$6,"Monitor","Polymer laminate"),IF(P728&lt;='Tree rules'!$C$7,"Seal cracks","Polymer laminate")),IF(O728&lt;='Tree rules'!$C$8,IF(M728&lt;='Tree rules'!$C$9,"Steel plate or jacket","Polymer laminate"),IF(L728&lt;='Tree rules'!$C$10,"Steel plate or jacket","Polymer laminate")))</f>
        <v>Steel plate or jacket</v>
      </c>
      <c r="T728" s="5" t="str">
        <f aca="false">IF(S728=R728,"Yes","No")</f>
        <v>No</v>
      </c>
    </row>
    <row r="729" customFormat="false" ht="15" hidden="false" customHeight="false" outlineLevel="0" collapsed="false">
      <c r="A729" s="15" t="n">
        <v>1026</v>
      </c>
      <c r="B729" s="16" t="n">
        <v>4.77686580889358</v>
      </c>
      <c r="C729" s="15" t="n">
        <v>300</v>
      </c>
      <c r="D729" s="15" t="n">
        <v>400</v>
      </c>
      <c r="E729" s="15" t="n">
        <v>25</v>
      </c>
      <c r="F729" s="16" t="n">
        <v>0.529481907908392</v>
      </c>
      <c r="G729" s="17" t="s">
        <v>89</v>
      </c>
      <c r="H729" s="18" t="n">
        <v>0.3</v>
      </c>
      <c r="I729" s="18" t="n">
        <v>1</v>
      </c>
      <c r="J729" s="19" t="n">
        <v>0.954678306249728</v>
      </c>
      <c r="K729" s="19" t="n">
        <v>0.632591548644401</v>
      </c>
      <c r="L729" s="16" t="n">
        <v>13.4181623845325</v>
      </c>
      <c r="M729" s="19" t="n">
        <v>0.545185624429019</v>
      </c>
      <c r="N729" s="19" t="n">
        <v>0.631170795182352</v>
      </c>
      <c r="O729" s="19" t="n">
        <v>0.954678306249728</v>
      </c>
      <c r="P729" s="19" t="n">
        <v>0.581677950707616</v>
      </c>
      <c r="Q729" s="17" t="s">
        <v>29</v>
      </c>
      <c r="R729" s="5" t="str">
        <f aca="false">IF(OR(Q729="Steel plate",Q729="Concrete jacket"),"Steel plate or jacket",Q729)</f>
        <v>Monitor</v>
      </c>
      <c r="S729" s="5" t="str">
        <f aca="false">IF(O729&lt;='Tree rules'!$C$4,IF(N729&lt;='Tree rules'!$C$5,IF(P729&lt;='Tree rules'!$C$6,"Monitor","Polymer laminate"),IF(P729&lt;='Tree rules'!$C$7,"Seal cracks","Polymer laminate")),IF(O729&lt;='Tree rules'!$C$8,IF(M729&lt;='Tree rules'!$C$9,"Steel plate or jacket","Polymer laminate"),IF(L729&lt;='Tree rules'!$C$10,"Steel plate or jacket","Polymer laminate")))</f>
        <v>Monitor</v>
      </c>
      <c r="T729" s="5" t="str">
        <f aca="false">IF(S729=R729,"Yes","No")</f>
        <v>Yes</v>
      </c>
    </row>
    <row r="730" customFormat="false" ht="15" hidden="false" customHeight="false" outlineLevel="0" collapsed="false">
      <c r="A730" s="15" t="n">
        <v>1027</v>
      </c>
      <c r="B730" s="16" t="n">
        <v>4.25357554284333</v>
      </c>
      <c r="C730" s="15" t="n">
        <v>230</v>
      </c>
      <c r="D730" s="15" t="n">
        <v>375</v>
      </c>
      <c r="E730" s="15" t="n">
        <v>30</v>
      </c>
      <c r="F730" s="16" t="n">
        <v>0.875583236786453</v>
      </c>
      <c r="G730" s="17" t="s">
        <v>90</v>
      </c>
      <c r="H730" s="18" t="n">
        <v>0.1</v>
      </c>
      <c r="I730" s="18" t="n">
        <v>1.5</v>
      </c>
      <c r="J730" s="19" t="n">
        <v>0.864192662376302</v>
      </c>
      <c r="K730" s="19" t="n">
        <v>0.519328435812793</v>
      </c>
      <c r="L730" s="16" t="n">
        <v>13.6332549450107</v>
      </c>
      <c r="M730" s="19" t="n">
        <v>0.670735830292884</v>
      </c>
      <c r="N730" s="19" t="n">
        <v>3.41565383367065</v>
      </c>
      <c r="O730" s="19" t="n">
        <v>1.07188908176806</v>
      </c>
      <c r="P730" s="19" t="n">
        <v>0.542796949094231</v>
      </c>
      <c r="Q730" s="17" t="s">
        <v>31</v>
      </c>
      <c r="R730" s="5" t="str">
        <f aca="false">IF(OR(Q730="Steel plate",Q730="Concrete jacket"),"Steel plate or jacket",Q730)</f>
        <v>Polymer laminate</v>
      </c>
      <c r="S730" s="5" t="str">
        <f aca="false">IF(O730&lt;='Tree rules'!$C$4,IF(N730&lt;='Tree rules'!$C$5,IF(P730&lt;='Tree rules'!$C$6,"Monitor","Polymer laminate"),IF(P730&lt;='Tree rules'!$C$7,"Seal cracks","Polymer laminate")),IF(O730&lt;='Tree rules'!$C$8,IF(M730&lt;='Tree rules'!$C$9,"Steel plate or jacket","Polymer laminate"),IF(L730&lt;='Tree rules'!$C$10,"Steel plate or jacket","Polymer laminate")))</f>
        <v>Polymer laminate</v>
      </c>
      <c r="T730" s="5" t="str">
        <f aca="false">IF(S730=R730,"Yes","No")</f>
        <v>Yes</v>
      </c>
    </row>
    <row r="731" customFormat="false" ht="15" hidden="false" customHeight="false" outlineLevel="0" collapsed="false">
      <c r="A731" s="15" t="n">
        <v>1031</v>
      </c>
      <c r="B731" s="16" t="n">
        <v>5.5748987668872</v>
      </c>
      <c r="C731" s="15" t="n">
        <v>230</v>
      </c>
      <c r="D731" s="15" t="n">
        <v>525</v>
      </c>
      <c r="E731" s="15" t="n">
        <v>25</v>
      </c>
      <c r="F731" s="16" t="n">
        <v>0.85906279835652</v>
      </c>
      <c r="G731" s="17" t="s">
        <v>89</v>
      </c>
      <c r="H731" s="18" t="n">
        <v>0.3</v>
      </c>
      <c r="I731" s="18" t="n">
        <v>1</v>
      </c>
      <c r="J731" s="19" t="n">
        <v>0.855981290711176</v>
      </c>
      <c r="K731" s="19" t="n">
        <v>0.519116499238865</v>
      </c>
      <c r="L731" s="16" t="n">
        <v>11.6874187985057</v>
      </c>
      <c r="M731" s="19" t="n">
        <v>0.570187517793298</v>
      </c>
      <c r="N731" s="19" t="n">
        <v>0.597942988856528</v>
      </c>
      <c r="O731" s="19" t="n">
        <v>0.855981290711176</v>
      </c>
      <c r="P731" s="19" t="n">
        <v>0.632585693809881</v>
      </c>
      <c r="Q731" s="17" t="s">
        <v>29</v>
      </c>
      <c r="R731" s="5" t="str">
        <f aca="false">IF(OR(Q731="Steel plate",Q731="Concrete jacket"),"Steel plate or jacket",Q731)</f>
        <v>Monitor</v>
      </c>
      <c r="S731" s="5" t="str">
        <f aca="false">IF(O731&lt;='Tree rules'!$C$4,IF(N731&lt;='Tree rules'!$C$5,IF(P731&lt;='Tree rules'!$C$6,"Monitor","Polymer laminate"),IF(P731&lt;='Tree rules'!$C$7,"Seal cracks","Polymer laminate")),IF(O731&lt;='Tree rules'!$C$8,IF(M731&lt;='Tree rules'!$C$9,"Steel plate or jacket","Polymer laminate"),IF(L731&lt;='Tree rules'!$C$10,"Steel plate or jacket","Polymer laminate")))</f>
        <v>Monitor</v>
      </c>
      <c r="T731" s="5" t="str">
        <f aca="false">IF(S731=R731,"Yes","No")</f>
        <v>Yes</v>
      </c>
    </row>
    <row r="732" customFormat="false" ht="15" hidden="false" customHeight="false" outlineLevel="0" collapsed="false">
      <c r="A732" s="15" t="n">
        <v>1033</v>
      </c>
      <c r="B732" s="16" t="n">
        <v>3.06929526620107</v>
      </c>
      <c r="C732" s="15" t="n">
        <v>300</v>
      </c>
      <c r="D732" s="15" t="n">
        <v>300</v>
      </c>
      <c r="E732" s="15" t="n">
        <v>30</v>
      </c>
      <c r="F732" s="16" t="n">
        <v>0.791582400904515</v>
      </c>
      <c r="G732" s="17" t="s">
        <v>91</v>
      </c>
      <c r="H732" s="18" t="n">
        <v>0.2</v>
      </c>
      <c r="I732" s="18" t="n">
        <v>1</v>
      </c>
      <c r="J732" s="19" t="n">
        <v>0.930029218182247</v>
      </c>
      <c r="K732" s="19" t="n">
        <v>0.492038557498262</v>
      </c>
      <c r="L732" s="16" t="n">
        <v>12.0838396307129</v>
      </c>
      <c r="M732" s="19" t="n">
        <v>0.870173529893448</v>
      </c>
      <c r="N732" s="19" t="n">
        <v>1.10057319789772</v>
      </c>
      <c r="O732" s="19" t="n">
        <v>0.930029218182247</v>
      </c>
      <c r="P732" s="19" t="n">
        <v>0.345229910868824</v>
      </c>
      <c r="Q732" s="17" t="s">
        <v>30</v>
      </c>
      <c r="R732" s="5" t="str">
        <f aca="false">IF(OR(Q732="Steel plate",Q732="Concrete jacket"),"Steel plate or jacket",Q732)</f>
        <v>Seal cracks</v>
      </c>
      <c r="S732" s="5" t="str">
        <f aca="false">IF(O732&lt;='Tree rules'!$C$4,IF(N732&lt;='Tree rules'!$C$5,IF(P732&lt;='Tree rules'!$C$6,"Monitor","Polymer laminate"),IF(P732&lt;='Tree rules'!$C$7,"Seal cracks","Polymer laminate")),IF(O732&lt;='Tree rules'!$C$8,IF(M732&lt;='Tree rules'!$C$9,"Steel plate or jacket","Polymer laminate"),IF(L732&lt;='Tree rules'!$C$10,"Steel plate or jacket","Polymer laminate")))</f>
        <v>Seal cracks</v>
      </c>
      <c r="T732" s="5" t="str">
        <f aca="false">IF(S732=R732,"Yes","No")</f>
        <v>Yes</v>
      </c>
    </row>
    <row r="733" customFormat="false" ht="15" hidden="false" customHeight="false" outlineLevel="0" collapsed="false">
      <c r="A733" s="15" t="n">
        <v>1034</v>
      </c>
      <c r="B733" s="16" t="n">
        <v>3.24299370533632</v>
      </c>
      <c r="C733" s="15" t="n">
        <v>300</v>
      </c>
      <c r="D733" s="15" t="n">
        <v>300</v>
      </c>
      <c r="E733" s="15" t="n">
        <v>30</v>
      </c>
      <c r="F733" s="16" t="n">
        <v>0.736310778185108</v>
      </c>
      <c r="G733" s="17" t="s">
        <v>91</v>
      </c>
      <c r="H733" s="18" t="n">
        <v>0.2</v>
      </c>
      <c r="I733" s="18" t="n">
        <v>1</v>
      </c>
      <c r="J733" s="19" t="n">
        <v>0.994844334459642</v>
      </c>
      <c r="K733" s="19" t="n">
        <v>0.440966448909555</v>
      </c>
      <c r="L733" s="16" t="n">
        <v>12.66794416147</v>
      </c>
      <c r="M733" s="19" t="n">
        <v>0.739973412657096</v>
      </c>
      <c r="N733" s="19" t="n">
        <v>1.00520447925967</v>
      </c>
      <c r="O733" s="19" t="n">
        <v>0.994844334459642</v>
      </c>
      <c r="P733" s="19" t="n">
        <v>0.407649695588326</v>
      </c>
      <c r="Q733" s="17" t="s">
        <v>30</v>
      </c>
      <c r="R733" s="5" t="str">
        <f aca="false">IF(OR(Q733="Steel plate",Q733="Concrete jacket"),"Steel plate or jacket",Q733)</f>
        <v>Seal cracks</v>
      </c>
      <c r="S733" s="5" t="str">
        <f aca="false">IF(O733&lt;='Tree rules'!$C$4,IF(N733&lt;='Tree rules'!$C$5,IF(P733&lt;='Tree rules'!$C$6,"Monitor","Polymer laminate"),IF(P733&lt;='Tree rules'!$C$7,"Seal cracks","Polymer laminate")),IF(O733&lt;='Tree rules'!$C$8,IF(M733&lt;='Tree rules'!$C$9,"Steel plate or jacket","Polymer laminate"),IF(L733&lt;='Tree rules'!$C$10,"Steel plate or jacket","Polymer laminate")))</f>
        <v>Seal cracks</v>
      </c>
      <c r="T733" s="5" t="str">
        <f aca="false">IF(S733=R733,"Yes","No")</f>
        <v>Yes</v>
      </c>
    </row>
    <row r="734" customFormat="false" ht="15" hidden="false" customHeight="false" outlineLevel="0" collapsed="false">
      <c r="A734" s="15" t="n">
        <v>1036</v>
      </c>
      <c r="B734" s="16" t="n">
        <v>5.84817427863593</v>
      </c>
      <c r="C734" s="15" t="n">
        <v>300</v>
      </c>
      <c r="D734" s="15" t="n">
        <v>525</v>
      </c>
      <c r="E734" s="15" t="n">
        <v>30</v>
      </c>
      <c r="F734" s="16" t="n">
        <v>0.699589178252424</v>
      </c>
      <c r="G734" s="17" t="s">
        <v>91</v>
      </c>
      <c r="H734" s="18" t="n">
        <v>0.2</v>
      </c>
      <c r="I734" s="18" t="n">
        <v>1</v>
      </c>
      <c r="J734" s="19" t="n">
        <v>0.964953242868039</v>
      </c>
      <c r="K734" s="19" t="n">
        <v>0.435886186679201</v>
      </c>
      <c r="L734" s="16" t="n">
        <v>12.2091321057118</v>
      </c>
      <c r="M734" s="19" t="n">
        <v>0.936317530857388</v>
      </c>
      <c r="N734" s="19" t="n">
        <v>0.882113465951167</v>
      </c>
      <c r="O734" s="19" t="n">
        <v>0.964953242868039</v>
      </c>
      <c r="P734" s="19" t="n">
        <v>0.363220988158465</v>
      </c>
      <c r="Q734" s="17" t="s">
        <v>29</v>
      </c>
      <c r="R734" s="5" t="str">
        <f aca="false">IF(OR(Q734="Steel plate",Q734="Concrete jacket"),"Steel plate or jacket",Q734)</f>
        <v>Monitor</v>
      </c>
      <c r="S734" s="5" t="str">
        <f aca="false">IF(O734&lt;='Tree rules'!$C$4,IF(N734&lt;='Tree rules'!$C$5,IF(P734&lt;='Tree rules'!$C$6,"Monitor","Polymer laminate"),IF(P734&lt;='Tree rules'!$C$7,"Seal cracks","Polymer laminate")),IF(O734&lt;='Tree rules'!$C$8,IF(M734&lt;='Tree rules'!$C$9,"Steel plate or jacket","Polymer laminate"),IF(L734&lt;='Tree rules'!$C$10,"Steel plate or jacket","Polymer laminate")))</f>
        <v>Monitor</v>
      </c>
      <c r="T734" s="5" t="str">
        <f aca="false">IF(S734=R734,"Yes","No")</f>
        <v>Yes</v>
      </c>
    </row>
    <row r="735" customFormat="false" ht="15" hidden="false" customHeight="false" outlineLevel="0" collapsed="false">
      <c r="A735" s="15" t="n">
        <v>1037</v>
      </c>
      <c r="B735" s="16" t="n">
        <v>4.04196989076479</v>
      </c>
      <c r="C735" s="15" t="n">
        <v>230</v>
      </c>
      <c r="D735" s="15" t="n">
        <v>400</v>
      </c>
      <c r="E735" s="15" t="n">
        <v>25</v>
      </c>
      <c r="F735" s="16" t="n">
        <v>0.740832460684402</v>
      </c>
      <c r="G735" s="17" t="s">
        <v>91</v>
      </c>
      <c r="H735" s="18" t="n">
        <v>0.2</v>
      </c>
      <c r="I735" s="18" t="n">
        <v>1.5</v>
      </c>
      <c r="J735" s="19" t="n">
        <v>0.869111742019668</v>
      </c>
      <c r="K735" s="19" t="n">
        <v>0.471198633585651</v>
      </c>
      <c r="L735" s="16" t="n">
        <v>11.4179940417084</v>
      </c>
      <c r="M735" s="19" t="n">
        <v>0.684283247354248</v>
      </c>
      <c r="N735" s="19" t="n">
        <v>1.1786694759686</v>
      </c>
      <c r="O735" s="19" t="n">
        <v>1.09890548039305</v>
      </c>
      <c r="P735" s="19" t="n">
        <v>0.480728525655923</v>
      </c>
      <c r="Q735" s="17" t="s">
        <v>31</v>
      </c>
      <c r="R735" s="5" t="str">
        <f aca="false">IF(OR(Q735="Steel plate",Q735="Concrete jacket"),"Steel plate or jacket",Q735)</f>
        <v>Polymer laminate</v>
      </c>
      <c r="S735" s="5" t="str">
        <f aca="false">IF(O735&lt;='Tree rules'!$C$4,IF(N735&lt;='Tree rules'!$C$5,IF(P735&lt;='Tree rules'!$C$6,"Monitor","Polymer laminate"),IF(P735&lt;='Tree rules'!$C$7,"Seal cracks","Polymer laminate")),IF(O735&lt;='Tree rules'!$C$8,IF(M735&lt;='Tree rules'!$C$9,"Steel plate or jacket","Polymer laminate"),IF(L735&lt;='Tree rules'!$C$10,"Steel plate or jacket","Polymer laminate")))</f>
        <v>Polymer laminate</v>
      </c>
      <c r="T735" s="5" t="str">
        <f aca="false">IF(S735=R735,"Yes","No")</f>
        <v>Yes</v>
      </c>
    </row>
    <row r="736" customFormat="false" ht="15" hidden="false" customHeight="false" outlineLevel="0" collapsed="false">
      <c r="A736" s="15" t="n">
        <v>1039</v>
      </c>
      <c r="B736" s="16" t="n">
        <v>4.92776518950394</v>
      </c>
      <c r="C736" s="15" t="n">
        <v>230</v>
      </c>
      <c r="D736" s="15" t="n">
        <v>425</v>
      </c>
      <c r="E736" s="15" t="n">
        <v>30</v>
      </c>
      <c r="F736" s="16" t="n">
        <v>0.691964884122107</v>
      </c>
      <c r="G736" s="17" t="s">
        <v>89</v>
      </c>
      <c r="H736" s="18" t="n">
        <v>0.3</v>
      </c>
      <c r="I736" s="18" t="n">
        <v>2</v>
      </c>
      <c r="J736" s="19" t="n">
        <v>0.861984243981537</v>
      </c>
      <c r="K736" s="19" t="n">
        <v>0.431352612483306</v>
      </c>
      <c r="L736" s="16" t="n">
        <v>13.0020189696674</v>
      </c>
      <c r="M736" s="19" t="n">
        <v>0.896014572329364</v>
      </c>
      <c r="N736" s="19" t="n">
        <v>0.948599713081752</v>
      </c>
      <c r="O736" s="19" t="n">
        <v>1.35214933240219</v>
      </c>
      <c r="P736" s="19" t="n">
        <v>0.428664977510013</v>
      </c>
      <c r="Q736" s="17" t="s">
        <v>31</v>
      </c>
      <c r="R736" s="5" t="str">
        <f aca="false">IF(OR(Q736="Steel plate",Q736="Concrete jacket"),"Steel plate or jacket",Q736)</f>
        <v>Polymer laminate</v>
      </c>
      <c r="S736" s="5" t="str">
        <f aca="false">IF(O736&lt;='Tree rules'!$C$4,IF(N736&lt;='Tree rules'!$C$5,IF(P736&lt;='Tree rules'!$C$6,"Monitor","Polymer laminate"),IF(P736&lt;='Tree rules'!$C$7,"Seal cracks","Polymer laminate")),IF(O736&lt;='Tree rules'!$C$8,IF(M736&lt;='Tree rules'!$C$9,"Steel plate or jacket","Polymer laminate"),IF(L736&lt;='Tree rules'!$C$10,"Steel plate or jacket","Polymer laminate")))</f>
        <v>Steel plate or jacket</v>
      </c>
      <c r="T736" s="5" t="str">
        <f aca="false">IF(S736=R736,"Yes","No")</f>
        <v>No</v>
      </c>
    </row>
    <row r="737" customFormat="false" ht="15" hidden="false" customHeight="false" outlineLevel="0" collapsed="false">
      <c r="A737" s="15" t="n">
        <v>1040</v>
      </c>
      <c r="B737" s="16" t="n">
        <v>3.45075756029644</v>
      </c>
      <c r="C737" s="15" t="n">
        <v>300</v>
      </c>
      <c r="D737" s="15" t="n">
        <v>300</v>
      </c>
      <c r="E737" s="15" t="n">
        <v>20</v>
      </c>
      <c r="F737" s="16" t="n">
        <v>0.589048622548086</v>
      </c>
      <c r="G737" s="17" t="s">
        <v>89</v>
      </c>
      <c r="H737" s="18" t="n">
        <v>0.3</v>
      </c>
      <c r="I737" s="18" t="n">
        <v>2</v>
      </c>
      <c r="J737" s="19" t="n">
        <v>0.978656987685256</v>
      </c>
      <c r="K737" s="19" t="n">
        <v>0.582646544459837</v>
      </c>
      <c r="L737" s="16" t="n">
        <v>13.479521719908</v>
      </c>
      <c r="M737" s="19" t="n">
        <v>0.863423703674752</v>
      </c>
      <c r="N737" s="19" t="n">
        <v>0.96717563928683</v>
      </c>
      <c r="O737" s="19" t="n">
        <v>1.38710286328422</v>
      </c>
      <c r="P737" s="19" t="n">
        <v>0.469458453713454</v>
      </c>
      <c r="Q737" s="17" t="s">
        <v>31</v>
      </c>
      <c r="R737" s="5" t="str">
        <f aca="false">IF(OR(Q737="Steel plate",Q737="Concrete jacket"),"Steel plate or jacket",Q737)</f>
        <v>Polymer laminate</v>
      </c>
      <c r="S737" s="5" t="str">
        <f aca="false">IF(O737&lt;='Tree rules'!$C$4,IF(N737&lt;='Tree rules'!$C$5,IF(P737&lt;='Tree rules'!$C$6,"Monitor","Polymer laminate"),IF(P737&lt;='Tree rules'!$C$7,"Seal cracks","Polymer laminate")),IF(O737&lt;='Tree rules'!$C$8,IF(M737&lt;='Tree rules'!$C$9,"Steel plate or jacket","Polymer laminate"),IF(L737&lt;='Tree rules'!$C$10,"Steel plate or jacket","Polymer laminate")))</f>
        <v>Polymer laminate</v>
      </c>
      <c r="T737" s="5" t="str">
        <f aca="false">IF(S737=R737,"Yes","No")</f>
        <v>Yes</v>
      </c>
    </row>
    <row r="738" customFormat="false" ht="15" hidden="false" customHeight="false" outlineLevel="0" collapsed="false">
      <c r="A738" s="15" t="n">
        <v>1041</v>
      </c>
      <c r="B738" s="16" t="n">
        <v>7.32874439362438</v>
      </c>
      <c r="C738" s="15" t="n">
        <v>230</v>
      </c>
      <c r="D738" s="15" t="n">
        <v>650</v>
      </c>
      <c r="E738" s="15" t="n">
        <v>30</v>
      </c>
      <c r="F738" s="16" t="n">
        <v>0.578928677885824</v>
      </c>
      <c r="G738" s="17" t="s">
        <v>89</v>
      </c>
      <c r="H738" s="18" t="n">
        <v>0.3</v>
      </c>
      <c r="I738" s="18" t="n">
        <v>2</v>
      </c>
      <c r="J738" s="19" t="n">
        <v>0.986949477189823</v>
      </c>
      <c r="K738" s="19" t="n">
        <v>0.639509606053163</v>
      </c>
      <c r="L738" s="16" t="n">
        <v>12.1336827709013</v>
      </c>
      <c r="M738" s="19" t="n">
        <v>0.720850983459377</v>
      </c>
      <c r="N738" s="19" t="n">
        <v>0.843425890060469</v>
      </c>
      <c r="O738" s="19" t="n">
        <v>1.34273528302761</v>
      </c>
      <c r="P738" s="19" t="n">
        <v>0.563062763362672</v>
      </c>
      <c r="Q738" s="17" t="s">
        <v>31</v>
      </c>
      <c r="R738" s="5" t="str">
        <f aca="false">IF(OR(Q738="Steel plate",Q738="Concrete jacket"),"Steel plate or jacket",Q738)</f>
        <v>Polymer laminate</v>
      </c>
      <c r="S738" s="5" t="str">
        <f aca="false">IF(O738&lt;='Tree rules'!$C$4,IF(N738&lt;='Tree rules'!$C$5,IF(P738&lt;='Tree rules'!$C$6,"Monitor","Polymer laminate"),IF(P738&lt;='Tree rules'!$C$7,"Seal cracks","Polymer laminate")),IF(O738&lt;='Tree rules'!$C$8,IF(M738&lt;='Tree rules'!$C$9,"Steel plate or jacket","Polymer laminate"),IF(L738&lt;='Tree rules'!$C$10,"Steel plate or jacket","Polymer laminate")))</f>
        <v>Steel plate or jacket</v>
      </c>
      <c r="T738" s="5" t="str">
        <f aca="false">IF(S738=R738,"Yes","No")</f>
        <v>No</v>
      </c>
    </row>
    <row r="739" customFormat="false" ht="15" hidden="false" customHeight="false" outlineLevel="0" collapsed="false">
      <c r="A739" s="15" t="n">
        <v>1042</v>
      </c>
      <c r="B739" s="16" t="n">
        <v>3.79721527272711</v>
      </c>
      <c r="C739" s="15" t="n">
        <v>300</v>
      </c>
      <c r="D739" s="15" t="n">
        <v>300</v>
      </c>
      <c r="E739" s="15" t="n">
        <v>25</v>
      </c>
      <c r="F739" s="16" t="n">
        <v>0.791582400904515</v>
      </c>
      <c r="G739" s="17" t="s">
        <v>89</v>
      </c>
      <c r="H739" s="18" t="n">
        <v>0.3</v>
      </c>
      <c r="I739" s="18" t="n">
        <v>2</v>
      </c>
      <c r="J739" s="19" t="n">
        <v>0.885698673380314</v>
      </c>
      <c r="K739" s="19" t="n">
        <v>0.492727541559415</v>
      </c>
      <c r="L739" s="16" t="n">
        <v>14.9496664280595</v>
      </c>
      <c r="M739" s="19" t="n">
        <v>0.899468850788514</v>
      </c>
      <c r="N739" s="19" t="n">
        <v>1.07972011655622</v>
      </c>
      <c r="O739" s="19" t="n">
        <v>1.33498921686351</v>
      </c>
      <c r="P739" s="19" t="n">
        <v>0.524838547292071</v>
      </c>
      <c r="Q739" s="17" t="s">
        <v>31</v>
      </c>
      <c r="R739" s="5" t="str">
        <f aca="false">IF(OR(Q739="Steel plate",Q739="Concrete jacket"),"Steel plate or jacket",Q739)</f>
        <v>Polymer laminate</v>
      </c>
      <c r="S739" s="5" t="str">
        <f aca="false">IF(O739&lt;='Tree rules'!$C$4,IF(N739&lt;='Tree rules'!$C$5,IF(P739&lt;='Tree rules'!$C$6,"Monitor","Polymer laminate"),IF(P739&lt;='Tree rules'!$C$7,"Seal cracks","Polymer laminate")),IF(O739&lt;='Tree rules'!$C$8,IF(M739&lt;='Tree rules'!$C$9,"Steel plate or jacket","Polymer laminate"),IF(L739&lt;='Tree rules'!$C$10,"Steel plate or jacket","Polymer laminate")))</f>
        <v>Polymer laminate</v>
      </c>
      <c r="T739" s="5" t="str">
        <f aca="false">IF(S739=R739,"Yes","No")</f>
        <v>Yes</v>
      </c>
    </row>
    <row r="740" customFormat="false" ht="15" hidden="false" customHeight="false" outlineLevel="0" collapsed="false">
      <c r="A740" s="15" t="n">
        <v>1043</v>
      </c>
      <c r="B740" s="16" t="n">
        <v>7.34587227211189</v>
      </c>
      <c r="C740" s="15" t="n">
        <v>300</v>
      </c>
      <c r="D740" s="15" t="n">
        <v>625</v>
      </c>
      <c r="E740" s="15" t="n">
        <v>30</v>
      </c>
      <c r="F740" s="16" t="n">
        <v>0.544470130604817</v>
      </c>
      <c r="G740" s="17" t="s">
        <v>89</v>
      </c>
      <c r="H740" s="18" t="n">
        <v>0.3</v>
      </c>
      <c r="I740" s="18" t="n">
        <v>2</v>
      </c>
      <c r="J740" s="19" t="n">
        <v>0.975162759095776</v>
      </c>
      <c r="K740" s="19" t="n">
        <v>0.430525125834652</v>
      </c>
      <c r="L740" s="16" t="n">
        <v>12.7311477852892</v>
      </c>
      <c r="M740" s="19" t="n">
        <v>0.717247498068859</v>
      </c>
      <c r="N740" s="19" t="n">
        <v>1.25808896780434</v>
      </c>
      <c r="O740" s="19" t="n">
        <v>1.53049344862258</v>
      </c>
      <c r="P740" s="19" t="n">
        <v>0.5235134721768</v>
      </c>
      <c r="Q740" s="17" t="s">
        <v>92</v>
      </c>
      <c r="R740" s="5" t="str">
        <f aca="false">IF(OR(Q740="Steel plate",Q740="Concrete jacket"),"Steel plate or jacket",Q740)</f>
        <v>Steel plate or jacket</v>
      </c>
      <c r="S740" s="5" t="str">
        <f aca="false">IF(O740&lt;='Tree rules'!$C$4,IF(N740&lt;='Tree rules'!$C$5,IF(P740&lt;='Tree rules'!$C$6,"Monitor","Polymer laminate"),IF(P740&lt;='Tree rules'!$C$7,"Seal cracks","Polymer laminate")),IF(O740&lt;='Tree rules'!$C$8,IF(M740&lt;='Tree rules'!$C$9,"Steel plate or jacket","Polymer laminate"),IF(L740&lt;='Tree rules'!$C$10,"Steel plate or jacket","Polymer laminate")))</f>
        <v>Steel plate or jacket</v>
      </c>
      <c r="T740" s="5" t="str">
        <f aca="false">IF(S740=R740,"Yes","No")</f>
        <v>Yes</v>
      </c>
    </row>
    <row r="741" customFormat="false" ht="15" hidden="false" customHeight="false" outlineLevel="0" collapsed="false">
      <c r="A741" s="15" t="n">
        <v>1044</v>
      </c>
      <c r="B741" s="16" t="n">
        <v>3.92402568705692</v>
      </c>
      <c r="C741" s="15" t="n">
        <v>230</v>
      </c>
      <c r="D741" s="15" t="n">
        <v>300</v>
      </c>
      <c r="E741" s="15" t="n">
        <v>30</v>
      </c>
      <c r="F741" s="16" t="n">
        <v>0.688332522525665</v>
      </c>
      <c r="G741" s="17" t="s">
        <v>91</v>
      </c>
      <c r="H741" s="18" t="n">
        <v>0.2</v>
      </c>
      <c r="I741" s="18" t="n">
        <v>1.5</v>
      </c>
      <c r="J741" s="19" t="n">
        <v>0.942725831056214</v>
      </c>
      <c r="K741" s="19" t="n">
        <v>0.574106290393273</v>
      </c>
      <c r="L741" s="16" t="n">
        <v>15.4489200277832</v>
      </c>
      <c r="M741" s="19" t="n">
        <v>0.739528208010909</v>
      </c>
      <c r="N741" s="19" t="n">
        <v>1.56829194537885</v>
      </c>
      <c r="O741" s="19" t="n">
        <v>1.14347633172152</v>
      </c>
      <c r="P741" s="19" t="n">
        <v>0.526484866243688</v>
      </c>
      <c r="Q741" s="17" t="s">
        <v>31</v>
      </c>
      <c r="R741" s="5" t="str">
        <f aca="false">IF(OR(Q741="Steel plate",Q741="Concrete jacket"),"Steel plate or jacket",Q741)</f>
        <v>Polymer laminate</v>
      </c>
      <c r="S741" s="5" t="str">
        <f aca="false">IF(O741&lt;='Tree rules'!$C$4,IF(N741&lt;='Tree rules'!$C$5,IF(P741&lt;='Tree rules'!$C$6,"Monitor","Polymer laminate"),IF(P741&lt;='Tree rules'!$C$7,"Seal cracks","Polymer laminate")),IF(O741&lt;='Tree rules'!$C$8,IF(M741&lt;='Tree rules'!$C$9,"Steel plate or jacket","Polymer laminate"),IF(L741&lt;='Tree rules'!$C$10,"Steel plate or jacket","Polymer laminate")))</f>
        <v>Polymer laminate</v>
      </c>
      <c r="T741" s="5" t="str">
        <f aca="false">IF(S741=R741,"Yes","No")</f>
        <v>Yes</v>
      </c>
    </row>
    <row r="742" customFormat="false" ht="15" hidden="false" customHeight="false" outlineLevel="0" collapsed="false">
      <c r="A742" s="15" t="n">
        <v>1045</v>
      </c>
      <c r="B742" s="16" t="n">
        <v>3.48131102900941</v>
      </c>
      <c r="C742" s="15" t="n">
        <v>300</v>
      </c>
      <c r="D742" s="15" t="n">
        <v>300</v>
      </c>
      <c r="E742" s="15" t="n">
        <v>30</v>
      </c>
      <c r="F742" s="16" t="n">
        <v>0.791582400904515</v>
      </c>
      <c r="G742" s="17" t="s">
        <v>89</v>
      </c>
      <c r="H742" s="18" t="n">
        <v>0.3</v>
      </c>
      <c r="I742" s="18" t="n">
        <v>1</v>
      </c>
      <c r="J742" s="19" t="n">
        <v>0.854077521331291</v>
      </c>
      <c r="K742" s="19" t="n">
        <v>0.480011711328672</v>
      </c>
      <c r="L742" s="16" t="n">
        <v>13.7059489331079</v>
      </c>
      <c r="M742" s="19" t="n">
        <v>0.950249638004136</v>
      </c>
      <c r="N742" s="19" t="n">
        <v>0.651886132425561</v>
      </c>
      <c r="O742" s="19" t="n">
        <v>0.854077521331291</v>
      </c>
      <c r="P742" s="19" t="n">
        <v>0.33441133532479</v>
      </c>
      <c r="Q742" s="17" t="s">
        <v>29</v>
      </c>
      <c r="R742" s="5" t="str">
        <f aca="false">IF(OR(Q742="Steel plate",Q742="Concrete jacket"),"Steel plate or jacket",Q742)</f>
        <v>Monitor</v>
      </c>
      <c r="S742" s="5" t="str">
        <f aca="false">IF(O742&lt;='Tree rules'!$C$4,IF(N742&lt;='Tree rules'!$C$5,IF(P742&lt;='Tree rules'!$C$6,"Monitor","Polymer laminate"),IF(P742&lt;='Tree rules'!$C$7,"Seal cracks","Polymer laminate")),IF(O742&lt;='Tree rules'!$C$8,IF(M742&lt;='Tree rules'!$C$9,"Steel plate or jacket","Polymer laminate"),IF(L742&lt;='Tree rules'!$C$10,"Steel plate or jacket","Polymer laminate")))</f>
        <v>Monitor</v>
      </c>
      <c r="T742" s="5" t="str">
        <f aca="false">IF(S742=R742,"Yes","No")</f>
        <v>Yes</v>
      </c>
    </row>
    <row r="743" customFormat="false" ht="15" hidden="false" customHeight="false" outlineLevel="0" collapsed="false">
      <c r="A743" s="15" t="n">
        <v>1046</v>
      </c>
      <c r="B743" s="16" t="n">
        <v>5.65280084380213</v>
      </c>
      <c r="C743" s="15" t="n">
        <v>300</v>
      </c>
      <c r="D743" s="15" t="n">
        <v>475</v>
      </c>
      <c r="E743" s="15" t="n">
        <v>30</v>
      </c>
      <c r="F743" s="16" t="n">
        <v>0.624901102811956</v>
      </c>
      <c r="G743" s="17" t="s">
        <v>91</v>
      </c>
      <c r="H743" s="18" t="n">
        <v>0.2</v>
      </c>
      <c r="I743" s="18" t="n">
        <v>1</v>
      </c>
      <c r="J743" s="19" t="n">
        <v>0.906579830042234</v>
      </c>
      <c r="K743" s="19" t="n">
        <v>0.491129952985109</v>
      </c>
      <c r="L743" s="16" t="n">
        <v>13.1766919435947</v>
      </c>
      <c r="M743" s="19" t="n">
        <v>0.92772850085502</v>
      </c>
      <c r="N743" s="19" t="n">
        <v>0.876370461582092</v>
      </c>
      <c r="O743" s="19" t="n">
        <v>0.906579830042234</v>
      </c>
      <c r="P743" s="19" t="n">
        <v>0.345957732611119</v>
      </c>
      <c r="Q743" s="17" t="s">
        <v>29</v>
      </c>
      <c r="R743" s="5" t="str">
        <f aca="false">IF(OR(Q743="Steel plate",Q743="Concrete jacket"),"Steel plate or jacket",Q743)</f>
        <v>Monitor</v>
      </c>
      <c r="S743" s="5" t="str">
        <f aca="false">IF(O743&lt;='Tree rules'!$C$4,IF(N743&lt;='Tree rules'!$C$5,IF(P743&lt;='Tree rules'!$C$6,"Monitor","Polymer laminate"),IF(P743&lt;='Tree rules'!$C$7,"Seal cracks","Polymer laminate")),IF(O743&lt;='Tree rules'!$C$8,IF(M743&lt;='Tree rules'!$C$9,"Steel plate or jacket","Polymer laminate"),IF(L743&lt;='Tree rules'!$C$10,"Steel plate or jacket","Polymer laminate")))</f>
        <v>Monitor</v>
      </c>
      <c r="T743" s="5" t="str">
        <f aca="false">IF(S743=R743,"Yes","No")</f>
        <v>Yes</v>
      </c>
    </row>
    <row r="744" customFormat="false" ht="15" hidden="false" customHeight="false" outlineLevel="0" collapsed="false">
      <c r="A744" s="15" t="n">
        <v>1047</v>
      </c>
      <c r="B744" s="16" t="n">
        <v>4.54846940235917</v>
      </c>
      <c r="C744" s="15" t="n">
        <v>230</v>
      </c>
      <c r="D744" s="15" t="n">
        <v>450</v>
      </c>
      <c r="E744" s="15" t="n">
        <v>25</v>
      </c>
      <c r="F744" s="16" t="n">
        <v>0.679557138998441</v>
      </c>
      <c r="G744" s="17" t="s">
        <v>91</v>
      </c>
      <c r="H744" s="18" t="n">
        <v>0.2</v>
      </c>
      <c r="I744" s="18" t="n">
        <v>1</v>
      </c>
      <c r="J744" s="19" t="n">
        <v>0.992806107410109</v>
      </c>
      <c r="K744" s="19" t="n">
        <v>0.546433086518624</v>
      </c>
      <c r="L744" s="16" t="n">
        <v>11.314600503381</v>
      </c>
      <c r="M744" s="19" t="n">
        <v>0.328190677921527</v>
      </c>
      <c r="N744" s="19" t="n">
        <v>1.47417693874516</v>
      </c>
      <c r="O744" s="19" t="n">
        <v>0.992806107410109</v>
      </c>
      <c r="P744" s="19" t="n">
        <v>0.960304816855485</v>
      </c>
      <c r="Q744" s="17" t="s">
        <v>30</v>
      </c>
      <c r="R744" s="5" t="str">
        <f aca="false">IF(OR(Q744="Steel plate",Q744="Concrete jacket"),"Steel plate or jacket",Q744)</f>
        <v>Seal cracks</v>
      </c>
      <c r="S744" s="5" t="str">
        <f aca="false">IF(O744&lt;='Tree rules'!$C$4,IF(N744&lt;='Tree rules'!$C$5,IF(P744&lt;='Tree rules'!$C$6,"Monitor","Polymer laminate"),IF(P744&lt;='Tree rules'!$C$7,"Seal cracks","Polymer laminate")),IF(O744&lt;='Tree rules'!$C$8,IF(M744&lt;='Tree rules'!$C$9,"Steel plate or jacket","Polymer laminate"),IF(L744&lt;='Tree rules'!$C$10,"Steel plate or jacket","Polymer laminate")))</f>
        <v>Seal cracks</v>
      </c>
      <c r="T744" s="5" t="str">
        <f aca="false">IF(S744=R744,"Yes","No")</f>
        <v>Yes</v>
      </c>
    </row>
    <row r="745" customFormat="false" ht="15" hidden="false" customHeight="false" outlineLevel="0" collapsed="false">
      <c r="A745" s="15" t="n">
        <v>1048</v>
      </c>
      <c r="B745" s="16" t="n">
        <v>6.11554055216405</v>
      </c>
      <c r="C745" s="15" t="n">
        <v>230</v>
      </c>
      <c r="D745" s="15" t="n">
        <v>600</v>
      </c>
      <c r="E745" s="15" t="n">
        <v>25</v>
      </c>
      <c r="F745" s="16" t="n">
        <v>0.742342309449384</v>
      </c>
      <c r="G745" s="17" t="s">
        <v>89</v>
      </c>
      <c r="H745" s="18" t="n">
        <v>0.3</v>
      </c>
      <c r="I745" s="18" t="n">
        <v>2</v>
      </c>
      <c r="J745" s="19" t="n">
        <v>0.859305557094322</v>
      </c>
      <c r="K745" s="19" t="n">
        <v>0.473219611440984</v>
      </c>
      <c r="L745" s="16" t="n">
        <v>11.0788778118914</v>
      </c>
      <c r="M745" s="19" t="n">
        <v>0.769207097009197</v>
      </c>
      <c r="N745" s="19" t="n">
        <v>0.899286687804477</v>
      </c>
      <c r="O745" s="19" t="n">
        <v>1.31197087235139</v>
      </c>
      <c r="P745" s="19" t="n">
        <v>0.518587139991804</v>
      </c>
      <c r="Q745" s="17" t="s">
        <v>31</v>
      </c>
      <c r="R745" s="5" t="str">
        <f aca="false">IF(OR(Q745="Steel plate",Q745="Concrete jacket"),"Steel plate or jacket",Q745)</f>
        <v>Polymer laminate</v>
      </c>
      <c r="S745" s="5" t="str">
        <f aca="false">IF(O745&lt;='Tree rules'!$C$4,IF(N745&lt;='Tree rules'!$C$5,IF(P745&lt;='Tree rules'!$C$6,"Monitor","Polymer laminate"),IF(P745&lt;='Tree rules'!$C$7,"Seal cracks","Polymer laminate")),IF(O745&lt;='Tree rules'!$C$8,IF(M745&lt;='Tree rules'!$C$9,"Steel plate or jacket","Polymer laminate"),IF(L745&lt;='Tree rules'!$C$10,"Steel plate or jacket","Polymer laminate")))</f>
        <v>Steel plate or jacket</v>
      </c>
      <c r="T745" s="5" t="str">
        <f aca="false">IF(S745=R745,"Yes","No")</f>
        <v>No</v>
      </c>
    </row>
    <row r="746" customFormat="false" ht="15" hidden="false" customHeight="false" outlineLevel="0" collapsed="false">
      <c r="A746" s="15" t="n">
        <v>1049</v>
      </c>
      <c r="B746" s="16" t="n">
        <v>6.35930251685606</v>
      </c>
      <c r="C746" s="15" t="n">
        <v>230</v>
      </c>
      <c r="D746" s="15" t="n">
        <v>525</v>
      </c>
      <c r="E746" s="15" t="n">
        <v>20</v>
      </c>
      <c r="F746" s="16" t="n">
        <v>0.57270853223768</v>
      </c>
      <c r="G746" s="17" t="s">
        <v>89</v>
      </c>
      <c r="H746" s="18" t="n">
        <v>0.3</v>
      </c>
      <c r="I746" s="18" t="n">
        <v>1</v>
      </c>
      <c r="J746" s="19" t="n">
        <v>0.860618584269495</v>
      </c>
      <c r="K746" s="19" t="n">
        <v>0.58766605893363</v>
      </c>
      <c r="L746" s="16" t="n">
        <v>13.3318711045201</v>
      </c>
      <c r="M746" s="19" t="n">
        <v>0.94468583169671</v>
      </c>
      <c r="N746" s="19" t="n">
        <v>0.697580271180583</v>
      </c>
      <c r="O746" s="19" t="n">
        <v>0.860618584269495</v>
      </c>
      <c r="P746" s="19" t="n">
        <v>0.380036292687924</v>
      </c>
      <c r="Q746" s="17" t="s">
        <v>29</v>
      </c>
      <c r="R746" s="5" t="str">
        <f aca="false">IF(OR(Q746="Steel plate",Q746="Concrete jacket"),"Steel plate or jacket",Q746)</f>
        <v>Monitor</v>
      </c>
      <c r="S746" s="5" t="str">
        <f aca="false">IF(O746&lt;='Tree rules'!$C$4,IF(N746&lt;='Tree rules'!$C$5,IF(P746&lt;='Tree rules'!$C$6,"Monitor","Polymer laminate"),IF(P746&lt;='Tree rules'!$C$7,"Seal cracks","Polymer laminate")),IF(O746&lt;='Tree rules'!$C$8,IF(M746&lt;='Tree rules'!$C$9,"Steel plate or jacket","Polymer laminate"),IF(L746&lt;='Tree rules'!$C$10,"Steel plate or jacket","Polymer laminate")))</f>
        <v>Monitor</v>
      </c>
      <c r="T746" s="5" t="str">
        <f aca="false">IF(S746=R746,"Yes","No")</f>
        <v>Yes</v>
      </c>
    </row>
    <row r="747" customFormat="false" ht="15" hidden="false" customHeight="false" outlineLevel="0" collapsed="false">
      <c r="A747" s="15" t="n">
        <v>1050</v>
      </c>
      <c r="B747" s="16" t="n">
        <v>6.74718950195583</v>
      </c>
      <c r="C747" s="15" t="n">
        <v>230</v>
      </c>
      <c r="D747" s="15" t="n">
        <v>550</v>
      </c>
      <c r="E747" s="15" t="n">
        <v>30</v>
      </c>
      <c r="F747" s="16" t="n">
        <v>0.816280786486175</v>
      </c>
      <c r="G747" s="17" t="s">
        <v>89</v>
      </c>
      <c r="H747" s="18" t="n">
        <v>0.3</v>
      </c>
      <c r="I747" s="18" t="n">
        <v>1.5</v>
      </c>
      <c r="J747" s="19" t="n">
        <v>0.854712246998596</v>
      </c>
      <c r="K747" s="19" t="n">
        <v>0.486301635814219</v>
      </c>
      <c r="L747" s="16" t="n">
        <v>13.4406165377606</v>
      </c>
      <c r="M747" s="19" t="n">
        <v>0.917691518081121</v>
      </c>
      <c r="N747" s="19" t="n">
        <v>0.722329068549433</v>
      </c>
      <c r="O747" s="19" t="n">
        <v>1.07424438856496</v>
      </c>
      <c r="P747" s="19" t="n">
        <v>0.482425770683758</v>
      </c>
      <c r="Q747" s="17" t="s">
        <v>31</v>
      </c>
      <c r="R747" s="5" t="str">
        <f aca="false">IF(OR(Q747="Steel plate",Q747="Concrete jacket"),"Steel plate or jacket",Q747)</f>
        <v>Polymer laminate</v>
      </c>
      <c r="S747" s="5" t="str">
        <f aca="false">IF(O747&lt;='Tree rules'!$C$4,IF(N747&lt;='Tree rules'!$C$5,IF(P747&lt;='Tree rules'!$C$6,"Monitor","Polymer laminate"),IF(P747&lt;='Tree rules'!$C$7,"Seal cracks","Polymer laminate")),IF(O747&lt;='Tree rules'!$C$8,IF(M747&lt;='Tree rules'!$C$9,"Steel plate or jacket","Polymer laminate"),IF(L747&lt;='Tree rules'!$C$10,"Steel plate or jacket","Polymer laminate")))</f>
        <v>Polymer laminate</v>
      </c>
      <c r="T747" s="5" t="str">
        <f aca="false">IF(S747=R747,"Yes","No")</f>
        <v>Yes</v>
      </c>
    </row>
    <row r="748" customFormat="false" ht="15" hidden="false" customHeight="false" outlineLevel="0" collapsed="false">
      <c r="A748" s="15" t="n">
        <v>1051</v>
      </c>
      <c r="B748" s="16" t="n">
        <v>4.58535374801077</v>
      </c>
      <c r="C748" s="15" t="n">
        <v>230</v>
      </c>
      <c r="D748" s="15" t="n">
        <v>450</v>
      </c>
      <c r="E748" s="15" t="n">
        <v>20</v>
      </c>
      <c r="F748" s="16" t="n">
        <v>0.67417658375907</v>
      </c>
      <c r="G748" s="17" t="s">
        <v>90</v>
      </c>
      <c r="H748" s="18" t="n">
        <v>0.1</v>
      </c>
      <c r="I748" s="18" t="n">
        <v>1.5</v>
      </c>
      <c r="J748" s="19" t="n">
        <v>0.860901040333212</v>
      </c>
      <c r="K748" s="19" t="n">
        <v>0.468524511069164</v>
      </c>
      <c r="L748" s="16" t="n">
        <v>11.7875417686652</v>
      </c>
      <c r="M748" s="19" t="n">
        <v>0.943953081675406</v>
      </c>
      <c r="N748" s="19" t="n">
        <v>2.71545868264627</v>
      </c>
      <c r="O748" s="19" t="n">
        <v>1.08967494099929</v>
      </c>
      <c r="P748" s="19" t="n">
        <v>0.344544616062703</v>
      </c>
      <c r="Q748" s="17" t="s">
        <v>31</v>
      </c>
      <c r="R748" s="5" t="str">
        <f aca="false">IF(OR(Q748="Steel plate",Q748="Concrete jacket"),"Steel plate or jacket",Q748)</f>
        <v>Polymer laminate</v>
      </c>
      <c r="S748" s="5" t="str">
        <f aca="false">IF(O748&lt;='Tree rules'!$C$4,IF(N748&lt;='Tree rules'!$C$5,IF(P748&lt;='Tree rules'!$C$6,"Monitor","Polymer laminate"),IF(P748&lt;='Tree rules'!$C$7,"Seal cracks","Polymer laminate")),IF(O748&lt;='Tree rules'!$C$8,IF(M748&lt;='Tree rules'!$C$9,"Steel plate or jacket","Polymer laminate"),IF(L748&lt;='Tree rules'!$C$10,"Steel plate or jacket","Polymer laminate")))</f>
        <v>Polymer laminate</v>
      </c>
      <c r="T748" s="5" t="str">
        <f aca="false">IF(S748=R748,"Yes","No")</f>
        <v>Yes</v>
      </c>
    </row>
    <row r="749" customFormat="false" ht="15" hidden="false" customHeight="false" outlineLevel="0" collapsed="false">
      <c r="A749" s="15" t="n">
        <v>1052</v>
      </c>
      <c r="B749" s="16" t="n">
        <v>3.31830730335934</v>
      </c>
      <c r="C749" s="15" t="n">
        <v>300</v>
      </c>
      <c r="D749" s="15" t="n">
        <v>300</v>
      </c>
      <c r="E749" s="15" t="n">
        <v>30</v>
      </c>
      <c r="F749" s="16" t="n">
        <v>0.78213924985638</v>
      </c>
      <c r="G749" s="17" t="s">
        <v>90</v>
      </c>
      <c r="H749" s="18" t="n">
        <v>0.1</v>
      </c>
      <c r="I749" s="18" t="n">
        <v>1</v>
      </c>
      <c r="J749" s="19" t="n">
        <v>0.96439437368768</v>
      </c>
      <c r="K749" s="19" t="n">
        <v>0.528071780970271</v>
      </c>
      <c r="L749" s="16" t="n">
        <v>13.7689099724454</v>
      </c>
      <c r="M749" s="19" t="n">
        <v>0.52185680022917</v>
      </c>
      <c r="N749" s="19" t="n">
        <v>2.80731952990123</v>
      </c>
      <c r="O749" s="19" t="n">
        <v>0.964394373687679</v>
      </c>
      <c r="P749" s="19" t="n">
        <v>0.567076793323946</v>
      </c>
      <c r="Q749" s="17" t="s">
        <v>30</v>
      </c>
      <c r="R749" s="5" t="str">
        <f aca="false">IF(OR(Q749="Steel plate",Q749="Concrete jacket"),"Steel plate or jacket",Q749)</f>
        <v>Seal cracks</v>
      </c>
      <c r="S749" s="5" t="str">
        <f aca="false">IF(O749&lt;='Tree rules'!$C$4,IF(N749&lt;='Tree rules'!$C$5,IF(P749&lt;='Tree rules'!$C$6,"Monitor","Polymer laminate"),IF(P749&lt;='Tree rules'!$C$7,"Seal cracks","Polymer laminate")),IF(O749&lt;='Tree rules'!$C$8,IF(M749&lt;='Tree rules'!$C$9,"Steel plate or jacket","Polymer laminate"),IF(L749&lt;='Tree rules'!$C$10,"Steel plate or jacket","Polymer laminate")))</f>
        <v>Seal cracks</v>
      </c>
      <c r="T749" s="5" t="str">
        <f aca="false">IF(S749=R749,"Yes","No")</f>
        <v>Yes</v>
      </c>
    </row>
    <row r="750" customFormat="false" ht="15" hidden="false" customHeight="false" outlineLevel="0" collapsed="false">
      <c r="A750" s="15" t="n">
        <v>1053</v>
      </c>
      <c r="B750" s="16" t="n">
        <v>4.03805247620838</v>
      </c>
      <c r="C750" s="15" t="n">
        <v>230</v>
      </c>
      <c r="D750" s="15" t="n">
        <v>400</v>
      </c>
      <c r="E750" s="15" t="n">
        <v>30</v>
      </c>
      <c r="F750" s="16" t="n">
        <v>0.98777661424587</v>
      </c>
      <c r="G750" s="17" t="s">
        <v>89</v>
      </c>
      <c r="H750" s="18" t="n">
        <v>0.3</v>
      </c>
      <c r="I750" s="18" t="n">
        <v>1</v>
      </c>
      <c r="J750" s="19" t="n">
        <v>0.895375600382268</v>
      </c>
      <c r="K750" s="19" t="n">
        <v>0.428467893031561</v>
      </c>
      <c r="L750" s="16" t="n">
        <v>11.4069278988937</v>
      </c>
      <c r="M750" s="19" t="n">
        <v>0.535727259037628</v>
      </c>
      <c r="N750" s="19" t="n">
        <v>0.603518232584556</v>
      </c>
      <c r="O750" s="19" t="n">
        <v>0.895375600382268</v>
      </c>
      <c r="P750" s="19" t="n">
        <v>0.622344724609408</v>
      </c>
      <c r="Q750" s="17" t="s">
        <v>29</v>
      </c>
      <c r="R750" s="5" t="str">
        <f aca="false">IF(OR(Q750="Steel plate",Q750="Concrete jacket"),"Steel plate or jacket",Q750)</f>
        <v>Monitor</v>
      </c>
      <c r="S750" s="5" t="str">
        <f aca="false">IF(O750&lt;='Tree rules'!$C$4,IF(N750&lt;='Tree rules'!$C$5,IF(P750&lt;='Tree rules'!$C$6,"Monitor","Polymer laminate"),IF(P750&lt;='Tree rules'!$C$7,"Seal cracks","Polymer laminate")),IF(O750&lt;='Tree rules'!$C$8,IF(M750&lt;='Tree rules'!$C$9,"Steel plate or jacket","Polymer laminate"),IF(L750&lt;='Tree rules'!$C$10,"Steel plate or jacket","Polymer laminate")))</f>
        <v>Monitor</v>
      </c>
      <c r="T750" s="5" t="str">
        <f aca="false">IF(S750=R750,"Yes","No")</f>
        <v>Yes</v>
      </c>
    </row>
    <row r="751" customFormat="false" ht="15" hidden="false" customHeight="false" outlineLevel="0" collapsed="false">
      <c r="A751" s="15" t="n">
        <v>1054</v>
      </c>
      <c r="B751" s="16" t="n">
        <v>7.29769269704151</v>
      </c>
      <c r="C751" s="15" t="n">
        <v>230</v>
      </c>
      <c r="D751" s="15" t="n">
        <v>650</v>
      </c>
      <c r="E751" s="15" t="n">
        <v>25</v>
      </c>
      <c r="F751" s="16" t="n">
        <v>0.578928677885824</v>
      </c>
      <c r="G751" s="17" t="s">
        <v>91</v>
      </c>
      <c r="H751" s="18" t="n">
        <v>0.2</v>
      </c>
      <c r="I751" s="18" t="n">
        <v>2</v>
      </c>
      <c r="J751" s="19" t="n">
        <v>0.944065803435451</v>
      </c>
      <c r="K751" s="19" t="n">
        <v>0.405739553175976</v>
      </c>
      <c r="L751" s="16" t="n">
        <v>12.082272677221</v>
      </c>
      <c r="M751" s="19" t="n">
        <v>0.58561453416426</v>
      </c>
      <c r="N751" s="19" t="n">
        <v>1.45150609932923</v>
      </c>
      <c r="O751" s="19" t="n">
        <v>1.50508676961628</v>
      </c>
      <c r="P751" s="19" t="n">
        <v>0.656883225218688</v>
      </c>
      <c r="Q751" s="17" t="s">
        <v>92</v>
      </c>
      <c r="R751" s="5" t="str">
        <f aca="false">IF(OR(Q751="Steel plate",Q751="Concrete jacket"),"Steel plate or jacket",Q751)</f>
        <v>Steel plate or jacket</v>
      </c>
      <c r="S751" s="5" t="str">
        <f aca="false">IF(O751&lt;='Tree rules'!$C$4,IF(N751&lt;='Tree rules'!$C$5,IF(P751&lt;='Tree rules'!$C$6,"Monitor","Polymer laminate"),IF(P751&lt;='Tree rules'!$C$7,"Seal cracks","Polymer laminate")),IF(O751&lt;='Tree rules'!$C$8,IF(M751&lt;='Tree rules'!$C$9,"Steel plate or jacket","Polymer laminate"),IF(L751&lt;='Tree rules'!$C$10,"Steel plate or jacket","Polymer laminate")))</f>
        <v>Steel plate or jacket</v>
      </c>
      <c r="T751" s="5" t="str">
        <f aca="false">IF(S751=R751,"Yes","No")</f>
        <v>Yes</v>
      </c>
    </row>
    <row r="752" customFormat="false" ht="15" hidden="false" customHeight="false" outlineLevel="0" collapsed="false">
      <c r="A752" s="15" t="n">
        <v>1056</v>
      </c>
      <c r="B752" s="16" t="n">
        <v>3.06071543427254</v>
      </c>
      <c r="C752" s="15" t="n">
        <v>230</v>
      </c>
      <c r="D752" s="15" t="n">
        <v>300</v>
      </c>
      <c r="E752" s="15" t="n">
        <v>20</v>
      </c>
      <c r="F752" s="16" t="n">
        <v>0.576243217710084</v>
      </c>
      <c r="G752" s="17" t="s">
        <v>91</v>
      </c>
      <c r="H752" s="18" t="n">
        <v>0.2</v>
      </c>
      <c r="I752" s="18" t="n">
        <v>1.5</v>
      </c>
      <c r="J752" s="19" t="n">
        <v>0.863611290688196</v>
      </c>
      <c r="K752" s="19" t="n">
        <v>0.466698843409711</v>
      </c>
      <c r="L752" s="16" t="n">
        <v>11.9559196651271</v>
      </c>
      <c r="M752" s="19" t="n">
        <v>0.495189668536964</v>
      </c>
      <c r="N752" s="19" t="n">
        <v>1.21604574558366</v>
      </c>
      <c r="O752" s="19" t="n">
        <v>1.09389374077242</v>
      </c>
      <c r="P752" s="19" t="n">
        <v>0.52038341874965</v>
      </c>
      <c r="Q752" s="17" t="s">
        <v>31</v>
      </c>
      <c r="R752" s="5" t="str">
        <f aca="false">IF(OR(Q752="Steel plate",Q752="Concrete jacket"),"Steel plate or jacket",Q752)</f>
        <v>Polymer laminate</v>
      </c>
      <c r="S752" s="5" t="str">
        <f aca="false">IF(O752&lt;='Tree rules'!$C$4,IF(N752&lt;='Tree rules'!$C$5,IF(P752&lt;='Tree rules'!$C$6,"Monitor","Polymer laminate"),IF(P752&lt;='Tree rules'!$C$7,"Seal cracks","Polymer laminate")),IF(O752&lt;='Tree rules'!$C$8,IF(M752&lt;='Tree rules'!$C$9,"Steel plate or jacket","Polymer laminate"),IF(L752&lt;='Tree rules'!$C$10,"Steel plate or jacket","Polymer laminate")))</f>
        <v>Polymer laminate</v>
      </c>
      <c r="T752" s="5" t="str">
        <f aca="false">IF(S752=R752,"Yes","No")</f>
        <v>Yes</v>
      </c>
    </row>
    <row r="753" customFormat="false" ht="15" hidden="false" customHeight="false" outlineLevel="0" collapsed="false">
      <c r="A753" s="15" t="n">
        <v>1057</v>
      </c>
      <c r="B753" s="16" t="n">
        <v>5.66795492961547</v>
      </c>
      <c r="C753" s="15" t="n">
        <v>230</v>
      </c>
      <c r="D753" s="15" t="n">
        <v>475</v>
      </c>
      <c r="E753" s="15" t="n">
        <v>30</v>
      </c>
      <c r="F753" s="16" t="n">
        <v>0.815088394972116</v>
      </c>
      <c r="G753" s="17" t="s">
        <v>89</v>
      </c>
      <c r="H753" s="18" t="n">
        <v>0.3</v>
      </c>
      <c r="I753" s="18" t="n">
        <v>1</v>
      </c>
      <c r="J753" s="19" t="n">
        <v>0.896690156548059</v>
      </c>
      <c r="K753" s="19" t="n">
        <v>0.484892947523572</v>
      </c>
      <c r="L753" s="16" t="n">
        <v>13.2120161529498</v>
      </c>
      <c r="M753" s="19" t="n">
        <v>0.741091218365171</v>
      </c>
      <c r="N753" s="19" t="n">
        <v>0.567381394231787</v>
      </c>
      <c r="O753" s="19" t="n">
        <v>0.896690156548059</v>
      </c>
      <c r="P753" s="19" t="n">
        <v>0.513488499804191</v>
      </c>
      <c r="Q753" s="17" t="s">
        <v>29</v>
      </c>
      <c r="R753" s="5" t="str">
        <f aca="false">IF(OR(Q753="Steel plate",Q753="Concrete jacket"),"Steel plate or jacket",Q753)</f>
        <v>Monitor</v>
      </c>
      <c r="S753" s="5" t="str">
        <f aca="false">IF(O753&lt;='Tree rules'!$C$4,IF(N753&lt;='Tree rules'!$C$5,IF(P753&lt;='Tree rules'!$C$6,"Monitor","Polymer laminate"),IF(P753&lt;='Tree rules'!$C$7,"Seal cracks","Polymer laminate")),IF(O753&lt;='Tree rules'!$C$8,IF(M753&lt;='Tree rules'!$C$9,"Steel plate or jacket","Polymer laminate"),IF(L753&lt;='Tree rules'!$C$10,"Steel plate or jacket","Polymer laminate")))</f>
        <v>Monitor</v>
      </c>
      <c r="T753" s="5" t="str">
        <f aca="false">IF(S753=R753,"Yes","No")</f>
        <v>Yes</v>
      </c>
    </row>
    <row r="754" customFormat="false" ht="15" hidden="false" customHeight="false" outlineLevel="0" collapsed="false">
      <c r="A754" s="15" t="n">
        <v>1060</v>
      </c>
      <c r="B754" s="16" t="n">
        <v>4.31278025062182</v>
      </c>
      <c r="C754" s="15" t="n">
        <v>230</v>
      </c>
      <c r="D754" s="15" t="n">
        <v>350</v>
      </c>
      <c r="E754" s="15" t="n">
        <v>20</v>
      </c>
      <c r="F754" s="16" t="n">
        <v>0.64278110559382</v>
      </c>
      <c r="G754" s="17" t="s">
        <v>89</v>
      </c>
      <c r="H754" s="18" t="n">
        <v>0.3</v>
      </c>
      <c r="I754" s="18" t="n">
        <v>1.5</v>
      </c>
      <c r="J754" s="19" t="n">
        <v>0.935554654473847</v>
      </c>
      <c r="K754" s="19" t="n">
        <v>0.459433051886545</v>
      </c>
      <c r="L754" s="16" t="n">
        <v>14.0940531066073</v>
      </c>
      <c r="M754" s="19" t="n">
        <v>0.594150086823368</v>
      </c>
      <c r="N754" s="19" t="n">
        <v>0.790321512190386</v>
      </c>
      <c r="O754" s="19" t="n">
        <v>1.18841961665498</v>
      </c>
      <c r="P754" s="19" t="n">
        <v>0.661135370605309</v>
      </c>
      <c r="Q754" s="17" t="s">
        <v>31</v>
      </c>
      <c r="R754" s="5" t="str">
        <f aca="false">IF(OR(Q754="Steel plate",Q754="Concrete jacket"),"Steel plate or jacket",Q754)</f>
        <v>Polymer laminate</v>
      </c>
      <c r="S754" s="5" t="str">
        <f aca="false">IF(O754&lt;='Tree rules'!$C$4,IF(N754&lt;='Tree rules'!$C$5,IF(P754&lt;='Tree rules'!$C$6,"Monitor","Polymer laminate"),IF(P754&lt;='Tree rules'!$C$7,"Seal cracks","Polymer laminate")),IF(O754&lt;='Tree rules'!$C$8,IF(M754&lt;='Tree rules'!$C$9,"Steel plate or jacket","Polymer laminate"),IF(L754&lt;='Tree rules'!$C$10,"Steel plate or jacket","Polymer laminate")))</f>
        <v>Polymer laminate</v>
      </c>
      <c r="T754" s="5" t="str">
        <f aca="false">IF(S754=R754,"Yes","No")</f>
        <v>Yes</v>
      </c>
    </row>
    <row r="755" customFormat="false" ht="15" hidden="false" customHeight="false" outlineLevel="0" collapsed="false">
      <c r="A755" s="15" t="n">
        <v>1061</v>
      </c>
      <c r="B755" s="16" t="n">
        <v>3.34719771130354</v>
      </c>
      <c r="C755" s="15" t="n">
        <v>230</v>
      </c>
      <c r="D755" s="15" t="n">
        <v>325</v>
      </c>
      <c r="E755" s="15" t="n">
        <v>30</v>
      </c>
      <c r="F755" s="16" t="n">
        <v>0.626653981080713</v>
      </c>
      <c r="G755" s="17" t="s">
        <v>91</v>
      </c>
      <c r="H755" s="18" t="n">
        <v>0.2</v>
      </c>
      <c r="I755" s="18" t="n">
        <v>2</v>
      </c>
      <c r="J755" s="19" t="n">
        <v>0.895653779690161</v>
      </c>
      <c r="K755" s="19" t="n">
        <v>0.433364167354201</v>
      </c>
      <c r="L755" s="16" t="n">
        <v>11.9971244132743</v>
      </c>
      <c r="M755" s="19" t="n">
        <v>0.893649335851654</v>
      </c>
      <c r="N755" s="19" t="n">
        <v>1.90709090618895</v>
      </c>
      <c r="O755" s="19" t="n">
        <v>1.40316330490725</v>
      </c>
      <c r="P755" s="19" t="n">
        <v>0.33305408540027</v>
      </c>
      <c r="Q755" s="17" t="s">
        <v>31</v>
      </c>
      <c r="R755" s="5" t="str">
        <f aca="false">IF(OR(Q755="Steel plate",Q755="Concrete jacket"),"Steel plate or jacket",Q755)</f>
        <v>Polymer laminate</v>
      </c>
      <c r="S755" s="5" t="str">
        <f aca="false">IF(O755&lt;='Tree rules'!$C$4,IF(N755&lt;='Tree rules'!$C$5,IF(P755&lt;='Tree rules'!$C$6,"Monitor","Polymer laminate"),IF(P755&lt;='Tree rules'!$C$7,"Seal cracks","Polymer laminate")),IF(O755&lt;='Tree rules'!$C$8,IF(M755&lt;='Tree rules'!$C$9,"Steel plate or jacket","Polymer laminate"),IF(L755&lt;='Tree rules'!$C$10,"Steel plate or jacket","Polymer laminate")))</f>
        <v>Steel plate or jacket</v>
      </c>
      <c r="T755" s="5" t="str">
        <f aca="false">IF(S755=R755,"Yes","No")</f>
        <v>No</v>
      </c>
    </row>
    <row r="756" customFormat="false" ht="15" hidden="false" customHeight="false" outlineLevel="0" collapsed="false">
      <c r="A756" s="15" t="n">
        <v>1062</v>
      </c>
      <c r="B756" s="16" t="n">
        <v>6.61978863892173</v>
      </c>
      <c r="C756" s="15" t="n">
        <v>230</v>
      </c>
      <c r="D756" s="15" t="n">
        <v>575</v>
      </c>
      <c r="E756" s="15" t="n">
        <v>25</v>
      </c>
      <c r="F756" s="16" t="n">
        <v>0.661007412935799</v>
      </c>
      <c r="G756" s="17" t="s">
        <v>91</v>
      </c>
      <c r="H756" s="18" t="n">
        <v>0.2</v>
      </c>
      <c r="I756" s="18" t="n">
        <v>1</v>
      </c>
      <c r="J756" s="19" t="n">
        <v>0.860556248644554</v>
      </c>
      <c r="K756" s="19" t="n">
        <v>0.468494865238849</v>
      </c>
      <c r="L756" s="16" t="n">
        <v>12.5137781454097</v>
      </c>
      <c r="M756" s="19" t="n">
        <v>0.716752033062252</v>
      </c>
      <c r="N756" s="19" t="n">
        <v>0.783809143244742</v>
      </c>
      <c r="O756" s="19" t="n">
        <v>0.860556248644554</v>
      </c>
      <c r="P756" s="19" t="n">
        <v>0.449284826868415</v>
      </c>
      <c r="Q756" s="17" t="s">
        <v>29</v>
      </c>
      <c r="R756" s="5" t="str">
        <f aca="false">IF(OR(Q756="Steel plate",Q756="Concrete jacket"),"Steel plate or jacket",Q756)</f>
        <v>Monitor</v>
      </c>
      <c r="S756" s="5" t="str">
        <f aca="false">IF(O756&lt;='Tree rules'!$C$4,IF(N756&lt;='Tree rules'!$C$5,IF(P756&lt;='Tree rules'!$C$6,"Monitor","Polymer laminate"),IF(P756&lt;='Tree rules'!$C$7,"Seal cracks","Polymer laminate")),IF(O756&lt;='Tree rules'!$C$8,IF(M756&lt;='Tree rules'!$C$9,"Steel plate or jacket","Polymer laminate"),IF(L756&lt;='Tree rules'!$C$10,"Steel plate or jacket","Polymer laminate")))</f>
        <v>Monitor</v>
      </c>
      <c r="T756" s="5" t="str">
        <f aca="false">IF(S756=R756,"Yes","No")</f>
        <v>Yes</v>
      </c>
    </row>
    <row r="757" customFormat="false" ht="15" hidden="false" customHeight="false" outlineLevel="0" collapsed="false">
      <c r="A757" s="15" t="n">
        <v>1063</v>
      </c>
      <c r="B757" s="16" t="n">
        <v>5.96186161988617</v>
      </c>
      <c r="C757" s="15" t="n">
        <v>300</v>
      </c>
      <c r="D757" s="15" t="n">
        <v>500</v>
      </c>
      <c r="E757" s="15" t="n">
        <v>25</v>
      </c>
      <c r="F757" s="16" t="n">
        <v>0.610666453545169</v>
      </c>
      <c r="G757" s="17" t="s">
        <v>90</v>
      </c>
      <c r="H757" s="18" t="n">
        <v>0.1</v>
      </c>
      <c r="I757" s="18" t="n">
        <v>1</v>
      </c>
      <c r="J757" s="19" t="n">
        <v>0.947466384703181</v>
      </c>
      <c r="K757" s="19" t="n">
        <v>0.577385133134945</v>
      </c>
      <c r="L757" s="16" t="n">
        <v>13.5805503869844</v>
      </c>
      <c r="M757" s="19" t="n">
        <v>0.398550745071062</v>
      </c>
      <c r="N757" s="19" t="n">
        <v>2.66405440414919</v>
      </c>
      <c r="O757" s="19" t="n">
        <v>0.947466384703181</v>
      </c>
      <c r="P757" s="19" t="n">
        <v>0.821856082620484</v>
      </c>
      <c r="Q757" s="17" t="s">
        <v>30</v>
      </c>
      <c r="R757" s="5" t="str">
        <f aca="false">IF(OR(Q757="Steel plate",Q757="Concrete jacket"),"Steel plate or jacket",Q757)</f>
        <v>Seal cracks</v>
      </c>
      <c r="S757" s="5" t="str">
        <f aca="false">IF(O757&lt;='Tree rules'!$C$4,IF(N757&lt;='Tree rules'!$C$5,IF(P757&lt;='Tree rules'!$C$6,"Monitor","Polymer laminate"),IF(P757&lt;='Tree rules'!$C$7,"Seal cracks","Polymer laminate")),IF(O757&lt;='Tree rules'!$C$8,IF(M757&lt;='Tree rules'!$C$9,"Steel plate or jacket","Polymer laminate"),IF(L757&lt;='Tree rules'!$C$10,"Steel plate or jacket","Polymer laminate")))</f>
        <v>Seal cracks</v>
      </c>
      <c r="T757" s="5" t="str">
        <f aca="false">IF(S757=R757,"Yes","No")</f>
        <v>Yes</v>
      </c>
    </row>
    <row r="758" customFormat="false" ht="15" hidden="false" customHeight="false" outlineLevel="0" collapsed="false">
      <c r="A758" s="15" t="n">
        <v>1066</v>
      </c>
      <c r="B758" s="16" t="n">
        <v>7.1672692809704</v>
      </c>
      <c r="C758" s="15" t="n">
        <v>300</v>
      </c>
      <c r="D758" s="15" t="n">
        <v>675</v>
      </c>
      <c r="E758" s="15" t="n">
        <v>20</v>
      </c>
      <c r="F758" s="16" t="n">
        <v>0.63930661313115</v>
      </c>
      <c r="G758" s="17" t="s">
        <v>89</v>
      </c>
      <c r="H758" s="18" t="n">
        <v>0.3</v>
      </c>
      <c r="I758" s="18" t="n">
        <v>1</v>
      </c>
      <c r="J758" s="19" t="n">
        <v>0.997835312330706</v>
      </c>
      <c r="K758" s="19" t="n">
        <v>0.431311342754114</v>
      </c>
      <c r="L758" s="16" t="n">
        <v>11.3947047392216</v>
      </c>
      <c r="M758" s="19" t="n">
        <v>0.395001219114765</v>
      </c>
      <c r="N758" s="19" t="n">
        <v>0.626258369851564</v>
      </c>
      <c r="O758" s="19" t="n">
        <v>0.997835312330706</v>
      </c>
      <c r="P758" s="19" t="n">
        <v>0.844605637779746</v>
      </c>
      <c r="Q758" s="17" t="s">
        <v>29</v>
      </c>
      <c r="R758" s="5" t="str">
        <f aca="false">IF(OR(Q758="Steel plate",Q758="Concrete jacket"),"Steel plate or jacket",Q758)</f>
        <v>Monitor</v>
      </c>
      <c r="S758" s="5" t="str">
        <f aca="false">IF(O758&lt;='Tree rules'!$C$4,IF(N758&lt;='Tree rules'!$C$5,IF(P758&lt;='Tree rules'!$C$6,"Monitor","Polymer laminate"),IF(P758&lt;='Tree rules'!$C$7,"Seal cracks","Polymer laminate")),IF(O758&lt;='Tree rules'!$C$8,IF(M758&lt;='Tree rules'!$C$9,"Steel plate or jacket","Polymer laminate"),IF(L758&lt;='Tree rules'!$C$10,"Steel plate or jacket","Polymer laminate")))</f>
        <v>Monitor</v>
      </c>
      <c r="T758" s="5" t="str">
        <f aca="false">IF(S758=R758,"Yes","No")</f>
        <v>Yes</v>
      </c>
    </row>
    <row r="759" customFormat="false" ht="15" hidden="false" customHeight="false" outlineLevel="0" collapsed="false">
      <c r="A759" s="15" t="n">
        <v>1067</v>
      </c>
      <c r="B759" s="16" t="n">
        <v>4.05384627383245</v>
      </c>
      <c r="C759" s="15" t="n">
        <v>230</v>
      </c>
      <c r="D759" s="15" t="n">
        <v>350</v>
      </c>
      <c r="E759" s="15" t="n">
        <v>20</v>
      </c>
      <c r="F759" s="16" t="n">
        <v>0.675914152273913</v>
      </c>
      <c r="G759" s="17" t="s">
        <v>90</v>
      </c>
      <c r="H759" s="18" t="n">
        <v>0.1</v>
      </c>
      <c r="I759" s="18" t="n">
        <v>1.5</v>
      </c>
      <c r="J759" s="19" t="n">
        <v>0.885750136083143</v>
      </c>
      <c r="K759" s="19" t="n">
        <v>0.498386216355158</v>
      </c>
      <c r="L759" s="16" t="n">
        <v>13.9307432090462</v>
      </c>
      <c r="M759" s="19" t="n">
        <v>0.921130608598604</v>
      </c>
      <c r="N759" s="19" t="n">
        <v>2.76239239946202</v>
      </c>
      <c r="O759" s="19" t="n">
        <v>1.10790237464544</v>
      </c>
      <c r="P759" s="19" t="n">
        <v>0.383417113622875</v>
      </c>
      <c r="Q759" s="17" t="s">
        <v>31</v>
      </c>
      <c r="R759" s="5" t="str">
        <f aca="false">IF(OR(Q759="Steel plate",Q759="Concrete jacket"),"Steel plate or jacket",Q759)</f>
        <v>Polymer laminate</v>
      </c>
      <c r="S759" s="5" t="str">
        <f aca="false">IF(O759&lt;='Tree rules'!$C$4,IF(N759&lt;='Tree rules'!$C$5,IF(P759&lt;='Tree rules'!$C$6,"Monitor","Polymer laminate"),IF(P759&lt;='Tree rules'!$C$7,"Seal cracks","Polymer laminate")),IF(O759&lt;='Tree rules'!$C$8,IF(M759&lt;='Tree rules'!$C$9,"Steel plate or jacket","Polymer laminate"),IF(L759&lt;='Tree rules'!$C$10,"Steel plate or jacket","Polymer laminate")))</f>
        <v>Polymer laminate</v>
      </c>
      <c r="T759" s="5" t="str">
        <f aca="false">IF(S759=R759,"Yes","No")</f>
        <v>Yes</v>
      </c>
    </row>
    <row r="760" customFormat="false" ht="15" hidden="false" customHeight="false" outlineLevel="0" collapsed="false">
      <c r="A760" s="15" t="n">
        <v>1068</v>
      </c>
      <c r="B760" s="16" t="n">
        <v>6.2585265975412</v>
      </c>
      <c r="C760" s="15" t="n">
        <v>300</v>
      </c>
      <c r="D760" s="15" t="n">
        <v>525</v>
      </c>
      <c r="E760" s="15" t="n">
        <v>25</v>
      </c>
      <c r="F760" s="16" t="n">
        <v>0.722205207721791</v>
      </c>
      <c r="G760" s="17" t="s">
        <v>90</v>
      </c>
      <c r="H760" s="18" t="n">
        <v>0.1</v>
      </c>
      <c r="I760" s="18" t="n">
        <v>1.5</v>
      </c>
      <c r="J760" s="19" t="n">
        <v>0.857151409206746</v>
      </c>
      <c r="K760" s="19" t="n">
        <v>0.571085251580298</v>
      </c>
      <c r="L760" s="16" t="n">
        <v>13.4882038740112</v>
      </c>
      <c r="M760" s="19" t="n">
        <v>0.632227266140185</v>
      </c>
      <c r="N760" s="19" t="n">
        <v>2.69708693573025</v>
      </c>
      <c r="O760" s="19" t="n">
        <v>1.0409738497255</v>
      </c>
      <c r="P760" s="19" t="n">
        <v>0.623424337577463</v>
      </c>
      <c r="Q760" s="17" t="s">
        <v>31</v>
      </c>
      <c r="R760" s="5" t="str">
        <f aca="false">IF(OR(Q760="Steel plate",Q760="Concrete jacket"),"Steel plate or jacket",Q760)</f>
        <v>Polymer laminate</v>
      </c>
      <c r="S760" s="5" t="str">
        <f aca="false">IF(O760&lt;='Tree rules'!$C$4,IF(N760&lt;='Tree rules'!$C$5,IF(P760&lt;='Tree rules'!$C$6,"Monitor","Polymer laminate"),IF(P760&lt;='Tree rules'!$C$7,"Seal cracks","Polymer laminate")),IF(O760&lt;='Tree rules'!$C$8,IF(M760&lt;='Tree rules'!$C$9,"Steel plate or jacket","Polymer laminate"),IF(L760&lt;='Tree rules'!$C$10,"Steel plate or jacket","Polymer laminate")))</f>
        <v>Polymer laminate</v>
      </c>
      <c r="T760" s="5" t="str">
        <f aca="false">IF(S760=R760,"Yes","No")</f>
        <v>Yes</v>
      </c>
    </row>
    <row r="761" customFormat="false" ht="15" hidden="false" customHeight="false" outlineLevel="0" collapsed="false">
      <c r="A761" s="15" t="n">
        <v>1069</v>
      </c>
      <c r="B761" s="16" t="n">
        <v>3.42445830038117</v>
      </c>
      <c r="C761" s="15" t="n">
        <v>300</v>
      </c>
      <c r="D761" s="15" t="n">
        <v>300</v>
      </c>
      <c r="E761" s="15" t="n">
        <v>25</v>
      </c>
      <c r="F761" s="16" t="n">
        <v>0.883572933822129</v>
      </c>
      <c r="G761" s="17" t="s">
        <v>89</v>
      </c>
      <c r="H761" s="18" t="n">
        <v>0.3</v>
      </c>
      <c r="I761" s="18" t="n">
        <v>1</v>
      </c>
      <c r="J761" s="19" t="n">
        <v>0.852409983680217</v>
      </c>
      <c r="K761" s="19" t="n">
        <v>0.514167591911672</v>
      </c>
      <c r="L761" s="16" t="n">
        <v>13.376790235864</v>
      </c>
      <c r="M761" s="19" t="n">
        <v>0.930527838069629</v>
      </c>
      <c r="N761" s="19" t="n">
        <v>0.523568083430828</v>
      </c>
      <c r="O761" s="19" t="n">
        <v>0.852409983680217</v>
      </c>
      <c r="P761" s="19" t="n">
        <v>0.401387817306599</v>
      </c>
      <c r="Q761" s="17" t="s">
        <v>29</v>
      </c>
      <c r="R761" s="5" t="str">
        <f aca="false">IF(OR(Q761="Steel plate",Q761="Concrete jacket"),"Steel plate or jacket",Q761)</f>
        <v>Monitor</v>
      </c>
      <c r="S761" s="5" t="str">
        <f aca="false">IF(O761&lt;='Tree rules'!$C$4,IF(N761&lt;='Tree rules'!$C$5,IF(P761&lt;='Tree rules'!$C$6,"Monitor","Polymer laminate"),IF(P761&lt;='Tree rules'!$C$7,"Seal cracks","Polymer laminate")),IF(O761&lt;='Tree rules'!$C$8,IF(M761&lt;='Tree rules'!$C$9,"Steel plate or jacket","Polymer laminate"),IF(L761&lt;='Tree rules'!$C$10,"Steel plate or jacket","Polymer laminate")))</f>
        <v>Monitor</v>
      </c>
      <c r="T761" s="5" t="str">
        <f aca="false">IF(S761=R761,"Yes","No")</f>
        <v>Yes</v>
      </c>
    </row>
    <row r="762" customFormat="false" ht="15" hidden="false" customHeight="false" outlineLevel="0" collapsed="false">
      <c r="A762" s="15" t="n">
        <v>1071</v>
      </c>
      <c r="B762" s="16" t="n">
        <v>3.81022014921925</v>
      </c>
      <c r="C762" s="15" t="n">
        <v>230</v>
      </c>
      <c r="D762" s="15" t="n">
        <v>375</v>
      </c>
      <c r="E762" s="15" t="n">
        <v>20</v>
      </c>
      <c r="F762" s="16" t="n">
        <v>0.531417813743219</v>
      </c>
      <c r="G762" s="17" t="s">
        <v>91</v>
      </c>
      <c r="H762" s="18" t="n">
        <v>0.2</v>
      </c>
      <c r="I762" s="18" t="n">
        <v>1</v>
      </c>
      <c r="J762" s="19" t="n">
        <v>0.908587881458889</v>
      </c>
      <c r="K762" s="19" t="n">
        <v>0.586231525565329</v>
      </c>
      <c r="L762" s="16" t="n">
        <v>11.5812162590251</v>
      </c>
      <c r="M762" s="19" t="n">
        <v>0.522744816242508</v>
      </c>
      <c r="N762" s="19" t="n">
        <v>1.25937359082079</v>
      </c>
      <c r="O762" s="19" t="n">
        <v>0.908587881458889</v>
      </c>
      <c r="P762" s="19" t="n">
        <v>0.496589100221139</v>
      </c>
      <c r="Q762" s="17" t="s">
        <v>30</v>
      </c>
      <c r="R762" s="5" t="str">
        <f aca="false">IF(OR(Q762="Steel plate",Q762="Concrete jacket"),"Steel plate or jacket",Q762)</f>
        <v>Seal cracks</v>
      </c>
      <c r="S762" s="5" t="str">
        <f aca="false">IF(O762&lt;='Tree rules'!$C$4,IF(N762&lt;='Tree rules'!$C$5,IF(P762&lt;='Tree rules'!$C$6,"Monitor","Polymer laminate"),IF(P762&lt;='Tree rules'!$C$7,"Seal cracks","Polymer laminate")),IF(O762&lt;='Tree rules'!$C$8,IF(M762&lt;='Tree rules'!$C$9,"Steel plate or jacket","Polymer laminate"),IF(L762&lt;='Tree rules'!$C$10,"Steel plate or jacket","Polymer laminate")))</f>
        <v>Seal cracks</v>
      </c>
      <c r="T762" s="5" t="str">
        <f aca="false">IF(S762=R762,"Yes","No")</f>
        <v>Yes</v>
      </c>
    </row>
    <row r="763" customFormat="false" ht="15" hidden="false" customHeight="false" outlineLevel="0" collapsed="false">
      <c r="A763" s="15" t="n">
        <v>1073</v>
      </c>
      <c r="B763" s="16" t="n">
        <v>7.02214970281329</v>
      </c>
      <c r="C763" s="15" t="n">
        <v>230</v>
      </c>
      <c r="D763" s="15" t="n">
        <v>625</v>
      </c>
      <c r="E763" s="15" t="n">
        <v>25</v>
      </c>
      <c r="F763" s="16" t="n">
        <v>0.603925598347216</v>
      </c>
      <c r="G763" s="17" t="s">
        <v>91</v>
      </c>
      <c r="H763" s="18" t="n">
        <v>0.2</v>
      </c>
      <c r="I763" s="18" t="n">
        <v>2</v>
      </c>
      <c r="J763" s="19" t="n">
        <v>0.956087043284034</v>
      </c>
      <c r="K763" s="19" t="n">
        <v>0.638371942590706</v>
      </c>
      <c r="L763" s="16" t="n">
        <v>12.1280651171214</v>
      </c>
      <c r="M763" s="19" t="n">
        <v>0.899722945837476</v>
      </c>
      <c r="N763" s="19" t="n">
        <v>1.17851525054272</v>
      </c>
      <c r="O763" s="19" t="n">
        <v>1.30183494346104</v>
      </c>
      <c r="P763" s="19" t="n">
        <v>0.4880601689632</v>
      </c>
      <c r="Q763" s="17" t="s">
        <v>31</v>
      </c>
      <c r="R763" s="5" t="str">
        <f aca="false">IF(OR(Q763="Steel plate",Q763="Concrete jacket"),"Steel plate or jacket",Q763)</f>
        <v>Polymer laminate</v>
      </c>
      <c r="S763" s="5" t="str">
        <f aca="false">IF(O763&lt;='Tree rules'!$C$4,IF(N763&lt;='Tree rules'!$C$5,IF(P763&lt;='Tree rules'!$C$6,"Monitor","Polymer laminate"),IF(P763&lt;='Tree rules'!$C$7,"Seal cracks","Polymer laminate")),IF(O763&lt;='Tree rules'!$C$8,IF(M763&lt;='Tree rules'!$C$9,"Steel plate or jacket","Polymer laminate"),IF(L763&lt;='Tree rules'!$C$10,"Steel plate or jacket","Polymer laminate")))</f>
        <v>Steel plate or jacket</v>
      </c>
      <c r="T763" s="5" t="str">
        <f aca="false">IF(S763=R763,"Yes","No")</f>
        <v>No</v>
      </c>
    </row>
    <row r="764" customFormat="false" ht="15" hidden="false" customHeight="false" outlineLevel="0" collapsed="false">
      <c r="A764" s="15" t="n">
        <v>1074</v>
      </c>
      <c r="B764" s="16" t="n">
        <v>7.31685352941672</v>
      </c>
      <c r="C764" s="15" t="n">
        <v>300</v>
      </c>
      <c r="D764" s="15" t="n">
        <v>675</v>
      </c>
      <c r="E764" s="15" t="n">
        <v>20</v>
      </c>
      <c r="F764" s="16" t="n">
        <v>0.63930661313115</v>
      </c>
      <c r="G764" s="17" t="s">
        <v>91</v>
      </c>
      <c r="H764" s="18" t="n">
        <v>0.2</v>
      </c>
      <c r="I764" s="18" t="n">
        <v>1.5</v>
      </c>
      <c r="J764" s="19" t="n">
        <v>0.884431798053224</v>
      </c>
      <c r="K764" s="19" t="n">
        <v>0.480584258847132</v>
      </c>
      <c r="L764" s="16" t="n">
        <v>11.6325175348437</v>
      </c>
      <c r="M764" s="19" t="n">
        <v>0.79643864768132</v>
      </c>
      <c r="N764" s="19" t="n">
        <v>0.963589056495984</v>
      </c>
      <c r="O764" s="19" t="n">
        <v>1.11412569699571</v>
      </c>
      <c r="P764" s="19" t="n">
        <v>0.478992281211344</v>
      </c>
      <c r="Q764" s="17" t="s">
        <v>31</v>
      </c>
      <c r="R764" s="5" t="str">
        <f aca="false">IF(OR(Q764="Steel plate",Q764="Concrete jacket"),"Steel plate or jacket",Q764)</f>
        <v>Polymer laminate</v>
      </c>
      <c r="S764" s="5" t="str">
        <f aca="false">IF(O764&lt;='Tree rules'!$C$4,IF(N764&lt;='Tree rules'!$C$5,IF(P764&lt;='Tree rules'!$C$6,"Monitor","Polymer laminate"),IF(P764&lt;='Tree rules'!$C$7,"Seal cracks","Polymer laminate")),IF(O764&lt;='Tree rules'!$C$8,IF(M764&lt;='Tree rules'!$C$9,"Steel plate or jacket","Polymer laminate"),IF(L764&lt;='Tree rules'!$C$10,"Steel plate or jacket","Polymer laminate")))</f>
        <v>Polymer laminate</v>
      </c>
      <c r="T764" s="5" t="str">
        <f aca="false">IF(S764=R764,"Yes","No")</f>
        <v>Yes</v>
      </c>
    </row>
    <row r="765" customFormat="false" ht="15" hidden="false" customHeight="false" outlineLevel="0" collapsed="false">
      <c r="A765" s="15" t="n">
        <v>1075</v>
      </c>
      <c r="B765" s="16" t="n">
        <v>6.12839179493133</v>
      </c>
      <c r="C765" s="15" t="n">
        <v>230</v>
      </c>
      <c r="D765" s="15" t="n">
        <v>575</v>
      </c>
      <c r="E765" s="15" t="n">
        <v>25</v>
      </c>
      <c r="F765" s="16" t="n">
        <v>0.777557789024782</v>
      </c>
      <c r="G765" s="17" t="s">
        <v>89</v>
      </c>
      <c r="H765" s="18" t="n">
        <v>0.3</v>
      </c>
      <c r="I765" s="18" t="n">
        <v>1</v>
      </c>
      <c r="J765" s="19" t="n">
        <v>0.897879242975227</v>
      </c>
      <c r="K765" s="19" t="n">
        <v>0.5234967001369</v>
      </c>
      <c r="L765" s="16" t="n">
        <v>11.6288269353536</v>
      </c>
      <c r="M765" s="19" t="n">
        <v>0.87536745281668</v>
      </c>
      <c r="N765" s="19" t="n">
        <v>0.583065749014166</v>
      </c>
      <c r="O765" s="19" t="n">
        <v>0.897879242975227</v>
      </c>
      <c r="P765" s="19" t="n">
        <v>0.426293306553167</v>
      </c>
      <c r="Q765" s="17" t="s">
        <v>29</v>
      </c>
      <c r="R765" s="5" t="str">
        <f aca="false">IF(OR(Q765="Steel plate",Q765="Concrete jacket"),"Steel plate or jacket",Q765)</f>
        <v>Monitor</v>
      </c>
      <c r="S765" s="5" t="str">
        <f aca="false">IF(O765&lt;='Tree rules'!$C$4,IF(N765&lt;='Tree rules'!$C$5,IF(P765&lt;='Tree rules'!$C$6,"Monitor","Polymer laminate"),IF(P765&lt;='Tree rules'!$C$7,"Seal cracks","Polymer laminate")),IF(O765&lt;='Tree rules'!$C$8,IF(M765&lt;='Tree rules'!$C$9,"Steel plate or jacket","Polymer laminate"),IF(L765&lt;='Tree rules'!$C$10,"Steel plate or jacket","Polymer laminate")))</f>
        <v>Monitor</v>
      </c>
      <c r="T765" s="5" t="str">
        <f aca="false">IF(S765=R765,"Yes","No")</f>
        <v>Yes</v>
      </c>
    </row>
    <row r="766" customFormat="false" ht="15" hidden="false" customHeight="false" outlineLevel="0" collapsed="false">
      <c r="A766" s="15" t="n">
        <v>1076</v>
      </c>
      <c r="B766" s="16" t="n">
        <v>3.30519728328001</v>
      </c>
      <c r="C766" s="15" t="n">
        <v>300</v>
      </c>
      <c r="D766" s="15" t="n">
        <v>325</v>
      </c>
      <c r="E766" s="15" t="n">
        <v>25</v>
      </c>
      <c r="F766" s="16" t="n">
        <v>0.67080270183412</v>
      </c>
      <c r="G766" s="17" t="s">
        <v>89</v>
      </c>
      <c r="H766" s="18" t="n">
        <v>0.3</v>
      </c>
      <c r="I766" s="18" t="n">
        <v>1</v>
      </c>
      <c r="J766" s="19" t="n">
        <v>0.865820080308937</v>
      </c>
      <c r="K766" s="19" t="n">
        <v>0.556056601306117</v>
      </c>
      <c r="L766" s="16" t="n">
        <v>11.7622679120285</v>
      </c>
      <c r="M766" s="19" t="n">
        <v>0.499019153440118</v>
      </c>
      <c r="N766" s="19" t="n">
        <v>0.596166758756032</v>
      </c>
      <c r="O766" s="19" t="n">
        <v>0.865820080308937</v>
      </c>
      <c r="P766" s="19" t="n">
        <v>0.535072775472607</v>
      </c>
      <c r="Q766" s="17" t="s">
        <v>29</v>
      </c>
      <c r="R766" s="5" t="str">
        <f aca="false">IF(OR(Q766="Steel plate",Q766="Concrete jacket"),"Steel plate or jacket",Q766)</f>
        <v>Monitor</v>
      </c>
      <c r="S766" s="5" t="str">
        <f aca="false">IF(O766&lt;='Tree rules'!$C$4,IF(N766&lt;='Tree rules'!$C$5,IF(P766&lt;='Tree rules'!$C$6,"Monitor","Polymer laminate"),IF(P766&lt;='Tree rules'!$C$7,"Seal cracks","Polymer laminate")),IF(O766&lt;='Tree rules'!$C$8,IF(M766&lt;='Tree rules'!$C$9,"Steel plate or jacket","Polymer laminate"),IF(L766&lt;='Tree rules'!$C$10,"Steel plate or jacket","Polymer laminate")))</f>
        <v>Monitor</v>
      </c>
      <c r="T766" s="5" t="str">
        <f aca="false">IF(S766=R766,"Yes","No")</f>
        <v>Yes</v>
      </c>
    </row>
    <row r="767" customFormat="false" ht="15" hidden="false" customHeight="false" outlineLevel="0" collapsed="false">
      <c r="A767" s="15" t="n">
        <v>1077</v>
      </c>
      <c r="B767" s="16" t="n">
        <v>6.85476000488108</v>
      </c>
      <c r="C767" s="15" t="n">
        <v>300</v>
      </c>
      <c r="D767" s="15" t="n">
        <v>625</v>
      </c>
      <c r="E767" s="15" t="n">
        <v>25</v>
      </c>
      <c r="F767" s="16" t="n">
        <v>0.725960174139756</v>
      </c>
      <c r="G767" s="17" t="s">
        <v>89</v>
      </c>
      <c r="H767" s="18" t="n">
        <v>0.3</v>
      </c>
      <c r="I767" s="18" t="n">
        <v>1</v>
      </c>
      <c r="J767" s="19" t="n">
        <v>0.90522791324746</v>
      </c>
      <c r="K767" s="19" t="n">
        <v>0.608516277010766</v>
      </c>
      <c r="L767" s="16" t="n">
        <v>11.8800000084594</v>
      </c>
      <c r="M767" s="19" t="n">
        <v>0.961553357876701</v>
      </c>
      <c r="N767" s="19" t="n">
        <v>0.568358123693056</v>
      </c>
      <c r="O767" s="19" t="n">
        <v>0.90522791324746</v>
      </c>
      <c r="P767" s="19" t="n">
        <v>0.417082833138271</v>
      </c>
      <c r="Q767" s="17" t="s">
        <v>29</v>
      </c>
      <c r="R767" s="5" t="str">
        <f aca="false">IF(OR(Q767="Steel plate",Q767="Concrete jacket"),"Steel plate or jacket",Q767)</f>
        <v>Monitor</v>
      </c>
      <c r="S767" s="5" t="str">
        <f aca="false">IF(O767&lt;='Tree rules'!$C$4,IF(N767&lt;='Tree rules'!$C$5,IF(P767&lt;='Tree rules'!$C$6,"Monitor","Polymer laminate"),IF(P767&lt;='Tree rules'!$C$7,"Seal cracks","Polymer laminate")),IF(O767&lt;='Tree rules'!$C$8,IF(M767&lt;='Tree rules'!$C$9,"Steel plate or jacket","Polymer laminate"),IF(L767&lt;='Tree rules'!$C$10,"Steel plate or jacket","Polymer laminate")))</f>
        <v>Monitor</v>
      </c>
      <c r="T767" s="5" t="str">
        <f aca="false">IF(S767=R767,"Yes","No")</f>
        <v>Yes</v>
      </c>
    </row>
    <row r="768" customFormat="false" ht="15" hidden="false" customHeight="false" outlineLevel="0" collapsed="false">
      <c r="A768" s="15" t="n">
        <v>1078</v>
      </c>
      <c r="B768" s="16" t="n">
        <v>5.04050630963888</v>
      </c>
      <c r="C768" s="15" t="n">
        <v>230</v>
      </c>
      <c r="D768" s="15" t="n">
        <v>425</v>
      </c>
      <c r="E768" s="15" t="n">
        <v>30</v>
      </c>
      <c r="F768" s="16" t="n">
        <v>0.724620609754306</v>
      </c>
      <c r="G768" s="17" t="s">
        <v>91</v>
      </c>
      <c r="H768" s="18" t="n">
        <v>0.2</v>
      </c>
      <c r="I768" s="18" t="n">
        <v>1.5</v>
      </c>
      <c r="J768" s="19" t="n">
        <v>0.961832696302933</v>
      </c>
      <c r="K768" s="19" t="n">
        <v>0.497985373938749</v>
      </c>
      <c r="L768" s="16" t="n">
        <v>13.3700432616416</v>
      </c>
      <c r="M768" s="19" t="n">
        <v>0.800656272630593</v>
      </c>
      <c r="N768" s="19" t="n">
        <v>1.65972388484205</v>
      </c>
      <c r="O768" s="19" t="n">
        <v>1.20325973698693</v>
      </c>
      <c r="P768" s="19" t="n">
        <v>0.505413229984159</v>
      </c>
      <c r="Q768" s="17" t="s">
        <v>31</v>
      </c>
      <c r="R768" s="5" t="str">
        <f aca="false">IF(OR(Q768="Steel plate",Q768="Concrete jacket"),"Steel plate or jacket",Q768)</f>
        <v>Polymer laminate</v>
      </c>
      <c r="S768" s="5" t="str">
        <f aca="false">IF(O768&lt;='Tree rules'!$C$4,IF(N768&lt;='Tree rules'!$C$5,IF(P768&lt;='Tree rules'!$C$6,"Monitor","Polymer laminate"),IF(P768&lt;='Tree rules'!$C$7,"Seal cracks","Polymer laminate")),IF(O768&lt;='Tree rules'!$C$8,IF(M768&lt;='Tree rules'!$C$9,"Steel plate or jacket","Polymer laminate"),IF(L768&lt;='Tree rules'!$C$10,"Steel plate or jacket","Polymer laminate")))</f>
        <v>Polymer laminate</v>
      </c>
      <c r="T768" s="5" t="str">
        <f aca="false">IF(S768=R768,"Yes","No")</f>
        <v>Yes</v>
      </c>
    </row>
    <row r="769" customFormat="false" ht="15" hidden="false" customHeight="false" outlineLevel="0" collapsed="false">
      <c r="A769" s="15" t="n">
        <v>1079</v>
      </c>
      <c r="B769" s="16" t="n">
        <v>3.36917220448842</v>
      </c>
      <c r="C769" s="15" t="n">
        <v>230</v>
      </c>
      <c r="D769" s="15" t="n">
        <v>325</v>
      </c>
      <c r="E769" s="15" t="n">
        <v>30</v>
      </c>
      <c r="F769" s="16" t="n">
        <v>0.993388981372267</v>
      </c>
      <c r="G769" s="17" t="s">
        <v>90</v>
      </c>
      <c r="H769" s="18" t="n">
        <v>0.1</v>
      </c>
      <c r="I769" s="18" t="n">
        <v>2</v>
      </c>
      <c r="J769" s="19" t="n">
        <v>0.851190253185494</v>
      </c>
      <c r="K769" s="19" t="n">
        <v>0.478244474893135</v>
      </c>
      <c r="L769" s="16" t="n">
        <v>12.7620159260925</v>
      </c>
      <c r="M769" s="19" t="n">
        <v>0.283890313024296</v>
      </c>
      <c r="N769" s="19" t="n">
        <v>3.99086627721784</v>
      </c>
      <c r="O769" s="19" t="n">
        <v>1.29530347070214</v>
      </c>
      <c r="P769" s="19" t="n">
        <v>1.26711296424389</v>
      </c>
      <c r="Q769" s="17" t="s">
        <v>31</v>
      </c>
      <c r="R769" s="5" t="str">
        <f aca="false">IF(OR(Q769="Steel plate",Q769="Concrete jacket"),"Steel plate or jacket",Q769)</f>
        <v>Polymer laminate</v>
      </c>
      <c r="S769" s="5" t="str">
        <f aca="false">IF(O769&lt;='Tree rules'!$C$4,IF(N769&lt;='Tree rules'!$C$5,IF(P769&lt;='Tree rules'!$C$6,"Monitor","Polymer laminate"),IF(P769&lt;='Tree rules'!$C$7,"Seal cracks","Polymer laminate")),IF(O769&lt;='Tree rules'!$C$8,IF(M769&lt;='Tree rules'!$C$9,"Steel plate or jacket","Polymer laminate"),IF(L769&lt;='Tree rules'!$C$10,"Steel plate or jacket","Polymer laminate")))</f>
        <v>Steel plate or jacket</v>
      </c>
      <c r="T769" s="5" t="str">
        <f aca="false">IF(S769=R769,"Yes","No")</f>
        <v>No</v>
      </c>
    </row>
    <row r="770" customFormat="false" ht="15" hidden="false" customHeight="false" outlineLevel="0" collapsed="false">
      <c r="A770" s="15" t="n">
        <v>1080</v>
      </c>
      <c r="B770" s="16" t="n">
        <v>7.16164465536586</v>
      </c>
      <c r="C770" s="15" t="n">
        <v>300</v>
      </c>
      <c r="D770" s="15" t="n">
        <v>550</v>
      </c>
      <c r="E770" s="15" t="n">
        <v>25</v>
      </c>
      <c r="F770" s="16" t="n">
        <v>0.531909867274462</v>
      </c>
      <c r="G770" s="17" t="s">
        <v>89</v>
      </c>
      <c r="H770" s="18" t="n">
        <v>0.3</v>
      </c>
      <c r="I770" s="18" t="n">
        <v>1.5</v>
      </c>
      <c r="J770" s="19" t="n">
        <v>0.928924601885918</v>
      </c>
      <c r="K770" s="19" t="n">
        <v>0.49205732910921</v>
      </c>
      <c r="L770" s="16" t="n">
        <v>14.2096124114402</v>
      </c>
      <c r="M770" s="19" t="n">
        <v>0.51511322336981</v>
      </c>
      <c r="N770" s="19" t="n">
        <v>0.834778559296291</v>
      </c>
      <c r="O770" s="19" t="n">
        <v>1.16484482355497</v>
      </c>
      <c r="P770" s="19" t="n">
        <v>0.705743962634401</v>
      </c>
      <c r="Q770" s="17" t="s">
        <v>31</v>
      </c>
      <c r="R770" s="5" t="str">
        <f aca="false">IF(OR(Q770="Steel plate",Q770="Concrete jacket"),"Steel plate or jacket",Q770)</f>
        <v>Polymer laminate</v>
      </c>
      <c r="S770" s="5" t="str">
        <f aca="false">IF(O770&lt;='Tree rules'!$C$4,IF(N770&lt;='Tree rules'!$C$5,IF(P770&lt;='Tree rules'!$C$6,"Monitor","Polymer laminate"),IF(P770&lt;='Tree rules'!$C$7,"Seal cracks","Polymer laminate")),IF(O770&lt;='Tree rules'!$C$8,IF(M770&lt;='Tree rules'!$C$9,"Steel plate or jacket","Polymer laminate"),IF(L770&lt;='Tree rules'!$C$10,"Steel plate or jacket","Polymer laminate")))</f>
        <v>Polymer laminate</v>
      </c>
      <c r="T770" s="5" t="str">
        <f aca="false">IF(S770=R770,"Yes","No")</f>
        <v>Yes</v>
      </c>
    </row>
    <row r="771" customFormat="false" ht="15" hidden="false" customHeight="false" outlineLevel="0" collapsed="false">
      <c r="A771" s="15" t="n">
        <v>1081</v>
      </c>
      <c r="B771" s="16" t="n">
        <v>6.9610931947448</v>
      </c>
      <c r="C771" s="15" t="n">
        <v>230</v>
      </c>
      <c r="D771" s="15" t="n">
        <v>675</v>
      </c>
      <c r="E771" s="15" t="n">
        <v>20</v>
      </c>
      <c r="F771" s="16" t="n">
        <v>0.653545382481754</v>
      </c>
      <c r="G771" s="17" t="s">
        <v>91</v>
      </c>
      <c r="H771" s="18" t="n">
        <v>0.2</v>
      </c>
      <c r="I771" s="18" t="n">
        <v>1.5</v>
      </c>
      <c r="J771" s="19" t="n">
        <v>0.868198765265094</v>
      </c>
      <c r="K771" s="19" t="n">
        <v>0.453776956778724</v>
      </c>
      <c r="L771" s="16" t="n">
        <v>11.1022220011879</v>
      </c>
      <c r="M771" s="19" t="n">
        <v>0.52122227890325</v>
      </c>
      <c r="N771" s="19" t="n">
        <v>1.14588667585961</v>
      </c>
      <c r="O771" s="19" t="n">
        <v>1.10531385110712</v>
      </c>
      <c r="P771" s="19" t="n">
        <v>0.65914262940316</v>
      </c>
      <c r="Q771" s="17" t="s">
        <v>31</v>
      </c>
      <c r="R771" s="5" t="str">
        <f aca="false">IF(OR(Q771="Steel plate",Q771="Concrete jacket"),"Steel plate or jacket",Q771)</f>
        <v>Polymer laminate</v>
      </c>
      <c r="S771" s="5" t="str">
        <f aca="false">IF(O771&lt;='Tree rules'!$C$4,IF(N771&lt;='Tree rules'!$C$5,IF(P771&lt;='Tree rules'!$C$6,"Monitor","Polymer laminate"),IF(P771&lt;='Tree rules'!$C$7,"Seal cracks","Polymer laminate")),IF(O771&lt;='Tree rules'!$C$8,IF(M771&lt;='Tree rules'!$C$9,"Steel plate or jacket","Polymer laminate"),IF(L771&lt;='Tree rules'!$C$10,"Steel plate or jacket","Polymer laminate")))</f>
        <v>Polymer laminate</v>
      </c>
      <c r="T771" s="5" t="str">
        <f aca="false">IF(S771=R771,"Yes","No")</f>
        <v>Yes</v>
      </c>
    </row>
    <row r="772" customFormat="false" ht="15" hidden="false" customHeight="false" outlineLevel="0" collapsed="false">
      <c r="A772" s="15" t="n">
        <v>1083</v>
      </c>
      <c r="B772" s="16" t="n">
        <v>6.61970350278637</v>
      </c>
      <c r="C772" s="15" t="n">
        <v>300</v>
      </c>
      <c r="D772" s="15" t="n">
        <v>600</v>
      </c>
      <c r="E772" s="15" t="n">
        <v>30</v>
      </c>
      <c r="F772" s="16" t="n">
        <v>0.604879451954714</v>
      </c>
      <c r="G772" s="17" t="s">
        <v>89</v>
      </c>
      <c r="H772" s="18" t="n">
        <v>0.3</v>
      </c>
      <c r="I772" s="18" t="n">
        <v>1.5</v>
      </c>
      <c r="J772" s="19" t="n">
        <v>0.879630988793267</v>
      </c>
      <c r="K772" s="19" t="n">
        <v>0.411619886600528</v>
      </c>
      <c r="L772" s="16" t="n">
        <v>11.9489232902281</v>
      </c>
      <c r="M772" s="19" t="n">
        <v>0.741965043422533</v>
      </c>
      <c r="N772" s="19" t="n">
        <v>0.723002814687678</v>
      </c>
      <c r="O772" s="19" t="n">
        <v>1.1384096792612</v>
      </c>
      <c r="P772" s="19" t="n">
        <v>0.416485968108858</v>
      </c>
      <c r="Q772" s="17" t="s">
        <v>31</v>
      </c>
      <c r="R772" s="5" t="str">
        <f aca="false">IF(OR(Q772="Steel plate",Q772="Concrete jacket"),"Steel plate or jacket",Q772)</f>
        <v>Polymer laminate</v>
      </c>
      <c r="S772" s="5" t="str">
        <f aca="false">IF(O772&lt;='Tree rules'!$C$4,IF(N772&lt;='Tree rules'!$C$5,IF(P772&lt;='Tree rules'!$C$6,"Monitor","Polymer laminate"),IF(P772&lt;='Tree rules'!$C$7,"Seal cracks","Polymer laminate")),IF(O772&lt;='Tree rules'!$C$8,IF(M772&lt;='Tree rules'!$C$9,"Steel plate or jacket","Polymer laminate"),IF(L772&lt;='Tree rules'!$C$10,"Steel plate or jacket","Polymer laminate")))</f>
        <v>Polymer laminate</v>
      </c>
      <c r="T772" s="5" t="str">
        <f aca="false">IF(S772=R772,"Yes","No")</f>
        <v>Yes</v>
      </c>
    </row>
    <row r="773" customFormat="false" ht="15" hidden="false" customHeight="false" outlineLevel="0" collapsed="false">
      <c r="A773" s="15" t="n">
        <v>1084</v>
      </c>
      <c r="B773" s="16" t="n">
        <v>4.23845297483499</v>
      </c>
      <c r="C773" s="15" t="n">
        <v>230</v>
      </c>
      <c r="D773" s="15" t="n">
        <v>400</v>
      </c>
      <c r="E773" s="15" t="n">
        <v>20</v>
      </c>
      <c r="F773" s="16" t="n">
        <v>0.740832460684402</v>
      </c>
      <c r="G773" s="17" t="s">
        <v>91</v>
      </c>
      <c r="H773" s="18" t="n">
        <v>0.2</v>
      </c>
      <c r="I773" s="18" t="n">
        <v>1</v>
      </c>
      <c r="J773" s="19" t="n">
        <v>0.963076850792833</v>
      </c>
      <c r="K773" s="19" t="n">
        <v>0.426764055573959</v>
      </c>
      <c r="L773" s="16" t="n">
        <v>11.9730310023587</v>
      </c>
      <c r="M773" s="19" t="n">
        <v>0.930392907635966</v>
      </c>
      <c r="N773" s="19" t="n">
        <v>0.953237115344997</v>
      </c>
      <c r="O773" s="19" t="n">
        <v>0.963076850792833</v>
      </c>
      <c r="P773" s="19" t="n">
        <v>0.38289338441113</v>
      </c>
      <c r="Q773" s="17" t="s">
        <v>29</v>
      </c>
      <c r="R773" s="5" t="str">
        <f aca="false">IF(OR(Q773="Steel plate",Q773="Concrete jacket"),"Steel plate or jacket",Q773)</f>
        <v>Monitor</v>
      </c>
      <c r="S773" s="5" t="str">
        <f aca="false">IF(O773&lt;='Tree rules'!$C$4,IF(N773&lt;='Tree rules'!$C$5,IF(P773&lt;='Tree rules'!$C$6,"Monitor","Polymer laminate"),IF(P773&lt;='Tree rules'!$C$7,"Seal cracks","Polymer laminate")),IF(O773&lt;='Tree rules'!$C$8,IF(M773&lt;='Tree rules'!$C$9,"Steel plate or jacket","Polymer laminate"),IF(L773&lt;='Tree rules'!$C$10,"Steel plate or jacket","Polymer laminate")))</f>
        <v>Monitor</v>
      </c>
      <c r="T773" s="5" t="str">
        <f aca="false">IF(S773=R773,"Yes","No")</f>
        <v>Yes</v>
      </c>
    </row>
    <row r="774" customFormat="false" ht="15" hidden="false" customHeight="false" outlineLevel="0" collapsed="false">
      <c r="A774" s="15" t="n">
        <v>1085</v>
      </c>
      <c r="B774" s="16" t="n">
        <v>6.13303592819957</v>
      </c>
      <c r="C774" s="15" t="n">
        <v>230</v>
      </c>
      <c r="D774" s="15" t="n">
        <v>550</v>
      </c>
      <c r="E774" s="15" t="n">
        <v>30</v>
      </c>
      <c r="F774" s="16" t="n">
        <v>0.693795479053647</v>
      </c>
      <c r="G774" s="17" t="s">
        <v>91</v>
      </c>
      <c r="H774" s="18" t="n">
        <v>0.2</v>
      </c>
      <c r="I774" s="18" t="n">
        <v>1</v>
      </c>
      <c r="J774" s="19" t="n">
        <v>0.905262154724521</v>
      </c>
      <c r="K774" s="19" t="n">
        <v>0.507841947935201</v>
      </c>
      <c r="L774" s="16" t="n">
        <v>12.1687220797611</v>
      </c>
      <c r="M774" s="19" t="n">
        <v>0.944855490721824</v>
      </c>
      <c r="N774" s="19" t="n">
        <v>0.797268996906118</v>
      </c>
      <c r="O774" s="19" t="n">
        <v>0.905262154724521</v>
      </c>
      <c r="P774" s="19" t="n">
        <v>0.359252498172746</v>
      </c>
      <c r="Q774" s="17" t="s">
        <v>29</v>
      </c>
      <c r="R774" s="5" t="str">
        <f aca="false">IF(OR(Q774="Steel plate",Q774="Concrete jacket"),"Steel plate or jacket",Q774)</f>
        <v>Monitor</v>
      </c>
      <c r="S774" s="5" t="str">
        <f aca="false">IF(O774&lt;='Tree rules'!$C$4,IF(N774&lt;='Tree rules'!$C$5,IF(P774&lt;='Tree rules'!$C$6,"Monitor","Polymer laminate"),IF(P774&lt;='Tree rules'!$C$7,"Seal cracks","Polymer laminate")),IF(O774&lt;='Tree rules'!$C$8,IF(M774&lt;='Tree rules'!$C$9,"Steel plate or jacket","Polymer laminate"),IF(L774&lt;='Tree rules'!$C$10,"Steel plate or jacket","Polymer laminate")))</f>
        <v>Monitor</v>
      </c>
      <c r="T774" s="5" t="str">
        <f aca="false">IF(S774=R774,"Yes","No")</f>
        <v>Yes</v>
      </c>
    </row>
    <row r="775" customFormat="false" ht="15" hidden="false" customHeight="false" outlineLevel="0" collapsed="false">
      <c r="A775" s="15" t="n">
        <v>1087</v>
      </c>
      <c r="B775" s="16" t="n">
        <v>6.04256573536569</v>
      </c>
      <c r="C775" s="15" t="n">
        <v>230</v>
      </c>
      <c r="D775" s="15" t="n">
        <v>550</v>
      </c>
      <c r="E775" s="15" t="n">
        <v>30</v>
      </c>
      <c r="F775" s="16" t="n">
        <v>0.544187190990784</v>
      </c>
      <c r="G775" s="17" t="s">
        <v>91</v>
      </c>
      <c r="H775" s="18" t="n">
        <v>0.2</v>
      </c>
      <c r="I775" s="18" t="n">
        <v>1</v>
      </c>
      <c r="J775" s="19" t="n">
        <v>0.850394277159106</v>
      </c>
      <c r="K775" s="19" t="n">
        <v>0.499691215755425</v>
      </c>
      <c r="L775" s="16" t="n">
        <v>12.0369835365851</v>
      </c>
      <c r="M775" s="19" t="n">
        <v>0.948835906593274</v>
      </c>
      <c r="N775" s="19" t="n">
        <v>1.03803595177768</v>
      </c>
      <c r="O775" s="19" t="n">
        <v>0.850394277159106</v>
      </c>
      <c r="P775" s="19" t="n">
        <v>0.268760402480848</v>
      </c>
      <c r="Q775" s="17" t="s">
        <v>30</v>
      </c>
      <c r="R775" s="5" t="str">
        <f aca="false">IF(OR(Q775="Steel plate",Q775="Concrete jacket"),"Steel plate or jacket",Q775)</f>
        <v>Seal cracks</v>
      </c>
      <c r="S775" s="5" t="str">
        <f aca="false">IF(O775&lt;='Tree rules'!$C$4,IF(N775&lt;='Tree rules'!$C$5,IF(P775&lt;='Tree rules'!$C$6,"Monitor","Polymer laminate"),IF(P775&lt;='Tree rules'!$C$7,"Seal cracks","Polymer laminate")),IF(O775&lt;='Tree rules'!$C$8,IF(M775&lt;='Tree rules'!$C$9,"Steel plate or jacket","Polymer laminate"),IF(L775&lt;='Tree rules'!$C$10,"Steel plate or jacket","Polymer laminate")))</f>
        <v>Seal cracks</v>
      </c>
      <c r="T775" s="5" t="str">
        <f aca="false">IF(S775=R775,"Yes","No")</f>
        <v>Yes</v>
      </c>
    </row>
    <row r="776" customFormat="false" ht="15" hidden="false" customHeight="false" outlineLevel="0" collapsed="false">
      <c r="A776" s="15" t="n">
        <v>1088</v>
      </c>
      <c r="B776" s="16" t="n">
        <v>4.0548415695599</v>
      </c>
      <c r="C776" s="15" t="n">
        <v>230</v>
      </c>
      <c r="D776" s="15" t="n">
        <v>375</v>
      </c>
      <c r="E776" s="15" t="n">
        <v>30</v>
      </c>
      <c r="F776" s="16" t="n">
        <v>0.835418868126524</v>
      </c>
      <c r="G776" s="17" t="s">
        <v>91</v>
      </c>
      <c r="H776" s="18" t="n">
        <v>0.2</v>
      </c>
      <c r="I776" s="18" t="n">
        <v>1</v>
      </c>
      <c r="J776" s="19" t="n">
        <v>0.873491566492125</v>
      </c>
      <c r="K776" s="19" t="n">
        <v>0.485085083090297</v>
      </c>
      <c r="L776" s="16" t="n">
        <v>12.4001271240364</v>
      </c>
      <c r="M776" s="19" t="n">
        <v>0.846703117261026</v>
      </c>
      <c r="N776" s="19" t="n">
        <v>1.15792063449513</v>
      </c>
      <c r="O776" s="19" t="n">
        <v>0.873491566492125</v>
      </c>
      <c r="P776" s="19" t="n">
        <v>0.386590335596244</v>
      </c>
      <c r="Q776" s="17" t="s">
        <v>30</v>
      </c>
      <c r="R776" s="5" t="str">
        <f aca="false">IF(OR(Q776="Steel plate",Q776="Concrete jacket"),"Steel plate or jacket",Q776)</f>
        <v>Seal cracks</v>
      </c>
      <c r="S776" s="5" t="str">
        <f aca="false">IF(O776&lt;='Tree rules'!$C$4,IF(N776&lt;='Tree rules'!$C$5,IF(P776&lt;='Tree rules'!$C$6,"Monitor","Polymer laminate"),IF(P776&lt;='Tree rules'!$C$7,"Seal cracks","Polymer laminate")),IF(O776&lt;='Tree rules'!$C$8,IF(M776&lt;='Tree rules'!$C$9,"Steel plate or jacket","Polymer laminate"),IF(L776&lt;='Tree rules'!$C$10,"Steel plate or jacket","Polymer laminate")))</f>
        <v>Seal cracks</v>
      </c>
      <c r="T776" s="5" t="str">
        <f aca="false">IF(S776=R776,"Yes","No")</f>
        <v>Yes</v>
      </c>
    </row>
    <row r="777" customFormat="false" ht="15" hidden="false" customHeight="false" outlineLevel="0" collapsed="false">
      <c r="A777" s="15" t="n">
        <v>1089</v>
      </c>
      <c r="B777" s="16" t="n">
        <v>3.6899068889926</v>
      </c>
      <c r="C777" s="15" t="n">
        <v>300</v>
      </c>
      <c r="D777" s="15" t="n">
        <v>350</v>
      </c>
      <c r="E777" s="15" t="n">
        <v>20</v>
      </c>
      <c r="F777" s="16" t="n">
        <v>0.661387927071535</v>
      </c>
      <c r="G777" s="17" t="s">
        <v>89</v>
      </c>
      <c r="H777" s="18" t="n">
        <v>0.3</v>
      </c>
      <c r="I777" s="18" t="n">
        <v>1</v>
      </c>
      <c r="J777" s="19" t="n">
        <v>0.890428348312332</v>
      </c>
      <c r="K777" s="19" t="n">
        <v>0.434502875279005</v>
      </c>
      <c r="L777" s="16" t="n">
        <v>12.1378516085283</v>
      </c>
      <c r="M777" s="19" t="n">
        <v>0.515025621645404</v>
      </c>
      <c r="N777" s="19" t="n">
        <v>0.735812544299298</v>
      </c>
      <c r="O777" s="19" t="n">
        <v>0.890428348312332</v>
      </c>
      <c r="P777" s="19" t="n">
        <v>0.539508979028266</v>
      </c>
      <c r="Q777" s="17" t="s">
        <v>29</v>
      </c>
      <c r="R777" s="5" t="str">
        <f aca="false">IF(OR(Q777="Steel plate",Q777="Concrete jacket"),"Steel plate or jacket",Q777)</f>
        <v>Monitor</v>
      </c>
      <c r="S777" s="5" t="str">
        <f aca="false">IF(O777&lt;='Tree rules'!$C$4,IF(N777&lt;='Tree rules'!$C$5,IF(P777&lt;='Tree rules'!$C$6,"Monitor","Polymer laminate"),IF(P777&lt;='Tree rules'!$C$7,"Seal cracks","Polymer laminate")),IF(O777&lt;='Tree rules'!$C$8,IF(M777&lt;='Tree rules'!$C$9,"Steel plate or jacket","Polymer laminate"),IF(L777&lt;='Tree rules'!$C$10,"Steel plate or jacket","Polymer laminate")))</f>
        <v>Monitor</v>
      </c>
      <c r="T777" s="5" t="str">
        <f aca="false">IF(S777=R777,"Yes","No")</f>
        <v>Yes</v>
      </c>
    </row>
    <row r="778" customFormat="false" ht="15" hidden="false" customHeight="false" outlineLevel="0" collapsed="false">
      <c r="A778" s="15" t="n">
        <v>1090</v>
      </c>
      <c r="B778" s="16" t="n">
        <v>3.76395992414816</v>
      </c>
      <c r="C778" s="15" t="n">
        <v>230</v>
      </c>
      <c r="D778" s="15" t="n">
        <v>300</v>
      </c>
      <c r="E778" s="15" t="n">
        <v>25</v>
      </c>
      <c r="F778" s="16" t="n">
        <v>0.576243217710084</v>
      </c>
      <c r="G778" s="17" t="s">
        <v>89</v>
      </c>
      <c r="H778" s="18" t="n">
        <v>0.3</v>
      </c>
      <c r="I778" s="18" t="n">
        <v>1</v>
      </c>
      <c r="J778" s="19" t="n">
        <v>0.957634653777445</v>
      </c>
      <c r="K778" s="19" t="n">
        <v>0.521130069578611</v>
      </c>
      <c r="L778" s="16" t="n">
        <v>14.7029684537037</v>
      </c>
      <c r="M778" s="19" t="n">
        <v>0.817592563459539</v>
      </c>
      <c r="N778" s="19" t="n">
        <v>0.644999716699917</v>
      </c>
      <c r="O778" s="19" t="n">
        <v>0.957634653777445</v>
      </c>
      <c r="P778" s="19" t="n">
        <v>0.374632969499813</v>
      </c>
      <c r="Q778" s="17" t="s">
        <v>29</v>
      </c>
      <c r="R778" s="5" t="str">
        <f aca="false">IF(OR(Q778="Steel plate",Q778="Concrete jacket"),"Steel plate or jacket",Q778)</f>
        <v>Monitor</v>
      </c>
      <c r="S778" s="5" t="str">
        <f aca="false">IF(O778&lt;='Tree rules'!$C$4,IF(N778&lt;='Tree rules'!$C$5,IF(P778&lt;='Tree rules'!$C$6,"Monitor","Polymer laminate"),IF(P778&lt;='Tree rules'!$C$7,"Seal cracks","Polymer laminate")),IF(O778&lt;='Tree rules'!$C$8,IF(M778&lt;='Tree rules'!$C$9,"Steel plate or jacket","Polymer laminate"),IF(L778&lt;='Tree rules'!$C$10,"Steel plate or jacket","Polymer laminate")))</f>
        <v>Monitor</v>
      </c>
      <c r="T778" s="5" t="str">
        <f aca="false">IF(S778=R778,"Yes","No")</f>
        <v>Yes</v>
      </c>
    </row>
    <row r="779" customFormat="false" ht="15" hidden="false" customHeight="false" outlineLevel="0" collapsed="false">
      <c r="A779" s="15" t="n">
        <v>1091</v>
      </c>
      <c r="B779" s="16" t="n">
        <v>3.83642980238972</v>
      </c>
      <c r="C779" s="15" t="n">
        <v>300</v>
      </c>
      <c r="D779" s="15" t="n">
        <v>350</v>
      </c>
      <c r="E779" s="15" t="n">
        <v>20</v>
      </c>
      <c r="F779" s="16" t="n">
        <v>0.661387927071535</v>
      </c>
      <c r="G779" s="17" t="s">
        <v>89</v>
      </c>
      <c r="H779" s="18" t="n">
        <v>0.3</v>
      </c>
      <c r="I779" s="18" t="n">
        <v>1.5</v>
      </c>
      <c r="J779" s="19" t="n">
        <v>0.868227434452959</v>
      </c>
      <c r="K779" s="19" t="n">
        <v>0.440471926229954</v>
      </c>
      <c r="L779" s="16" t="n">
        <v>12.619834876282</v>
      </c>
      <c r="M779" s="19" t="n">
        <v>0.6592565483701</v>
      </c>
      <c r="N779" s="19" t="n">
        <v>0.901938150499335</v>
      </c>
      <c r="O779" s="19" t="n">
        <v>1.11112624644985</v>
      </c>
      <c r="P779" s="19" t="n">
        <v>0.505027687690916</v>
      </c>
      <c r="Q779" s="17" t="s">
        <v>31</v>
      </c>
      <c r="R779" s="5" t="str">
        <f aca="false">IF(OR(Q779="Steel plate",Q779="Concrete jacket"),"Steel plate or jacket",Q779)</f>
        <v>Polymer laminate</v>
      </c>
      <c r="S779" s="5" t="str">
        <f aca="false">IF(O779&lt;='Tree rules'!$C$4,IF(N779&lt;='Tree rules'!$C$5,IF(P779&lt;='Tree rules'!$C$6,"Monitor","Polymer laminate"),IF(P779&lt;='Tree rules'!$C$7,"Seal cracks","Polymer laminate")),IF(O779&lt;='Tree rules'!$C$8,IF(M779&lt;='Tree rules'!$C$9,"Steel plate or jacket","Polymer laminate"),IF(L779&lt;='Tree rules'!$C$10,"Steel plate or jacket","Polymer laminate")))</f>
        <v>Polymer laminate</v>
      </c>
      <c r="T779" s="5" t="str">
        <f aca="false">IF(S779=R779,"Yes","No")</f>
        <v>Yes</v>
      </c>
    </row>
    <row r="780" customFormat="false" ht="15" hidden="false" customHeight="false" outlineLevel="0" collapsed="false">
      <c r="A780" s="15" t="n">
        <v>1093</v>
      </c>
      <c r="B780" s="16" t="n">
        <v>6.05518664102141</v>
      </c>
      <c r="C780" s="15" t="n">
        <v>300</v>
      </c>
      <c r="D780" s="15" t="n">
        <v>525</v>
      </c>
      <c r="E780" s="15" t="n">
        <v>30</v>
      </c>
      <c r="F780" s="16" t="n">
        <v>0.658614812073332</v>
      </c>
      <c r="G780" s="17" t="s">
        <v>89</v>
      </c>
      <c r="H780" s="18" t="n">
        <v>0.3</v>
      </c>
      <c r="I780" s="18" t="n">
        <v>1</v>
      </c>
      <c r="J780" s="19" t="n">
        <v>0.934164719785393</v>
      </c>
      <c r="K780" s="19" t="n">
        <v>0.566357043417297</v>
      </c>
      <c r="L780" s="16" t="n">
        <v>12.6943116163971</v>
      </c>
      <c r="M780" s="19" t="n">
        <v>0.496222906793651</v>
      </c>
      <c r="N780" s="19" t="n">
        <v>0.784512022992216</v>
      </c>
      <c r="O780" s="19" t="n">
        <v>0.934164719785393</v>
      </c>
      <c r="P780" s="19" t="n">
        <v>0.67466863997611</v>
      </c>
      <c r="Q780" s="17" t="s">
        <v>29</v>
      </c>
      <c r="R780" s="5" t="str">
        <f aca="false">IF(OR(Q780="Steel plate",Q780="Concrete jacket"),"Steel plate or jacket",Q780)</f>
        <v>Monitor</v>
      </c>
      <c r="S780" s="5" t="str">
        <f aca="false">IF(O780&lt;='Tree rules'!$C$4,IF(N780&lt;='Tree rules'!$C$5,IF(P780&lt;='Tree rules'!$C$6,"Monitor","Polymer laminate"),IF(P780&lt;='Tree rules'!$C$7,"Seal cracks","Polymer laminate")),IF(O780&lt;='Tree rules'!$C$8,IF(M780&lt;='Tree rules'!$C$9,"Steel plate or jacket","Polymer laminate"),IF(L780&lt;='Tree rules'!$C$10,"Steel plate or jacket","Polymer laminate")))</f>
        <v>Monitor</v>
      </c>
      <c r="T780" s="5" t="str">
        <f aca="false">IF(S780=R780,"Yes","No")</f>
        <v>Yes</v>
      </c>
    </row>
    <row r="781" customFormat="false" ht="15" hidden="false" customHeight="false" outlineLevel="0" collapsed="false">
      <c r="A781" s="15" t="n">
        <v>1094</v>
      </c>
      <c r="B781" s="16" t="n">
        <v>6.6474137773448</v>
      </c>
      <c r="C781" s="15" t="n">
        <v>300</v>
      </c>
      <c r="D781" s="15" t="n">
        <v>625</v>
      </c>
      <c r="E781" s="15" t="n">
        <v>30</v>
      </c>
      <c r="F781" s="16" t="n">
        <v>0.907450217674695</v>
      </c>
      <c r="G781" s="17" t="s">
        <v>89</v>
      </c>
      <c r="H781" s="18" t="n">
        <v>0.3</v>
      </c>
      <c r="I781" s="18" t="n">
        <v>1</v>
      </c>
      <c r="J781" s="19" t="n">
        <v>0.944653177948624</v>
      </c>
      <c r="K781" s="19" t="n">
        <v>0.438530092121223</v>
      </c>
      <c r="L781" s="16" t="n">
        <v>11.5206477943584</v>
      </c>
      <c r="M781" s="19" t="n">
        <v>0.489416896044329</v>
      </c>
      <c r="N781" s="19" t="n">
        <v>0.622011001537597</v>
      </c>
      <c r="O781" s="19" t="n">
        <v>0.944653177948624</v>
      </c>
      <c r="P781" s="19" t="n">
        <v>0.755416389828703</v>
      </c>
      <c r="Q781" s="17" t="s">
        <v>29</v>
      </c>
      <c r="R781" s="5" t="str">
        <f aca="false">IF(OR(Q781="Steel plate",Q781="Concrete jacket"),"Steel plate or jacket",Q781)</f>
        <v>Monitor</v>
      </c>
      <c r="S781" s="5" t="str">
        <f aca="false">IF(O781&lt;='Tree rules'!$C$4,IF(N781&lt;='Tree rules'!$C$5,IF(P781&lt;='Tree rules'!$C$6,"Monitor","Polymer laminate"),IF(P781&lt;='Tree rules'!$C$7,"Seal cracks","Polymer laminate")),IF(O781&lt;='Tree rules'!$C$8,IF(M781&lt;='Tree rules'!$C$9,"Steel plate or jacket","Polymer laminate"),IF(L781&lt;='Tree rules'!$C$10,"Steel plate or jacket","Polymer laminate")))</f>
        <v>Monitor</v>
      </c>
      <c r="T781" s="5" t="str">
        <f aca="false">IF(S781=R781,"Yes","No")</f>
        <v>Yes</v>
      </c>
    </row>
    <row r="782" customFormat="false" ht="15" hidden="false" customHeight="false" outlineLevel="0" collapsed="false">
      <c r="A782" s="15" t="n">
        <v>1095</v>
      </c>
      <c r="B782" s="16" t="n">
        <v>3.58172632264551</v>
      </c>
      <c r="C782" s="15" t="n">
        <v>300</v>
      </c>
      <c r="D782" s="15" t="n">
        <v>300</v>
      </c>
      <c r="E782" s="15" t="n">
        <v>30</v>
      </c>
      <c r="F782" s="16" t="n">
        <v>0.736310778185108</v>
      </c>
      <c r="G782" s="17" t="s">
        <v>89</v>
      </c>
      <c r="H782" s="18" t="n">
        <v>0.3</v>
      </c>
      <c r="I782" s="18" t="n">
        <v>1</v>
      </c>
      <c r="J782" s="19" t="n">
        <v>0.873188975011376</v>
      </c>
      <c r="K782" s="19" t="n">
        <v>0.645932554669276</v>
      </c>
      <c r="L782" s="16" t="n">
        <v>13.991118447834</v>
      </c>
      <c r="M782" s="19" t="n">
        <v>0.90891101131851</v>
      </c>
      <c r="N782" s="19" t="n">
        <v>0.554396167090766</v>
      </c>
      <c r="O782" s="19" t="n">
        <v>0.873188975011376</v>
      </c>
      <c r="P782" s="19" t="n">
        <v>0.390976634989301</v>
      </c>
      <c r="Q782" s="17" t="s">
        <v>29</v>
      </c>
      <c r="R782" s="5" t="str">
        <f aca="false">IF(OR(Q782="Steel plate",Q782="Concrete jacket"),"Steel plate or jacket",Q782)</f>
        <v>Monitor</v>
      </c>
      <c r="S782" s="5" t="str">
        <f aca="false">IF(O782&lt;='Tree rules'!$C$4,IF(N782&lt;='Tree rules'!$C$5,IF(P782&lt;='Tree rules'!$C$6,"Monitor","Polymer laminate"),IF(P782&lt;='Tree rules'!$C$7,"Seal cracks","Polymer laminate")),IF(O782&lt;='Tree rules'!$C$8,IF(M782&lt;='Tree rules'!$C$9,"Steel plate or jacket","Polymer laminate"),IF(L782&lt;='Tree rules'!$C$10,"Steel plate or jacket","Polymer laminate")))</f>
        <v>Monitor</v>
      </c>
      <c r="T782" s="5" t="str">
        <f aca="false">IF(S782=R782,"Yes","No")</f>
        <v>Yes</v>
      </c>
    </row>
    <row r="783" customFormat="false" ht="15" hidden="false" customHeight="false" outlineLevel="0" collapsed="false">
      <c r="A783" s="15" t="n">
        <v>1096</v>
      </c>
      <c r="B783" s="16" t="n">
        <v>4.35262655355034</v>
      </c>
      <c r="C783" s="15" t="n">
        <v>230</v>
      </c>
      <c r="D783" s="15" t="n">
        <v>350</v>
      </c>
      <c r="E783" s="15" t="n">
        <v>20</v>
      </c>
      <c r="F783" s="16" t="n">
        <v>0.64278110559382</v>
      </c>
      <c r="G783" s="17" t="s">
        <v>89</v>
      </c>
      <c r="H783" s="18" t="n">
        <v>0.3</v>
      </c>
      <c r="I783" s="18" t="n">
        <v>1.5</v>
      </c>
      <c r="J783" s="19" t="n">
        <v>0.922213422615456</v>
      </c>
      <c r="K783" s="19" t="n">
        <v>0.481361850248086</v>
      </c>
      <c r="L783" s="16" t="n">
        <v>14.2242697828443</v>
      </c>
      <c r="M783" s="19" t="n">
        <v>0.632963624007684</v>
      </c>
      <c r="N783" s="19" t="n">
        <v>0.764877331904685</v>
      </c>
      <c r="O783" s="19" t="n">
        <v>1.16136095420629</v>
      </c>
      <c r="P783" s="19" t="n">
        <v>0.627615898806641</v>
      </c>
      <c r="Q783" s="17" t="s">
        <v>31</v>
      </c>
      <c r="R783" s="5" t="str">
        <f aca="false">IF(OR(Q783="Steel plate",Q783="Concrete jacket"),"Steel plate or jacket",Q783)</f>
        <v>Polymer laminate</v>
      </c>
      <c r="S783" s="5" t="str">
        <f aca="false">IF(O783&lt;='Tree rules'!$C$4,IF(N783&lt;='Tree rules'!$C$5,IF(P783&lt;='Tree rules'!$C$6,"Monitor","Polymer laminate"),IF(P783&lt;='Tree rules'!$C$7,"Seal cracks","Polymer laminate")),IF(O783&lt;='Tree rules'!$C$8,IF(M783&lt;='Tree rules'!$C$9,"Steel plate or jacket","Polymer laminate"),IF(L783&lt;='Tree rules'!$C$10,"Steel plate or jacket","Polymer laminate")))</f>
        <v>Polymer laminate</v>
      </c>
      <c r="T783" s="5" t="str">
        <f aca="false">IF(S783=R783,"Yes","No")</f>
        <v>Yes</v>
      </c>
    </row>
    <row r="784" customFormat="false" ht="15" hidden="false" customHeight="false" outlineLevel="0" collapsed="false">
      <c r="A784" s="15" t="n">
        <v>1102</v>
      </c>
      <c r="B784" s="16" t="n">
        <v>6.51818930444305</v>
      </c>
      <c r="C784" s="15" t="n">
        <v>300</v>
      </c>
      <c r="D784" s="15" t="n">
        <v>500</v>
      </c>
      <c r="E784" s="15" t="n">
        <v>25</v>
      </c>
      <c r="F784" s="16" t="n">
        <v>0.695042622475618</v>
      </c>
      <c r="G784" s="17" t="s">
        <v>89</v>
      </c>
      <c r="H784" s="18" t="n">
        <v>0.3</v>
      </c>
      <c r="I784" s="18" t="n">
        <v>1.5</v>
      </c>
      <c r="J784" s="19" t="n">
        <v>0.851839152137555</v>
      </c>
      <c r="K784" s="19" t="n">
        <v>0.522742526726676</v>
      </c>
      <c r="L784" s="16" t="n">
        <v>14.4207727974404</v>
      </c>
      <c r="M784" s="19" t="n">
        <v>0.7820326198608</v>
      </c>
      <c r="N784" s="19" t="n">
        <v>0.83288884000939</v>
      </c>
      <c r="O784" s="19" t="n">
        <v>1.05511245282979</v>
      </c>
      <c r="P784" s="19" t="n">
        <v>0.55112009372524</v>
      </c>
      <c r="Q784" s="17" t="s">
        <v>31</v>
      </c>
      <c r="R784" s="5" t="str">
        <f aca="false">IF(OR(Q784="Steel plate",Q784="Concrete jacket"),"Steel plate or jacket",Q784)</f>
        <v>Polymer laminate</v>
      </c>
      <c r="S784" s="5" t="str">
        <f aca="false">IF(O784&lt;='Tree rules'!$C$4,IF(N784&lt;='Tree rules'!$C$5,IF(P784&lt;='Tree rules'!$C$6,"Monitor","Polymer laminate"),IF(P784&lt;='Tree rules'!$C$7,"Seal cracks","Polymer laminate")),IF(O784&lt;='Tree rules'!$C$8,IF(M784&lt;='Tree rules'!$C$9,"Steel plate or jacket","Polymer laminate"),IF(L784&lt;='Tree rules'!$C$10,"Steel plate or jacket","Polymer laminate")))</f>
        <v>Polymer laminate</v>
      </c>
      <c r="T784" s="5" t="str">
        <f aca="false">IF(S784=R784,"Yes","No")</f>
        <v>Yes</v>
      </c>
    </row>
    <row r="785" customFormat="false" ht="15" hidden="false" customHeight="false" outlineLevel="0" collapsed="false">
      <c r="A785" s="15" t="n">
        <v>1103</v>
      </c>
      <c r="B785" s="16" t="n">
        <v>5.46946081928906</v>
      </c>
      <c r="C785" s="15" t="n">
        <v>300</v>
      </c>
      <c r="D785" s="15" t="n">
        <v>525</v>
      </c>
      <c r="E785" s="15" t="n">
        <v>25</v>
      </c>
      <c r="F785" s="16" t="n">
        <v>0.658614812073332</v>
      </c>
      <c r="G785" s="17" t="s">
        <v>89</v>
      </c>
      <c r="H785" s="18" t="n">
        <v>0.3</v>
      </c>
      <c r="I785" s="18" t="n">
        <v>1.5</v>
      </c>
      <c r="J785" s="19" t="n">
        <v>0.958873387028402</v>
      </c>
      <c r="K785" s="19" t="n">
        <v>0.584955170949772</v>
      </c>
      <c r="L785" s="16" t="n">
        <v>11.4663748832056</v>
      </c>
      <c r="M785" s="19" t="n">
        <v>0.362272724019136</v>
      </c>
      <c r="N785" s="19" t="n">
        <v>0.99800574825177</v>
      </c>
      <c r="O785" s="19" t="n">
        <v>1.15786110752841</v>
      </c>
      <c r="P785" s="19" t="n">
        <v>0.996772027003415</v>
      </c>
      <c r="Q785" s="17" t="s">
        <v>31</v>
      </c>
      <c r="R785" s="5" t="str">
        <f aca="false">IF(OR(Q785="Steel plate",Q785="Concrete jacket"),"Steel plate or jacket",Q785)</f>
        <v>Polymer laminate</v>
      </c>
      <c r="S785" s="5" t="str">
        <f aca="false">IF(O785&lt;='Tree rules'!$C$4,IF(N785&lt;='Tree rules'!$C$5,IF(P785&lt;='Tree rules'!$C$6,"Monitor","Polymer laminate"),IF(P785&lt;='Tree rules'!$C$7,"Seal cracks","Polymer laminate")),IF(O785&lt;='Tree rules'!$C$8,IF(M785&lt;='Tree rules'!$C$9,"Steel plate or jacket","Polymer laminate"),IF(L785&lt;='Tree rules'!$C$10,"Steel plate or jacket","Polymer laminate")))</f>
        <v>Polymer laminate</v>
      </c>
      <c r="T785" s="5" t="str">
        <f aca="false">IF(S785=R785,"Yes","No")</f>
        <v>Yes</v>
      </c>
    </row>
    <row r="786" customFormat="false" ht="15" hidden="false" customHeight="false" outlineLevel="0" collapsed="false">
      <c r="A786" s="15" t="n">
        <v>1104</v>
      </c>
      <c r="B786" s="16" t="n">
        <v>6.45448718829033</v>
      </c>
      <c r="C786" s="15" t="n">
        <v>230</v>
      </c>
      <c r="D786" s="15" t="n">
        <v>500</v>
      </c>
      <c r="E786" s="15" t="n">
        <v>30</v>
      </c>
      <c r="F786" s="16" t="n">
        <v>0.770204672782022</v>
      </c>
      <c r="G786" s="17" t="s">
        <v>91</v>
      </c>
      <c r="H786" s="18" t="n">
        <v>0.2</v>
      </c>
      <c r="I786" s="18" t="n">
        <v>2</v>
      </c>
      <c r="J786" s="19" t="n">
        <v>0.873074391130464</v>
      </c>
      <c r="K786" s="19" t="n">
        <v>0.424399611349654</v>
      </c>
      <c r="L786" s="16" t="n">
        <v>14.2169321327981</v>
      </c>
      <c r="M786" s="19" t="n">
        <v>0.572645721432539</v>
      </c>
      <c r="N786" s="19" t="n">
        <v>1.37229375619857</v>
      </c>
      <c r="O786" s="19" t="n">
        <v>1.37561634998582</v>
      </c>
      <c r="P786" s="19" t="n">
        <v>0.820528470518713</v>
      </c>
      <c r="Q786" s="17" t="s">
        <v>31</v>
      </c>
      <c r="R786" s="5" t="str">
        <f aca="false">IF(OR(Q786="Steel plate",Q786="Concrete jacket"),"Steel plate or jacket",Q786)</f>
        <v>Polymer laminate</v>
      </c>
      <c r="S786" s="5" t="str">
        <f aca="false">IF(O786&lt;='Tree rules'!$C$4,IF(N786&lt;='Tree rules'!$C$5,IF(P786&lt;='Tree rules'!$C$6,"Monitor","Polymer laminate"),IF(P786&lt;='Tree rules'!$C$7,"Seal cracks","Polymer laminate")),IF(O786&lt;='Tree rules'!$C$8,IF(M786&lt;='Tree rules'!$C$9,"Steel plate or jacket","Polymer laminate"),IF(L786&lt;='Tree rules'!$C$10,"Steel plate or jacket","Polymer laminate")))</f>
        <v>Polymer laminate</v>
      </c>
      <c r="T786" s="5" t="str">
        <f aca="false">IF(S786=R786,"Yes","No")</f>
        <v>Yes</v>
      </c>
    </row>
    <row r="787" customFormat="false" ht="15" hidden="false" customHeight="false" outlineLevel="0" collapsed="false">
      <c r="A787" s="15" t="n">
        <v>1105</v>
      </c>
      <c r="B787" s="16" t="n">
        <v>6.91293095948151</v>
      </c>
      <c r="C787" s="15" t="n">
        <v>300</v>
      </c>
      <c r="D787" s="15" t="n">
        <v>625</v>
      </c>
      <c r="E787" s="15" t="n">
        <v>30</v>
      </c>
      <c r="F787" s="16" t="n">
        <v>0.544470130604817</v>
      </c>
      <c r="G787" s="17" t="s">
        <v>89</v>
      </c>
      <c r="H787" s="18" t="n">
        <v>0.3</v>
      </c>
      <c r="I787" s="18" t="n">
        <v>1.5</v>
      </c>
      <c r="J787" s="19" t="n">
        <v>0.920316289388137</v>
      </c>
      <c r="K787" s="19" t="n">
        <v>0.511264590986406</v>
      </c>
      <c r="L787" s="16" t="n">
        <v>11.9808162209385</v>
      </c>
      <c r="M787" s="19" t="n">
        <v>0.71705598586179</v>
      </c>
      <c r="N787" s="19" t="n">
        <v>0.91535035032761</v>
      </c>
      <c r="O787" s="19" t="n">
        <v>1.14521186844613</v>
      </c>
      <c r="P787" s="19" t="n">
        <v>0.43105663800708</v>
      </c>
      <c r="Q787" s="17" t="s">
        <v>31</v>
      </c>
      <c r="R787" s="5" t="str">
        <f aca="false">IF(OR(Q787="Steel plate",Q787="Concrete jacket"),"Steel plate or jacket",Q787)</f>
        <v>Polymer laminate</v>
      </c>
      <c r="S787" s="5" t="str">
        <f aca="false">IF(O787&lt;='Tree rules'!$C$4,IF(N787&lt;='Tree rules'!$C$5,IF(P787&lt;='Tree rules'!$C$6,"Monitor","Polymer laminate"),IF(P787&lt;='Tree rules'!$C$7,"Seal cracks","Polymer laminate")),IF(O787&lt;='Tree rules'!$C$8,IF(M787&lt;='Tree rules'!$C$9,"Steel plate or jacket","Polymer laminate"),IF(L787&lt;='Tree rules'!$C$10,"Steel plate or jacket","Polymer laminate")))</f>
        <v>Polymer laminate</v>
      </c>
      <c r="T787" s="5" t="str">
        <f aca="false">IF(S787=R787,"Yes","No")</f>
        <v>Yes</v>
      </c>
    </row>
    <row r="788" customFormat="false" ht="15" hidden="false" customHeight="false" outlineLevel="0" collapsed="false">
      <c r="A788" s="15" t="n">
        <v>1106</v>
      </c>
      <c r="B788" s="16" t="n">
        <v>7.79792628639518</v>
      </c>
      <c r="C788" s="15" t="n">
        <v>230</v>
      </c>
      <c r="D788" s="15" t="n">
        <v>675</v>
      </c>
      <c r="E788" s="15" t="n">
        <v>25</v>
      </c>
      <c r="F788" s="16" t="n">
        <v>0.653545382481754</v>
      </c>
      <c r="G788" s="17" t="s">
        <v>89</v>
      </c>
      <c r="H788" s="18" t="n">
        <v>0.3</v>
      </c>
      <c r="I788" s="18" t="n">
        <v>1</v>
      </c>
      <c r="J788" s="19" t="n">
        <v>0.852319163194552</v>
      </c>
      <c r="K788" s="19" t="n">
        <v>0.627215507752804</v>
      </c>
      <c r="L788" s="16" t="n">
        <v>12.4368840293384</v>
      </c>
      <c r="M788" s="19" t="n">
        <v>0.310639567128473</v>
      </c>
      <c r="N788" s="19" t="n">
        <v>0.624152017669267</v>
      </c>
      <c r="O788" s="19" t="n">
        <v>0.852319163194552</v>
      </c>
      <c r="P788" s="19" t="n">
        <v>1.10478256596469</v>
      </c>
      <c r="Q788" s="17" t="s">
        <v>31</v>
      </c>
      <c r="R788" s="5" t="str">
        <f aca="false">IF(OR(Q788="Steel plate",Q788="Concrete jacket"),"Steel plate or jacket",Q788)</f>
        <v>Polymer laminate</v>
      </c>
      <c r="S788" s="5" t="str">
        <f aca="false">IF(O788&lt;='Tree rules'!$C$4,IF(N788&lt;='Tree rules'!$C$5,IF(P788&lt;='Tree rules'!$C$6,"Monitor","Polymer laminate"),IF(P788&lt;='Tree rules'!$C$7,"Seal cracks","Polymer laminate")),IF(O788&lt;='Tree rules'!$C$8,IF(M788&lt;='Tree rules'!$C$9,"Steel plate or jacket","Polymer laminate"),IF(L788&lt;='Tree rules'!$C$10,"Steel plate or jacket","Polymer laminate")))</f>
        <v>Polymer laminate</v>
      </c>
      <c r="T788" s="5" t="str">
        <f aca="false">IF(S788=R788,"Yes","No")</f>
        <v>Yes</v>
      </c>
    </row>
    <row r="789" customFormat="false" ht="15" hidden="false" customHeight="false" outlineLevel="0" collapsed="false">
      <c r="A789" s="15" t="n">
        <v>1109</v>
      </c>
      <c r="B789" s="16" t="n">
        <v>4.25336254124756</v>
      </c>
      <c r="C789" s="15" t="n">
        <v>230</v>
      </c>
      <c r="D789" s="15" t="n">
        <v>375</v>
      </c>
      <c r="E789" s="15" t="n">
        <v>30</v>
      </c>
      <c r="F789" s="16" t="n">
        <v>0.797126720614828</v>
      </c>
      <c r="G789" s="17" t="s">
        <v>91</v>
      </c>
      <c r="H789" s="18" t="n">
        <v>0.2</v>
      </c>
      <c r="I789" s="18" t="n">
        <v>1.5</v>
      </c>
      <c r="J789" s="19" t="n">
        <v>0.938408096932591</v>
      </c>
      <c r="K789" s="19" t="n">
        <v>0.42689244388913</v>
      </c>
      <c r="L789" s="16" t="n">
        <v>12.9281536208133</v>
      </c>
      <c r="M789" s="19" t="n">
        <v>0.537547501051347</v>
      </c>
      <c r="N789" s="19" t="n">
        <v>1.35544184757118</v>
      </c>
      <c r="O789" s="19" t="n">
        <v>1.20731248246644</v>
      </c>
      <c r="P789" s="19" t="n">
        <v>0.693930247001908</v>
      </c>
      <c r="Q789" s="17" t="s">
        <v>31</v>
      </c>
      <c r="R789" s="5" t="str">
        <f aca="false">IF(OR(Q789="Steel plate",Q789="Concrete jacket"),"Steel plate or jacket",Q789)</f>
        <v>Polymer laminate</v>
      </c>
      <c r="S789" s="5" t="str">
        <f aca="false">IF(O789&lt;='Tree rules'!$C$4,IF(N789&lt;='Tree rules'!$C$5,IF(P789&lt;='Tree rules'!$C$6,"Monitor","Polymer laminate"),IF(P789&lt;='Tree rules'!$C$7,"Seal cracks","Polymer laminate")),IF(O789&lt;='Tree rules'!$C$8,IF(M789&lt;='Tree rules'!$C$9,"Steel plate or jacket","Polymer laminate"),IF(L789&lt;='Tree rules'!$C$10,"Steel plate or jacket","Polymer laminate")))</f>
        <v>Polymer laminate</v>
      </c>
      <c r="T789" s="5" t="str">
        <f aca="false">IF(S789=R789,"Yes","No")</f>
        <v>Yes</v>
      </c>
    </row>
    <row r="790" customFormat="false" ht="15" hidden="false" customHeight="false" outlineLevel="0" collapsed="false">
      <c r="A790" s="15" t="n">
        <v>1110</v>
      </c>
      <c r="B790" s="16" t="n">
        <v>4.68158402631433</v>
      </c>
      <c r="C790" s="15" t="n">
        <v>300</v>
      </c>
      <c r="D790" s="15" t="n">
        <v>375</v>
      </c>
      <c r="E790" s="15" t="n">
        <v>30</v>
      </c>
      <c r="F790" s="16" t="n">
        <v>0.640487798897002</v>
      </c>
      <c r="G790" s="17" t="s">
        <v>91</v>
      </c>
      <c r="H790" s="18" t="n">
        <v>0.2</v>
      </c>
      <c r="I790" s="18" t="n">
        <v>2</v>
      </c>
      <c r="J790" s="19" t="n">
        <v>0.861941561329845</v>
      </c>
      <c r="K790" s="19" t="n">
        <v>0.493879985926626</v>
      </c>
      <c r="L790" s="16" t="n">
        <v>14.3167707226738</v>
      </c>
      <c r="M790" s="19" t="n">
        <v>0.559631856638365</v>
      </c>
      <c r="N790" s="19" t="n">
        <v>2.24784820224066</v>
      </c>
      <c r="O790" s="19" t="n">
        <v>1.29818743648053</v>
      </c>
      <c r="P790" s="19" t="n">
        <v>0.649645188120026</v>
      </c>
      <c r="Q790" s="17" t="s">
        <v>31</v>
      </c>
      <c r="R790" s="5" t="str">
        <f aca="false">IF(OR(Q790="Steel plate",Q790="Concrete jacket"),"Steel plate or jacket",Q790)</f>
        <v>Polymer laminate</v>
      </c>
      <c r="S790" s="5" t="str">
        <f aca="false">IF(O790&lt;='Tree rules'!$C$4,IF(N790&lt;='Tree rules'!$C$5,IF(P790&lt;='Tree rules'!$C$6,"Monitor","Polymer laminate"),IF(P790&lt;='Tree rules'!$C$7,"Seal cracks","Polymer laminate")),IF(O790&lt;='Tree rules'!$C$8,IF(M790&lt;='Tree rules'!$C$9,"Steel plate or jacket","Polymer laminate"),IF(L790&lt;='Tree rules'!$C$10,"Steel plate or jacket","Polymer laminate")))</f>
        <v>Polymer laminate</v>
      </c>
      <c r="T790" s="5" t="str">
        <f aca="false">IF(S790=R790,"Yes","No")</f>
        <v>Yes</v>
      </c>
    </row>
    <row r="791" customFormat="false" ht="15" hidden="false" customHeight="false" outlineLevel="0" collapsed="false">
      <c r="A791" s="15" t="n">
        <v>1111</v>
      </c>
      <c r="B791" s="16" t="n">
        <v>4.27470571708779</v>
      </c>
      <c r="C791" s="15" t="n">
        <v>230</v>
      </c>
      <c r="D791" s="15" t="n">
        <v>400</v>
      </c>
      <c r="E791" s="15" t="n">
        <v>25</v>
      </c>
      <c r="F791" s="16" t="n">
        <v>0.776085141697083</v>
      </c>
      <c r="G791" s="17" t="s">
        <v>89</v>
      </c>
      <c r="H791" s="18" t="n">
        <v>0.3</v>
      </c>
      <c r="I791" s="18" t="n">
        <v>1</v>
      </c>
      <c r="J791" s="19" t="n">
        <v>0.930913571722353</v>
      </c>
      <c r="K791" s="19" t="n">
        <v>0.597457297013591</v>
      </c>
      <c r="L791" s="16" t="n">
        <v>12.1440503326358</v>
      </c>
      <c r="M791" s="19" t="n">
        <v>0.710654532367147</v>
      </c>
      <c r="N791" s="19" t="n">
        <v>0.843547496273686</v>
      </c>
      <c r="O791" s="19" t="n">
        <v>0.930913571722353</v>
      </c>
      <c r="P791" s="19" t="n">
        <v>0.52354250025996</v>
      </c>
      <c r="Q791" s="17" t="s">
        <v>29</v>
      </c>
      <c r="R791" s="5" t="str">
        <f aca="false">IF(OR(Q791="Steel plate",Q791="Concrete jacket"),"Steel plate or jacket",Q791)</f>
        <v>Monitor</v>
      </c>
      <c r="S791" s="5" t="str">
        <f aca="false">IF(O791&lt;='Tree rules'!$C$4,IF(N791&lt;='Tree rules'!$C$5,IF(P791&lt;='Tree rules'!$C$6,"Monitor","Polymer laminate"),IF(P791&lt;='Tree rules'!$C$7,"Seal cracks","Polymer laminate")),IF(O791&lt;='Tree rules'!$C$8,IF(M791&lt;='Tree rules'!$C$9,"Steel plate or jacket","Polymer laminate"),IF(L791&lt;='Tree rules'!$C$10,"Steel plate or jacket","Polymer laminate")))</f>
        <v>Monitor</v>
      </c>
      <c r="T791" s="5" t="str">
        <f aca="false">IF(S791=R791,"Yes","No")</f>
        <v>Yes</v>
      </c>
    </row>
    <row r="792" customFormat="false" ht="15" hidden="false" customHeight="false" outlineLevel="0" collapsed="false">
      <c r="A792" s="15" t="n">
        <v>1112</v>
      </c>
      <c r="B792" s="16" t="n">
        <v>6.32898418769828</v>
      </c>
      <c r="C792" s="15" t="n">
        <v>300</v>
      </c>
      <c r="D792" s="15" t="n">
        <v>575</v>
      </c>
      <c r="E792" s="15" t="n">
        <v>30</v>
      </c>
      <c r="F792" s="16" t="n">
        <v>0.506772349917446</v>
      </c>
      <c r="G792" s="17" t="s">
        <v>91</v>
      </c>
      <c r="H792" s="18" t="n">
        <v>0.2</v>
      </c>
      <c r="I792" s="18" t="n">
        <v>1</v>
      </c>
      <c r="J792" s="19" t="n">
        <v>0.977191769358807</v>
      </c>
      <c r="K792" s="19" t="n">
        <v>0.521847060073553</v>
      </c>
      <c r="L792" s="16" t="n">
        <v>11.9640532848739</v>
      </c>
      <c r="M792" s="19" t="n">
        <v>0.775648084902529</v>
      </c>
      <c r="N792" s="19" t="n">
        <v>0.959045518927185</v>
      </c>
      <c r="O792" s="19" t="n">
        <v>0.977191769358807</v>
      </c>
      <c r="P792" s="19" t="n">
        <v>0.354606754852188</v>
      </c>
      <c r="Q792" s="17" t="s">
        <v>29</v>
      </c>
      <c r="R792" s="5" t="str">
        <f aca="false">IF(OR(Q792="Steel plate",Q792="Concrete jacket"),"Steel plate or jacket",Q792)</f>
        <v>Monitor</v>
      </c>
      <c r="S792" s="5" t="str">
        <f aca="false">IF(O792&lt;='Tree rules'!$C$4,IF(N792&lt;='Tree rules'!$C$5,IF(P792&lt;='Tree rules'!$C$6,"Monitor","Polymer laminate"),IF(P792&lt;='Tree rules'!$C$7,"Seal cracks","Polymer laminate")),IF(O792&lt;='Tree rules'!$C$8,IF(M792&lt;='Tree rules'!$C$9,"Steel plate or jacket","Polymer laminate"),IF(L792&lt;='Tree rules'!$C$10,"Steel plate or jacket","Polymer laminate")))</f>
        <v>Monitor</v>
      </c>
      <c r="T792" s="5" t="str">
        <f aca="false">IF(S792=R792,"Yes","No")</f>
        <v>Yes</v>
      </c>
    </row>
    <row r="793" customFormat="false" ht="15" hidden="false" customHeight="false" outlineLevel="0" collapsed="false">
      <c r="A793" s="15" t="n">
        <v>1113</v>
      </c>
      <c r="B793" s="16" t="n">
        <v>5.24314424952937</v>
      </c>
      <c r="C793" s="15" t="n">
        <v>300</v>
      </c>
      <c r="D793" s="15" t="n">
        <v>475</v>
      </c>
      <c r="E793" s="15" t="n">
        <v>25</v>
      </c>
      <c r="F793" s="16" t="n">
        <v>0.781126378514945</v>
      </c>
      <c r="G793" s="17" t="s">
        <v>91</v>
      </c>
      <c r="H793" s="18" t="n">
        <v>0.2</v>
      </c>
      <c r="I793" s="18" t="n">
        <v>2</v>
      </c>
      <c r="J793" s="19" t="n">
        <v>0.882636997721213</v>
      </c>
      <c r="K793" s="19" t="n">
        <v>0.528171886397212</v>
      </c>
      <c r="L793" s="16" t="n">
        <v>12.2217814674344</v>
      </c>
      <c r="M793" s="19" t="n">
        <v>0.88595734757367</v>
      </c>
      <c r="N793" s="19" t="n">
        <v>1.24407076794524</v>
      </c>
      <c r="O793" s="19" t="n">
        <v>1.29908994735204</v>
      </c>
      <c r="P793" s="19" t="n">
        <v>0.51887802206694</v>
      </c>
      <c r="Q793" s="17" t="s">
        <v>31</v>
      </c>
      <c r="R793" s="5" t="str">
        <f aca="false">IF(OR(Q793="Steel plate",Q793="Concrete jacket"),"Steel plate or jacket",Q793)</f>
        <v>Polymer laminate</v>
      </c>
      <c r="S793" s="5" t="str">
        <f aca="false">IF(O793&lt;='Tree rules'!$C$4,IF(N793&lt;='Tree rules'!$C$5,IF(P793&lt;='Tree rules'!$C$6,"Monitor","Polymer laminate"),IF(P793&lt;='Tree rules'!$C$7,"Seal cracks","Polymer laminate")),IF(O793&lt;='Tree rules'!$C$8,IF(M793&lt;='Tree rules'!$C$9,"Steel plate or jacket","Polymer laminate"),IF(L793&lt;='Tree rules'!$C$10,"Steel plate or jacket","Polymer laminate")))</f>
        <v>Steel plate or jacket</v>
      </c>
      <c r="T793" s="5" t="str">
        <f aca="false">IF(S793=R793,"Yes","No")</f>
        <v>No</v>
      </c>
    </row>
    <row r="794" customFormat="false" ht="15" hidden="false" customHeight="false" outlineLevel="0" collapsed="false">
      <c r="A794" s="15" t="n">
        <v>1115</v>
      </c>
      <c r="B794" s="16" t="n">
        <v>7.62590977652159</v>
      </c>
      <c r="C794" s="15" t="n">
        <v>230</v>
      </c>
      <c r="D794" s="15" t="n">
        <v>675</v>
      </c>
      <c r="E794" s="15" t="n">
        <v>25</v>
      </c>
      <c r="F794" s="16" t="n">
        <v>0.653545382481754</v>
      </c>
      <c r="G794" s="17" t="s">
        <v>89</v>
      </c>
      <c r="H794" s="18" t="n">
        <v>0.3</v>
      </c>
      <c r="I794" s="18" t="n">
        <v>1.5</v>
      </c>
      <c r="J794" s="19" t="n">
        <v>0.854992805332309</v>
      </c>
      <c r="K794" s="19" t="n">
        <v>0.444961854576258</v>
      </c>
      <c r="L794" s="16" t="n">
        <v>12.1625355287426</v>
      </c>
      <c r="M794" s="19" t="n">
        <v>0.836937594663564</v>
      </c>
      <c r="N794" s="19" t="n">
        <v>0.718277043422673</v>
      </c>
      <c r="O794" s="19" t="n">
        <v>1.09226961584345</v>
      </c>
      <c r="P794" s="19" t="n">
        <v>0.431818582866946</v>
      </c>
      <c r="Q794" s="17" t="s">
        <v>31</v>
      </c>
      <c r="R794" s="5" t="str">
        <f aca="false">IF(OR(Q794="Steel plate",Q794="Concrete jacket"),"Steel plate or jacket",Q794)</f>
        <v>Polymer laminate</v>
      </c>
      <c r="S794" s="5" t="str">
        <f aca="false">IF(O794&lt;='Tree rules'!$C$4,IF(N794&lt;='Tree rules'!$C$5,IF(P794&lt;='Tree rules'!$C$6,"Monitor","Polymer laminate"),IF(P794&lt;='Tree rules'!$C$7,"Seal cracks","Polymer laminate")),IF(O794&lt;='Tree rules'!$C$8,IF(M794&lt;='Tree rules'!$C$9,"Steel plate or jacket","Polymer laminate"),IF(L794&lt;='Tree rules'!$C$10,"Steel plate or jacket","Polymer laminate")))</f>
        <v>Polymer laminate</v>
      </c>
      <c r="T794" s="5" t="str">
        <f aca="false">IF(S794=R794,"Yes","No")</f>
        <v>Yes</v>
      </c>
    </row>
    <row r="795" customFormat="false" ht="15" hidden="false" customHeight="false" outlineLevel="0" collapsed="false">
      <c r="A795" s="15" t="n">
        <v>1116</v>
      </c>
      <c r="B795" s="16" t="n">
        <v>3.72617466615819</v>
      </c>
      <c r="C795" s="15" t="n">
        <v>300</v>
      </c>
      <c r="D795" s="15" t="n">
        <v>325</v>
      </c>
      <c r="E795" s="15" t="n">
        <v>20</v>
      </c>
      <c r="F795" s="16" t="n">
        <v>0.72065207824282</v>
      </c>
      <c r="G795" s="17" t="s">
        <v>91</v>
      </c>
      <c r="H795" s="18" t="n">
        <v>0.2</v>
      </c>
      <c r="I795" s="18" t="n">
        <v>2</v>
      </c>
      <c r="J795" s="19" t="n">
        <v>0.86436859657408</v>
      </c>
      <c r="K795" s="19" t="n">
        <v>0.502770941978754</v>
      </c>
      <c r="L795" s="16" t="n">
        <v>13.3554647532552</v>
      </c>
      <c r="M795" s="19" t="n">
        <v>0.432390610203686</v>
      </c>
      <c r="N795" s="19" t="n">
        <v>1.66053051176313</v>
      </c>
      <c r="O795" s="19" t="n">
        <v>1.29415777963176</v>
      </c>
      <c r="P795" s="19" t="n">
        <v>0.937604949456223</v>
      </c>
      <c r="Q795" s="17" t="s">
        <v>31</v>
      </c>
      <c r="R795" s="5" t="str">
        <f aca="false">IF(OR(Q795="Steel plate",Q795="Concrete jacket"),"Steel plate or jacket",Q795)</f>
        <v>Polymer laminate</v>
      </c>
      <c r="S795" s="5" t="str">
        <f aca="false">IF(O795&lt;='Tree rules'!$C$4,IF(N795&lt;='Tree rules'!$C$5,IF(P795&lt;='Tree rules'!$C$6,"Monitor","Polymer laminate"),IF(P795&lt;='Tree rules'!$C$7,"Seal cracks","Polymer laminate")),IF(O795&lt;='Tree rules'!$C$8,IF(M795&lt;='Tree rules'!$C$9,"Steel plate or jacket","Polymer laminate"),IF(L795&lt;='Tree rules'!$C$10,"Steel plate or jacket","Polymer laminate")))</f>
        <v>Polymer laminate</v>
      </c>
      <c r="T795" s="5" t="str">
        <f aca="false">IF(S795=R795,"Yes","No")</f>
        <v>Yes</v>
      </c>
    </row>
    <row r="796" customFormat="false" ht="15" hidden="false" customHeight="false" outlineLevel="0" collapsed="false">
      <c r="A796" s="15" t="n">
        <v>1117</v>
      </c>
      <c r="B796" s="16" t="n">
        <v>4.86072263439894</v>
      </c>
      <c r="C796" s="15" t="n">
        <v>230</v>
      </c>
      <c r="D796" s="15" t="n">
        <v>400</v>
      </c>
      <c r="E796" s="15" t="n">
        <v>30</v>
      </c>
      <c r="F796" s="16" t="n">
        <v>0.773612658059818</v>
      </c>
      <c r="G796" s="17" t="s">
        <v>90</v>
      </c>
      <c r="H796" s="18" t="n">
        <v>0.1</v>
      </c>
      <c r="I796" s="18" t="n">
        <v>1.5</v>
      </c>
      <c r="J796" s="19" t="n">
        <v>0.895122355599884</v>
      </c>
      <c r="K796" s="19" t="n">
        <v>0.496752861720431</v>
      </c>
      <c r="L796" s="16" t="n">
        <v>14.3384148507344</v>
      </c>
      <c r="M796" s="19" t="n">
        <v>0.371769827455327</v>
      </c>
      <c r="N796" s="19" t="n">
        <v>3.28582411669406</v>
      </c>
      <c r="O796" s="19" t="n">
        <v>1.12035623753274</v>
      </c>
      <c r="P796" s="19" t="n">
        <v>0.955581345504389</v>
      </c>
      <c r="Q796" s="17" t="s">
        <v>31</v>
      </c>
      <c r="R796" s="5" t="str">
        <f aca="false">IF(OR(Q796="Steel plate",Q796="Concrete jacket"),"Steel plate or jacket",Q796)</f>
        <v>Polymer laminate</v>
      </c>
      <c r="S796" s="5" t="str">
        <f aca="false">IF(O796&lt;='Tree rules'!$C$4,IF(N796&lt;='Tree rules'!$C$5,IF(P796&lt;='Tree rules'!$C$6,"Monitor","Polymer laminate"),IF(P796&lt;='Tree rules'!$C$7,"Seal cracks","Polymer laminate")),IF(O796&lt;='Tree rules'!$C$8,IF(M796&lt;='Tree rules'!$C$9,"Steel plate or jacket","Polymer laminate"),IF(L796&lt;='Tree rules'!$C$10,"Steel plate or jacket","Polymer laminate")))</f>
        <v>Polymer laminate</v>
      </c>
      <c r="T796" s="5" t="str">
        <f aca="false">IF(S796=R796,"Yes","No")</f>
        <v>Yes</v>
      </c>
    </row>
    <row r="797" customFormat="false" ht="15" hidden="false" customHeight="false" outlineLevel="0" collapsed="false">
      <c r="A797" s="15" t="n">
        <v>1118</v>
      </c>
      <c r="B797" s="16" t="n">
        <v>6.1559879656138</v>
      </c>
      <c r="C797" s="15" t="n">
        <v>300</v>
      </c>
      <c r="D797" s="15" t="n">
        <v>575</v>
      </c>
      <c r="E797" s="15" t="n">
        <v>30</v>
      </c>
      <c r="F797" s="16" t="n">
        <v>0.596127638252333</v>
      </c>
      <c r="G797" s="17" t="s">
        <v>89</v>
      </c>
      <c r="H797" s="18" t="n">
        <v>0.3</v>
      </c>
      <c r="I797" s="18" t="n">
        <v>1</v>
      </c>
      <c r="J797" s="19" t="n">
        <v>0.85169015904754</v>
      </c>
      <c r="K797" s="19" t="n">
        <v>0.442027828585571</v>
      </c>
      <c r="L797" s="16" t="n">
        <v>11.6811915856049</v>
      </c>
      <c r="M797" s="19" t="n">
        <v>0.484750456604835</v>
      </c>
      <c r="N797" s="19" t="n">
        <v>0.709033537995955</v>
      </c>
      <c r="O797" s="19" t="n">
        <v>0.85169015904754</v>
      </c>
      <c r="P797" s="19" t="n">
        <v>0.497097228182142</v>
      </c>
      <c r="Q797" s="17" t="s">
        <v>29</v>
      </c>
      <c r="R797" s="5" t="str">
        <f aca="false">IF(OR(Q797="Steel plate",Q797="Concrete jacket"),"Steel plate or jacket",Q797)</f>
        <v>Monitor</v>
      </c>
      <c r="S797" s="5" t="str">
        <f aca="false">IF(O797&lt;='Tree rules'!$C$4,IF(N797&lt;='Tree rules'!$C$5,IF(P797&lt;='Tree rules'!$C$6,"Monitor","Polymer laminate"),IF(P797&lt;='Tree rules'!$C$7,"Seal cracks","Polymer laminate")),IF(O797&lt;='Tree rules'!$C$8,IF(M797&lt;='Tree rules'!$C$9,"Steel plate or jacket","Polymer laminate"),IF(L797&lt;='Tree rules'!$C$10,"Steel plate or jacket","Polymer laminate")))</f>
        <v>Monitor</v>
      </c>
      <c r="T797" s="5" t="str">
        <f aca="false">IF(S797=R797,"Yes","No")</f>
        <v>Yes</v>
      </c>
    </row>
    <row r="798" customFormat="false" ht="15" hidden="false" customHeight="false" outlineLevel="0" collapsed="false">
      <c r="A798" s="15" t="n">
        <v>1120</v>
      </c>
      <c r="B798" s="16" t="n">
        <v>3.49328227455949</v>
      </c>
      <c r="C798" s="15" t="n">
        <v>300</v>
      </c>
      <c r="D798" s="15" t="n">
        <v>350</v>
      </c>
      <c r="E798" s="15" t="n">
        <v>20</v>
      </c>
      <c r="F798" s="16" t="n">
        <v>0.661387927071535</v>
      </c>
      <c r="G798" s="17" t="s">
        <v>91</v>
      </c>
      <c r="H798" s="18" t="n">
        <v>0.2</v>
      </c>
      <c r="I798" s="18" t="n">
        <v>2</v>
      </c>
      <c r="J798" s="19" t="n">
        <v>0.973941678824721</v>
      </c>
      <c r="K798" s="19" t="n">
        <v>0.540834448416679</v>
      </c>
      <c r="L798" s="16" t="n">
        <v>11.4910601136825</v>
      </c>
      <c r="M798" s="19" t="n">
        <v>0.910968593149442</v>
      </c>
      <c r="N798" s="19" t="n">
        <v>1.68844513611779</v>
      </c>
      <c r="O798" s="19" t="n">
        <v>1.42114214699226</v>
      </c>
      <c r="P798" s="19" t="n">
        <v>0.439257277173954</v>
      </c>
      <c r="Q798" s="17" t="s">
        <v>31</v>
      </c>
      <c r="R798" s="5" t="str">
        <f aca="false">IF(OR(Q798="Steel plate",Q798="Concrete jacket"),"Steel plate or jacket",Q798)</f>
        <v>Polymer laminate</v>
      </c>
      <c r="S798" s="5" t="str">
        <f aca="false">IF(O798&lt;='Tree rules'!$C$4,IF(N798&lt;='Tree rules'!$C$5,IF(P798&lt;='Tree rules'!$C$6,"Monitor","Polymer laminate"),IF(P798&lt;='Tree rules'!$C$7,"Seal cracks","Polymer laminate")),IF(O798&lt;='Tree rules'!$C$8,IF(M798&lt;='Tree rules'!$C$9,"Steel plate or jacket","Polymer laminate"),IF(L798&lt;='Tree rules'!$C$10,"Steel plate or jacket","Polymer laminate")))</f>
        <v>Steel plate or jacket</v>
      </c>
      <c r="T798" s="5" t="str">
        <f aca="false">IF(S798=R798,"Yes","No")</f>
        <v>No</v>
      </c>
    </row>
    <row r="799" customFormat="false" ht="15" hidden="false" customHeight="false" outlineLevel="0" collapsed="false">
      <c r="A799" s="15" t="n">
        <v>1121</v>
      </c>
      <c r="B799" s="16" t="n">
        <v>7.05919798161089</v>
      </c>
      <c r="C799" s="15" t="n">
        <v>230</v>
      </c>
      <c r="D799" s="15" t="n">
        <v>550</v>
      </c>
      <c r="E799" s="15" t="n">
        <v>25</v>
      </c>
      <c r="F799" s="16" t="n">
        <v>0.544187190990784</v>
      </c>
      <c r="G799" s="17" t="s">
        <v>89</v>
      </c>
      <c r="H799" s="18" t="n">
        <v>0.3</v>
      </c>
      <c r="I799" s="18" t="n">
        <v>2</v>
      </c>
      <c r="J799" s="19" t="n">
        <v>0.931233085026917</v>
      </c>
      <c r="K799" s="19" t="n">
        <v>0.467429840648281</v>
      </c>
      <c r="L799" s="16" t="n">
        <v>14.0621473737269</v>
      </c>
      <c r="M799" s="19" t="n">
        <v>0.531894015576927</v>
      </c>
      <c r="N799" s="19" t="n">
        <v>1.37978269163823</v>
      </c>
      <c r="O799" s="19" t="n">
        <v>1.4271800375133</v>
      </c>
      <c r="P799" s="19" t="n">
        <v>0.756526610927016</v>
      </c>
      <c r="Q799" s="17" t="s">
        <v>31</v>
      </c>
      <c r="R799" s="5" t="str">
        <f aca="false">IF(OR(Q799="Steel plate",Q799="Concrete jacket"),"Steel plate or jacket",Q799)</f>
        <v>Polymer laminate</v>
      </c>
      <c r="S799" s="5" t="str">
        <f aca="false">IF(O799&lt;='Tree rules'!$C$4,IF(N799&lt;='Tree rules'!$C$5,IF(P799&lt;='Tree rules'!$C$6,"Monitor","Polymer laminate"),IF(P799&lt;='Tree rules'!$C$7,"Seal cracks","Polymer laminate")),IF(O799&lt;='Tree rules'!$C$8,IF(M799&lt;='Tree rules'!$C$9,"Steel plate or jacket","Polymer laminate"),IF(L799&lt;='Tree rules'!$C$10,"Steel plate or jacket","Polymer laminate")))</f>
        <v>Polymer laminate</v>
      </c>
      <c r="T799" s="5" t="str">
        <f aca="false">IF(S799=R799,"Yes","No")</f>
        <v>Yes</v>
      </c>
    </row>
    <row r="800" customFormat="false" ht="15" hidden="false" customHeight="false" outlineLevel="0" collapsed="false">
      <c r="A800" s="15" t="n">
        <v>1122</v>
      </c>
      <c r="B800" s="16" t="n">
        <v>3.09230462224467</v>
      </c>
      <c r="C800" s="15" t="n">
        <v>300</v>
      </c>
      <c r="D800" s="15" t="n">
        <v>300</v>
      </c>
      <c r="E800" s="15" t="n">
        <v>30</v>
      </c>
      <c r="F800" s="16" t="n">
        <v>0.841263304726974</v>
      </c>
      <c r="G800" s="17" t="s">
        <v>90</v>
      </c>
      <c r="H800" s="18" t="n">
        <v>0.1</v>
      </c>
      <c r="I800" s="18" t="n">
        <v>1.5</v>
      </c>
      <c r="J800" s="19" t="n">
        <v>0.933559614372488</v>
      </c>
      <c r="K800" s="19" t="n">
        <v>0.412013586851558</v>
      </c>
      <c r="L800" s="16" t="n">
        <v>12.9385130637852</v>
      </c>
      <c r="M800" s="19" t="n">
        <v>0.592974714437533</v>
      </c>
      <c r="N800" s="19" t="n">
        <v>3.86993665546666</v>
      </c>
      <c r="O800" s="19" t="n">
        <v>1.20801979893005</v>
      </c>
      <c r="P800" s="19" t="n">
        <v>0.504193455426009</v>
      </c>
      <c r="Q800" s="17" t="s">
        <v>31</v>
      </c>
      <c r="R800" s="5" t="str">
        <f aca="false">IF(OR(Q800="Steel plate",Q800="Concrete jacket"),"Steel plate or jacket",Q800)</f>
        <v>Polymer laminate</v>
      </c>
      <c r="S800" s="5" t="str">
        <f aca="false">IF(O800&lt;='Tree rules'!$C$4,IF(N800&lt;='Tree rules'!$C$5,IF(P800&lt;='Tree rules'!$C$6,"Monitor","Polymer laminate"),IF(P800&lt;='Tree rules'!$C$7,"Seal cracks","Polymer laminate")),IF(O800&lt;='Tree rules'!$C$8,IF(M800&lt;='Tree rules'!$C$9,"Steel plate or jacket","Polymer laminate"),IF(L800&lt;='Tree rules'!$C$10,"Steel plate or jacket","Polymer laminate")))</f>
        <v>Polymer laminate</v>
      </c>
      <c r="T800" s="5" t="str">
        <f aca="false">IF(S800=R800,"Yes","No")</f>
        <v>Yes</v>
      </c>
    </row>
    <row r="801" customFormat="false" ht="15" hidden="false" customHeight="false" outlineLevel="0" collapsed="false">
      <c r="A801" s="15" t="n">
        <v>1123</v>
      </c>
      <c r="B801" s="16" t="n">
        <v>4.12900055442515</v>
      </c>
      <c r="C801" s="15" t="n">
        <v>300</v>
      </c>
      <c r="D801" s="15" t="n">
        <v>350</v>
      </c>
      <c r="E801" s="15" t="n">
        <v>30</v>
      </c>
      <c r="F801" s="16" t="n">
        <v>0.61599855952741</v>
      </c>
      <c r="G801" s="17" t="s">
        <v>89</v>
      </c>
      <c r="H801" s="18" t="n">
        <v>0.3</v>
      </c>
      <c r="I801" s="18" t="n">
        <v>1</v>
      </c>
      <c r="J801" s="19" t="n">
        <v>0.982938267201807</v>
      </c>
      <c r="K801" s="19" t="n">
        <v>0.564868677684023</v>
      </c>
      <c r="L801" s="16" t="n">
        <v>13.4934658641345</v>
      </c>
      <c r="M801" s="19" t="n">
        <v>0.913039568124784</v>
      </c>
      <c r="N801" s="19" t="n">
        <v>0.61017086775885</v>
      </c>
      <c r="O801" s="19" t="n">
        <v>0.982938267201807</v>
      </c>
      <c r="P801" s="19" t="n">
        <v>0.362959752776533</v>
      </c>
      <c r="Q801" s="17" t="s">
        <v>29</v>
      </c>
      <c r="R801" s="5" t="str">
        <f aca="false">IF(OR(Q801="Steel plate",Q801="Concrete jacket"),"Steel plate or jacket",Q801)</f>
        <v>Monitor</v>
      </c>
      <c r="S801" s="5" t="str">
        <f aca="false">IF(O801&lt;='Tree rules'!$C$4,IF(N801&lt;='Tree rules'!$C$5,IF(P801&lt;='Tree rules'!$C$6,"Monitor","Polymer laminate"),IF(P801&lt;='Tree rules'!$C$7,"Seal cracks","Polymer laminate")),IF(O801&lt;='Tree rules'!$C$8,IF(M801&lt;='Tree rules'!$C$9,"Steel plate or jacket","Polymer laminate"),IF(L801&lt;='Tree rules'!$C$10,"Steel plate or jacket","Polymer laminate")))</f>
        <v>Monitor</v>
      </c>
      <c r="T801" s="5" t="str">
        <f aca="false">IF(S801=R801,"Yes","No")</f>
        <v>Yes</v>
      </c>
    </row>
    <row r="802" customFormat="false" ht="15" hidden="false" customHeight="false" outlineLevel="0" collapsed="false">
      <c r="A802" s="15" t="n">
        <v>1124</v>
      </c>
      <c r="B802" s="16" t="n">
        <v>3.30932139915113</v>
      </c>
      <c r="C802" s="15" t="n">
        <v>300</v>
      </c>
      <c r="D802" s="15" t="n">
        <v>300</v>
      </c>
      <c r="E802" s="15" t="n">
        <v>25</v>
      </c>
      <c r="F802" s="16" t="n">
        <v>0.589048622548086</v>
      </c>
      <c r="G802" s="17" t="s">
        <v>89</v>
      </c>
      <c r="H802" s="18" t="n">
        <v>0.3</v>
      </c>
      <c r="I802" s="18" t="n">
        <v>1</v>
      </c>
      <c r="J802" s="19" t="n">
        <v>0.932546053517182</v>
      </c>
      <c r="K802" s="19" t="n">
        <v>0.451130288118902</v>
      </c>
      <c r="L802" s="16" t="n">
        <v>12.9270367154341</v>
      </c>
      <c r="M802" s="19" t="n">
        <v>0.773034740767821</v>
      </c>
      <c r="N802" s="19" t="n">
        <v>0.63458344322614</v>
      </c>
      <c r="O802" s="19" t="n">
        <v>0.932546053517182</v>
      </c>
      <c r="P802" s="19" t="n">
        <v>0.333434317996806</v>
      </c>
      <c r="Q802" s="17" t="s">
        <v>29</v>
      </c>
      <c r="R802" s="5" t="str">
        <f aca="false">IF(OR(Q802="Steel plate",Q802="Concrete jacket"),"Steel plate or jacket",Q802)</f>
        <v>Monitor</v>
      </c>
      <c r="S802" s="5" t="str">
        <f aca="false">IF(O802&lt;='Tree rules'!$C$4,IF(N802&lt;='Tree rules'!$C$5,IF(P802&lt;='Tree rules'!$C$6,"Monitor","Polymer laminate"),IF(P802&lt;='Tree rules'!$C$7,"Seal cracks","Polymer laminate")),IF(O802&lt;='Tree rules'!$C$8,IF(M802&lt;='Tree rules'!$C$9,"Steel plate or jacket","Polymer laminate"),IF(L802&lt;='Tree rules'!$C$10,"Steel plate or jacket","Polymer laminate")))</f>
        <v>Monitor</v>
      </c>
      <c r="T802" s="5" t="str">
        <f aca="false">IF(S802=R802,"Yes","No")</f>
        <v>Yes</v>
      </c>
    </row>
    <row r="803" customFormat="false" ht="15" hidden="false" customHeight="false" outlineLevel="0" collapsed="false">
      <c r="A803" s="15" t="n">
        <v>1125</v>
      </c>
      <c r="B803" s="16" t="n">
        <v>3.44721128467069</v>
      </c>
      <c r="C803" s="15" t="n">
        <v>230</v>
      </c>
      <c r="D803" s="15" t="n">
        <v>300</v>
      </c>
      <c r="E803" s="15" t="n">
        <v>30</v>
      </c>
      <c r="F803" s="16" t="n">
        <v>0.688332522525665</v>
      </c>
      <c r="G803" s="17" t="s">
        <v>91</v>
      </c>
      <c r="H803" s="18" t="n">
        <v>0.2</v>
      </c>
      <c r="I803" s="18" t="n">
        <v>1</v>
      </c>
      <c r="J803" s="19" t="n">
        <v>0.864564085977067</v>
      </c>
      <c r="K803" s="19" t="n">
        <v>0.419028828022649</v>
      </c>
      <c r="L803" s="16" t="n">
        <v>13.5716979711444</v>
      </c>
      <c r="M803" s="19" t="n">
        <v>0.269325990557608</v>
      </c>
      <c r="N803" s="19" t="n">
        <v>1.29402001146084</v>
      </c>
      <c r="O803" s="19" t="n">
        <v>0.864564085977067</v>
      </c>
      <c r="P803" s="19" t="n">
        <v>0.874581039428553</v>
      </c>
      <c r="Q803" s="17" t="s">
        <v>30</v>
      </c>
      <c r="R803" s="5" t="str">
        <f aca="false">IF(OR(Q803="Steel plate",Q803="Concrete jacket"),"Steel plate or jacket",Q803)</f>
        <v>Seal cracks</v>
      </c>
      <c r="S803" s="5" t="str">
        <f aca="false">IF(O803&lt;='Tree rules'!$C$4,IF(N803&lt;='Tree rules'!$C$5,IF(P803&lt;='Tree rules'!$C$6,"Monitor","Polymer laminate"),IF(P803&lt;='Tree rules'!$C$7,"Seal cracks","Polymer laminate")),IF(O803&lt;='Tree rules'!$C$8,IF(M803&lt;='Tree rules'!$C$9,"Steel plate or jacket","Polymer laminate"),IF(L803&lt;='Tree rules'!$C$10,"Steel plate or jacket","Polymer laminate")))</f>
        <v>Seal cracks</v>
      </c>
      <c r="T803" s="5" t="str">
        <f aca="false">IF(S803=R803,"Yes","No")</f>
        <v>Yes</v>
      </c>
    </row>
    <row r="804" customFormat="false" ht="15" hidden="false" customHeight="false" outlineLevel="0" collapsed="false">
      <c r="A804" s="15" t="n">
        <v>1127</v>
      </c>
      <c r="B804" s="16" t="n">
        <v>4.34281072780702</v>
      </c>
      <c r="C804" s="15" t="n">
        <v>300</v>
      </c>
      <c r="D804" s="15" t="n">
        <v>425</v>
      </c>
      <c r="E804" s="15" t="n">
        <v>30</v>
      </c>
      <c r="F804" s="16" t="n">
        <v>0.578562182981546</v>
      </c>
      <c r="G804" s="17" t="s">
        <v>90</v>
      </c>
      <c r="H804" s="18" t="n">
        <v>0.1</v>
      </c>
      <c r="I804" s="18" t="n">
        <v>1</v>
      </c>
      <c r="J804" s="19" t="n">
        <v>0.979642246460332</v>
      </c>
      <c r="K804" s="19" t="n">
        <v>0.505738928466027</v>
      </c>
      <c r="L804" s="16" t="n">
        <v>11.996714717699</v>
      </c>
      <c r="M804" s="19" t="n">
        <v>0.452472175071741</v>
      </c>
      <c r="N804" s="19" t="n">
        <v>3.74794430427133</v>
      </c>
      <c r="O804" s="19" t="n">
        <v>0.979642246460332</v>
      </c>
      <c r="P804" s="19" t="n">
        <v>0.51538668424166</v>
      </c>
      <c r="Q804" s="17" t="s">
        <v>30</v>
      </c>
      <c r="R804" s="5" t="str">
        <f aca="false">IF(OR(Q804="Steel plate",Q804="Concrete jacket"),"Steel plate or jacket",Q804)</f>
        <v>Seal cracks</v>
      </c>
      <c r="S804" s="5" t="str">
        <f aca="false">IF(O804&lt;='Tree rules'!$C$4,IF(N804&lt;='Tree rules'!$C$5,IF(P804&lt;='Tree rules'!$C$6,"Monitor","Polymer laminate"),IF(P804&lt;='Tree rules'!$C$7,"Seal cracks","Polymer laminate")),IF(O804&lt;='Tree rules'!$C$8,IF(M804&lt;='Tree rules'!$C$9,"Steel plate or jacket","Polymer laminate"),IF(L804&lt;='Tree rules'!$C$10,"Steel plate or jacket","Polymer laminate")))</f>
        <v>Seal cracks</v>
      </c>
      <c r="T804" s="5" t="str">
        <f aca="false">IF(S804=R804,"Yes","No")</f>
        <v>Yes</v>
      </c>
    </row>
    <row r="805" customFormat="false" ht="15" hidden="false" customHeight="false" outlineLevel="0" collapsed="false">
      <c r="A805" s="15" t="n">
        <v>1128</v>
      </c>
      <c r="B805" s="16" t="n">
        <v>4.16206373973964</v>
      </c>
      <c r="C805" s="15" t="n">
        <v>300</v>
      </c>
      <c r="D805" s="15" t="n">
        <v>325</v>
      </c>
      <c r="E805" s="15" t="n">
        <v>30</v>
      </c>
      <c r="F805" s="16" t="n">
        <v>0.756099314943392</v>
      </c>
      <c r="G805" s="17" t="s">
        <v>89</v>
      </c>
      <c r="H805" s="18" t="n">
        <v>0.3</v>
      </c>
      <c r="I805" s="18" t="n">
        <v>1.5</v>
      </c>
      <c r="J805" s="19" t="n">
        <v>0.893499710098004</v>
      </c>
      <c r="K805" s="19" t="n">
        <v>0.416191643023722</v>
      </c>
      <c r="L805" s="16" t="n">
        <v>15.0255008654861</v>
      </c>
      <c r="M805" s="19" t="n">
        <v>0.823322727175209</v>
      </c>
      <c r="N805" s="19" t="n">
        <v>1.23855415542344</v>
      </c>
      <c r="O805" s="19" t="n">
        <v>1.15431600895355</v>
      </c>
      <c r="P805" s="19" t="n">
        <v>0.463675947168419</v>
      </c>
      <c r="Q805" s="17" t="s">
        <v>31</v>
      </c>
      <c r="R805" s="5" t="str">
        <f aca="false">IF(OR(Q805="Steel plate",Q805="Concrete jacket"),"Steel plate or jacket",Q805)</f>
        <v>Polymer laminate</v>
      </c>
      <c r="S805" s="5" t="str">
        <f aca="false">IF(O805&lt;='Tree rules'!$C$4,IF(N805&lt;='Tree rules'!$C$5,IF(P805&lt;='Tree rules'!$C$6,"Monitor","Polymer laminate"),IF(P805&lt;='Tree rules'!$C$7,"Seal cracks","Polymer laminate")),IF(O805&lt;='Tree rules'!$C$8,IF(M805&lt;='Tree rules'!$C$9,"Steel plate or jacket","Polymer laminate"),IF(L805&lt;='Tree rules'!$C$10,"Steel plate or jacket","Polymer laminate")))</f>
        <v>Polymer laminate</v>
      </c>
      <c r="T805" s="5" t="str">
        <f aca="false">IF(S805=R805,"Yes","No")</f>
        <v>Yes</v>
      </c>
    </row>
    <row r="806" customFormat="false" ht="15" hidden="false" customHeight="false" outlineLevel="0" collapsed="false">
      <c r="A806" s="15" t="n">
        <v>1129</v>
      </c>
      <c r="B806" s="16" t="n">
        <v>7.20317099220677</v>
      </c>
      <c r="C806" s="15" t="n">
        <v>300</v>
      </c>
      <c r="D806" s="15" t="n">
        <v>675</v>
      </c>
      <c r="E806" s="15" t="n">
        <v>30</v>
      </c>
      <c r="F806" s="16" t="n">
        <v>0.684442843919345</v>
      </c>
      <c r="G806" s="17" t="s">
        <v>90</v>
      </c>
      <c r="H806" s="18" t="n">
        <v>0.1</v>
      </c>
      <c r="I806" s="18" t="n">
        <v>1.5</v>
      </c>
      <c r="J806" s="19" t="n">
        <v>0.981526706987202</v>
      </c>
      <c r="K806" s="19" t="n">
        <v>0.557699383022487</v>
      </c>
      <c r="L806" s="16" t="n">
        <v>11.7698872421679</v>
      </c>
      <c r="M806" s="19" t="n">
        <v>0.534568843726038</v>
      </c>
      <c r="N806" s="19" t="n">
        <v>3.24982973098458</v>
      </c>
      <c r="O806" s="19" t="n">
        <v>1.19859164102738</v>
      </c>
      <c r="P806" s="19" t="n">
        <v>0.691641679265042</v>
      </c>
      <c r="Q806" s="17" t="s">
        <v>31</v>
      </c>
      <c r="R806" s="5" t="str">
        <f aca="false">IF(OR(Q806="Steel plate",Q806="Concrete jacket"),"Steel plate or jacket",Q806)</f>
        <v>Polymer laminate</v>
      </c>
      <c r="S806" s="5" t="str">
        <f aca="false">IF(O806&lt;='Tree rules'!$C$4,IF(N806&lt;='Tree rules'!$C$5,IF(P806&lt;='Tree rules'!$C$6,"Monitor","Polymer laminate"),IF(P806&lt;='Tree rules'!$C$7,"Seal cracks","Polymer laminate")),IF(O806&lt;='Tree rules'!$C$8,IF(M806&lt;='Tree rules'!$C$9,"Steel plate or jacket","Polymer laminate"),IF(L806&lt;='Tree rules'!$C$10,"Steel plate or jacket","Polymer laminate")))</f>
        <v>Polymer laminate</v>
      </c>
      <c r="T806" s="5" t="str">
        <f aca="false">IF(S806=R806,"Yes","No")</f>
        <v>Yes</v>
      </c>
    </row>
    <row r="807" customFormat="false" ht="15" hidden="false" customHeight="false" outlineLevel="0" collapsed="false">
      <c r="A807" s="15" t="n">
        <v>1130</v>
      </c>
      <c r="B807" s="16" t="n">
        <v>6.44753354761275</v>
      </c>
      <c r="C807" s="15" t="n">
        <v>300</v>
      </c>
      <c r="D807" s="15" t="n">
        <v>525</v>
      </c>
      <c r="E807" s="15" t="n">
        <v>30</v>
      </c>
      <c r="F807" s="16" t="n">
        <v>0.658614812073332</v>
      </c>
      <c r="G807" s="17" t="s">
        <v>91</v>
      </c>
      <c r="H807" s="18" t="n">
        <v>0.2</v>
      </c>
      <c r="I807" s="18" t="n">
        <v>1.5</v>
      </c>
      <c r="J807" s="19" t="n">
        <v>0.967142841902125</v>
      </c>
      <c r="K807" s="19" t="n">
        <v>0.463800098054104</v>
      </c>
      <c r="L807" s="16" t="n">
        <v>13.5168418188947</v>
      </c>
      <c r="M807" s="19" t="n">
        <v>0.621101298768733</v>
      </c>
      <c r="N807" s="19" t="n">
        <v>1.53089195879474</v>
      </c>
      <c r="O807" s="19" t="n">
        <v>1.22643379039992</v>
      </c>
      <c r="P807" s="19" t="n">
        <v>0.633790454783622</v>
      </c>
      <c r="Q807" s="17" t="s">
        <v>31</v>
      </c>
      <c r="R807" s="5" t="str">
        <f aca="false">IF(OR(Q807="Steel plate",Q807="Concrete jacket"),"Steel plate or jacket",Q807)</f>
        <v>Polymer laminate</v>
      </c>
      <c r="S807" s="5" t="str">
        <f aca="false">IF(O807&lt;='Tree rules'!$C$4,IF(N807&lt;='Tree rules'!$C$5,IF(P807&lt;='Tree rules'!$C$6,"Monitor","Polymer laminate"),IF(P807&lt;='Tree rules'!$C$7,"Seal cracks","Polymer laminate")),IF(O807&lt;='Tree rules'!$C$8,IF(M807&lt;='Tree rules'!$C$9,"Steel plate or jacket","Polymer laminate"),IF(L807&lt;='Tree rules'!$C$10,"Steel plate or jacket","Polymer laminate")))</f>
        <v>Polymer laminate</v>
      </c>
      <c r="T807" s="5" t="str">
        <f aca="false">IF(S807=R807,"Yes","No")</f>
        <v>Yes</v>
      </c>
    </row>
    <row r="808" customFormat="false" ht="15" hidden="false" customHeight="false" outlineLevel="0" collapsed="false">
      <c r="A808" s="15" t="n">
        <v>1132</v>
      </c>
      <c r="B808" s="16" t="n">
        <v>4.6357848776992</v>
      </c>
      <c r="C808" s="15" t="n">
        <v>230</v>
      </c>
      <c r="D808" s="15" t="n">
        <v>450</v>
      </c>
      <c r="E808" s="15" t="n">
        <v>20</v>
      </c>
      <c r="F808" s="16" t="n">
        <v>0.679557138998441</v>
      </c>
      <c r="G808" s="17" t="s">
        <v>91</v>
      </c>
      <c r="H808" s="18" t="n">
        <v>0.2</v>
      </c>
      <c r="I808" s="18" t="n">
        <v>2</v>
      </c>
      <c r="J808" s="19" t="n">
        <v>0.882122439066489</v>
      </c>
      <c r="K808" s="19" t="n">
        <v>0.620615455587612</v>
      </c>
      <c r="L808" s="16" t="n">
        <v>11.5318031783562</v>
      </c>
      <c r="M808" s="19" t="n">
        <v>0.881341676612533</v>
      </c>
      <c r="N808" s="19" t="n">
        <v>1.61396761129633</v>
      </c>
      <c r="O808" s="19" t="n">
        <v>1.21678605872767</v>
      </c>
      <c r="P808" s="19" t="n">
        <v>0.467641529458512</v>
      </c>
      <c r="Q808" s="17" t="s">
        <v>31</v>
      </c>
      <c r="R808" s="5" t="str">
        <f aca="false">IF(OR(Q808="Steel plate",Q808="Concrete jacket"),"Steel plate or jacket",Q808)</f>
        <v>Polymer laminate</v>
      </c>
      <c r="S808" s="5" t="str">
        <f aca="false">IF(O808&lt;='Tree rules'!$C$4,IF(N808&lt;='Tree rules'!$C$5,IF(P808&lt;='Tree rules'!$C$6,"Monitor","Polymer laminate"),IF(P808&lt;='Tree rules'!$C$7,"Seal cracks","Polymer laminate")),IF(O808&lt;='Tree rules'!$C$8,IF(M808&lt;='Tree rules'!$C$9,"Steel plate or jacket","Polymer laminate"),IF(L808&lt;='Tree rules'!$C$10,"Steel plate or jacket","Polymer laminate")))</f>
        <v>Polymer laminate</v>
      </c>
      <c r="T808" s="5" t="str">
        <f aca="false">IF(S808=R808,"Yes","No")</f>
        <v>Yes</v>
      </c>
    </row>
    <row r="809" customFormat="false" ht="15" hidden="false" customHeight="false" outlineLevel="0" collapsed="false">
      <c r="A809" s="15" t="n">
        <v>1135</v>
      </c>
      <c r="B809" s="16" t="n">
        <v>3.95745269239314</v>
      </c>
      <c r="C809" s="15" t="n">
        <v>230</v>
      </c>
      <c r="D809" s="15" t="n">
        <v>400</v>
      </c>
      <c r="E809" s="15" t="n">
        <v>20</v>
      </c>
      <c r="F809" s="16" t="n">
        <v>0.552502860426148</v>
      </c>
      <c r="G809" s="17" t="s">
        <v>89</v>
      </c>
      <c r="H809" s="18" t="n">
        <v>0.3</v>
      </c>
      <c r="I809" s="18" t="n">
        <v>1.5</v>
      </c>
      <c r="J809" s="19" t="n">
        <v>0.858127359271754</v>
      </c>
      <c r="K809" s="19" t="n">
        <v>0.605490003759634</v>
      </c>
      <c r="L809" s="16" t="n">
        <v>11.1164401471717</v>
      </c>
      <c r="M809" s="19" t="n">
        <v>0.354755495923414</v>
      </c>
      <c r="N809" s="19" t="n">
        <v>0.703661735289541</v>
      </c>
      <c r="O809" s="19" t="n">
        <v>1.02739726991178</v>
      </c>
      <c r="P809" s="19" t="n">
        <v>0.783097067698333</v>
      </c>
      <c r="Q809" s="17" t="s">
        <v>31</v>
      </c>
      <c r="R809" s="5" t="str">
        <f aca="false">IF(OR(Q809="Steel plate",Q809="Concrete jacket"),"Steel plate or jacket",Q809)</f>
        <v>Polymer laminate</v>
      </c>
      <c r="S809" s="5" t="str">
        <f aca="false">IF(O809&lt;='Tree rules'!$C$4,IF(N809&lt;='Tree rules'!$C$5,IF(P809&lt;='Tree rules'!$C$6,"Monitor","Polymer laminate"),IF(P809&lt;='Tree rules'!$C$7,"Seal cracks","Polymer laminate")),IF(O809&lt;='Tree rules'!$C$8,IF(M809&lt;='Tree rules'!$C$9,"Steel plate or jacket","Polymer laminate"),IF(L809&lt;='Tree rules'!$C$10,"Steel plate or jacket","Polymer laminate")))</f>
        <v>Polymer laminate</v>
      </c>
      <c r="T809" s="5" t="str">
        <f aca="false">IF(S809=R809,"Yes","No")</f>
        <v>Yes</v>
      </c>
    </row>
    <row r="810" customFormat="false" ht="15" hidden="false" customHeight="false" outlineLevel="0" collapsed="false">
      <c r="A810" s="15" t="n">
        <v>1136</v>
      </c>
      <c r="B810" s="16" t="n">
        <v>3.58478795857417</v>
      </c>
      <c r="C810" s="15" t="n">
        <v>230</v>
      </c>
      <c r="D810" s="15" t="n">
        <v>300</v>
      </c>
      <c r="E810" s="15" t="n">
        <v>25</v>
      </c>
      <c r="F810" s="16" t="n">
        <v>0.576243217710084</v>
      </c>
      <c r="G810" s="17" t="s">
        <v>91</v>
      </c>
      <c r="H810" s="18" t="n">
        <v>0.2</v>
      </c>
      <c r="I810" s="18" t="n">
        <v>1</v>
      </c>
      <c r="J810" s="19" t="n">
        <v>0.966663811589782</v>
      </c>
      <c r="K810" s="19" t="n">
        <v>0.416418655369061</v>
      </c>
      <c r="L810" s="16" t="n">
        <v>14.0030779631803</v>
      </c>
      <c r="M810" s="19" t="n">
        <v>0.40856689465194</v>
      </c>
      <c r="N810" s="19" t="n">
        <v>1.09886229397274</v>
      </c>
      <c r="O810" s="19" t="n">
        <v>0.966663811589782</v>
      </c>
      <c r="P810" s="19" t="n">
        <v>0.627414667153419</v>
      </c>
      <c r="Q810" s="17" t="s">
        <v>30</v>
      </c>
      <c r="R810" s="5" t="str">
        <f aca="false">IF(OR(Q810="Steel plate",Q810="Concrete jacket"),"Steel plate or jacket",Q810)</f>
        <v>Seal cracks</v>
      </c>
      <c r="S810" s="5" t="str">
        <f aca="false">IF(O810&lt;='Tree rules'!$C$4,IF(N810&lt;='Tree rules'!$C$5,IF(P810&lt;='Tree rules'!$C$6,"Monitor","Polymer laminate"),IF(P810&lt;='Tree rules'!$C$7,"Seal cracks","Polymer laminate")),IF(O810&lt;='Tree rules'!$C$8,IF(M810&lt;='Tree rules'!$C$9,"Steel plate or jacket","Polymer laminate"),IF(L810&lt;='Tree rules'!$C$10,"Steel plate or jacket","Polymer laminate")))</f>
        <v>Seal cracks</v>
      </c>
      <c r="T810" s="5" t="str">
        <f aca="false">IF(S810=R810,"Yes","No")</f>
        <v>Yes</v>
      </c>
    </row>
    <row r="811" customFormat="false" ht="15" hidden="false" customHeight="false" outlineLevel="0" collapsed="false">
      <c r="A811" s="15" t="n">
        <v>1137</v>
      </c>
      <c r="B811" s="16" t="n">
        <v>3.73203917770642</v>
      </c>
      <c r="C811" s="15" t="n">
        <v>300</v>
      </c>
      <c r="D811" s="15" t="n">
        <v>350</v>
      </c>
      <c r="E811" s="15" t="n">
        <v>20</v>
      </c>
      <c r="F811" s="16" t="n">
        <v>0.693508312050727</v>
      </c>
      <c r="G811" s="17" t="s">
        <v>91</v>
      </c>
      <c r="H811" s="18" t="n">
        <v>0.2</v>
      </c>
      <c r="I811" s="18" t="n">
        <v>1</v>
      </c>
      <c r="J811" s="19" t="n">
        <v>0.957228383980019</v>
      </c>
      <c r="K811" s="19" t="n">
        <v>0.566700172070793</v>
      </c>
      <c r="L811" s="16" t="n">
        <v>12.3577456215444</v>
      </c>
      <c r="M811" s="19" t="n">
        <v>0.927382686089346</v>
      </c>
      <c r="N811" s="19" t="n">
        <v>1.43115476354549</v>
      </c>
      <c r="O811" s="19" t="n">
        <v>0.957228383980019</v>
      </c>
      <c r="P811" s="19" t="n">
        <v>0.391771365023152</v>
      </c>
      <c r="Q811" s="17" t="s">
        <v>30</v>
      </c>
      <c r="R811" s="5" t="str">
        <f aca="false">IF(OR(Q811="Steel plate",Q811="Concrete jacket"),"Steel plate or jacket",Q811)</f>
        <v>Seal cracks</v>
      </c>
      <c r="S811" s="5" t="str">
        <f aca="false">IF(O811&lt;='Tree rules'!$C$4,IF(N811&lt;='Tree rules'!$C$5,IF(P811&lt;='Tree rules'!$C$6,"Monitor","Polymer laminate"),IF(P811&lt;='Tree rules'!$C$7,"Seal cracks","Polymer laminate")),IF(O811&lt;='Tree rules'!$C$8,IF(M811&lt;='Tree rules'!$C$9,"Steel plate or jacket","Polymer laminate"),IF(L811&lt;='Tree rules'!$C$10,"Steel plate or jacket","Polymer laminate")))</f>
        <v>Seal cracks</v>
      </c>
      <c r="T811" s="5" t="str">
        <f aca="false">IF(S811=R811,"Yes","No")</f>
        <v>Yes</v>
      </c>
    </row>
    <row r="812" customFormat="false" ht="15" hidden="false" customHeight="false" outlineLevel="0" collapsed="false">
      <c r="A812" s="15" t="n">
        <v>1138</v>
      </c>
      <c r="B812" s="16" t="n">
        <v>4.2116778104288</v>
      </c>
      <c r="C812" s="15" t="n">
        <v>300</v>
      </c>
      <c r="D812" s="15" t="n">
        <v>400</v>
      </c>
      <c r="E812" s="15" t="n">
        <v>25</v>
      </c>
      <c r="F812" s="16" t="n">
        <v>0.635378289490071</v>
      </c>
      <c r="G812" s="17" t="s">
        <v>89</v>
      </c>
      <c r="H812" s="18" t="n">
        <v>0.3</v>
      </c>
      <c r="I812" s="18" t="n">
        <v>1</v>
      </c>
      <c r="J812" s="19" t="n">
        <v>0.986573457691013</v>
      </c>
      <c r="K812" s="19" t="n">
        <v>0.520776276591443</v>
      </c>
      <c r="L812" s="16" t="n">
        <v>11.8305556472719</v>
      </c>
      <c r="M812" s="19" t="n">
        <v>0.721508102952977</v>
      </c>
      <c r="N812" s="19" t="n">
        <v>0.610587839537418</v>
      </c>
      <c r="O812" s="19" t="n">
        <v>0.986573457691013</v>
      </c>
      <c r="P812" s="19" t="n">
        <v>0.439162434096108</v>
      </c>
      <c r="Q812" s="17" t="s">
        <v>29</v>
      </c>
      <c r="R812" s="5" t="str">
        <f aca="false">IF(OR(Q812="Steel plate",Q812="Concrete jacket"),"Steel plate or jacket",Q812)</f>
        <v>Monitor</v>
      </c>
      <c r="S812" s="5" t="str">
        <f aca="false">IF(O812&lt;='Tree rules'!$C$4,IF(N812&lt;='Tree rules'!$C$5,IF(P812&lt;='Tree rules'!$C$6,"Monitor","Polymer laminate"),IF(P812&lt;='Tree rules'!$C$7,"Seal cracks","Polymer laminate")),IF(O812&lt;='Tree rules'!$C$8,IF(M812&lt;='Tree rules'!$C$9,"Steel plate or jacket","Polymer laminate"),IF(L812&lt;='Tree rules'!$C$10,"Steel plate or jacket","Polymer laminate")))</f>
        <v>Monitor</v>
      </c>
      <c r="T812" s="5" t="str">
        <f aca="false">IF(S812=R812,"Yes","No")</f>
        <v>Yes</v>
      </c>
    </row>
    <row r="813" customFormat="false" ht="15" hidden="false" customHeight="false" outlineLevel="0" collapsed="false">
      <c r="A813" s="15" t="n">
        <v>1139</v>
      </c>
      <c r="B813" s="16" t="n">
        <v>4.13417885594736</v>
      </c>
      <c r="C813" s="15" t="n">
        <v>300</v>
      </c>
      <c r="D813" s="15" t="n">
        <v>400</v>
      </c>
      <c r="E813" s="15" t="n">
        <v>30</v>
      </c>
      <c r="F813" s="16" t="n">
        <v>0.529481907908392</v>
      </c>
      <c r="G813" s="17" t="s">
        <v>89</v>
      </c>
      <c r="H813" s="18" t="n">
        <v>0.3</v>
      </c>
      <c r="I813" s="18" t="n">
        <v>2</v>
      </c>
      <c r="J813" s="19" t="n">
        <v>0.910520769691158</v>
      </c>
      <c r="K813" s="19" t="n">
        <v>0.486495000237885</v>
      </c>
      <c r="L813" s="16" t="n">
        <v>11.6128619549083</v>
      </c>
      <c r="M813" s="19" t="n">
        <v>0.42419210626898</v>
      </c>
      <c r="N813" s="19" t="n">
        <v>0.965225958585038</v>
      </c>
      <c r="O813" s="19" t="n">
        <v>1.37807773731482</v>
      </c>
      <c r="P813" s="19" t="n">
        <v>0.642803525369225</v>
      </c>
      <c r="Q813" s="17" t="s">
        <v>31</v>
      </c>
      <c r="R813" s="5" t="str">
        <f aca="false">IF(OR(Q813="Steel plate",Q813="Concrete jacket"),"Steel plate or jacket",Q813)</f>
        <v>Polymer laminate</v>
      </c>
      <c r="S813" s="5" t="str">
        <f aca="false">IF(O813&lt;='Tree rules'!$C$4,IF(N813&lt;='Tree rules'!$C$5,IF(P813&lt;='Tree rules'!$C$6,"Monitor","Polymer laminate"),IF(P813&lt;='Tree rules'!$C$7,"Seal cracks","Polymer laminate")),IF(O813&lt;='Tree rules'!$C$8,IF(M813&lt;='Tree rules'!$C$9,"Steel plate or jacket","Polymer laminate"),IF(L813&lt;='Tree rules'!$C$10,"Steel plate or jacket","Polymer laminate")))</f>
        <v>Steel plate or jacket</v>
      </c>
      <c r="T813" s="5" t="str">
        <f aca="false">IF(S813=R813,"Yes","No")</f>
        <v>No</v>
      </c>
    </row>
    <row r="814" customFormat="false" ht="15" hidden="false" customHeight="false" outlineLevel="0" collapsed="false">
      <c r="A814" s="15" t="n">
        <v>1140</v>
      </c>
      <c r="B814" s="16" t="n">
        <v>6.62416393633458</v>
      </c>
      <c r="C814" s="15" t="n">
        <v>300</v>
      </c>
      <c r="D814" s="15" t="n">
        <v>550</v>
      </c>
      <c r="E814" s="15" t="n">
        <v>30</v>
      </c>
      <c r="F814" s="16" t="n">
        <v>0.625815269639401</v>
      </c>
      <c r="G814" s="17" t="s">
        <v>89</v>
      </c>
      <c r="H814" s="18" t="n">
        <v>0.3</v>
      </c>
      <c r="I814" s="18" t="n">
        <v>1</v>
      </c>
      <c r="J814" s="19" t="n">
        <v>0.97341305254541</v>
      </c>
      <c r="K814" s="19" t="n">
        <v>0.43882375972362</v>
      </c>
      <c r="L814" s="16" t="n">
        <v>13.1955456899095</v>
      </c>
      <c r="M814" s="19" t="n">
        <v>0.344033040081095</v>
      </c>
      <c r="N814" s="19" t="n">
        <v>0.846352575075093</v>
      </c>
      <c r="O814" s="19" t="n">
        <v>0.97341305254541</v>
      </c>
      <c r="P814" s="19" t="n">
        <v>0.895436132683168</v>
      </c>
      <c r="Q814" s="17" t="s">
        <v>29</v>
      </c>
      <c r="R814" s="5" t="str">
        <f aca="false">IF(OR(Q814="Steel plate",Q814="Concrete jacket"),"Steel plate or jacket",Q814)</f>
        <v>Monitor</v>
      </c>
      <c r="S814" s="5" t="str">
        <f aca="false">IF(O814&lt;='Tree rules'!$C$4,IF(N814&lt;='Tree rules'!$C$5,IF(P814&lt;='Tree rules'!$C$6,"Monitor","Polymer laminate"),IF(P814&lt;='Tree rules'!$C$7,"Seal cracks","Polymer laminate")),IF(O814&lt;='Tree rules'!$C$8,IF(M814&lt;='Tree rules'!$C$9,"Steel plate or jacket","Polymer laminate"),IF(L814&lt;='Tree rules'!$C$10,"Steel plate or jacket","Polymer laminate")))</f>
        <v>Monitor</v>
      </c>
      <c r="T814" s="5" t="str">
        <f aca="false">IF(S814=R814,"Yes","No")</f>
        <v>Yes</v>
      </c>
    </row>
    <row r="815" customFormat="false" ht="15" hidden="false" customHeight="false" outlineLevel="0" collapsed="false">
      <c r="A815" s="15" t="n">
        <v>1141</v>
      </c>
      <c r="B815" s="16" t="n">
        <v>4.4150024706101</v>
      </c>
      <c r="C815" s="15" t="n">
        <v>300</v>
      </c>
      <c r="D815" s="15" t="n">
        <v>425</v>
      </c>
      <c r="E815" s="15" t="n">
        <v>25</v>
      </c>
      <c r="F815" s="16" t="n">
        <v>0.552367939092711</v>
      </c>
      <c r="G815" s="17" t="s">
        <v>90</v>
      </c>
      <c r="H815" s="18" t="n">
        <v>0.1</v>
      </c>
      <c r="I815" s="18" t="n">
        <v>2</v>
      </c>
      <c r="J815" s="19" t="n">
        <v>0.891286109095303</v>
      </c>
      <c r="K815" s="19" t="n">
        <v>0.624902913433475</v>
      </c>
      <c r="L815" s="16" t="n">
        <v>12.1291276665113</v>
      </c>
      <c r="M815" s="19" t="n">
        <v>0.564314638098401</v>
      </c>
      <c r="N815" s="19" t="n">
        <v>3.67793586977345</v>
      </c>
      <c r="O815" s="19" t="n">
        <v>1.22560493191417</v>
      </c>
      <c r="P815" s="19" t="n">
        <v>0.52055102736839</v>
      </c>
      <c r="Q815" s="17" t="s">
        <v>31</v>
      </c>
      <c r="R815" s="5" t="str">
        <f aca="false">IF(OR(Q815="Steel plate",Q815="Concrete jacket"),"Steel plate or jacket",Q815)</f>
        <v>Polymer laminate</v>
      </c>
      <c r="S815" s="5" t="str">
        <f aca="false">IF(O815&lt;='Tree rules'!$C$4,IF(N815&lt;='Tree rules'!$C$5,IF(P815&lt;='Tree rules'!$C$6,"Monitor","Polymer laminate"),IF(P815&lt;='Tree rules'!$C$7,"Seal cracks","Polymer laminate")),IF(O815&lt;='Tree rules'!$C$8,IF(M815&lt;='Tree rules'!$C$9,"Steel plate or jacket","Polymer laminate"),IF(L815&lt;='Tree rules'!$C$10,"Steel plate or jacket","Polymer laminate")))</f>
        <v>Polymer laminate</v>
      </c>
      <c r="T815" s="5" t="str">
        <f aca="false">IF(S815=R815,"Yes","No")</f>
        <v>Yes</v>
      </c>
    </row>
    <row r="816" customFormat="false" ht="15" hidden="false" customHeight="false" outlineLevel="0" collapsed="false">
      <c r="A816" s="15" t="n">
        <v>1142</v>
      </c>
      <c r="B816" s="16" t="n">
        <v>7.1791580910522</v>
      </c>
      <c r="C816" s="15" t="n">
        <v>230</v>
      </c>
      <c r="D816" s="15" t="n">
        <v>700</v>
      </c>
      <c r="E816" s="15" t="n">
        <v>25</v>
      </c>
      <c r="F816" s="16" t="n">
        <v>0.628486127018497</v>
      </c>
      <c r="G816" s="17" t="s">
        <v>89</v>
      </c>
      <c r="H816" s="18" t="n">
        <v>0.3</v>
      </c>
      <c r="I816" s="18" t="n">
        <v>1</v>
      </c>
      <c r="J816" s="19" t="n">
        <v>0.964308888525669</v>
      </c>
      <c r="K816" s="19" t="n">
        <v>0.61316859748429</v>
      </c>
      <c r="L816" s="16" t="n">
        <v>11.010978667258</v>
      </c>
      <c r="M816" s="19" t="n">
        <v>0.806293207215287</v>
      </c>
      <c r="N816" s="19" t="n">
        <v>0.625653512489554</v>
      </c>
      <c r="O816" s="19" t="n">
        <v>0.964308888525669</v>
      </c>
      <c r="P816" s="19" t="n">
        <v>0.437640730228213</v>
      </c>
      <c r="Q816" s="17" t="s">
        <v>29</v>
      </c>
      <c r="R816" s="5" t="str">
        <f aca="false">IF(OR(Q816="Steel plate",Q816="Concrete jacket"),"Steel plate or jacket",Q816)</f>
        <v>Monitor</v>
      </c>
      <c r="S816" s="5" t="str">
        <f aca="false">IF(O816&lt;='Tree rules'!$C$4,IF(N816&lt;='Tree rules'!$C$5,IF(P816&lt;='Tree rules'!$C$6,"Monitor","Polymer laminate"),IF(P816&lt;='Tree rules'!$C$7,"Seal cracks","Polymer laminate")),IF(O816&lt;='Tree rules'!$C$8,IF(M816&lt;='Tree rules'!$C$9,"Steel plate or jacket","Polymer laminate"),IF(L816&lt;='Tree rules'!$C$10,"Steel plate or jacket","Polymer laminate")))</f>
        <v>Monitor</v>
      </c>
      <c r="T816" s="5" t="str">
        <f aca="false">IF(S816=R816,"Yes","No")</f>
        <v>Yes</v>
      </c>
    </row>
    <row r="817" customFormat="false" ht="15" hidden="false" customHeight="false" outlineLevel="0" collapsed="false">
      <c r="A817" s="15" t="n">
        <v>1143</v>
      </c>
      <c r="B817" s="16" t="n">
        <v>3.4425052562346</v>
      </c>
      <c r="C817" s="15" t="n">
        <v>300</v>
      </c>
      <c r="D817" s="15" t="n">
        <v>300</v>
      </c>
      <c r="E817" s="15" t="n">
        <v>25</v>
      </c>
      <c r="F817" s="16" t="n">
        <v>0.736310778185108</v>
      </c>
      <c r="G817" s="17" t="s">
        <v>89</v>
      </c>
      <c r="H817" s="18" t="n">
        <v>0.3</v>
      </c>
      <c r="I817" s="18" t="n">
        <v>1</v>
      </c>
      <c r="J817" s="19" t="n">
        <v>0.926607063063142</v>
      </c>
      <c r="K817" s="19" t="n">
        <v>0.588275858725462</v>
      </c>
      <c r="L817" s="16" t="n">
        <v>13.4472861571664</v>
      </c>
      <c r="M817" s="19" t="n">
        <v>0.440400281992744</v>
      </c>
      <c r="N817" s="19" t="n">
        <v>0.657507865297265</v>
      </c>
      <c r="O817" s="19" t="n">
        <v>0.926607063063142</v>
      </c>
      <c r="P817" s="19" t="n">
        <v>0.780547218003875</v>
      </c>
      <c r="Q817" s="17" t="s">
        <v>29</v>
      </c>
      <c r="R817" s="5" t="str">
        <f aca="false">IF(OR(Q817="Steel plate",Q817="Concrete jacket"),"Steel plate or jacket",Q817)</f>
        <v>Monitor</v>
      </c>
      <c r="S817" s="5" t="str">
        <f aca="false">IF(O817&lt;='Tree rules'!$C$4,IF(N817&lt;='Tree rules'!$C$5,IF(P817&lt;='Tree rules'!$C$6,"Monitor","Polymer laminate"),IF(P817&lt;='Tree rules'!$C$7,"Seal cracks","Polymer laminate")),IF(O817&lt;='Tree rules'!$C$8,IF(M817&lt;='Tree rules'!$C$9,"Steel plate or jacket","Polymer laminate"),IF(L817&lt;='Tree rules'!$C$10,"Steel plate or jacket","Polymer laminate")))</f>
        <v>Monitor</v>
      </c>
      <c r="T817" s="5" t="str">
        <f aca="false">IF(S817=R817,"Yes","No")</f>
        <v>Yes</v>
      </c>
    </row>
    <row r="818" customFormat="false" ht="15" hidden="false" customHeight="false" outlineLevel="0" collapsed="false">
      <c r="A818" s="15" t="n">
        <v>1145</v>
      </c>
      <c r="B818" s="16" t="n">
        <v>4.15095979479366</v>
      </c>
      <c r="C818" s="15" t="n">
        <v>300</v>
      </c>
      <c r="D818" s="15" t="n">
        <v>350</v>
      </c>
      <c r="E818" s="15" t="n">
        <v>20</v>
      </c>
      <c r="F818" s="16" t="n">
        <v>0.729754391077768</v>
      </c>
      <c r="G818" s="17" t="s">
        <v>90</v>
      </c>
      <c r="H818" s="18" t="n">
        <v>0.1</v>
      </c>
      <c r="I818" s="18" t="n">
        <v>1</v>
      </c>
      <c r="J818" s="19" t="n">
        <v>0.897501330893624</v>
      </c>
      <c r="K818" s="19" t="n">
        <v>0.637163494327657</v>
      </c>
      <c r="L818" s="16" t="n">
        <v>14.4632745463194</v>
      </c>
      <c r="M818" s="19" t="n">
        <v>0.292570708950301</v>
      </c>
      <c r="N818" s="19" t="n">
        <v>3.45995082343369</v>
      </c>
      <c r="O818" s="19" t="n">
        <v>0.897501330893624</v>
      </c>
      <c r="P818" s="19" t="n">
        <v>1.19578369679997</v>
      </c>
      <c r="Q818" s="17" t="s">
        <v>31</v>
      </c>
      <c r="R818" s="5" t="str">
        <f aca="false">IF(OR(Q818="Steel plate",Q818="Concrete jacket"),"Steel plate or jacket",Q818)</f>
        <v>Polymer laminate</v>
      </c>
      <c r="S818" s="5" t="str">
        <f aca="false">IF(O818&lt;='Tree rules'!$C$4,IF(N818&lt;='Tree rules'!$C$5,IF(P818&lt;='Tree rules'!$C$6,"Monitor","Polymer laminate"),IF(P818&lt;='Tree rules'!$C$7,"Seal cracks","Polymer laminate")),IF(O818&lt;='Tree rules'!$C$8,IF(M818&lt;='Tree rules'!$C$9,"Steel plate or jacket","Polymer laminate"),IF(L818&lt;='Tree rules'!$C$10,"Steel plate or jacket","Polymer laminate")))</f>
        <v>Polymer laminate</v>
      </c>
      <c r="T818" s="5" t="str">
        <f aca="false">IF(S818=R818,"Yes","No")</f>
        <v>Yes</v>
      </c>
    </row>
    <row r="819" customFormat="false" ht="15" hidden="false" customHeight="false" outlineLevel="0" collapsed="false">
      <c r="A819" s="15" t="n">
        <v>1146</v>
      </c>
      <c r="B819" s="16" t="n">
        <v>6.09783952845296</v>
      </c>
      <c r="C819" s="15" t="n">
        <v>300</v>
      </c>
      <c r="D819" s="15" t="n">
        <v>475</v>
      </c>
      <c r="E819" s="15" t="n">
        <v>30</v>
      </c>
      <c r="F819" s="16" t="n">
        <v>0.735735984447258</v>
      </c>
      <c r="G819" s="17" t="s">
        <v>89</v>
      </c>
      <c r="H819" s="18" t="n">
        <v>0.3</v>
      </c>
      <c r="I819" s="18" t="n">
        <v>1.5</v>
      </c>
      <c r="J819" s="19" t="n">
        <v>0.856896561079205</v>
      </c>
      <c r="K819" s="19" t="n">
        <v>0.623040257570088</v>
      </c>
      <c r="L819" s="16" t="n">
        <v>14.2806546333793</v>
      </c>
      <c r="M819" s="19" t="n">
        <v>0.687491695020882</v>
      </c>
      <c r="N819" s="19" t="n">
        <v>0.8305674015018</v>
      </c>
      <c r="O819" s="19" t="n">
        <v>1.01840431455595</v>
      </c>
      <c r="P819" s="19" t="n">
        <v>0.627423867051428</v>
      </c>
      <c r="Q819" s="17" t="s">
        <v>31</v>
      </c>
      <c r="R819" s="5" t="str">
        <f aca="false">IF(OR(Q819="Steel plate",Q819="Concrete jacket"),"Steel plate or jacket",Q819)</f>
        <v>Polymer laminate</v>
      </c>
      <c r="S819" s="5" t="str">
        <f aca="false">IF(O819&lt;='Tree rules'!$C$4,IF(N819&lt;='Tree rules'!$C$5,IF(P819&lt;='Tree rules'!$C$6,"Monitor","Polymer laminate"),IF(P819&lt;='Tree rules'!$C$7,"Seal cracks","Polymer laminate")),IF(O819&lt;='Tree rules'!$C$8,IF(M819&lt;='Tree rules'!$C$9,"Steel plate or jacket","Polymer laminate"),IF(L819&lt;='Tree rules'!$C$10,"Steel plate or jacket","Polymer laminate")))</f>
        <v>Polymer laminate</v>
      </c>
      <c r="T819" s="5" t="str">
        <f aca="false">IF(S819=R819,"Yes","No")</f>
        <v>Yes</v>
      </c>
    </row>
    <row r="820" customFormat="false" ht="15" hidden="false" customHeight="false" outlineLevel="0" collapsed="false">
      <c r="A820" s="15" t="n">
        <v>1147</v>
      </c>
      <c r="B820" s="16" t="n">
        <v>7.80240513573867</v>
      </c>
      <c r="C820" s="15" t="n">
        <v>300</v>
      </c>
      <c r="D820" s="15" t="n">
        <v>625</v>
      </c>
      <c r="E820" s="15" t="n">
        <v>30</v>
      </c>
      <c r="F820" s="16" t="n">
        <v>0.594154638976793</v>
      </c>
      <c r="G820" s="17" t="s">
        <v>90</v>
      </c>
      <c r="H820" s="18" t="n">
        <v>0.1</v>
      </c>
      <c r="I820" s="18" t="n">
        <v>2</v>
      </c>
      <c r="J820" s="19" t="n">
        <v>0.896955396180561</v>
      </c>
      <c r="K820" s="19" t="n">
        <v>0.517537782822962</v>
      </c>
      <c r="L820" s="16" t="n">
        <v>13.8340516591111</v>
      </c>
      <c r="M820" s="19" t="n">
        <v>0.568626832230019</v>
      </c>
      <c r="N820" s="19" t="n">
        <v>3.48069111400961</v>
      </c>
      <c r="O820" s="19" t="n">
        <v>1.32970248533074</v>
      </c>
      <c r="P820" s="19" t="n">
        <v>0.672555238234301</v>
      </c>
      <c r="Q820" s="17" t="s">
        <v>31</v>
      </c>
      <c r="R820" s="5" t="str">
        <f aca="false">IF(OR(Q820="Steel plate",Q820="Concrete jacket"),"Steel plate or jacket",Q820)</f>
        <v>Polymer laminate</v>
      </c>
      <c r="S820" s="5" t="str">
        <f aca="false">IF(O820&lt;='Tree rules'!$C$4,IF(N820&lt;='Tree rules'!$C$5,IF(P820&lt;='Tree rules'!$C$6,"Monitor","Polymer laminate"),IF(P820&lt;='Tree rules'!$C$7,"Seal cracks","Polymer laminate")),IF(O820&lt;='Tree rules'!$C$8,IF(M820&lt;='Tree rules'!$C$9,"Steel plate or jacket","Polymer laminate"),IF(L820&lt;='Tree rules'!$C$10,"Steel plate or jacket","Polymer laminate")))</f>
        <v>Polymer laminate</v>
      </c>
      <c r="T820" s="5" t="str">
        <f aca="false">IF(S820=R820,"Yes","No")</f>
        <v>Yes</v>
      </c>
    </row>
    <row r="821" customFormat="false" ht="15" hidden="false" customHeight="false" outlineLevel="0" collapsed="false">
      <c r="A821" s="15" t="n">
        <v>1148</v>
      </c>
      <c r="B821" s="16" t="n">
        <v>4.2017819136196</v>
      </c>
      <c r="C821" s="15" t="n">
        <v>300</v>
      </c>
      <c r="D821" s="15" t="n">
        <v>375</v>
      </c>
      <c r="E821" s="15" t="n">
        <v>30</v>
      </c>
      <c r="F821" s="16" t="n">
        <v>0.814840647739602</v>
      </c>
      <c r="G821" s="17" t="s">
        <v>89</v>
      </c>
      <c r="H821" s="18" t="n">
        <v>0.3</v>
      </c>
      <c r="I821" s="18" t="n">
        <v>1</v>
      </c>
      <c r="J821" s="19" t="n">
        <v>0.921407704663376</v>
      </c>
      <c r="K821" s="19" t="n">
        <v>0.432216644071949</v>
      </c>
      <c r="L821" s="16" t="n">
        <v>12.771373597628</v>
      </c>
      <c r="M821" s="19" t="n">
        <v>0.939764034431199</v>
      </c>
      <c r="N821" s="19" t="n">
        <v>0.624056790192721</v>
      </c>
      <c r="O821" s="19" t="n">
        <v>0.921407704663376</v>
      </c>
      <c r="P821" s="19" t="n">
        <v>0.367377629576288</v>
      </c>
      <c r="Q821" s="17" t="s">
        <v>29</v>
      </c>
      <c r="R821" s="5" t="str">
        <f aca="false">IF(OR(Q821="Steel plate",Q821="Concrete jacket"),"Steel plate or jacket",Q821)</f>
        <v>Monitor</v>
      </c>
      <c r="S821" s="5" t="str">
        <f aca="false">IF(O821&lt;='Tree rules'!$C$4,IF(N821&lt;='Tree rules'!$C$5,IF(P821&lt;='Tree rules'!$C$6,"Monitor","Polymer laminate"),IF(P821&lt;='Tree rules'!$C$7,"Seal cracks","Polymer laminate")),IF(O821&lt;='Tree rules'!$C$8,IF(M821&lt;='Tree rules'!$C$9,"Steel plate or jacket","Polymer laminate"),IF(L821&lt;='Tree rules'!$C$10,"Steel plate or jacket","Polymer laminate")))</f>
        <v>Monitor</v>
      </c>
      <c r="T821" s="5" t="str">
        <f aca="false">IF(S821=R821,"Yes","No")</f>
        <v>Yes</v>
      </c>
    </row>
    <row r="822" customFormat="false" ht="15" hidden="false" customHeight="false" outlineLevel="0" collapsed="false">
      <c r="A822" s="15" t="n">
        <v>1149</v>
      </c>
      <c r="B822" s="16" t="n">
        <v>6.2052524341825</v>
      </c>
      <c r="C822" s="15" t="n">
        <v>230</v>
      </c>
      <c r="D822" s="15" t="n">
        <v>500</v>
      </c>
      <c r="E822" s="15" t="n">
        <v>30</v>
      </c>
      <c r="F822" s="16" t="n">
        <v>0.577653504586516</v>
      </c>
      <c r="G822" s="17" t="s">
        <v>89</v>
      </c>
      <c r="H822" s="18" t="n">
        <v>0.3</v>
      </c>
      <c r="I822" s="18" t="n">
        <v>2</v>
      </c>
      <c r="J822" s="19" t="n">
        <v>0.945662307685592</v>
      </c>
      <c r="K822" s="19" t="n">
        <v>0.404024394296071</v>
      </c>
      <c r="L822" s="16" t="n">
        <v>13.6679569034857</v>
      </c>
      <c r="M822" s="19" t="n">
        <v>0.949164492814858</v>
      </c>
      <c r="N822" s="19" t="n">
        <v>1.03551764479923</v>
      </c>
      <c r="O822" s="19" t="n">
        <v>1.50925397429989</v>
      </c>
      <c r="P822" s="19" t="n">
        <v>0.418242323527559</v>
      </c>
      <c r="Q822" s="17" t="s">
        <v>31</v>
      </c>
      <c r="R822" s="5" t="str">
        <f aca="false">IF(OR(Q822="Steel plate",Q822="Concrete jacket"),"Steel plate or jacket",Q822)</f>
        <v>Polymer laminate</v>
      </c>
      <c r="S822" s="5" t="str">
        <f aca="false">IF(O822&lt;='Tree rules'!$C$4,IF(N822&lt;='Tree rules'!$C$5,IF(P822&lt;='Tree rules'!$C$6,"Monitor","Polymer laminate"),IF(P822&lt;='Tree rules'!$C$7,"Seal cracks","Polymer laminate")),IF(O822&lt;='Tree rules'!$C$8,IF(M822&lt;='Tree rules'!$C$9,"Steel plate or jacket","Polymer laminate"),IF(L822&lt;='Tree rules'!$C$10,"Steel plate or jacket","Polymer laminate")))</f>
        <v>Polymer laminate</v>
      </c>
      <c r="T822" s="5" t="str">
        <f aca="false">IF(S822=R822,"Yes","No")</f>
        <v>Yes</v>
      </c>
    </row>
    <row r="823" customFormat="false" ht="15" hidden="false" customHeight="false" outlineLevel="0" collapsed="false">
      <c r="A823" s="15" t="n">
        <v>1150</v>
      </c>
      <c r="B823" s="16" t="n">
        <v>7.02726370041458</v>
      </c>
      <c r="C823" s="15" t="n">
        <v>230</v>
      </c>
      <c r="D823" s="15" t="n">
        <v>650</v>
      </c>
      <c r="E823" s="15" t="n">
        <v>20</v>
      </c>
      <c r="F823" s="16" t="n">
        <v>0.578928677885824</v>
      </c>
      <c r="G823" s="17" t="s">
        <v>89</v>
      </c>
      <c r="H823" s="18" t="n">
        <v>0.3</v>
      </c>
      <c r="I823" s="18" t="n">
        <v>1</v>
      </c>
      <c r="J823" s="19" t="n">
        <v>0.938297335469496</v>
      </c>
      <c r="K823" s="19" t="n">
        <v>0.439724641260732</v>
      </c>
      <c r="L823" s="16" t="n">
        <v>11.6345425503553</v>
      </c>
      <c r="M823" s="19" t="n">
        <v>0.511929570241532</v>
      </c>
      <c r="N823" s="19" t="n">
        <v>0.58901606327523</v>
      </c>
      <c r="O823" s="19" t="n">
        <v>0.938297335469496</v>
      </c>
      <c r="P823" s="19" t="n">
        <v>0.59393842985733</v>
      </c>
      <c r="Q823" s="17" t="s">
        <v>29</v>
      </c>
      <c r="R823" s="5" t="str">
        <f aca="false">IF(OR(Q823="Steel plate",Q823="Concrete jacket"),"Steel plate or jacket",Q823)</f>
        <v>Monitor</v>
      </c>
      <c r="S823" s="5" t="str">
        <f aca="false">IF(O823&lt;='Tree rules'!$C$4,IF(N823&lt;='Tree rules'!$C$5,IF(P823&lt;='Tree rules'!$C$6,"Monitor","Polymer laminate"),IF(P823&lt;='Tree rules'!$C$7,"Seal cracks","Polymer laminate")),IF(O823&lt;='Tree rules'!$C$8,IF(M823&lt;='Tree rules'!$C$9,"Steel plate or jacket","Polymer laminate"),IF(L823&lt;='Tree rules'!$C$10,"Steel plate or jacket","Polymer laminate")))</f>
        <v>Monitor</v>
      </c>
      <c r="T823" s="5" t="str">
        <f aca="false">IF(S823=R823,"Yes","No")</f>
        <v>Yes</v>
      </c>
    </row>
    <row r="824" customFormat="false" ht="15" hidden="false" customHeight="false" outlineLevel="0" collapsed="false">
      <c r="A824" s="15" t="n">
        <v>1152</v>
      </c>
      <c r="B824" s="16" t="n">
        <v>3.06393664438867</v>
      </c>
      <c r="C824" s="15" t="n">
        <v>300</v>
      </c>
      <c r="D824" s="15" t="n">
        <v>300</v>
      </c>
      <c r="E824" s="15" t="n">
        <v>20</v>
      </c>
      <c r="F824" s="16" t="n">
        <v>0.560842203151316</v>
      </c>
      <c r="G824" s="17" t="s">
        <v>90</v>
      </c>
      <c r="H824" s="18" t="n">
        <v>0.1</v>
      </c>
      <c r="I824" s="18" t="n">
        <v>2</v>
      </c>
      <c r="J824" s="19" t="n">
        <v>0.89400306203175</v>
      </c>
      <c r="K824" s="19" t="n">
        <v>0.513438079891371</v>
      </c>
      <c r="L824" s="16" t="n">
        <v>12.8198185957685</v>
      </c>
      <c r="M824" s="19" t="n">
        <v>0.742915828630181</v>
      </c>
      <c r="N824" s="19" t="n">
        <v>4.68529611252322</v>
      </c>
      <c r="O824" s="19" t="n">
        <v>1.32899090847691</v>
      </c>
      <c r="P824" s="19" t="n">
        <v>0.366570120844505</v>
      </c>
      <c r="Q824" s="17" t="s">
        <v>31</v>
      </c>
      <c r="R824" s="5" t="str">
        <f aca="false">IF(OR(Q824="Steel plate",Q824="Concrete jacket"),"Steel plate or jacket",Q824)</f>
        <v>Polymer laminate</v>
      </c>
      <c r="S824" s="5" t="str">
        <f aca="false">IF(O824&lt;='Tree rules'!$C$4,IF(N824&lt;='Tree rules'!$C$5,IF(P824&lt;='Tree rules'!$C$6,"Monitor","Polymer laminate"),IF(P824&lt;='Tree rules'!$C$7,"Seal cracks","Polymer laminate")),IF(O824&lt;='Tree rules'!$C$8,IF(M824&lt;='Tree rules'!$C$9,"Steel plate or jacket","Polymer laminate"),IF(L824&lt;='Tree rules'!$C$10,"Steel plate or jacket","Polymer laminate")))</f>
        <v>Steel plate or jacket</v>
      </c>
      <c r="T824" s="5" t="str">
        <f aca="false">IF(S824=R824,"Yes","No")</f>
        <v>No</v>
      </c>
    </row>
    <row r="825" customFormat="false" ht="15" hidden="false" customHeight="false" outlineLevel="0" collapsed="false">
      <c r="A825" s="15" t="n">
        <v>1154</v>
      </c>
      <c r="B825" s="16" t="n">
        <v>6.86794416572563</v>
      </c>
      <c r="C825" s="15" t="n">
        <v>300</v>
      </c>
      <c r="D825" s="15" t="n">
        <v>675</v>
      </c>
      <c r="E825" s="15" t="n">
        <v>30</v>
      </c>
      <c r="F825" s="16" t="n">
        <v>0.835085766504464</v>
      </c>
      <c r="G825" s="17" t="s">
        <v>89</v>
      </c>
      <c r="H825" s="18" t="n">
        <v>0.3</v>
      </c>
      <c r="I825" s="18" t="n">
        <v>1.5</v>
      </c>
      <c r="J825" s="19" t="n">
        <v>0.879247908598139</v>
      </c>
      <c r="K825" s="19" t="n">
        <v>0.437438165505654</v>
      </c>
      <c r="L825" s="16" t="n">
        <v>10.9536589565002</v>
      </c>
      <c r="M825" s="19" t="n">
        <v>0.730273179203452</v>
      </c>
      <c r="N825" s="19" t="n">
        <v>0.714490778519454</v>
      </c>
      <c r="O825" s="19" t="n">
        <v>1.12656356681628</v>
      </c>
      <c r="P825" s="19" t="n">
        <v>0.513265143816402</v>
      </c>
      <c r="Q825" s="17" t="s">
        <v>31</v>
      </c>
      <c r="R825" s="5" t="str">
        <f aca="false">IF(OR(Q825="Steel plate",Q825="Concrete jacket"),"Steel plate or jacket",Q825)</f>
        <v>Polymer laminate</v>
      </c>
      <c r="S825" s="5" t="str">
        <f aca="false">IF(O825&lt;='Tree rules'!$C$4,IF(N825&lt;='Tree rules'!$C$5,IF(P825&lt;='Tree rules'!$C$6,"Monitor","Polymer laminate"),IF(P825&lt;='Tree rules'!$C$7,"Seal cracks","Polymer laminate")),IF(O825&lt;='Tree rules'!$C$8,IF(M825&lt;='Tree rules'!$C$9,"Steel plate or jacket","Polymer laminate"),IF(L825&lt;='Tree rules'!$C$10,"Steel plate or jacket","Polymer laminate")))</f>
        <v>Polymer laminate</v>
      </c>
      <c r="T825" s="5" t="str">
        <f aca="false">IF(S825=R825,"Yes","No")</f>
        <v>Yes</v>
      </c>
    </row>
    <row r="826" customFormat="false" ht="15" hidden="false" customHeight="false" outlineLevel="0" collapsed="false">
      <c r="A826" s="15" t="n">
        <v>1155</v>
      </c>
      <c r="B826" s="16" t="n">
        <v>6.9101373347605</v>
      </c>
      <c r="C826" s="15" t="n">
        <v>300</v>
      </c>
      <c r="D826" s="15" t="n">
        <v>650</v>
      </c>
      <c r="E826" s="15" t="n">
        <v>25</v>
      </c>
      <c r="F826" s="16" t="n">
        <v>0.521859244782358</v>
      </c>
      <c r="G826" s="17" t="s">
        <v>89</v>
      </c>
      <c r="H826" s="18" t="n">
        <v>0.3</v>
      </c>
      <c r="I826" s="18" t="n">
        <v>1</v>
      </c>
      <c r="J826" s="19" t="n">
        <v>0.921322843672699</v>
      </c>
      <c r="K826" s="19" t="n">
        <v>0.515305706057912</v>
      </c>
      <c r="L826" s="16" t="n">
        <v>11.478633446446</v>
      </c>
      <c r="M826" s="19" t="n">
        <v>0.363495401966101</v>
      </c>
      <c r="N826" s="19" t="n">
        <v>0.786318377800177</v>
      </c>
      <c r="O826" s="19" t="n">
        <v>0.921322843672699</v>
      </c>
      <c r="P826" s="19" t="n">
        <v>0.71638105558896</v>
      </c>
      <c r="Q826" s="17" t="s">
        <v>29</v>
      </c>
      <c r="R826" s="5" t="str">
        <f aca="false">IF(OR(Q826="Steel plate",Q826="Concrete jacket"),"Steel plate or jacket",Q826)</f>
        <v>Monitor</v>
      </c>
      <c r="S826" s="5" t="str">
        <f aca="false">IF(O826&lt;='Tree rules'!$C$4,IF(N826&lt;='Tree rules'!$C$5,IF(P826&lt;='Tree rules'!$C$6,"Monitor","Polymer laminate"),IF(P826&lt;='Tree rules'!$C$7,"Seal cracks","Polymer laminate")),IF(O826&lt;='Tree rules'!$C$8,IF(M826&lt;='Tree rules'!$C$9,"Steel plate or jacket","Polymer laminate"),IF(L826&lt;='Tree rules'!$C$10,"Steel plate or jacket","Polymer laminate")))</f>
        <v>Monitor</v>
      </c>
      <c r="T826" s="5" t="str">
        <f aca="false">IF(S826=R826,"Yes","No")</f>
        <v>Yes</v>
      </c>
    </row>
    <row r="827" customFormat="false" ht="15" hidden="false" customHeight="false" outlineLevel="0" collapsed="false">
      <c r="A827" s="15" t="n">
        <v>1156</v>
      </c>
      <c r="B827" s="16" t="n">
        <v>6.0696681692215</v>
      </c>
      <c r="C827" s="15" t="n">
        <v>230</v>
      </c>
      <c r="D827" s="15" t="n">
        <v>525</v>
      </c>
      <c r="E827" s="15" t="n">
        <v>30</v>
      </c>
      <c r="F827" s="16" t="n">
        <v>0.730006099046008</v>
      </c>
      <c r="G827" s="17" t="s">
        <v>91</v>
      </c>
      <c r="H827" s="18" t="n">
        <v>0.2</v>
      </c>
      <c r="I827" s="18" t="n">
        <v>1</v>
      </c>
      <c r="J827" s="19" t="n">
        <v>0.889660698060808</v>
      </c>
      <c r="K827" s="19" t="n">
        <v>0.574981194965938</v>
      </c>
      <c r="L827" s="16" t="n">
        <v>12.6715410630929</v>
      </c>
      <c r="M827" s="19" t="n">
        <v>0.936645882357949</v>
      </c>
      <c r="N827" s="19" t="n">
        <v>0.791129190205283</v>
      </c>
      <c r="O827" s="19" t="n">
        <v>0.889660698060808</v>
      </c>
      <c r="P827" s="19" t="n">
        <v>0.401662462312209</v>
      </c>
      <c r="Q827" s="17" t="s">
        <v>29</v>
      </c>
      <c r="R827" s="5" t="str">
        <f aca="false">IF(OR(Q827="Steel plate",Q827="Concrete jacket"),"Steel plate or jacket",Q827)</f>
        <v>Monitor</v>
      </c>
      <c r="S827" s="5" t="str">
        <f aca="false">IF(O827&lt;='Tree rules'!$C$4,IF(N827&lt;='Tree rules'!$C$5,IF(P827&lt;='Tree rules'!$C$6,"Monitor","Polymer laminate"),IF(P827&lt;='Tree rules'!$C$7,"Seal cracks","Polymer laminate")),IF(O827&lt;='Tree rules'!$C$8,IF(M827&lt;='Tree rules'!$C$9,"Steel plate or jacket","Polymer laminate"),IF(L827&lt;='Tree rules'!$C$10,"Steel plate or jacket","Polymer laminate")))</f>
        <v>Monitor</v>
      </c>
      <c r="T827" s="5" t="str">
        <f aca="false">IF(S827=R827,"Yes","No")</f>
        <v>Yes</v>
      </c>
    </row>
    <row r="828" customFormat="false" ht="15" hidden="false" customHeight="false" outlineLevel="0" collapsed="false">
      <c r="A828" s="15" t="n">
        <v>1157</v>
      </c>
      <c r="B828" s="16" t="n">
        <v>6.42091370091628</v>
      </c>
      <c r="C828" s="15" t="n">
        <v>230</v>
      </c>
      <c r="D828" s="15" t="n">
        <v>600</v>
      </c>
      <c r="E828" s="15" t="n">
        <v>30</v>
      </c>
      <c r="F828" s="16" t="n">
        <v>0.742342309449384</v>
      </c>
      <c r="G828" s="17" t="s">
        <v>89</v>
      </c>
      <c r="H828" s="18" t="n">
        <v>0.3</v>
      </c>
      <c r="I828" s="18" t="n">
        <v>1</v>
      </c>
      <c r="J828" s="19" t="n">
        <v>0.939677970434903</v>
      </c>
      <c r="K828" s="19" t="n">
        <v>0.490499155671604</v>
      </c>
      <c r="L828" s="16" t="n">
        <v>11.6320900378918</v>
      </c>
      <c r="M828" s="19" t="n">
        <v>0.513085221385286</v>
      </c>
      <c r="N828" s="19" t="n">
        <v>0.670189047397472</v>
      </c>
      <c r="O828" s="19" t="n">
        <v>0.939677970434903</v>
      </c>
      <c r="P828" s="19" t="n">
        <v>0.645188911365004</v>
      </c>
      <c r="Q828" s="17" t="s">
        <v>29</v>
      </c>
      <c r="R828" s="5" t="str">
        <f aca="false">IF(OR(Q828="Steel plate",Q828="Concrete jacket"),"Steel plate or jacket",Q828)</f>
        <v>Monitor</v>
      </c>
      <c r="S828" s="5" t="str">
        <f aca="false">IF(O828&lt;='Tree rules'!$C$4,IF(N828&lt;='Tree rules'!$C$5,IF(P828&lt;='Tree rules'!$C$6,"Monitor","Polymer laminate"),IF(P828&lt;='Tree rules'!$C$7,"Seal cracks","Polymer laminate")),IF(O828&lt;='Tree rules'!$C$8,IF(M828&lt;='Tree rules'!$C$9,"Steel plate or jacket","Polymer laminate"),IF(L828&lt;='Tree rules'!$C$10,"Steel plate or jacket","Polymer laminate")))</f>
        <v>Monitor</v>
      </c>
      <c r="T828" s="5" t="str">
        <f aca="false">IF(S828=R828,"Yes","No")</f>
        <v>Yes</v>
      </c>
    </row>
    <row r="829" customFormat="false" ht="15" hidden="false" customHeight="false" outlineLevel="0" collapsed="false">
      <c r="A829" s="15" t="n">
        <v>1158</v>
      </c>
      <c r="B829" s="16" t="n">
        <v>6.49836787502374</v>
      </c>
      <c r="C829" s="15" t="n">
        <v>300</v>
      </c>
      <c r="D829" s="15" t="n">
        <v>550</v>
      </c>
      <c r="E829" s="15" t="n">
        <v>25</v>
      </c>
      <c r="F829" s="16" t="n">
        <v>0.645090893960943</v>
      </c>
      <c r="G829" s="17" t="s">
        <v>90</v>
      </c>
      <c r="H829" s="18" t="n">
        <v>0.1</v>
      </c>
      <c r="I829" s="18" t="n">
        <v>1</v>
      </c>
      <c r="J829" s="19" t="n">
        <v>0.921725797997442</v>
      </c>
      <c r="K829" s="19" t="n">
        <v>0.595205527584212</v>
      </c>
      <c r="L829" s="16" t="n">
        <v>13.3436712012808</v>
      </c>
      <c r="M829" s="19" t="n">
        <v>0.317839844390467</v>
      </c>
      <c r="N829" s="19" t="n">
        <v>2.84060215124441</v>
      </c>
      <c r="O829" s="19" t="n">
        <v>0.921725797997442</v>
      </c>
      <c r="P829" s="19" t="n">
        <v>1.06058328255535</v>
      </c>
      <c r="Q829" s="17" t="s">
        <v>31</v>
      </c>
      <c r="R829" s="5" t="str">
        <f aca="false">IF(OR(Q829="Steel plate",Q829="Concrete jacket"),"Steel plate or jacket",Q829)</f>
        <v>Polymer laminate</v>
      </c>
      <c r="S829" s="5" t="str">
        <f aca="false">IF(O829&lt;='Tree rules'!$C$4,IF(N829&lt;='Tree rules'!$C$5,IF(P829&lt;='Tree rules'!$C$6,"Monitor","Polymer laminate"),IF(P829&lt;='Tree rules'!$C$7,"Seal cracks","Polymer laminate")),IF(O829&lt;='Tree rules'!$C$8,IF(M829&lt;='Tree rules'!$C$9,"Steel plate or jacket","Polymer laminate"),IF(L829&lt;='Tree rules'!$C$10,"Steel plate or jacket","Polymer laminate")))</f>
        <v>Polymer laminate</v>
      </c>
      <c r="T829" s="5" t="str">
        <f aca="false">IF(S829=R829,"Yes","No")</f>
        <v>Yes</v>
      </c>
    </row>
    <row r="830" customFormat="false" ht="15" hidden="false" customHeight="false" outlineLevel="0" collapsed="false">
      <c r="A830" s="15" t="n">
        <v>1159</v>
      </c>
      <c r="B830" s="16" t="n">
        <v>3.35066221632698</v>
      </c>
      <c r="C830" s="15" t="n">
        <v>300</v>
      </c>
      <c r="D830" s="15" t="n">
        <v>300</v>
      </c>
      <c r="E830" s="15" t="n">
        <v>30</v>
      </c>
      <c r="F830" s="16" t="n">
        <v>0.791582400904515</v>
      </c>
      <c r="G830" s="17" t="s">
        <v>89</v>
      </c>
      <c r="H830" s="18" t="n">
        <v>0.3</v>
      </c>
      <c r="I830" s="18" t="n">
        <v>1</v>
      </c>
      <c r="J830" s="19" t="n">
        <v>0.907892861181252</v>
      </c>
      <c r="K830" s="19" t="n">
        <v>0.587918452579461</v>
      </c>
      <c r="L830" s="16" t="n">
        <v>13.1915835288464</v>
      </c>
      <c r="M830" s="19" t="n">
        <v>0.799320191211639</v>
      </c>
      <c r="N830" s="19" t="n">
        <v>0.725605226242656</v>
      </c>
      <c r="O830" s="19" t="n">
        <v>0.907892861181252</v>
      </c>
      <c r="P830" s="19" t="n">
        <v>0.427260484155345</v>
      </c>
      <c r="Q830" s="17" t="s">
        <v>29</v>
      </c>
      <c r="R830" s="5" t="str">
        <f aca="false">IF(OR(Q830="Steel plate",Q830="Concrete jacket"),"Steel plate or jacket",Q830)</f>
        <v>Monitor</v>
      </c>
      <c r="S830" s="5" t="str">
        <f aca="false">IF(O830&lt;='Tree rules'!$C$4,IF(N830&lt;='Tree rules'!$C$5,IF(P830&lt;='Tree rules'!$C$6,"Monitor","Polymer laminate"),IF(P830&lt;='Tree rules'!$C$7,"Seal cracks","Polymer laminate")),IF(O830&lt;='Tree rules'!$C$8,IF(M830&lt;='Tree rules'!$C$9,"Steel plate or jacket","Polymer laminate"),IF(L830&lt;='Tree rules'!$C$10,"Steel plate or jacket","Polymer laminate")))</f>
        <v>Monitor</v>
      </c>
      <c r="T830" s="5" t="str">
        <f aca="false">IF(S830=R830,"Yes","No")</f>
        <v>Yes</v>
      </c>
    </row>
    <row r="831" customFormat="false" ht="15" hidden="false" customHeight="false" outlineLevel="0" collapsed="false">
      <c r="A831" s="15" t="n">
        <v>1160</v>
      </c>
      <c r="B831" s="16" t="n">
        <v>3.19764051009965</v>
      </c>
      <c r="C831" s="15" t="n">
        <v>300</v>
      </c>
      <c r="D831" s="15" t="n">
        <v>300</v>
      </c>
      <c r="E831" s="15" t="n">
        <v>25</v>
      </c>
      <c r="F831" s="16" t="n">
        <v>0.831109167616348</v>
      </c>
      <c r="G831" s="17" t="s">
        <v>89</v>
      </c>
      <c r="H831" s="18" t="n">
        <v>0.3</v>
      </c>
      <c r="I831" s="18" t="n">
        <v>1.5</v>
      </c>
      <c r="J831" s="19" t="n">
        <v>0.898815312489888</v>
      </c>
      <c r="K831" s="19" t="n">
        <v>0.495083302595489</v>
      </c>
      <c r="L831" s="16" t="n">
        <v>12.6890496432526</v>
      </c>
      <c r="M831" s="19" t="n">
        <v>0.502648138241751</v>
      </c>
      <c r="N831" s="19" t="n">
        <v>1.24381752143244</v>
      </c>
      <c r="O831" s="19" t="n">
        <v>1.12572874206939</v>
      </c>
      <c r="P831" s="19" t="n">
        <v>0.704687498147697</v>
      </c>
      <c r="Q831" s="17" t="s">
        <v>31</v>
      </c>
      <c r="R831" s="5" t="str">
        <f aca="false">IF(OR(Q831="Steel plate",Q831="Concrete jacket"),"Steel plate or jacket",Q831)</f>
        <v>Polymer laminate</v>
      </c>
      <c r="S831" s="5" t="str">
        <f aca="false">IF(O831&lt;='Tree rules'!$C$4,IF(N831&lt;='Tree rules'!$C$5,IF(P831&lt;='Tree rules'!$C$6,"Monitor","Polymer laminate"),IF(P831&lt;='Tree rules'!$C$7,"Seal cracks","Polymer laminate")),IF(O831&lt;='Tree rules'!$C$8,IF(M831&lt;='Tree rules'!$C$9,"Steel plate or jacket","Polymer laminate"),IF(L831&lt;='Tree rules'!$C$10,"Steel plate or jacket","Polymer laminate")))</f>
        <v>Polymer laminate</v>
      </c>
      <c r="T831" s="5" t="str">
        <f aca="false">IF(S831=R831,"Yes","No")</f>
        <v>Yes</v>
      </c>
    </row>
    <row r="832" customFormat="false" ht="15" hidden="false" customHeight="false" outlineLevel="0" collapsed="false">
      <c r="A832" s="15" t="n">
        <v>1162</v>
      </c>
      <c r="B832" s="16" t="n">
        <v>5.93037366742517</v>
      </c>
      <c r="C832" s="15" t="n">
        <v>300</v>
      </c>
      <c r="D832" s="15" t="n">
        <v>475</v>
      </c>
      <c r="E832" s="15" t="n">
        <v>25</v>
      </c>
      <c r="F832" s="16" t="n">
        <v>0.624901102811956</v>
      </c>
      <c r="G832" s="17" t="s">
        <v>89</v>
      </c>
      <c r="H832" s="18" t="n">
        <v>0.3</v>
      </c>
      <c r="I832" s="18" t="n">
        <v>2</v>
      </c>
      <c r="J832" s="19" t="n">
        <v>0.91177665767187</v>
      </c>
      <c r="K832" s="19" t="n">
        <v>0.439888986508988</v>
      </c>
      <c r="L832" s="16" t="n">
        <v>13.8237148424829</v>
      </c>
      <c r="M832" s="19" t="n">
        <v>0.835891216411804</v>
      </c>
      <c r="N832" s="19" t="n">
        <v>0.9888482995482</v>
      </c>
      <c r="O832" s="19" t="n">
        <v>1.42247280547791</v>
      </c>
      <c r="P832" s="19" t="n">
        <v>0.522813642530981</v>
      </c>
      <c r="Q832" s="17" t="s">
        <v>31</v>
      </c>
      <c r="R832" s="5" t="str">
        <f aca="false">IF(OR(Q832="Steel plate",Q832="Concrete jacket"),"Steel plate or jacket",Q832)</f>
        <v>Polymer laminate</v>
      </c>
      <c r="S832" s="5" t="str">
        <f aca="false">IF(O832&lt;='Tree rules'!$C$4,IF(N832&lt;='Tree rules'!$C$5,IF(P832&lt;='Tree rules'!$C$6,"Monitor","Polymer laminate"),IF(P832&lt;='Tree rules'!$C$7,"Seal cracks","Polymer laminate")),IF(O832&lt;='Tree rules'!$C$8,IF(M832&lt;='Tree rules'!$C$9,"Steel plate or jacket","Polymer laminate"),IF(L832&lt;='Tree rules'!$C$10,"Steel plate or jacket","Polymer laminate")))</f>
        <v>Polymer laminate</v>
      </c>
      <c r="T832" s="5" t="str">
        <f aca="false">IF(S832=R832,"Yes","No")</f>
        <v>Yes</v>
      </c>
    </row>
    <row r="833" customFormat="false" ht="15" hidden="false" customHeight="false" outlineLevel="0" collapsed="false">
      <c r="A833" s="15" t="n">
        <v>1165</v>
      </c>
      <c r="B833" s="16" t="n">
        <v>5.41455248334629</v>
      </c>
      <c r="C833" s="15" t="n">
        <v>230</v>
      </c>
      <c r="D833" s="15" t="n">
        <v>425</v>
      </c>
      <c r="E833" s="15" t="n">
        <v>25</v>
      </c>
      <c r="F833" s="16" t="n">
        <v>0.754646325628103</v>
      </c>
      <c r="G833" s="17" t="s">
        <v>90</v>
      </c>
      <c r="H833" s="18" t="n">
        <v>0.1</v>
      </c>
      <c r="I833" s="18" t="n">
        <v>1</v>
      </c>
      <c r="J833" s="19" t="n">
        <v>0.867683939760119</v>
      </c>
      <c r="K833" s="19" t="n">
        <v>0.550073078424364</v>
      </c>
      <c r="L833" s="16" t="n">
        <v>14.9573273020616</v>
      </c>
      <c r="M833" s="19" t="n">
        <v>0.568992814667733</v>
      </c>
      <c r="N833" s="19" t="n">
        <v>2.7031935254529</v>
      </c>
      <c r="O833" s="19" t="n">
        <v>0.867683939760119</v>
      </c>
      <c r="P833" s="19" t="n">
        <v>0.638255100717037</v>
      </c>
      <c r="Q833" s="17" t="s">
        <v>30</v>
      </c>
      <c r="R833" s="5" t="str">
        <f aca="false">IF(OR(Q833="Steel plate",Q833="Concrete jacket"),"Steel plate or jacket",Q833)</f>
        <v>Seal cracks</v>
      </c>
      <c r="S833" s="5" t="str">
        <f aca="false">IF(O833&lt;='Tree rules'!$C$4,IF(N833&lt;='Tree rules'!$C$5,IF(P833&lt;='Tree rules'!$C$6,"Monitor","Polymer laminate"),IF(P833&lt;='Tree rules'!$C$7,"Seal cracks","Polymer laminate")),IF(O833&lt;='Tree rules'!$C$8,IF(M833&lt;='Tree rules'!$C$9,"Steel plate or jacket","Polymer laminate"),IF(L833&lt;='Tree rules'!$C$10,"Steel plate or jacket","Polymer laminate")))</f>
        <v>Seal cracks</v>
      </c>
      <c r="T833" s="5" t="str">
        <f aca="false">IF(S833=R833,"Yes","No")</f>
        <v>Yes</v>
      </c>
    </row>
    <row r="834" customFormat="false" ht="15" hidden="false" customHeight="false" outlineLevel="0" collapsed="false">
      <c r="A834" s="15" t="n">
        <v>1166</v>
      </c>
      <c r="B834" s="16" t="n">
        <v>5.64920823756566</v>
      </c>
      <c r="C834" s="15" t="n">
        <v>300</v>
      </c>
      <c r="D834" s="15" t="n">
        <v>475</v>
      </c>
      <c r="E834" s="15" t="n">
        <v>30</v>
      </c>
      <c r="F834" s="16" t="n">
        <v>0.809428058895921</v>
      </c>
      <c r="G834" s="17" t="s">
        <v>90</v>
      </c>
      <c r="H834" s="18" t="n">
        <v>0.1</v>
      </c>
      <c r="I834" s="18" t="n">
        <v>1.5</v>
      </c>
      <c r="J834" s="19" t="n">
        <v>0.90679372274998</v>
      </c>
      <c r="K834" s="19" t="n">
        <v>0.453129502576673</v>
      </c>
      <c r="L834" s="16" t="n">
        <v>13.6454305255209</v>
      </c>
      <c r="M834" s="19" t="n">
        <v>0.787852196844867</v>
      </c>
      <c r="N834" s="19" t="n">
        <v>3.02036603748583</v>
      </c>
      <c r="O834" s="19" t="n">
        <v>1.1547430898603</v>
      </c>
      <c r="P834" s="19" t="n">
        <v>0.512645794927077</v>
      </c>
      <c r="Q834" s="17" t="s">
        <v>31</v>
      </c>
      <c r="R834" s="5" t="str">
        <f aca="false">IF(OR(Q834="Steel plate",Q834="Concrete jacket"),"Steel plate or jacket",Q834)</f>
        <v>Polymer laminate</v>
      </c>
      <c r="S834" s="5" t="str">
        <f aca="false">IF(O834&lt;='Tree rules'!$C$4,IF(N834&lt;='Tree rules'!$C$5,IF(P834&lt;='Tree rules'!$C$6,"Monitor","Polymer laminate"),IF(P834&lt;='Tree rules'!$C$7,"Seal cracks","Polymer laminate")),IF(O834&lt;='Tree rules'!$C$8,IF(M834&lt;='Tree rules'!$C$9,"Steel plate or jacket","Polymer laminate"),IF(L834&lt;='Tree rules'!$C$10,"Steel plate or jacket","Polymer laminate")))</f>
        <v>Polymer laminate</v>
      </c>
      <c r="T834" s="5" t="str">
        <f aca="false">IF(S834=R834,"Yes","No")</f>
        <v>Yes</v>
      </c>
    </row>
    <row r="835" customFormat="false" ht="15" hidden="false" customHeight="false" outlineLevel="0" collapsed="false">
      <c r="A835" s="15" t="n">
        <v>1167</v>
      </c>
      <c r="B835" s="16" t="n">
        <v>5.60364140580469</v>
      </c>
      <c r="C835" s="15" t="n">
        <v>300</v>
      </c>
      <c r="D835" s="15" t="n">
        <v>450</v>
      </c>
      <c r="E835" s="15" t="n">
        <v>25</v>
      </c>
      <c r="F835" s="16" t="n">
        <v>0.557129731671096</v>
      </c>
      <c r="G835" s="17" t="s">
        <v>89</v>
      </c>
      <c r="H835" s="18" t="n">
        <v>0.3</v>
      </c>
      <c r="I835" s="18" t="n">
        <v>2</v>
      </c>
      <c r="J835" s="19" t="n">
        <v>0.952943852766794</v>
      </c>
      <c r="K835" s="19" t="n">
        <v>0.592998603844999</v>
      </c>
      <c r="L835" s="16" t="n">
        <v>13.8020724280904</v>
      </c>
      <c r="M835" s="19" t="n">
        <v>0.613145296857698</v>
      </c>
      <c r="N835" s="19" t="n">
        <v>0.856902478424768</v>
      </c>
      <c r="O835" s="19" t="n">
        <v>1.3407933313002</v>
      </c>
      <c r="P835" s="19" t="n">
        <v>0.675745181946207</v>
      </c>
      <c r="Q835" s="17" t="s">
        <v>31</v>
      </c>
      <c r="R835" s="5" t="str">
        <f aca="false">IF(OR(Q835="Steel plate",Q835="Concrete jacket"),"Steel plate or jacket",Q835)</f>
        <v>Polymer laminate</v>
      </c>
      <c r="S835" s="5" t="str">
        <f aca="false">IF(O835&lt;='Tree rules'!$C$4,IF(N835&lt;='Tree rules'!$C$5,IF(P835&lt;='Tree rules'!$C$6,"Monitor","Polymer laminate"),IF(P835&lt;='Tree rules'!$C$7,"Seal cracks","Polymer laminate")),IF(O835&lt;='Tree rules'!$C$8,IF(M835&lt;='Tree rules'!$C$9,"Steel plate or jacket","Polymer laminate"),IF(L835&lt;='Tree rules'!$C$10,"Steel plate or jacket","Polymer laminate")))</f>
        <v>Polymer laminate</v>
      </c>
      <c r="T835" s="5" t="str">
        <f aca="false">IF(S835=R835,"Yes","No")</f>
        <v>Yes</v>
      </c>
    </row>
    <row r="836" customFormat="false" ht="15" hidden="false" customHeight="false" outlineLevel="0" collapsed="false">
      <c r="A836" s="15" t="n">
        <v>1168</v>
      </c>
      <c r="B836" s="16" t="n">
        <v>7.68974590751722</v>
      </c>
      <c r="C836" s="15" t="n">
        <v>300</v>
      </c>
      <c r="D836" s="15" t="n">
        <v>600</v>
      </c>
      <c r="E836" s="15" t="n">
        <v>30</v>
      </c>
      <c r="F836" s="16" t="n">
        <v>0.604879451954714</v>
      </c>
      <c r="G836" s="17" t="s">
        <v>89</v>
      </c>
      <c r="H836" s="18" t="n">
        <v>0.3</v>
      </c>
      <c r="I836" s="18" t="n">
        <v>1.5</v>
      </c>
      <c r="J836" s="19" t="n">
        <v>0.88281346079509</v>
      </c>
      <c r="K836" s="19" t="n">
        <v>0.433318132897035</v>
      </c>
      <c r="L836" s="16" t="n">
        <v>13.8804077753018</v>
      </c>
      <c r="M836" s="19" t="n">
        <v>0.948398287381257</v>
      </c>
      <c r="N836" s="19" t="n">
        <v>0.687137418261534</v>
      </c>
      <c r="O836" s="19" t="n">
        <v>1.13295065092859</v>
      </c>
      <c r="P836" s="19" t="n">
        <v>0.396164135172082</v>
      </c>
      <c r="Q836" s="17" t="s">
        <v>31</v>
      </c>
      <c r="R836" s="5" t="str">
        <f aca="false">IF(OR(Q836="Steel plate",Q836="Concrete jacket"),"Steel plate or jacket",Q836)</f>
        <v>Polymer laminate</v>
      </c>
      <c r="S836" s="5" t="str">
        <f aca="false">IF(O836&lt;='Tree rules'!$C$4,IF(N836&lt;='Tree rules'!$C$5,IF(P836&lt;='Tree rules'!$C$6,"Monitor","Polymer laminate"),IF(P836&lt;='Tree rules'!$C$7,"Seal cracks","Polymer laminate")),IF(O836&lt;='Tree rules'!$C$8,IF(M836&lt;='Tree rules'!$C$9,"Steel plate or jacket","Polymer laminate"),IF(L836&lt;='Tree rules'!$C$10,"Steel plate or jacket","Polymer laminate")))</f>
        <v>Polymer laminate</v>
      </c>
      <c r="T836" s="5" t="str">
        <f aca="false">IF(S836=R836,"Yes","No")</f>
        <v>Yes</v>
      </c>
    </row>
    <row r="837" customFormat="false" ht="15" hidden="false" customHeight="false" outlineLevel="0" collapsed="false">
      <c r="A837" s="15" t="n">
        <v>1169</v>
      </c>
      <c r="B837" s="16" t="n">
        <v>6.995885742479</v>
      </c>
      <c r="C837" s="15" t="n">
        <v>230</v>
      </c>
      <c r="D837" s="15" t="n">
        <v>625</v>
      </c>
      <c r="E837" s="15" t="n">
        <v>30</v>
      </c>
      <c r="F837" s="16" t="n">
        <v>0.710178431223674</v>
      </c>
      <c r="G837" s="17" t="s">
        <v>89</v>
      </c>
      <c r="H837" s="18" t="n">
        <v>0.3</v>
      </c>
      <c r="I837" s="18" t="n">
        <v>1</v>
      </c>
      <c r="J837" s="19" t="n">
        <v>0.869161205647241</v>
      </c>
      <c r="K837" s="19" t="n">
        <v>0.566868848206664</v>
      </c>
      <c r="L837" s="16" t="n">
        <v>12.1245853422513</v>
      </c>
      <c r="M837" s="19" t="n">
        <v>0.59245084806895</v>
      </c>
      <c r="N837" s="19" t="n">
        <v>0.603776237936579</v>
      </c>
      <c r="O837" s="19" t="n">
        <v>0.869161205647241</v>
      </c>
      <c r="P837" s="19" t="n">
        <v>0.568389836654442</v>
      </c>
      <c r="Q837" s="17" t="s">
        <v>29</v>
      </c>
      <c r="R837" s="5" t="str">
        <f aca="false">IF(OR(Q837="Steel plate",Q837="Concrete jacket"),"Steel plate or jacket",Q837)</f>
        <v>Monitor</v>
      </c>
      <c r="S837" s="5" t="str">
        <f aca="false">IF(O837&lt;='Tree rules'!$C$4,IF(N837&lt;='Tree rules'!$C$5,IF(P837&lt;='Tree rules'!$C$6,"Monitor","Polymer laminate"),IF(P837&lt;='Tree rules'!$C$7,"Seal cracks","Polymer laminate")),IF(O837&lt;='Tree rules'!$C$8,IF(M837&lt;='Tree rules'!$C$9,"Steel plate or jacket","Polymer laminate"),IF(L837&lt;='Tree rules'!$C$10,"Steel plate or jacket","Polymer laminate")))</f>
        <v>Monitor</v>
      </c>
      <c r="T837" s="5" t="str">
        <f aca="false">IF(S837=R837,"Yes","No")</f>
        <v>Yes</v>
      </c>
    </row>
    <row r="838" customFormat="false" ht="15" hidden="false" customHeight="false" outlineLevel="0" collapsed="false">
      <c r="A838" s="15" t="n">
        <v>1170</v>
      </c>
      <c r="B838" s="16" t="n">
        <v>6.27729855745593</v>
      </c>
      <c r="C838" s="15" t="n">
        <v>300</v>
      </c>
      <c r="D838" s="15" t="n">
        <v>600</v>
      </c>
      <c r="E838" s="15" t="n">
        <v>30</v>
      </c>
      <c r="F838" s="16" t="n">
        <v>0.569129103911194</v>
      </c>
      <c r="G838" s="17" t="s">
        <v>89</v>
      </c>
      <c r="H838" s="18" t="n">
        <v>0.3</v>
      </c>
      <c r="I838" s="18" t="n">
        <v>1.5</v>
      </c>
      <c r="J838" s="19" t="n">
        <v>0.953564435735445</v>
      </c>
      <c r="K838" s="19" t="n">
        <v>0.421585430477938</v>
      </c>
      <c r="L838" s="16" t="n">
        <v>11.3719176765506</v>
      </c>
      <c r="M838" s="19" t="n">
        <v>0.520369526043047</v>
      </c>
      <c r="N838" s="19" t="n">
        <v>1.03497319265432</v>
      </c>
      <c r="O838" s="19" t="n">
        <v>1.22934221703918</v>
      </c>
      <c r="P838" s="19" t="n">
        <v>0.555638842933384</v>
      </c>
      <c r="Q838" s="17" t="s">
        <v>31</v>
      </c>
      <c r="R838" s="5" t="str">
        <f aca="false">IF(OR(Q838="Steel plate",Q838="Concrete jacket"),"Steel plate or jacket",Q838)</f>
        <v>Polymer laminate</v>
      </c>
      <c r="S838" s="5" t="str">
        <f aca="false">IF(O838&lt;='Tree rules'!$C$4,IF(N838&lt;='Tree rules'!$C$5,IF(P838&lt;='Tree rules'!$C$6,"Monitor","Polymer laminate"),IF(P838&lt;='Tree rules'!$C$7,"Seal cracks","Polymer laminate")),IF(O838&lt;='Tree rules'!$C$8,IF(M838&lt;='Tree rules'!$C$9,"Steel plate or jacket","Polymer laminate"),IF(L838&lt;='Tree rules'!$C$10,"Steel plate or jacket","Polymer laminate")))</f>
        <v>Polymer laminate</v>
      </c>
      <c r="T838" s="5" t="str">
        <f aca="false">IF(S838=R838,"Yes","No")</f>
        <v>Yes</v>
      </c>
    </row>
    <row r="839" customFormat="false" ht="15" hidden="false" customHeight="false" outlineLevel="0" collapsed="false">
      <c r="A839" s="15" t="n">
        <v>1171</v>
      </c>
      <c r="B839" s="16" t="n">
        <v>6.75696475804639</v>
      </c>
      <c r="C839" s="15" t="n">
        <v>300</v>
      </c>
      <c r="D839" s="15" t="n">
        <v>625</v>
      </c>
      <c r="E839" s="15" t="n">
        <v>25</v>
      </c>
      <c r="F839" s="16" t="n">
        <v>0.907450217674695</v>
      </c>
      <c r="G839" s="17" t="s">
        <v>89</v>
      </c>
      <c r="H839" s="18" t="n">
        <v>0.3</v>
      </c>
      <c r="I839" s="18" t="n">
        <v>1.5</v>
      </c>
      <c r="J839" s="19" t="n">
        <v>0.875570789800747</v>
      </c>
      <c r="K839" s="19" t="n">
        <v>0.504626815358197</v>
      </c>
      <c r="L839" s="16" t="n">
        <v>11.7105108458343</v>
      </c>
      <c r="M839" s="19" t="n">
        <v>0.584105749388521</v>
      </c>
      <c r="N839" s="19" t="n">
        <v>0.696154481215818</v>
      </c>
      <c r="O839" s="19" t="n">
        <v>1.09243793506221</v>
      </c>
      <c r="P839" s="19" t="n">
        <v>0.758795258969473</v>
      </c>
      <c r="Q839" s="17" t="s">
        <v>31</v>
      </c>
      <c r="R839" s="5" t="str">
        <f aca="false">IF(OR(Q839="Steel plate",Q839="Concrete jacket"),"Steel plate or jacket",Q839)</f>
        <v>Polymer laminate</v>
      </c>
      <c r="S839" s="5" t="str">
        <f aca="false">IF(O839&lt;='Tree rules'!$C$4,IF(N839&lt;='Tree rules'!$C$5,IF(P839&lt;='Tree rules'!$C$6,"Monitor","Polymer laminate"),IF(P839&lt;='Tree rules'!$C$7,"Seal cracks","Polymer laminate")),IF(O839&lt;='Tree rules'!$C$8,IF(M839&lt;='Tree rules'!$C$9,"Steel plate or jacket","Polymer laminate"),IF(L839&lt;='Tree rules'!$C$10,"Steel plate or jacket","Polymer laminate")))</f>
        <v>Polymer laminate</v>
      </c>
      <c r="T839" s="5" t="str">
        <f aca="false">IF(S839=R839,"Yes","No")</f>
        <v>Yes</v>
      </c>
    </row>
    <row r="840" customFormat="false" ht="15" hidden="false" customHeight="false" outlineLevel="0" collapsed="false">
      <c r="A840" s="15" t="n">
        <v>1172</v>
      </c>
      <c r="B840" s="16" t="n">
        <v>6.63389195174868</v>
      </c>
      <c r="C840" s="15" t="n">
        <v>300</v>
      </c>
      <c r="D840" s="15" t="n">
        <v>550</v>
      </c>
      <c r="E840" s="15" t="n">
        <v>30</v>
      </c>
      <c r="F840" s="16" t="n">
        <v>0.664887334093078</v>
      </c>
      <c r="G840" s="17" t="s">
        <v>89</v>
      </c>
      <c r="H840" s="18" t="n">
        <v>0.3</v>
      </c>
      <c r="I840" s="18" t="n">
        <v>1</v>
      </c>
      <c r="J840" s="19" t="n">
        <v>0.888143898578852</v>
      </c>
      <c r="K840" s="19" t="n">
        <v>0.48841740420572</v>
      </c>
      <c r="L840" s="16" t="n">
        <v>13.1624840312474</v>
      </c>
      <c r="M840" s="19" t="n">
        <v>0.31954069398605</v>
      </c>
      <c r="N840" s="19" t="n">
        <v>0.617546067337297</v>
      </c>
      <c r="O840" s="19" t="n">
        <v>0.888143898578852</v>
      </c>
      <c r="P840" s="19" t="n">
        <v>0.974259263303725</v>
      </c>
      <c r="Q840" s="17" t="s">
        <v>31</v>
      </c>
      <c r="R840" s="5" t="str">
        <f aca="false">IF(OR(Q840="Steel plate",Q840="Concrete jacket"),"Steel plate or jacket",Q840)</f>
        <v>Polymer laminate</v>
      </c>
      <c r="S840" s="5" t="str">
        <f aca="false">IF(O840&lt;='Tree rules'!$C$4,IF(N840&lt;='Tree rules'!$C$5,IF(P840&lt;='Tree rules'!$C$6,"Monitor","Polymer laminate"),IF(P840&lt;='Tree rules'!$C$7,"Seal cracks","Polymer laminate")),IF(O840&lt;='Tree rules'!$C$8,IF(M840&lt;='Tree rules'!$C$9,"Steel plate or jacket","Polymer laminate"),IF(L840&lt;='Tree rules'!$C$10,"Steel plate or jacket","Polymer laminate")))</f>
        <v>Polymer laminate</v>
      </c>
      <c r="T840" s="5" t="str">
        <f aca="false">IF(S840=R840,"Yes","No")</f>
        <v>Yes</v>
      </c>
    </row>
    <row r="841" customFormat="false" ht="15" hidden="false" customHeight="false" outlineLevel="0" collapsed="false">
      <c r="A841" s="15" t="n">
        <v>1175</v>
      </c>
      <c r="B841" s="16" t="n">
        <v>3.25260903784978</v>
      </c>
      <c r="C841" s="15" t="n">
        <v>230</v>
      </c>
      <c r="D841" s="15" t="n">
        <v>300</v>
      </c>
      <c r="E841" s="15" t="n">
        <v>20</v>
      </c>
      <c r="F841" s="16" t="n">
        <v>0.688332522525665</v>
      </c>
      <c r="G841" s="17" t="s">
        <v>89</v>
      </c>
      <c r="H841" s="18" t="n">
        <v>0.3</v>
      </c>
      <c r="I841" s="18" t="n">
        <v>1</v>
      </c>
      <c r="J841" s="19" t="n">
        <v>0.870305173945857</v>
      </c>
      <c r="K841" s="19" t="n">
        <v>0.426254312870311</v>
      </c>
      <c r="L841" s="16" t="n">
        <v>12.8055473931094</v>
      </c>
      <c r="M841" s="19" t="n">
        <v>0.751958073299822</v>
      </c>
      <c r="N841" s="19" t="n">
        <v>0.750777482154676</v>
      </c>
      <c r="O841" s="19" t="n">
        <v>0.870305173945857</v>
      </c>
      <c r="P841" s="19" t="n">
        <v>0.370072027009627</v>
      </c>
      <c r="Q841" s="17" t="s">
        <v>29</v>
      </c>
      <c r="R841" s="5" t="str">
        <f aca="false">IF(OR(Q841="Steel plate",Q841="Concrete jacket"),"Steel plate or jacket",Q841)</f>
        <v>Monitor</v>
      </c>
      <c r="S841" s="5" t="str">
        <f aca="false">IF(O841&lt;='Tree rules'!$C$4,IF(N841&lt;='Tree rules'!$C$5,IF(P841&lt;='Tree rules'!$C$6,"Monitor","Polymer laminate"),IF(P841&lt;='Tree rules'!$C$7,"Seal cracks","Polymer laminate")),IF(O841&lt;='Tree rules'!$C$8,IF(M841&lt;='Tree rules'!$C$9,"Steel plate or jacket","Polymer laminate"),IF(L841&lt;='Tree rules'!$C$10,"Steel plate or jacket","Polymer laminate")))</f>
        <v>Monitor</v>
      </c>
      <c r="T841" s="5" t="str">
        <f aca="false">IF(S841=R841,"Yes","No")</f>
        <v>Yes</v>
      </c>
    </row>
    <row r="842" customFormat="false" ht="15" hidden="false" customHeight="false" outlineLevel="0" collapsed="false">
      <c r="A842" s="15" t="n">
        <v>1176</v>
      </c>
      <c r="B842" s="16" t="n">
        <v>3.18704513569251</v>
      </c>
      <c r="C842" s="15" t="n">
        <v>300</v>
      </c>
      <c r="D842" s="15" t="n">
        <v>300</v>
      </c>
      <c r="E842" s="15" t="n">
        <v>30</v>
      </c>
      <c r="F842" s="16" t="n">
        <v>0.78213924985638</v>
      </c>
      <c r="G842" s="17" t="s">
        <v>90</v>
      </c>
      <c r="H842" s="18" t="n">
        <v>0.1</v>
      </c>
      <c r="I842" s="18" t="n">
        <v>1</v>
      </c>
      <c r="J842" s="19" t="n">
        <v>0.892206514439547</v>
      </c>
      <c r="K842" s="19" t="n">
        <v>0.637075772483</v>
      </c>
      <c r="L842" s="16" t="n">
        <v>13.2242536750727</v>
      </c>
      <c r="M842" s="19" t="n">
        <v>0.816956844869408</v>
      </c>
      <c r="N842" s="19" t="n">
        <v>2.40573550654159</v>
      </c>
      <c r="O842" s="19" t="n">
        <v>0.892206514439547</v>
      </c>
      <c r="P842" s="19" t="n">
        <v>0.368469959056269</v>
      </c>
      <c r="Q842" s="17" t="s">
        <v>30</v>
      </c>
      <c r="R842" s="5" t="str">
        <f aca="false">IF(OR(Q842="Steel plate",Q842="Concrete jacket"),"Steel plate or jacket",Q842)</f>
        <v>Seal cracks</v>
      </c>
      <c r="S842" s="5" t="str">
        <f aca="false">IF(O842&lt;='Tree rules'!$C$4,IF(N842&lt;='Tree rules'!$C$5,IF(P842&lt;='Tree rules'!$C$6,"Monitor","Polymer laminate"),IF(P842&lt;='Tree rules'!$C$7,"Seal cracks","Polymer laminate")),IF(O842&lt;='Tree rules'!$C$8,IF(M842&lt;='Tree rules'!$C$9,"Steel plate or jacket","Polymer laminate"),IF(L842&lt;='Tree rules'!$C$10,"Steel plate or jacket","Polymer laminate")))</f>
        <v>Seal cracks</v>
      </c>
      <c r="T842" s="5" t="str">
        <f aca="false">IF(S842=R842,"Yes","No")</f>
        <v>Yes</v>
      </c>
    </row>
    <row r="843" customFormat="false" ht="15" hidden="false" customHeight="false" outlineLevel="0" collapsed="false">
      <c r="A843" s="15" t="n">
        <v>1178</v>
      </c>
      <c r="B843" s="16" t="n">
        <v>4.95725480005163</v>
      </c>
      <c r="C843" s="15" t="n">
        <v>300</v>
      </c>
      <c r="D843" s="15" t="n">
        <v>375</v>
      </c>
      <c r="E843" s="15" t="n">
        <v>30</v>
      </c>
      <c r="F843" s="16" t="n">
        <v>0.683367586279351</v>
      </c>
      <c r="G843" s="17" t="s">
        <v>89</v>
      </c>
      <c r="H843" s="18" t="n">
        <v>0.3</v>
      </c>
      <c r="I843" s="18" t="n">
        <v>1</v>
      </c>
      <c r="J843" s="19" t="n">
        <v>0.858185072068433</v>
      </c>
      <c r="K843" s="19" t="n">
        <v>0.447540370597616</v>
      </c>
      <c r="L843" s="16" t="n">
        <v>14.9766006043856</v>
      </c>
      <c r="M843" s="19" t="n">
        <v>0.609299522675515</v>
      </c>
      <c r="N843" s="19" t="n">
        <v>0.549518918214546</v>
      </c>
      <c r="O843" s="19" t="n">
        <v>0.858185072068433</v>
      </c>
      <c r="P843" s="19" t="n">
        <v>0.524711272446468</v>
      </c>
      <c r="Q843" s="17" t="s">
        <v>29</v>
      </c>
      <c r="R843" s="5" t="str">
        <f aca="false">IF(OR(Q843="Steel plate",Q843="Concrete jacket"),"Steel plate or jacket",Q843)</f>
        <v>Monitor</v>
      </c>
      <c r="S843" s="5" t="str">
        <f aca="false">IF(O843&lt;='Tree rules'!$C$4,IF(N843&lt;='Tree rules'!$C$5,IF(P843&lt;='Tree rules'!$C$6,"Monitor","Polymer laminate"),IF(P843&lt;='Tree rules'!$C$7,"Seal cracks","Polymer laminate")),IF(O843&lt;='Tree rules'!$C$8,IF(M843&lt;='Tree rules'!$C$9,"Steel plate or jacket","Polymer laminate"),IF(L843&lt;='Tree rules'!$C$10,"Steel plate or jacket","Polymer laminate")))</f>
        <v>Monitor</v>
      </c>
      <c r="T843" s="5" t="str">
        <f aca="false">IF(S843=R843,"Yes","No")</f>
        <v>Yes</v>
      </c>
    </row>
    <row r="844" customFormat="false" ht="15" hidden="false" customHeight="false" outlineLevel="0" collapsed="false">
      <c r="A844" s="15" t="n">
        <v>1179</v>
      </c>
      <c r="B844" s="16" t="n">
        <v>5.35889002692611</v>
      </c>
      <c r="C844" s="15" t="n">
        <v>300</v>
      </c>
      <c r="D844" s="15" t="n">
        <v>500</v>
      </c>
      <c r="E844" s="15" t="n">
        <v>30</v>
      </c>
      <c r="F844" s="16" t="n">
        <v>0.885735373699325</v>
      </c>
      <c r="G844" s="17" t="s">
        <v>89</v>
      </c>
      <c r="H844" s="18" t="n">
        <v>0.3</v>
      </c>
      <c r="I844" s="18" t="n">
        <v>2</v>
      </c>
      <c r="J844" s="19" t="n">
        <v>0.916833725334717</v>
      </c>
      <c r="K844" s="19" t="n">
        <v>0.479183245554312</v>
      </c>
      <c r="L844" s="16" t="n">
        <v>11.803722526269</v>
      </c>
      <c r="M844" s="19" t="n">
        <v>0.906478578576845</v>
      </c>
      <c r="N844" s="19" t="n">
        <v>0.866961028009046</v>
      </c>
      <c r="O844" s="19" t="n">
        <v>1.39433609052989</v>
      </c>
      <c r="P844" s="19" t="n">
        <v>0.53147645696369</v>
      </c>
      <c r="Q844" s="17" t="s">
        <v>92</v>
      </c>
      <c r="R844" s="5" t="str">
        <f aca="false">IF(OR(Q844="Steel plate",Q844="Concrete jacket"),"Steel plate or jacket",Q844)</f>
        <v>Steel plate or jacket</v>
      </c>
      <c r="S844" s="5" t="str">
        <f aca="false">IF(O844&lt;='Tree rules'!$C$4,IF(N844&lt;='Tree rules'!$C$5,IF(P844&lt;='Tree rules'!$C$6,"Monitor","Polymer laminate"),IF(P844&lt;='Tree rules'!$C$7,"Seal cracks","Polymer laminate")),IF(O844&lt;='Tree rules'!$C$8,IF(M844&lt;='Tree rules'!$C$9,"Steel plate or jacket","Polymer laminate"),IF(L844&lt;='Tree rules'!$C$10,"Steel plate or jacket","Polymer laminate")))</f>
        <v>Steel plate or jacket</v>
      </c>
      <c r="T844" s="5" t="str">
        <f aca="false">IF(S844=R844,"Yes","No")</f>
        <v>Yes</v>
      </c>
    </row>
    <row r="845" customFormat="false" ht="15" hidden="false" customHeight="false" outlineLevel="0" collapsed="false">
      <c r="A845" s="15" t="n">
        <v>1180</v>
      </c>
      <c r="B845" s="16" t="n">
        <v>5.88300293185476</v>
      </c>
      <c r="C845" s="15" t="n">
        <v>230</v>
      </c>
      <c r="D845" s="15" t="n">
        <v>575</v>
      </c>
      <c r="E845" s="15" t="n">
        <v>25</v>
      </c>
      <c r="F845" s="16" t="n">
        <v>0.661007412935799</v>
      </c>
      <c r="G845" s="17" t="s">
        <v>91</v>
      </c>
      <c r="H845" s="18" t="n">
        <v>0.2</v>
      </c>
      <c r="I845" s="18" t="n">
        <v>1</v>
      </c>
      <c r="J845" s="19" t="n">
        <v>0.881605262052637</v>
      </c>
      <c r="K845" s="19" t="n">
        <v>0.436969935730161</v>
      </c>
      <c r="L845" s="16" t="n">
        <v>11.120988529026</v>
      </c>
      <c r="M845" s="19" t="n">
        <v>0.47426531635593</v>
      </c>
      <c r="N845" s="19" t="n">
        <v>0.857329765387036</v>
      </c>
      <c r="O845" s="19" t="n">
        <v>0.881605262052637</v>
      </c>
      <c r="P845" s="19" t="n">
        <v>0.577609471442659</v>
      </c>
      <c r="Q845" s="17" t="s">
        <v>29</v>
      </c>
      <c r="R845" s="5" t="str">
        <f aca="false">IF(OR(Q845="Steel plate",Q845="Concrete jacket"),"Steel plate or jacket",Q845)</f>
        <v>Monitor</v>
      </c>
      <c r="S845" s="5" t="str">
        <f aca="false">IF(O845&lt;='Tree rules'!$C$4,IF(N845&lt;='Tree rules'!$C$5,IF(P845&lt;='Tree rules'!$C$6,"Monitor","Polymer laminate"),IF(P845&lt;='Tree rules'!$C$7,"Seal cracks","Polymer laminate")),IF(O845&lt;='Tree rules'!$C$8,IF(M845&lt;='Tree rules'!$C$9,"Steel plate or jacket","Polymer laminate"),IF(L845&lt;='Tree rules'!$C$10,"Steel plate or jacket","Polymer laminate")))</f>
        <v>Monitor</v>
      </c>
      <c r="T845" s="5" t="str">
        <f aca="false">IF(S845=R845,"Yes","No")</f>
        <v>Yes</v>
      </c>
    </row>
    <row r="846" customFormat="false" ht="15" hidden="false" customHeight="false" outlineLevel="0" collapsed="false">
      <c r="A846" s="15" t="n">
        <v>1181</v>
      </c>
      <c r="B846" s="16" t="n">
        <v>5.5557185158201</v>
      </c>
      <c r="C846" s="15" t="n">
        <v>300</v>
      </c>
      <c r="D846" s="15" t="n">
        <v>450</v>
      </c>
      <c r="E846" s="15" t="n">
        <v>25</v>
      </c>
      <c r="F846" s="16" t="n">
        <v>0.557129731671096</v>
      </c>
      <c r="G846" s="17" t="s">
        <v>89</v>
      </c>
      <c r="H846" s="18" t="n">
        <v>0.3</v>
      </c>
      <c r="I846" s="18" t="n">
        <v>1</v>
      </c>
      <c r="J846" s="19" t="n">
        <v>0.966980036610509</v>
      </c>
      <c r="K846" s="19" t="n">
        <v>0.554726967114624</v>
      </c>
      <c r="L846" s="16" t="n">
        <v>13.6840357532515</v>
      </c>
      <c r="M846" s="19" t="n">
        <v>0.94527719368747</v>
      </c>
      <c r="N846" s="19" t="n">
        <v>0.544789753567967</v>
      </c>
      <c r="O846" s="19" t="n">
        <v>0.966980036610509</v>
      </c>
      <c r="P846" s="19" t="n">
        <v>0.375915315868712</v>
      </c>
      <c r="Q846" s="17" t="s">
        <v>29</v>
      </c>
      <c r="R846" s="5" t="str">
        <f aca="false">IF(OR(Q846="Steel plate",Q846="Concrete jacket"),"Steel plate or jacket",Q846)</f>
        <v>Monitor</v>
      </c>
      <c r="S846" s="5" t="str">
        <f aca="false">IF(O846&lt;='Tree rules'!$C$4,IF(N846&lt;='Tree rules'!$C$5,IF(P846&lt;='Tree rules'!$C$6,"Monitor","Polymer laminate"),IF(P846&lt;='Tree rules'!$C$7,"Seal cracks","Polymer laminate")),IF(O846&lt;='Tree rules'!$C$8,IF(M846&lt;='Tree rules'!$C$9,"Steel plate or jacket","Polymer laminate"),IF(L846&lt;='Tree rules'!$C$10,"Steel plate or jacket","Polymer laminate")))</f>
        <v>Monitor</v>
      </c>
      <c r="T846" s="5" t="str">
        <f aca="false">IF(S846=R846,"Yes","No")</f>
        <v>Yes</v>
      </c>
    </row>
    <row r="847" customFormat="false" ht="15" hidden="false" customHeight="false" outlineLevel="0" collapsed="false">
      <c r="A847" s="15" t="n">
        <v>1184</v>
      </c>
      <c r="B847" s="16" t="n">
        <v>4.40229379367274</v>
      </c>
      <c r="C847" s="15" t="n">
        <v>300</v>
      </c>
      <c r="D847" s="15" t="n">
        <v>425</v>
      </c>
      <c r="E847" s="15" t="n">
        <v>25</v>
      </c>
      <c r="F847" s="16" t="n">
        <v>0.707341881547042</v>
      </c>
      <c r="G847" s="17" t="s">
        <v>89</v>
      </c>
      <c r="H847" s="18" t="n">
        <v>0.3</v>
      </c>
      <c r="I847" s="18" t="n">
        <v>1</v>
      </c>
      <c r="J847" s="19" t="n">
        <v>0.931005375633553</v>
      </c>
      <c r="K847" s="19" t="n">
        <v>0.648220672874167</v>
      </c>
      <c r="L847" s="16" t="n">
        <v>11.6155509067882</v>
      </c>
      <c r="M847" s="19" t="n">
        <v>0.88092260264043</v>
      </c>
      <c r="N847" s="19" t="n">
        <v>0.618774875031887</v>
      </c>
      <c r="O847" s="19" t="n">
        <v>0.931005375633553</v>
      </c>
      <c r="P847" s="19" t="n">
        <v>0.414618272243249</v>
      </c>
      <c r="Q847" s="17" t="s">
        <v>29</v>
      </c>
      <c r="R847" s="5" t="str">
        <f aca="false">IF(OR(Q847="Steel plate",Q847="Concrete jacket"),"Steel plate or jacket",Q847)</f>
        <v>Monitor</v>
      </c>
      <c r="S847" s="5" t="str">
        <f aca="false">IF(O847&lt;='Tree rules'!$C$4,IF(N847&lt;='Tree rules'!$C$5,IF(P847&lt;='Tree rules'!$C$6,"Monitor","Polymer laminate"),IF(P847&lt;='Tree rules'!$C$7,"Seal cracks","Polymer laminate")),IF(O847&lt;='Tree rules'!$C$8,IF(M847&lt;='Tree rules'!$C$9,"Steel plate or jacket","Polymer laminate"),IF(L847&lt;='Tree rules'!$C$10,"Steel plate or jacket","Polymer laminate")))</f>
        <v>Monitor</v>
      </c>
      <c r="T847" s="5" t="str">
        <f aca="false">IF(S847=R847,"Yes","No")</f>
        <v>Yes</v>
      </c>
    </row>
    <row r="848" customFormat="false" ht="15" hidden="false" customHeight="false" outlineLevel="0" collapsed="false">
      <c r="A848" s="15" t="n">
        <v>1186</v>
      </c>
      <c r="B848" s="16" t="n">
        <v>4.49767672331246</v>
      </c>
      <c r="C848" s="15" t="n">
        <v>300</v>
      </c>
      <c r="D848" s="15" t="n">
        <v>375</v>
      </c>
      <c r="E848" s="15" t="n">
        <v>20</v>
      </c>
      <c r="F848" s="16" t="n">
        <v>0.569472988566126</v>
      </c>
      <c r="G848" s="17" t="s">
        <v>91</v>
      </c>
      <c r="H848" s="18" t="n">
        <v>0.2</v>
      </c>
      <c r="I848" s="18" t="n">
        <v>1</v>
      </c>
      <c r="J848" s="19" t="n">
        <v>0.952841417869342</v>
      </c>
      <c r="K848" s="19" t="n">
        <v>0.583229116221208</v>
      </c>
      <c r="L848" s="16" t="n">
        <v>13.5881472003398</v>
      </c>
      <c r="M848" s="19" t="n">
        <v>0.322253662943182</v>
      </c>
      <c r="N848" s="19" t="n">
        <v>1.00889892782165</v>
      </c>
      <c r="O848" s="19" t="n">
        <v>0.952841417869342</v>
      </c>
      <c r="P848" s="19" t="n">
        <v>1.0467223338415</v>
      </c>
      <c r="Q848" s="17" t="s">
        <v>31</v>
      </c>
      <c r="R848" s="5" t="str">
        <f aca="false">IF(OR(Q848="Steel plate",Q848="Concrete jacket"),"Steel plate or jacket",Q848)</f>
        <v>Polymer laminate</v>
      </c>
      <c r="S848" s="5" t="str">
        <f aca="false">IF(O848&lt;='Tree rules'!$C$4,IF(N848&lt;='Tree rules'!$C$5,IF(P848&lt;='Tree rules'!$C$6,"Monitor","Polymer laminate"),IF(P848&lt;='Tree rules'!$C$7,"Seal cracks","Polymer laminate")),IF(O848&lt;='Tree rules'!$C$8,IF(M848&lt;='Tree rules'!$C$9,"Steel plate or jacket","Polymer laminate"),IF(L848&lt;='Tree rules'!$C$10,"Steel plate or jacket","Polymer laminate")))</f>
        <v>Polymer laminate</v>
      </c>
      <c r="T848" s="5" t="str">
        <f aca="false">IF(S848=R848,"Yes","No")</f>
        <v>Yes</v>
      </c>
    </row>
    <row r="849" customFormat="false" ht="15" hidden="false" customHeight="false" outlineLevel="0" collapsed="false">
      <c r="A849" s="15" t="n">
        <v>1187</v>
      </c>
      <c r="B849" s="16" t="n">
        <v>4.22203590325854</v>
      </c>
      <c r="C849" s="15" t="n">
        <v>300</v>
      </c>
      <c r="D849" s="15" t="n">
        <v>350</v>
      </c>
      <c r="E849" s="15" t="n">
        <v>30</v>
      </c>
      <c r="F849" s="16" t="n">
        <v>0.881850569428714</v>
      </c>
      <c r="G849" s="17" t="s">
        <v>91</v>
      </c>
      <c r="H849" s="18" t="n">
        <v>0.2</v>
      </c>
      <c r="I849" s="18" t="n">
        <v>2</v>
      </c>
      <c r="J849" s="19" t="n">
        <v>0.872584945026511</v>
      </c>
      <c r="K849" s="19" t="n">
        <v>0.461404375665028</v>
      </c>
      <c r="L849" s="16" t="n">
        <v>13.888275997561</v>
      </c>
      <c r="M849" s="19" t="n">
        <v>0.532794157729975</v>
      </c>
      <c r="N849" s="19" t="n">
        <v>1.51988464739542</v>
      </c>
      <c r="O849" s="19" t="n">
        <v>1.34255537827836</v>
      </c>
      <c r="P849" s="19" t="n">
        <v>0.853626574438973</v>
      </c>
      <c r="Q849" s="17" t="s">
        <v>31</v>
      </c>
      <c r="R849" s="5" t="str">
        <f aca="false">IF(OR(Q849="Steel plate",Q849="Concrete jacket"),"Steel plate or jacket",Q849)</f>
        <v>Polymer laminate</v>
      </c>
      <c r="S849" s="5" t="str">
        <f aca="false">IF(O849&lt;='Tree rules'!$C$4,IF(N849&lt;='Tree rules'!$C$5,IF(P849&lt;='Tree rules'!$C$6,"Monitor","Polymer laminate"),IF(P849&lt;='Tree rules'!$C$7,"Seal cracks","Polymer laminate")),IF(O849&lt;='Tree rules'!$C$8,IF(M849&lt;='Tree rules'!$C$9,"Steel plate or jacket","Polymer laminate"),IF(L849&lt;='Tree rules'!$C$10,"Steel plate or jacket","Polymer laminate")))</f>
        <v>Polymer laminate</v>
      </c>
      <c r="T849" s="5" t="str">
        <f aca="false">IF(S849=R849,"Yes","No")</f>
        <v>Yes</v>
      </c>
    </row>
    <row r="850" customFormat="false" ht="15" hidden="false" customHeight="false" outlineLevel="0" collapsed="false">
      <c r="A850" s="15" t="n">
        <v>1188</v>
      </c>
      <c r="B850" s="16" t="n">
        <v>6.50659307067052</v>
      </c>
      <c r="C850" s="15" t="n">
        <v>230</v>
      </c>
      <c r="D850" s="15" t="n">
        <v>600</v>
      </c>
      <c r="E850" s="15" t="n">
        <v>30</v>
      </c>
      <c r="F850" s="16" t="n">
        <v>0.742342309449384</v>
      </c>
      <c r="G850" s="17" t="s">
        <v>89</v>
      </c>
      <c r="H850" s="18" t="n">
        <v>0.3</v>
      </c>
      <c r="I850" s="18" t="n">
        <v>1</v>
      </c>
      <c r="J850" s="19" t="n">
        <v>0.982052872466906</v>
      </c>
      <c r="K850" s="19" t="n">
        <v>0.45449399911203</v>
      </c>
      <c r="L850" s="16" t="n">
        <v>11.7873062874466</v>
      </c>
      <c r="M850" s="19" t="n">
        <v>0.930153436389901</v>
      </c>
      <c r="N850" s="19" t="n">
        <v>0.643328898584068</v>
      </c>
      <c r="O850" s="19" t="n">
        <v>0.982052872466906</v>
      </c>
      <c r="P850" s="19" t="n">
        <v>0.387977959123218</v>
      </c>
      <c r="Q850" s="17" t="s">
        <v>29</v>
      </c>
      <c r="R850" s="5" t="str">
        <f aca="false">IF(OR(Q850="Steel plate",Q850="Concrete jacket"),"Steel plate or jacket",Q850)</f>
        <v>Monitor</v>
      </c>
      <c r="S850" s="5" t="str">
        <f aca="false">IF(O850&lt;='Tree rules'!$C$4,IF(N850&lt;='Tree rules'!$C$5,IF(P850&lt;='Tree rules'!$C$6,"Monitor","Polymer laminate"),IF(P850&lt;='Tree rules'!$C$7,"Seal cracks","Polymer laminate")),IF(O850&lt;='Tree rules'!$C$8,IF(M850&lt;='Tree rules'!$C$9,"Steel plate or jacket","Polymer laminate"),IF(L850&lt;='Tree rules'!$C$10,"Steel plate or jacket","Polymer laminate")))</f>
        <v>Monitor</v>
      </c>
      <c r="T850" s="5" t="str">
        <f aca="false">IF(S850=R850,"Yes","No")</f>
        <v>Yes</v>
      </c>
    </row>
    <row r="851" customFormat="false" ht="15" hidden="false" customHeight="false" outlineLevel="0" collapsed="false">
      <c r="A851" s="15" t="n">
        <v>1189</v>
      </c>
      <c r="B851" s="16" t="n">
        <v>3.37022454943593</v>
      </c>
      <c r="C851" s="15" t="n">
        <v>300</v>
      </c>
      <c r="D851" s="15" t="n">
        <v>300</v>
      </c>
      <c r="E851" s="15" t="n">
        <v>20</v>
      </c>
      <c r="F851" s="16" t="n">
        <v>0.736310778185108</v>
      </c>
      <c r="G851" s="17" t="s">
        <v>89</v>
      </c>
      <c r="H851" s="18" t="n">
        <v>0.3</v>
      </c>
      <c r="I851" s="18" t="n">
        <v>2</v>
      </c>
      <c r="J851" s="19" t="n">
        <v>0.899764054546111</v>
      </c>
      <c r="K851" s="19" t="n">
        <v>0.511030633121963</v>
      </c>
      <c r="L851" s="16" t="n">
        <v>13.1649396462341</v>
      </c>
      <c r="M851" s="19" t="n">
        <v>0.906752311077591</v>
      </c>
      <c r="N851" s="19" t="n">
        <v>0.880595194652708</v>
      </c>
      <c r="O851" s="19" t="n">
        <v>1.33972111463714</v>
      </c>
      <c r="P851" s="19" t="n">
        <v>0.481944902710886</v>
      </c>
      <c r="Q851" s="17" t="s">
        <v>31</v>
      </c>
      <c r="R851" s="5" t="str">
        <f aca="false">IF(OR(Q851="Steel plate",Q851="Concrete jacket"),"Steel plate or jacket",Q851)</f>
        <v>Polymer laminate</v>
      </c>
      <c r="S851" s="5" t="str">
        <f aca="false">IF(O851&lt;='Tree rules'!$C$4,IF(N851&lt;='Tree rules'!$C$5,IF(P851&lt;='Tree rules'!$C$6,"Monitor","Polymer laminate"),IF(P851&lt;='Tree rules'!$C$7,"Seal cracks","Polymer laminate")),IF(O851&lt;='Tree rules'!$C$8,IF(M851&lt;='Tree rules'!$C$9,"Steel plate or jacket","Polymer laminate"),IF(L851&lt;='Tree rules'!$C$10,"Steel plate or jacket","Polymer laminate")))</f>
        <v>Polymer laminate</v>
      </c>
      <c r="T851" s="5" t="str">
        <f aca="false">IF(S851=R851,"Yes","No")</f>
        <v>Yes</v>
      </c>
    </row>
    <row r="852" customFormat="false" ht="15" hidden="false" customHeight="false" outlineLevel="0" collapsed="false">
      <c r="A852" s="15" t="n">
        <v>1190</v>
      </c>
      <c r="B852" s="16" t="n">
        <v>3.60844335545444</v>
      </c>
      <c r="C852" s="15" t="n">
        <v>300</v>
      </c>
      <c r="D852" s="15" t="n">
        <v>300</v>
      </c>
      <c r="E852" s="15" t="n">
        <v>30</v>
      </c>
      <c r="F852" s="16" t="n">
        <v>0.625711399885104</v>
      </c>
      <c r="G852" s="17" t="s">
        <v>90</v>
      </c>
      <c r="H852" s="18" t="n">
        <v>0.1</v>
      </c>
      <c r="I852" s="18" t="n">
        <v>1.5</v>
      </c>
      <c r="J852" s="19" t="n">
        <v>0.889058701171266</v>
      </c>
      <c r="K852" s="19" t="n">
        <v>0.425137348415627</v>
      </c>
      <c r="L852" s="16" t="n">
        <v>14.972794006035</v>
      </c>
      <c r="M852" s="19" t="n">
        <v>0.513269300489767</v>
      </c>
      <c r="N852" s="19" t="n">
        <v>3.43946627733569</v>
      </c>
      <c r="O852" s="19" t="n">
        <v>1.144602022356</v>
      </c>
      <c r="P852" s="19" t="n">
        <v>0.510190749899316</v>
      </c>
      <c r="Q852" s="17" t="s">
        <v>31</v>
      </c>
      <c r="R852" s="5" t="str">
        <f aca="false">IF(OR(Q852="Steel plate",Q852="Concrete jacket"),"Steel plate or jacket",Q852)</f>
        <v>Polymer laminate</v>
      </c>
      <c r="S852" s="5" t="str">
        <f aca="false">IF(O852&lt;='Tree rules'!$C$4,IF(N852&lt;='Tree rules'!$C$5,IF(P852&lt;='Tree rules'!$C$6,"Monitor","Polymer laminate"),IF(P852&lt;='Tree rules'!$C$7,"Seal cracks","Polymer laminate")),IF(O852&lt;='Tree rules'!$C$8,IF(M852&lt;='Tree rules'!$C$9,"Steel plate or jacket","Polymer laminate"),IF(L852&lt;='Tree rules'!$C$10,"Steel plate or jacket","Polymer laminate")))</f>
        <v>Polymer laminate</v>
      </c>
      <c r="T852" s="5" t="str">
        <f aca="false">IF(S852=R852,"Yes","No")</f>
        <v>Yes</v>
      </c>
    </row>
    <row r="853" customFormat="false" ht="15" hidden="false" customHeight="false" outlineLevel="0" collapsed="false">
      <c r="A853" s="15" t="n">
        <v>1193</v>
      </c>
      <c r="B853" s="16" t="n">
        <v>6.87863799031305</v>
      </c>
      <c r="C853" s="15" t="n">
        <v>300</v>
      </c>
      <c r="D853" s="15" t="n">
        <v>600</v>
      </c>
      <c r="E853" s="15" t="n">
        <v>30</v>
      </c>
      <c r="F853" s="16" t="n">
        <v>0.5850265649143</v>
      </c>
      <c r="G853" s="17" t="s">
        <v>90</v>
      </c>
      <c r="H853" s="18" t="n">
        <v>0.1</v>
      </c>
      <c r="I853" s="18" t="n">
        <v>1</v>
      </c>
      <c r="J853" s="19" t="n">
        <v>0.95695425174961</v>
      </c>
      <c r="K853" s="19" t="n">
        <v>0.612332064150821</v>
      </c>
      <c r="L853" s="16" t="n">
        <v>12.8093817324265</v>
      </c>
      <c r="M853" s="19" t="n">
        <v>0.514096773575439</v>
      </c>
      <c r="N853" s="19" t="n">
        <v>2.80501232356602</v>
      </c>
      <c r="O853" s="19" t="n">
        <v>0.95695425174961</v>
      </c>
      <c r="P853" s="19" t="n">
        <v>0.606997654939167</v>
      </c>
      <c r="Q853" s="17" t="s">
        <v>30</v>
      </c>
      <c r="R853" s="5" t="str">
        <f aca="false">IF(OR(Q853="Steel plate",Q853="Concrete jacket"),"Steel plate or jacket",Q853)</f>
        <v>Seal cracks</v>
      </c>
      <c r="S853" s="5" t="str">
        <f aca="false">IF(O853&lt;='Tree rules'!$C$4,IF(N853&lt;='Tree rules'!$C$5,IF(P853&lt;='Tree rules'!$C$6,"Monitor","Polymer laminate"),IF(P853&lt;='Tree rules'!$C$7,"Seal cracks","Polymer laminate")),IF(O853&lt;='Tree rules'!$C$8,IF(M853&lt;='Tree rules'!$C$9,"Steel plate or jacket","Polymer laminate"),IF(L853&lt;='Tree rules'!$C$10,"Steel plate or jacket","Polymer laminate")))</f>
        <v>Seal cracks</v>
      </c>
      <c r="T853" s="5" t="str">
        <f aca="false">IF(S853=R853,"Yes","No")</f>
        <v>Yes</v>
      </c>
    </row>
    <row r="854" customFormat="false" ht="15" hidden="false" customHeight="false" outlineLevel="0" collapsed="false">
      <c r="A854" s="15" t="n">
        <v>1194</v>
      </c>
      <c r="B854" s="16" t="n">
        <v>5.04639789110273</v>
      </c>
      <c r="C854" s="15" t="n">
        <v>300</v>
      </c>
      <c r="D854" s="15" t="n">
        <v>475</v>
      </c>
      <c r="E854" s="15" t="n">
        <v>25</v>
      </c>
      <c r="F854" s="16" t="n">
        <v>0.735735984447258</v>
      </c>
      <c r="G854" s="17" t="s">
        <v>89</v>
      </c>
      <c r="H854" s="18" t="n">
        <v>0.3</v>
      </c>
      <c r="I854" s="18" t="n">
        <v>2</v>
      </c>
      <c r="J854" s="19" t="n">
        <v>0.877258139197782</v>
      </c>
      <c r="K854" s="19" t="n">
        <v>0.485448813039236</v>
      </c>
      <c r="L854" s="16" t="n">
        <v>11.8182620400532</v>
      </c>
      <c r="M854" s="19" t="n">
        <v>0.429586450496452</v>
      </c>
      <c r="N854" s="19" t="n">
        <v>1.13469526537007</v>
      </c>
      <c r="O854" s="19" t="n">
        <v>1.32865235599299</v>
      </c>
      <c r="P854" s="19" t="n">
        <v>0.908128213529846</v>
      </c>
      <c r="Q854" s="17" t="s">
        <v>31</v>
      </c>
      <c r="R854" s="5" t="str">
        <f aca="false">IF(OR(Q854="Steel plate",Q854="Concrete jacket"),"Steel plate or jacket",Q854)</f>
        <v>Polymer laminate</v>
      </c>
      <c r="S854" s="5" t="str">
        <f aca="false">IF(O854&lt;='Tree rules'!$C$4,IF(N854&lt;='Tree rules'!$C$5,IF(P854&lt;='Tree rules'!$C$6,"Monitor","Polymer laminate"),IF(P854&lt;='Tree rules'!$C$7,"Seal cracks","Polymer laminate")),IF(O854&lt;='Tree rules'!$C$8,IF(M854&lt;='Tree rules'!$C$9,"Steel plate or jacket","Polymer laminate"),IF(L854&lt;='Tree rules'!$C$10,"Steel plate or jacket","Polymer laminate")))</f>
        <v>Steel plate or jacket</v>
      </c>
      <c r="T854" s="5" t="str">
        <f aca="false">IF(S854=R854,"Yes","No")</f>
        <v>No</v>
      </c>
    </row>
    <row r="855" customFormat="false" ht="15" hidden="false" customHeight="false" outlineLevel="0" collapsed="false">
      <c r="A855" s="15" t="n">
        <v>1198</v>
      </c>
      <c r="B855" s="16" t="n">
        <v>6.75552672851005</v>
      </c>
      <c r="C855" s="15" t="n">
        <v>300</v>
      </c>
      <c r="D855" s="15" t="n">
        <v>625</v>
      </c>
      <c r="E855" s="15" t="n">
        <v>20</v>
      </c>
      <c r="F855" s="16" t="n">
        <v>0.578762031749415</v>
      </c>
      <c r="G855" s="17" t="s">
        <v>89</v>
      </c>
      <c r="H855" s="18" t="n">
        <v>0.3</v>
      </c>
      <c r="I855" s="18" t="n">
        <v>2</v>
      </c>
      <c r="J855" s="19" t="n">
        <v>0.922475699741521</v>
      </c>
      <c r="K855" s="19" t="n">
        <v>0.546706515331383</v>
      </c>
      <c r="L855" s="16" t="n">
        <v>11.6675763877548</v>
      </c>
      <c r="M855" s="19" t="n">
        <v>0.30781602783299</v>
      </c>
      <c r="N855" s="19" t="n">
        <v>0.909417312324468</v>
      </c>
      <c r="O855" s="19" t="n">
        <v>1.34062792419948</v>
      </c>
      <c r="P855" s="19" t="n">
        <v>1.26274188359431</v>
      </c>
      <c r="Q855" s="17" t="s">
        <v>92</v>
      </c>
      <c r="R855" s="5" t="str">
        <f aca="false">IF(OR(Q855="Steel plate",Q855="Concrete jacket"),"Steel plate or jacket",Q855)</f>
        <v>Steel plate or jacket</v>
      </c>
      <c r="S855" s="5" t="str">
        <f aca="false">IF(O855&lt;='Tree rules'!$C$4,IF(N855&lt;='Tree rules'!$C$5,IF(P855&lt;='Tree rules'!$C$6,"Monitor","Polymer laminate"),IF(P855&lt;='Tree rules'!$C$7,"Seal cracks","Polymer laminate")),IF(O855&lt;='Tree rules'!$C$8,IF(M855&lt;='Tree rules'!$C$9,"Steel plate or jacket","Polymer laminate"),IF(L855&lt;='Tree rules'!$C$10,"Steel plate or jacket","Polymer laminate")))</f>
        <v>Steel plate or jacket</v>
      </c>
      <c r="T855" s="5" t="str">
        <f aca="false">IF(S855=R855,"Yes","No")</f>
        <v>Yes</v>
      </c>
    </row>
    <row r="856" customFormat="false" ht="15" hidden="false" customHeight="false" outlineLevel="0" collapsed="false">
      <c r="A856" s="15" t="n">
        <v>1199</v>
      </c>
      <c r="B856" s="16" t="n">
        <v>4.21435323644317</v>
      </c>
      <c r="C856" s="15" t="n">
        <v>300</v>
      </c>
      <c r="D856" s="15" t="n">
        <v>400</v>
      </c>
      <c r="E856" s="15" t="n">
        <v>25</v>
      </c>
      <c r="F856" s="16" t="n">
        <v>0.790804050461148</v>
      </c>
      <c r="G856" s="17" t="s">
        <v>90</v>
      </c>
      <c r="H856" s="18" t="n">
        <v>0.1</v>
      </c>
      <c r="I856" s="18" t="n">
        <v>1</v>
      </c>
      <c r="J856" s="19" t="n">
        <v>0.914251752374018</v>
      </c>
      <c r="K856" s="19" t="n">
        <v>0.598589484663466</v>
      </c>
      <c r="L856" s="16" t="n">
        <v>12.4317204614843</v>
      </c>
      <c r="M856" s="19" t="n">
        <v>0.924547470591507</v>
      </c>
      <c r="N856" s="19" t="n">
        <v>2.35151888985134</v>
      </c>
      <c r="O856" s="19" t="n">
        <v>0.914251752374018</v>
      </c>
      <c r="P856" s="19" t="n">
        <v>0.385207872317682</v>
      </c>
      <c r="Q856" s="17" t="s">
        <v>30</v>
      </c>
      <c r="R856" s="5" t="str">
        <f aca="false">IF(OR(Q856="Steel plate",Q856="Concrete jacket"),"Steel plate or jacket",Q856)</f>
        <v>Seal cracks</v>
      </c>
      <c r="S856" s="5" t="str">
        <f aca="false">IF(O856&lt;='Tree rules'!$C$4,IF(N856&lt;='Tree rules'!$C$5,IF(P856&lt;='Tree rules'!$C$6,"Monitor","Polymer laminate"),IF(P856&lt;='Tree rules'!$C$7,"Seal cracks","Polymer laminate")),IF(O856&lt;='Tree rules'!$C$8,IF(M856&lt;='Tree rules'!$C$9,"Steel plate or jacket","Polymer laminate"),IF(L856&lt;='Tree rules'!$C$10,"Steel plate or jacket","Polymer laminate")))</f>
        <v>Seal cracks</v>
      </c>
      <c r="T856" s="5" t="str">
        <f aca="false">IF(S856=R856,"Yes","No")</f>
        <v>Yes</v>
      </c>
    </row>
    <row r="857" customFormat="false" ht="15" hidden="false" customHeight="false" outlineLevel="0" collapsed="false">
      <c r="A857" s="15" t="n">
        <v>1200</v>
      </c>
      <c r="B857" s="16" t="n">
        <v>4.12255421274546</v>
      </c>
      <c r="C857" s="15" t="n">
        <v>300</v>
      </c>
      <c r="D857" s="15" t="n">
        <v>375</v>
      </c>
      <c r="E857" s="15" t="n">
        <v>25</v>
      </c>
      <c r="F857" s="16" t="n">
        <v>0.640487798897002</v>
      </c>
      <c r="G857" s="17" t="s">
        <v>91</v>
      </c>
      <c r="H857" s="18" t="n">
        <v>0.2</v>
      </c>
      <c r="I857" s="18" t="n">
        <v>1</v>
      </c>
      <c r="J857" s="19" t="n">
        <v>0.995055678042645</v>
      </c>
      <c r="K857" s="19" t="n">
        <v>0.61081529756694</v>
      </c>
      <c r="L857" s="16" t="n">
        <v>12.6071994273561</v>
      </c>
      <c r="M857" s="19" t="n">
        <v>0.471286936733402</v>
      </c>
      <c r="N857" s="19" t="n">
        <v>1.71161128085698</v>
      </c>
      <c r="O857" s="19" t="n">
        <v>0.995055678042645</v>
      </c>
      <c r="P857" s="19" t="n">
        <v>0.712240844621245</v>
      </c>
      <c r="Q857" s="17" t="s">
        <v>30</v>
      </c>
      <c r="R857" s="5" t="str">
        <f aca="false">IF(OR(Q857="Steel plate",Q857="Concrete jacket"),"Steel plate or jacket",Q857)</f>
        <v>Seal cracks</v>
      </c>
      <c r="S857" s="5" t="str">
        <f aca="false">IF(O857&lt;='Tree rules'!$C$4,IF(N857&lt;='Tree rules'!$C$5,IF(P857&lt;='Tree rules'!$C$6,"Monitor","Polymer laminate"),IF(P857&lt;='Tree rules'!$C$7,"Seal cracks","Polymer laminate")),IF(O857&lt;='Tree rules'!$C$8,IF(M857&lt;='Tree rules'!$C$9,"Steel plate or jacket","Polymer laminate"),IF(L857&lt;='Tree rules'!$C$10,"Steel plate or jacket","Polymer laminate")))</f>
        <v>Seal cracks</v>
      </c>
      <c r="T857" s="5" t="str">
        <f aca="false">IF(S857=R857,"Yes","No")</f>
        <v>Yes</v>
      </c>
    </row>
    <row r="858" customFormat="false" ht="15" hidden="false" customHeight="false" outlineLevel="0" collapsed="false">
      <c r="A858" s="15" t="n">
        <v>1201</v>
      </c>
      <c r="B858" s="16" t="n">
        <v>5.30662087076562</v>
      </c>
      <c r="C858" s="15" t="n">
        <v>300</v>
      </c>
      <c r="D858" s="15" t="n">
        <v>500</v>
      </c>
      <c r="E858" s="15" t="n">
        <v>20</v>
      </c>
      <c r="F858" s="16" t="n">
        <v>0.695042622475618</v>
      </c>
      <c r="G858" s="17" t="s">
        <v>91</v>
      </c>
      <c r="H858" s="18" t="n">
        <v>0.2</v>
      </c>
      <c r="I858" s="18" t="n">
        <v>1</v>
      </c>
      <c r="J858" s="19" t="n">
        <v>0.925000126646427</v>
      </c>
      <c r="K858" s="19" t="n">
        <v>0.428283122415527</v>
      </c>
      <c r="L858" s="16" t="n">
        <v>11.7403116609859</v>
      </c>
      <c r="M858" s="19" t="n">
        <v>0.914283071768572</v>
      </c>
      <c r="N858" s="19" t="n">
        <v>1.01931638593804</v>
      </c>
      <c r="O858" s="19" t="n">
        <v>0.925000126646427</v>
      </c>
      <c r="P858" s="19" t="n">
        <v>0.373219367433238</v>
      </c>
      <c r="Q858" s="17" t="s">
        <v>30</v>
      </c>
      <c r="R858" s="5" t="str">
        <f aca="false">IF(OR(Q858="Steel plate",Q858="Concrete jacket"),"Steel plate or jacket",Q858)</f>
        <v>Seal cracks</v>
      </c>
      <c r="S858" s="5" t="str">
        <f aca="false">IF(O858&lt;='Tree rules'!$C$4,IF(N858&lt;='Tree rules'!$C$5,IF(P858&lt;='Tree rules'!$C$6,"Monitor","Polymer laminate"),IF(P858&lt;='Tree rules'!$C$7,"Seal cracks","Polymer laminate")),IF(O858&lt;='Tree rules'!$C$8,IF(M858&lt;='Tree rules'!$C$9,"Steel plate or jacket","Polymer laminate"),IF(L858&lt;='Tree rules'!$C$10,"Steel plate or jacket","Polymer laminate")))</f>
        <v>Seal cracks</v>
      </c>
      <c r="T858" s="5" t="str">
        <f aca="false">IF(S858=R858,"Yes","No")</f>
        <v>Yes</v>
      </c>
    </row>
    <row r="859" customFormat="false" ht="15" hidden="false" customHeight="false" outlineLevel="0" collapsed="false">
      <c r="A859" s="15" t="n">
        <v>1202</v>
      </c>
      <c r="B859" s="16" t="n">
        <v>3.14392780138766</v>
      </c>
      <c r="C859" s="15" t="n">
        <v>230</v>
      </c>
      <c r="D859" s="15" t="n">
        <v>300</v>
      </c>
      <c r="E859" s="15" t="n">
        <v>30</v>
      </c>
      <c r="F859" s="16" t="n">
        <v>1.09729996268736</v>
      </c>
      <c r="G859" s="17" t="s">
        <v>90</v>
      </c>
      <c r="H859" s="18" t="n">
        <v>0.1</v>
      </c>
      <c r="I859" s="18" t="n">
        <v>1</v>
      </c>
      <c r="J859" s="19" t="n">
        <v>0.874660336944187</v>
      </c>
      <c r="K859" s="19" t="n">
        <v>0.427085966069876</v>
      </c>
      <c r="L859" s="16" t="n">
        <v>13.1545096292371</v>
      </c>
      <c r="M859" s="19" t="n">
        <v>0.828095846559442</v>
      </c>
      <c r="N859" s="19" t="n">
        <v>2.4774666080246</v>
      </c>
      <c r="O859" s="19" t="n">
        <v>0.874660336944187</v>
      </c>
      <c r="P859" s="19" t="n">
        <v>0.38744732421948</v>
      </c>
      <c r="Q859" s="17" t="s">
        <v>30</v>
      </c>
      <c r="R859" s="5" t="str">
        <f aca="false">IF(OR(Q859="Steel plate",Q859="Concrete jacket"),"Steel plate or jacket",Q859)</f>
        <v>Seal cracks</v>
      </c>
      <c r="S859" s="5" t="str">
        <f aca="false">IF(O859&lt;='Tree rules'!$C$4,IF(N859&lt;='Tree rules'!$C$5,IF(P859&lt;='Tree rules'!$C$6,"Monitor","Polymer laminate"),IF(P859&lt;='Tree rules'!$C$7,"Seal cracks","Polymer laminate")),IF(O859&lt;='Tree rules'!$C$8,IF(M859&lt;='Tree rules'!$C$9,"Steel plate or jacket","Polymer laminate"),IF(L859&lt;='Tree rules'!$C$10,"Steel plate or jacket","Polymer laminate")))</f>
        <v>Seal cracks</v>
      </c>
      <c r="T859" s="5" t="str">
        <f aca="false">IF(S859=R859,"Yes","No")</f>
        <v>Yes</v>
      </c>
    </row>
    <row r="860" customFormat="false" ht="15" hidden="false" customHeight="false" outlineLevel="0" collapsed="false">
      <c r="A860" s="15" t="n">
        <v>1203</v>
      </c>
      <c r="B860" s="16" t="n">
        <v>3.62091498379577</v>
      </c>
      <c r="C860" s="15" t="n">
        <v>230</v>
      </c>
      <c r="D860" s="15" t="n">
        <v>350</v>
      </c>
      <c r="E860" s="15" t="n">
        <v>30</v>
      </c>
      <c r="F860" s="16" t="n">
        <v>0.862679904875916</v>
      </c>
      <c r="G860" s="17" t="s">
        <v>89</v>
      </c>
      <c r="H860" s="18" t="n">
        <v>0.3</v>
      </c>
      <c r="I860" s="18" t="n">
        <v>1</v>
      </c>
      <c r="J860" s="19" t="n">
        <v>0.862228646919319</v>
      </c>
      <c r="K860" s="19" t="n">
        <v>0.537560423321856</v>
      </c>
      <c r="L860" s="16" t="n">
        <v>11.9109045519598</v>
      </c>
      <c r="M860" s="19" t="n">
        <v>0.588641747324513</v>
      </c>
      <c r="N860" s="19" t="n">
        <v>0.633078436988354</v>
      </c>
      <c r="O860" s="19" t="n">
        <v>0.862228646919319</v>
      </c>
      <c r="P860" s="19" t="n">
        <v>0.535244815891198</v>
      </c>
      <c r="Q860" s="17" t="s">
        <v>29</v>
      </c>
      <c r="R860" s="5" t="str">
        <f aca="false">IF(OR(Q860="Steel plate",Q860="Concrete jacket"),"Steel plate or jacket",Q860)</f>
        <v>Monitor</v>
      </c>
      <c r="S860" s="5" t="str">
        <f aca="false">IF(O860&lt;='Tree rules'!$C$4,IF(N860&lt;='Tree rules'!$C$5,IF(P860&lt;='Tree rules'!$C$6,"Monitor","Polymer laminate"),IF(P860&lt;='Tree rules'!$C$7,"Seal cracks","Polymer laminate")),IF(O860&lt;='Tree rules'!$C$8,IF(M860&lt;='Tree rules'!$C$9,"Steel plate or jacket","Polymer laminate"),IF(L860&lt;='Tree rules'!$C$10,"Steel plate or jacket","Polymer laminate")))</f>
        <v>Monitor</v>
      </c>
      <c r="T860" s="5" t="str">
        <f aca="false">IF(S860=R860,"Yes","No")</f>
        <v>Yes</v>
      </c>
    </row>
    <row r="861" customFormat="false" ht="15" hidden="false" customHeight="false" outlineLevel="0" collapsed="false">
      <c r="A861" s="15" t="n">
        <v>1204</v>
      </c>
      <c r="B861" s="16" t="n">
        <v>6.10218067968746</v>
      </c>
      <c r="C861" s="15" t="n">
        <v>230</v>
      </c>
      <c r="D861" s="15" t="n">
        <v>500</v>
      </c>
      <c r="E861" s="15" t="n">
        <v>30</v>
      </c>
      <c r="F861" s="16" t="n">
        <v>0.604384889109233</v>
      </c>
      <c r="G861" s="17" t="s">
        <v>91</v>
      </c>
      <c r="H861" s="18" t="n">
        <v>0.2</v>
      </c>
      <c r="I861" s="18" t="n">
        <v>1.5</v>
      </c>
      <c r="J861" s="19" t="n">
        <v>0.9145657942161</v>
      </c>
      <c r="K861" s="19" t="n">
        <v>0.460784069858249</v>
      </c>
      <c r="L861" s="16" t="n">
        <v>13.5003997338218</v>
      </c>
      <c r="M861" s="19" t="n">
        <v>0.288226602576408</v>
      </c>
      <c r="N861" s="19" t="n">
        <v>1.75769112460393</v>
      </c>
      <c r="O861" s="19" t="n">
        <v>1.16114001691813</v>
      </c>
      <c r="P861" s="19" t="n">
        <v>1.12221163735348</v>
      </c>
      <c r="Q861" s="17" t="s">
        <v>31</v>
      </c>
      <c r="R861" s="5" t="str">
        <f aca="false">IF(OR(Q861="Steel plate",Q861="Concrete jacket"),"Steel plate or jacket",Q861)</f>
        <v>Polymer laminate</v>
      </c>
      <c r="S861" s="5" t="str">
        <f aca="false">IF(O861&lt;='Tree rules'!$C$4,IF(N861&lt;='Tree rules'!$C$5,IF(P861&lt;='Tree rules'!$C$6,"Monitor","Polymer laminate"),IF(P861&lt;='Tree rules'!$C$7,"Seal cracks","Polymer laminate")),IF(O861&lt;='Tree rules'!$C$8,IF(M861&lt;='Tree rules'!$C$9,"Steel plate or jacket","Polymer laminate"),IF(L861&lt;='Tree rules'!$C$10,"Steel plate or jacket","Polymer laminate")))</f>
        <v>Steel plate or jacket</v>
      </c>
      <c r="T861" s="5" t="str">
        <f aca="false">IF(S861=R861,"Yes","No")</f>
        <v>No</v>
      </c>
    </row>
    <row r="862" customFormat="false" ht="15" hidden="false" customHeight="false" outlineLevel="0" collapsed="false">
      <c r="A862" s="15" t="n">
        <v>1205</v>
      </c>
      <c r="B862" s="16" t="n">
        <v>6.06094833985664</v>
      </c>
      <c r="C862" s="15" t="n">
        <v>300</v>
      </c>
      <c r="D862" s="15" t="n">
        <v>575</v>
      </c>
      <c r="E862" s="15" t="n">
        <v>25</v>
      </c>
      <c r="F862" s="16" t="n">
        <v>0.79483685100311</v>
      </c>
      <c r="G862" s="17" t="s">
        <v>89</v>
      </c>
      <c r="H862" s="18" t="n">
        <v>0.3</v>
      </c>
      <c r="I862" s="18" t="n">
        <v>1</v>
      </c>
      <c r="J862" s="19" t="n">
        <v>0.954732305231465</v>
      </c>
      <c r="K862" s="19" t="n">
        <v>0.458080987583275</v>
      </c>
      <c r="L862" s="16" t="n">
        <v>11.5008507397659</v>
      </c>
      <c r="M862" s="19" t="n">
        <v>0.389786351283257</v>
      </c>
      <c r="N862" s="19" t="n">
        <v>0.688995606582581</v>
      </c>
      <c r="O862" s="19" t="n">
        <v>0.954732305231466</v>
      </c>
      <c r="P862" s="19" t="n">
        <v>0.897481532880619</v>
      </c>
      <c r="Q862" s="17" t="s">
        <v>29</v>
      </c>
      <c r="R862" s="5" t="str">
        <f aca="false">IF(OR(Q862="Steel plate",Q862="Concrete jacket"),"Steel plate or jacket",Q862)</f>
        <v>Monitor</v>
      </c>
      <c r="S862" s="5" t="str">
        <f aca="false">IF(O862&lt;='Tree rules'!$C$4,IF(N862&lt;='Tree rules'!$C$5,IF(P862&lt;='Tree rules'!$C$6,"Monitor","Polymer laminate"),IF(P862&lt;='Tree rules'!$C$7,"Seal cracks","Polymer laminate")),IF(O862&lt;='Tree rules'!$C$8,IF(M862&lt;='Tree rules'!$C$9,"Steel plate or jacket","Polymer laminate"),IF(L862&lt;='Tree rules'!$C$10,"Steel plate or jacket","Polymer laminate")))</f>
        <v>Monitor</v>
      </c>
      <c r="T862" s="5" t="str">
        <f aca="false">IF(S862=R862,"Yes","No")</f>
        <v>Yes</v>
      </c>
    </row>
    <row r="863" customFormat="false" ht="15" hidden="false" customHeight="false" outlineLevel="0" collapsed="false">
      <c r="A863" s="15" t="n">
        <v>1206</v>
      </c>
      <c r="B863" s="16" t="n">
        <v>4.66723829559916</v>
      </c>
      <c r="C863" s="15" t="n">
        <v>230</v>
      </c>
      <c r="D863" s="15" t="n">
        <v>450</v>
      </c>
      <c r="E863" s="15" t="n">
        <v>20</v>
      </c>
      <c r="F863" s="16" t="n">
        <v>0.649145274956135</v>
      </c>
      <c r="G863" s="17" t="s">
        <v>89</v>
      </c>
      <c r="H863" s="18" t="n">
        <v>0.3</v>
      </c>
      <c r="I863" s="18" t="n">
        <v>1</v>
      </c>
      <c r="J863" s="19" t="n">
        <v>0.896125680456184</v>
      </c>
      <c r="K863" s="19" t="n">
        <v>0.400207507491381</v>
      </c>
      <c r="L863" s="16" t="n">
        <v>11.5525700386118</v>
      </c>
      <c r="M863" s="19" t="n">
        <v>0.617429061106912</v>
      </c>
      <c r="N863" s="19" t="n">
        <v>0.624350433326197</v>
      </c>
      <c r="O863" s="19" t="n">
        <v>0.896125680456184</v>
      </c>
      <c r="P863" s="19" t="n">
        <v>0.458575769647957</v>
      </c>
      <c r="Q863" s="17" t="s">
        <v>29</v>
      </c>
      <c r="R863" s="5" t="str">
        <f aca="false">IF(OR(Q863="Steel plate",Q863="Concrete jacket"),"Steel plate or jacket",Q863)</f>
        <v>Monitor</v>
      </c>
      <c r="S863" s="5" t="str">
        <f aca="false">IF(O863&lt;='Tree rules'!$C$4,IF(N863&lt;='Tree rules'!$C$5,IF(P863&lt;='Tree rules'!$C$6,"Monitor","Polymer laminate"),IF(P863&lt;='Tree rules'!$C$7,"Seal cracks","Polymer laminate")),IF(O863&lt;='Tree rules'!$C$8,IF(M863&lt;='Tree rules'!$C$9,"Steel plate or jacket","Polymer laminate"),IF(L863&lt;='Tree rules'!$C$10,"Steel plate or jacket","Polymer laminate")))</f>
        <v>Monitor</v>
      </c>
      <c r="T863" s="5" t="str">
        <f aca="false">IF(S863=R863,"Yes","No")</f>
        <v>Yes</v>
      </c>
    </row>
    <row r="864" customFormat="false" ht="15" hidden="false" customHeight="false" outlineLevel="0" collapsed="false">
      <c r="A864" s="15" t="n">
        <v>1207</v>
      </c>
      <c r="B864" s="16" t="n">
        <v>6.70970553701002</v>
      </c>
      <c r="C864" s="15" t="n">
        <v>230</v>
      </c>
      <c r="D864" s="15" t="n">
        <v>650</v>
      </c>
      <c r="E864" s="15" t="n">
        <v>30</v>
      </c>
      <c r="F864" s="16" t="n">
        <v>0.680685971455249</v>
      </c>
      <c r="G864" s="17" t="s">
        <v>91</v>
      </c>
      <c r="H864" s="18" t="n">
        <v>0.2</v>
      </c>
      <c r="I864" s="18" t="n">
        <v>2</v>
      </c>
      <c r="J864" s="19" t="n">
        <v>0.908004296739151</v>
      </c>
      <c r="K864" s="19" t="n">
        <v>0.401559539373125</v>
      </c>
      <c r="L864" s="16" t="n">
        <v>11.145690260814</v>
      </c>
      <c r="M864" s="19" t="n">
        <v>0.459840518012361</v>
      </c>
      <c r="N864" s="19" t="n">
        <v>1.58236415360595</v>
      </c>
      <c r="O864" s="19" t="n">
        <v>1.45139080633091</v>
      </c>
      <c r="P864" s="19" t="n">
        <v>0.777774445624776</v>
      </c>
      <c r="Q864" s="17" t="s">
        <v>92</v>
      </c>
      <c r="R864" s="5" t="str">
        <f aca="false">IF(OR(Q864="Steel plate",Q864="Concrete jacket"),"Steel plate or jacket",Q864)</f>
        <v>Steel plate or jacket</v>
      </c>
      <c r="S864" s="5" t="str">
        <f aca="false">IF(O864&lt;='Tree rules'!$C$4,IF(N864&lt;='Tree rules'!$C$5,IF(P864&lt;='Tree rules'!$C$6,"Monitor","Polymer laminate"),IF(P864&lt;='Tree rules'!$C$7,"Seal cracks","Polymer laminate")),IF(O864&lt;='Tree rules'!$C$8,IF(M864&lt;='Tree rules'!$C$9,"Steel plate or jacket","Polymer laminate"),IF(L864&lt;='Tree rules'!$C$10,"Steel plate or jacket","Polymer laminate")))</f>
        <v>Steel plate or jacket</v>
      </c>
      <c r="T864" s="5" t="str">
        <f aca="false">IF(S864=R864,"Yes","No")</f>
        <v>Yes</v>
      </c>
    </row>
    <row r="865" customFormat="false" ht="15" hidden="false" customHeight="false" outlineLevel="0" collapsed="false">
      <c r="A865" s="15" t="n">
        <v>1212</v>
      </c>
      <c r="B865" s="16" t="n">
        <v>6.23179374385755</v>
      </c>
      <c r="C865" s="15" t="n">
        <v>230</v>
      </c>
      <c r="D865" s="15" t="n">
        <v>500</v>
      </c>
      <c r="E865" s="15" t="n">
        <v>25</v>
      </c>
      <c r="F865" s="16" t="n">
        <v>0.577653504586516</v>
      </c>
      <c r="G865" s="17" t="s">
        <v>91</v>
      </c>
      <c r="H865" s="18" t="n">
        <v>0.2</v>
      </c>
      <c r="I865" s="18" t="n">
        <v>1.5</v>
      </c>
      <c r="J865" s="19" t="n">
        <v>0.995788703982014</v>
      </c>
      <c r="K865" s="19" t="n">
        <v>0.488455948981936</v>
      </c>
      <c r="L865" s="16" t="n">
        <v>13.7264179380122</v>
      </c>
      <c r="M865" s="19" t="n">
        <v>0.436843161082145</v>
      </c>
      <c r="N865" s="19" t="n">
        <v>1.38558999234052</v>
      </c>
      <c r="O865" s="19" t="n">
        <v>1.25048359777851</v>
      </c>
      <c r="P865" s="19" t="n">
        <v>0.880151077641123</v>
      </c>
      <c r="Q865" s="17" t="s">
        <v>31</v>
      </c>
      <c r="R865" s="5" t="str">
        <f aca="false">IF(OR(Q865="Steel plate",Q865="Concrete jacket"),"Steel plate or jacket",Q865)</f>
        <v>Polymer laminate</v>
      </c>
      <c r="S865" s="5" t="str">
        <f aca="false">IF(O865&lt;='Tree rules'!$C$4,IF(N865&lt;='Tree rules'!$C$5,IF(P865&lt;='Tree rules'!$C$6,"Monitor","Polymer laminate"),IF(P865&lt;='Tree rules'!$C$7,"Seal cracks","Polymer laminate")),IF(O865&lt;='Tree rules'!$C$8,IF(M865&lt;='Tree rules'!$C$9,"Steel plate or jacket","Polymer laminate"),IF(L865&lt;='Tree rules'!$C$10,"Steel plate or jacket","Polymer laminate")))</f>
        <v>Polymer laminate</v>
      </c>
      <c r="T865" s="5" t="str">
        <f aca="false">IF(S865=R865,"Yes","No")</f>
        <v>Yes</v>
      </c>
    </row>
    <row r="866" customFormat="false" ht="15" hidden="false" customHeight="false" outlineLevel="0" collapsed="false">
      <c r="A866" s="15" t="n">
        <v>1213</v>
      </c>
      <c r="B866" s="16" t="n">
        <v>3.09693826019925</v>
      </c>
      <c r="C866" s="15" t="n">
        <v>300</v>
      </c>
      <c r="D866" s="15" t="n">
        <v>300</v>
      </c>
      <c r="E866" s="15" t="n">
        <v>30</v>
      </c>
      <c r="F866" s="16" t="n">
        <v>0.589048622548086</v>
      </c>
      <c r="G866" s="17" t="s">
        <v>89</v>
      </c>
      <c r="H866" s="18" t="n">
        <v>0.3</v>
      </c>
      <c r="I866" s="18" t="n">
        <v>1</v>
      </c>
      <c r="J866" s="19" t="n">
        <v>0.975871400591539</v>
      </c>
      <c r="K866" s="19" t="n">
        <v>0.616774369305526</v>
      </c>
      <c r="L866" s="16" t="n">
        <v>12.0974150789033</v>
      </c>
      <c r="M866" s="19" t="n">
        <v>0.430822077428003</v>
      </c>
      <c r="N866" s="19" t="n">
        <v>0.740552761126505</v>
      </c>
      <c r="O866" s="19" t="n">
        <v>0.975871400591539</v>
      </c>
      <c r="P866" s="19" t="n">
        <v>0.595116760632093</v>
      </c>
      <c r="Q866" s="17" t="s">
        <v>29</v>
      </c>
      <c r="R866" s="5" t="str">
        <f aca="false">IF(OR(Q866="Steel plate",Q866="Concrete jacket"),"Steel plate or jacket",Q866)</f>
        <v>Monitor</v>
      </c>
      <c r="S866" s="5" t="str">
        <f aca="false">IF(O866&lt;='Tree rules'!$C$4,IF(N866&lt;='Tree rules'!$C$5,IF(P866&lt;='Tree rules'!$C$6,"Monitor","Polymer laminate"),IF(P866&lt;='Tree rules'!$C$7,"Seal cracks","Polymer laminate")),IF(O866&lt;='Tree rules'!$C$8,IF(M866&lt;='Tree rules'!$C$9,"Steel plate or jacket","Polymer laminate"),IF(L866&lt;='Tree rules'!$C$10,"Steel plate or jacket","Polymer laminate")))</f>
        <v>Monitor</v>
      </c>
      <c r="T866" s="5" t="str">
        <f aca="false">IF(S866=R866,"Yes","No")</f>
        <v>Yes</v>
      </c>
    </row>
    <row r="867" customFormat="false" ht="15" hidden="false" customHeight="false" outlineLevel="0" collapsed="false">
      <c r="A867" s="15" t="n">
        <v>1215</v>
      </c>
      <c r="B867" s="16" t="n">
        <v>4.3178545927849</v>
      </c>
      <c r="C867" s="15" t="n">
        <v>230</v>
      </c>
      <c r="D867" s="15" t="n">
        <v>400</v>
      </c>
      <c r="E867" s="15" t="n">
        <v>25</v>
      </c>
      <c r="F867" s="16" t="n">
        <v>0.810628990734046</v>
      </c>
      <c r="G867" s="17" t="s">
        <v>90</v>
      </c>
      <c r="H867" s="18" t="n">
        <v>0.1</v>
      </c>
      <c r="I867" s="18" t="n">
        <v>1</v>
      </c>
      <c r="J867" s="19" t="n">
        <v>0.882287151715676</v>
      </c>
      <c r="K867" s="19" t="n">
        <v>0.59689733869828</v>
      </c>
      <c r="L867" s="16" t="n">
        <v>12.8126249044062</v>
      </c>
      <c r="M867" s="19" t="n">
        <v>0.637983855853943</v>
      </c>
      <c r="N867" s="19" t="n">
        <v>2.72893364980708</v>
      </c>
      <c r="O867" s="19" t="n">
        <v>0.882287151715676</v>
      </c>
      <c r="P867" s="19" t="n">
        <v>0.532400057514343</v>
      </c>
      <c r="Q867" s="17" t="s">
        <v>30</v>
      </c>
      <c r="R867" s="5" t="str">
        <f aca="false">IF(OR(Q867="Steel plate",Q867="Concrete jacket"),"Steel plate or jacket",Q867)</f>
        <v>Seal cracks</v>
      </c>
      <c r="S867" s="5" t="str">
        <f aca="false">IF(O867&lt;='Tree rules'!$C$4,IF(N867&lt;='Tree rules'!$C$5,IF(P867&lt;='Tree rules'!$C$6,"Monitor","Polymer laminate"),IF(P867&lt;='Tree rules'!$C$7,"Seal cracks","Polymer laminate")),IF(O867&lt;='Tree rules'!$C$8,IF(M867&lt;='Tree rules'!$C$9,"Steel plate or jacket","Polymer laminate"),IF(L867&lt;='Tree rules'!$C$10,"Steel plate or jacket","Polymer laminate")))</f>
        <v>Seal cracks</v>
      </c>
      <c r="T867" s="5" t="str">
        <f aca="false">IF(S867=R867,"Yes","No")</f>
        <v>Yes</v>
      </c>
    </row>
    <row r="868" customFormat="false" ht="15" hidden="false" customHeight="false" outlineLevel="0" collapsed="false">
      <c r="A868" s="15" t="n">
        <v>1216</v>
      </c>
      <c r="B868" s="16" t="n">
        <v>6.38416623550509</v>
      </c>
      <c r="C868" s="15" t="n">
        <v>230</v>
      </c>
      <c r="D868" s="15" t="n">
        <v>575</v>
      </c>
      <c r="E868" s="15" t="n">
        <v>25</v>
      </c>
      <c r="F868" s="16" t="n">
        <v>0.661007412935799</v>
      </c>
      <c r="G868" s="17" t="s">
        <v>91</v>
      </c>
      <c r="H868" s="18" t="n">
        <v>0.2</v>
      </c>
      <c r="I868" s="18" t="n">
        <v>1.5</v>
      </c>
      <c r="J868" s="19" t="n">
        <v>0.916294932199804</v>
      </c>
      <c r="K868" s="19" t="n">
        <v>0.635999752877811</v>
      </c>
      <c r="L868" s="16" t="n">
        <v>12.0683671748679</v>
      </c>
      <c r="M868" s="19" t="n">
        <v>0.410127970074691</v>
      </c>
      <c r="N868" s="19" t="n">
        <v>1.07622275924542</v>
      </c>
      <c r="O868" s="19" t="n">
        <v>1.08306072307857</v>
      </c>
      <c r="P868" s="19" t="n">
        <v>0.947990465034687</v>
      </c>
      <c r="Q868" s="17" t="s">
        <v>31</v>
      </c>
      <c r="R868" s="5" t="str">
        <f aca="false">IF(OR(Q868="Steel plate",Q868="Concrete jacket"),"Steel plate or jacket",Q868)</f>
        <v>Polymer laminate</v>
      </c>
      <c r="S868" s="5" t="str">
        <f aca="false">IF(O868&lt;='Tree rules'!$C$4,IF(N868&lt;='Tree rules'!$C$5,IF(P868&lt;='Tree rules'!$C$6,"Monitor","Polymer laminate"),IF(P868&lt;='Tree rules'!$C$7,"Seal cracks","Polymer laminate")),IF(O868&lt;='Tree rules'!$C$8,IF(M868&lt;='Tree rules'!$C$9,"Steel plate or jacket","Polymer laminate"),IF(L868&lt;='Tree rules'!$C$10,"Steel plate or jacket","Polymer laminate")))</f>
        <v>Polymer laminate</v>
      </c>
      <c r="T868" s="5" t="str">
        <f aca="false">IF(S868=R868,"Yes","No")</f>
        <v>Yes</v>
      </c>
    </row>
    <row r="869" customFormat="false" ht="15" hidden="false" customHeight="false" outlineLevel="0" collapsed="false">
      <c r="A869" s="15" t="n">
        <v>1217</v>
      </c>
      <c r="B869" s="16" t="n">
        <v>6.21954439448131</v>
      </c>
      <c r="C869" s="15" t="n">
        <v>230</v>
      </c>
      <c r="D869" s="15" t="n">
        <v>575</v>
      </c>
      <c r="E869" s="15" t="n">
        <v>25</v>
      </c>
      <c r="F869" s="16" t="n">
        <v>0.777557789024782</v>
      </c>
      <c r="G869" s="17" t="s">
        <v>91</v>
      </c>
      <c r="H869" s="18" t="n">
        <v>0.2</v>
      </c>
      <c r="I869" s="18" t="n">
        <v>1</v>
      </c>
      <c r="J869" s="19" t="n">
        <v>0.924536876298583</v>
      </c>
      <c r="K869" s="19" t="n">
        <v>0.40221295865902</v>
      </c>
      <c r="L869" s="16" t="n">
        <v>11.8017920198886</v>
      </c>
      <c r="M869" s="19" t="n">
        <v>0.543569306240393</v>
      </c>
      <c r="N869" s="19" t="n">
        <v>0.972626239817305</v>
      </c>
      <c r="O869" s="19" t="n">
        <v>0.924536876298583</v>
      </c>
      <c r="P869" s="19" t="n">
        <v>0.615723148682418</v>
      </c>
      <c r="Q869" s="17" t="s">
        <v>29</v>
      </c>
      <c r="R869" s="5" t="str">
        <f aca="false">IF(OR(Q869="Steel plate",Q869="Concrete jacket"),"Steel plate or jacket",Q869)</f>
        <v>Monitor</v>
      </c>
      <c r="S869" s="5" t="str">
        <f aca="false">IF(O869&lt;='Tree rules'!$C$4,IF(N869&lt;='Tree rules'!$C$5,IF(P869&lt;='Tree rules'!$C$6,"Monitor","Polymer laminate"),IF(P869&lt;='Tree rules'!$C$7,"Seal cracks","Polymer laminate")),IF(O869&lt;='Tree rules'!$C$8,IF(M869&lt;='Tree rules'!$C$9,"Steel plate or jacket","Polymer laminate"),IF(L869&lt;='Tree rules'!$C$10,"Steel plate or jacket","Polymer laminate")))</f>
        <v>Monitor</v>
      </c>
      <c r="T869" s="5" t="str">
        <f aca="false">IF(S869=R869,"Yes","No")</f>
        <v>Yes</v>
      </c>
    </row>
    <row r="870" customFormat="false" ht="15" hidden="false" customHeight="false" outlineLevel="0" collapsed="false">
      <c r="A870" s="15" t="n">
        <v>1218</v>
      </c>
      <c r="B870" s="16" t="n">
        <v>3.36324443597543</v>
      </c>
      <c r="C870" s="15" t="n">
        <v>300</v>
      </c>
      <c r="D870" s="15" t="n">
        <v>325</v>
      </c>
      <c r="E870" s="15" t="n">
        <v>20</v>
      </c>
      <c r="F870" s="16" t="n">
        <v>0.67080270183412</v>
      </c>
      <c r="G870" s="17" t="s">
        <v>91</v>
      </c>
      <c r="H870" s="18" t="n">
        <v>0.2</v>
      </c>
      <c r="I870" s="18" t="n">
        <v>1</v>
      </c>
      <c r="J870" s="19" t="n">
        <v>0.923477527635026</v>
      </c>
      <c r="K870" s="19" t="n">
        <v>0.562083995910786</v>
      </c>
      <c r="L870" s="16" t="n">
        <v>11.9688414091652</v>
      </c>
      <c r="M870" s="19" t="n">
        <v>0.561879479666136</v>
      </c>
      <c r="N870" s="19" t="n">
        <v>0.933281424193971</v>
      </c>
      <c r="O870" s="19" t="n">
        <v>0.923477527635026</v>
      </c>
      <c r="P870" s="19" t="n">
        <v>0.561035001985502</v>
      </c>
      <c r="Q870" s="17" t="s">
        <v>29</v>
      </c>
      <c r="R870" s="5" t="str">
        <f aca="false">IF(OR(Q870="Steel plate",Q870="Concrete jacket"),"Steel plate or jacket",Q870)</f>
        <v>Monitor</v>
      </c>
      <c r="S870" s="5" t="str">
        <f aca="false">IF(O870&lt;='Tree rules'!$C$4,IF(N870&lt;='Tree rules'!$C$5,IF(P870&lt;='Tree rules'!$C$6,"Monitor","Polymer laminate"),IF(P870&lt;='Tree rules'!$C$7,"Seal cracks","Polymer laminate")),IF(O870&lt;='Tree rules'!$C$8,IF(M870&lt;='Tree rules'!$C$9,"Steel plate or jacket","Polymer laminate"),IF(L870&lt;='Tree rules'!$C$10,"Steel plate or jacket","Polymer laminate")))</f>
        <v>Monitor</v>
      </c>
      <c r="T870" s="5" t="str">
        <f aca="false">IF(S870=R870,"Yes","No")</f>
        <v>Yes</v>
      </c>
    </row>
    <row r="871" customFormat="false" ht="15" hidden="false" customHeight="false" outlineLevel="0" collapsed="false">
      <c r="A871" s="15" t="n">
        <v>1220</v>
      </c>
      <c r="B871" s="16" t="n">
        <v>3.4426592312077</v>
      </c>
      <c r="C871" s="15" t="n">
        <v>230</v>
      </c>
      <c r="D871" s="15" t="n">
        <v>300</v>
      </c>
      <c r="E871" s="15" t="n">
        <v>25</v>
      </c>
      <c r="F871" s="16" t="n">
        <v>0.768324290280112</v>
      </c>
      <c r="G871" s="17" t="s">
        <v>91</v>
      </c>
      <c r="H871" s="18" t="n">
        <v>0.2</v>
      </c>
      <c r="I871" s="18" t="n">
        <v>1</v>
      </c>
      <c r="J871" s="19" t="n">
        <v>0.877980583199401</v>
      </c>
      <c r="K871" s="19" t="n">
        <v>0.532674488662168</v>
      </c>
      <c r="L871" s="16" t="n">
        <v>13.4478876219051</v>
      </c>
      <c r="M871" s="19" t="n">
        <v>0.915494093834132</v>
      </c>
      <c r="N871" s="19" t="n">
        <v>0.818658411998341</v>
      </c>
      <c r="O871" s="19" t="n">
        <v>0.877980583199401</v>
      </c>
      <c r="P871" s="19" t="n">
        <v>0.373760856245104</v>
      </c>
      <c r="Q871" s="17" t="s">
        <v>29</v>
      </c>
      <c r="R871" s="5" t="str">
        <f aca="false">IF(OR(Q871="Steel plate",Q871="Concrete jacket"),"Steel plate or jacket",Q871)</f>
        <v>Monitor</v>
      </c>
      <c r="S871" s="5" t="str">
        <f aca="false">IF(O871&lt;='Tree rules'!$C$4,IF(N871&lt;='Tree rules'!$C$5,IF(P871&lt;='Tree rules'!$C$6,"Monitor","Polymer laminate"),IF(P871&lt;='Tree rules'!$C$7,"Seal cracks","Polymer laminate")),IF(O871&lt;='Tree rules'!$C$8,IF(M871&lt;='Tree rules'!$C$9,"Steel plate or jacket","Polymer laminate"),IF(L871&lt;='Tree rules'!$C$10,"Steel plate or jacket","Polymer laminate")))</f>
        <v>Monitor</v>
      </c>
      <c r="T871" s="5" t="str">
        <f aca="false">IF(S871=R871,"Yes","No")</f>
        <v>Yes</v>
      </c>
    </row>
    <row r="872" customFormat="false" ht="15" hidden="false" customHeight="false" outlineLevel="0" collapsed="false">
      <c r="A872" s="15" t="n">
        <v>1221</v>
      </c>
      <c r="B872" s="16" t="n">
        <v>6.12270356828334</v>
      </c>
      <c r="C872" s="15" t="n">
        <v>230</v>
      </c>
      <c r="D872" s="15" t="n">
        <v>475</v>
      </c>
      <c r="E872" s="15" t="n">
        <v>25</v>
      </c>
      <c r="F872" s="16" t="n">
        <v>0.611316296229087</v>
      </c>
      <c r="G872" s="17" t="s">
        <v>89</v>
      </c>
      <c r="H872" s="18" t="n">
        <v>0.3</v>
      </c>
      <c r="I872" s="18" t="n">
        <v>1.5</v>
      </c>
      <c r="J872" s="19" t="n">
        <v>0.94360078293417</v>
      </c>
      <c r="K872" s="19" t="n">
        <v>0.503974569756033</v>
      </c>
      <c r="L872" s="16" t="n">
        <v>14.2720362897048</v>
      </c>
      <c r="M872" s="19" t="n">
        <v>0.618357842706163</v>
      </c>
      <c r="N872" s="19" t="n">
        <v>0.840379293917402</v>
      </c>
      <c r="O872" s="19" t="n">
        <v>1.1776257751009</v>
      </c>
      <c r="P872" s="19" t="n">
        <v>0.654190155445792</v>
      </c>
      <c r="Q872" s="17" t="s">
        <v>31</v>
      </c>
      <c r="R872" s="5" t="str">
        <f aca="false">IF(OR(Q872="Steel plate",Q872="Concrete jacket"),"Steel plate or jacket",Q872)</f>
        <v>Polymer laminate</v>
      </c>
      <c r="S872" s="5" t="str">
        <f aca="false">IF(O872&lt;='Tree rules'!$C$4,IF(N872&lt;='Tree rules'!$C$5,IF(P872&lt;='Tree rules'!$C$6,"Monitor","Polymer laminate"),IF(P872&lt;='Tree rules'!$C$7,"Seal cracks","Polymer laminate")),IF(O872&lt;='Tree rules'!$C$8,IF(M872&lt;='Tree rules'!$C$9,"Steel plate or jacket","Polymer laminate"),IF(L872&lt;='Tree rules'!$C$10,"Steel plate or jacket","Polymer laminate")))</f>
        <v>Polymer laminate</v>
      </c>
      <c r="T872" s="5" t="str">
        <f aca="false">IF(S872=R872,"Yes","No")</f>
        <v>Yes</v>
      </c>
    </row>
    <row r="873" customFormat="false" ht="15" hidden="false" customHeight="false" outlineLevel="0" collapsed="false">
      <c r="A873" s="15" t="n">
        <v>1222</v>
      </c>
      <c r="B873" s="16" t="n">
        <v>3.0262379123682</v>
      </c>
      <c r="C873" s="15" t="n">
        <v>230</v>
      </c>
      <c r="D873" s="15" t="n">
        <v>300</v>
      </c>
      <c r="E873" s="15" t="n">
        <v>20</v>
      </c>
      <c r="F873" s="16" t="n">
        <v>0.688332522525665</v>
      </c>
      <c r="G873" s="17" t="s">
        <v>91</v>
      </c>
      <c r="H873" s="18" t="n">
        <v>0.2</v>
      </c>
      <c r="I873" s="18" t="n">
        <v>1.5</v>
      </c>
      <c r="J873" s="19" t="n">
        <v>0.96213432707255</v>
      </c>
      <c r="K873" s="19" t="n">
        <v>0.443866737712717</v>
      </c>
      <c r="L873" s="16" t="n">
        <v>11.9143224896386</v>
      </c>
      <c r="M873" s="19" t="n">
        <v>0.947203178518107</v>
      </c>
      <c r="N873" s="19" t="n">
        <v>1.59447044350217</v>
      </c>
      <c r="O873" s="19" t="n">
        <v>1.22967177810927</v>
      </c>
      <c r="P873" s="19" t="n">
        <v>0.355915286301783</v>
      </c>
      <c r="Q873" s="17" t="s">
        <v>31</v>
      </c>
      <c r="R873" s="5" t="str">
        <f aca="false">IF(OR(Q873="Steel plate",Q873="Concrete jacket"),"Steel plate or jacket",Q873)</f>
        <v>Polymer laminate</v>
      </c>
      <c r="S873" s="5" t="str">
        <f aca="false">IF(O873&lt;='Tree rules'!$C$4,IF(N873&lt;='Tree rules'!$C$5,IF(P873&lt;='Tree rules'!$C$6,"Monitor","Polymer laminate"),IF(P873&lt;='Tree rules'!$C$7,"Seal cracks","Polymer laminate")),IF(O873&lt;='Tree rules'!$C$8,IF(M873&lt;='Tree rules'!$C$9,"Steel plate or jacket","Polymer laminate"),IF(L873&lt;='Tree rules'!$C$10,"Steel plate or jacket","Polymer laminate")))</f>
        <v>Polymer laminate</v>
      </c>
      <c r="T873" s="5" t="str">
        <f aca="false">IF(S873=R873,"Yes","No")</f>
        <v>Yes</v>
      </c>
    </row>
    <row r="874" customFormat="false" ht="15" hidden="false" customHeight="false" outlineLevel="0" collapsed="false">
      <c r="A874" s="15" t="n">
        <v>1224</v>
      </c>
      <c r="B874" s="16" t="n">
        <v>5.66171248590396</v>
      </c>
      <c r="C874" s="15" t="n">
        <v>300</v>
      </c>
      <c r="D874" s="15" t="n">
        <v>475</v>
      </c>
      <c r="E874" s="15" t="n">
        <v>30</v>
      </c>
      <c r="F874" s="16" t="n">
        <v>0.762522488735387</v>
      </c>
      <c r="G874" s="17" t="s">
        <v>90</v>
      </c>
      <c r="H874" s="18" t="n">
        <v>0.1</v>
      </c>
      <c r="I874" s="18" t="n">
        <v>1</v>
      </c>
      <c r="J874" s="19" t="n">
        <v>0.896475213671916</v>
      </c>
      <c r="K874" s="19" t="n">
        <v>0.516533533330972</v>
      </c>
      <c r="L874" s="16" t="n">
        <v>13.7420205968543</v>
      </c>
      <c r="M874" s="19" t="n">
        <v>0.417818770926834</v>
      </c>
      <c r="N874" s="19" t="n">
        <v>2.76160175204725</v>
      </c>
      <c r="O874" s="19" t="n">
        <v>0.896475213671916</v>
      </c>
      <c r="P874" s="19" t="n">
        <v>0.786834187698765</v>
      </c>
      <c r="Q874" s="17" t="s">
        <v>30</v>
      </c>
      <c r="R874" s="5" t="str">
        <f aca="false">IF(OR(Q874="Steel plate",Q874="Concrete jacket"),"Steel plate or jacket",Q874)</f>
        <v>Seal cracks</v>
      </c>
      <c r="S874" s="5" t="str">
        <f aca="false">IF(O874&lt;='Tree rules'!$C$4,IF(N874&lt;='Tree rules'!$C$5,IF(P874&lt;='Tree rules'!$C$6,"Monitor","Polymer laminate"),IF(P874&lt;='Tree rules'!$C$7,"Seal cracks","Polymer laminate")),IF(O874&lt;='Tree rules'!$C$8,IF(M874&lt;='Tree rules'!$C$9,"Steel plate or jacket","Polymer laminate"),IF(L874&lt;='Tree rules'!$C$10,"Steel plate or jacket","Polymer laminate")))</f>
        <v>Seal cracks</v>
      </c>
      <c r="T874" s="5" t="str">
        <f aca="false">IF(S874=R874,"Yes","No")</f>
        <v>Yes</v>
      </c>
    </row>
    <row r="875" customFormat="false" ht="15" hidden="false" customHeight="false" outlineLevel="0" collapsed="false">
      <c r="A875" s="15" t="n">
        <v>1226</v>
      </c>
      <c r="B875" s="16" t="n">
        <v>6.45492623805417</v>
      </c>
      <c r="C875" s="15" t="n">
        <v>300</v>
      </c>
      <c r="D875" s="15" t="n">
        <v>650</v>
      </c>
      <c r="E875" s="15" t="n">
        <v>30</v>
      </c>
      <c r="F875" s="16" t="n">
        <v>0.695812326376477</v>
      </c>
      <c r="G875" s="17" t="s">
        <v>89</v>
      </c>
      <c r="H875" s="18" t="n">
        <v>0.3</v>
      </c>
      <c r="I875" s="18" t="n">
        <v>1.5</v>
      </c>
      <c r="J875" s="19" t="n">
        <v>0.963885757057349</v>
      </c>
      <c r="K875" s="19" t="n">
        <v>0.451885541187912</v>
      </c>
      <c r="L875" s="16" t="n">
        <v>10.722468833977</v>
      </c>
      <c r="M875" s="19" t="n">
        <v>0.325743196764845</v>
      </c>
      <c r="N875" s="19" t="n">
        <v>0.908113713079646</v>
      </c>
      <c r="O875" s="19" t="n">
        <v>1.22804561710043</v>
      </c>
      <c r="P875" s="19" t="n">
        <v>1.00169606968964</v>
      </c>
      <c r="Q875" s="17" t="s">
        <v>31</v>
      </c>
      <c r="R875" s="5" t="str">
        <f aca="false">IF(OR(Q875="Steel plate",Q875="Concrete jacket"),"Steel plate or jacket",Q875)</f>
        <v>Polymer laminate</v>
      </c>
      <c r="S875" s="5" t="str">
        <f aca="false">IF(O875&lt;='Tree rules'!$C$4,IF(N875&lt;='Tree rules'!$C$5,IF(P875&lt;='Tree rules'!$C$6,"Monitor","Polymer laminate"),IF(P875&lt;='Tree rules'!$C$7,"Seal cracks","Polymer laminate")),IF(O875&lt;='Tree rules'!$C$8,IF(M875&lt;='Tree rules'!$C$9,"Steel plate or jacket","Polymer laminate"),IF(L875&lt;='Tree rules'!$C$10,"Steel plate or jacket","Polymer laminate")))</f>
        <v>Polymer laminate</v>
      </c>
      <c r="T875" s="5" t="str">
        <f aca="false">IF(S875=R875,"Yes","No")</f>
        <v>Yes</v>
      </c>
    </row>
    <row r="876" customFormat="false" ht="15" hidden="false" customHeight="false" outlineLevel="0" collapsed="false">
      <c r="A876" s="15" t="n">
        <v>1227</v>
      </c>
      <c r="B876" s="16" t="n">
        <v>3.83304540780528</v>
      </c>
      <c r="C876" s="15" t="n">
        <v>300</v>
      </c>
      <c r="D876" s="15" t="n">
        <v>325</v>
      </c>
      <c r="E876" s="15" t="n">
        <v>30</v>
      </c>
      <c r="F876" s="16" t="n">
        <v>0.756099314943392</v>
      </c>
      <c r="G876" s="17" t="s">
        <v>89</v>
      </c>
      <c r="H876" s="18" t="n">
        <v>0.3</v>
      </c>
      <c r="I876" s="18" t="n">
        <v>2</v>
      </c>
      <c r="J876" s="19" t="n">
        <v>0.863767276374558</v>
      </c>
      <c r="K876" s="19" t="n">
        <v>0.586766502354284</v>
      </c>
      <c r="L876" s="16" t="n">
        <v>13.8377090534487</v>
      </c>
      <c r="M876" s="19" t="n">
        <v>0.453739070550049</v>
      </c>
      <c r="N876" s="19" t="n">
        <v>1.40153678616137</v>
      </c>
      <c r="O876" s="19" t="n">
        <v>1.22070484914273</v>
      </c>
      <c r="P876" s="19" t="n">
        <v>0.842406057451227</v>
      </c>
      <c r="Q876" s="17" t="s">
        <v>31</v>
      </c>
      <c r="R876" s="5" t="str">
        <f aca="false">IF(OR(Q876="Steel plate",Q876="Concrete jacket"),"Steel plate or jacket",Q876)</f>
        <v>Polymer laminate</v>
      </c>
      <c r="S876" s="5" t="str">
        <f aca="false">IF(O876&lt;='Tree rules'!$C$4,IF(N876&lt;='Tree rules'!$C$5,IF(P876&lt;='Tree rules'!$C$6,"Monitor","Polymer laminate"),IF(P876&lt;='Tree rules'!$C$7,"Seal cracks","Polymer laminate")),IF(O876&lt;='Tree rules'!$C$8,IF(M876&lt;='Tree rules'!$C$9,"Steel plate or jacket","Polymer laminate"),IF(L876&lt;='Tree rules'!$C$10,"Steel plate or jacket","Polymer laminate")))</f>
        <v>Polymer laminate</v>
      </c>
      <c r="T876" s="5" t="str">
        <f aca="false">IF(S876=R876,"Yes","No")</f>
        <v>Yes</v>
      </c>
    </row>
    <row r="877" customFormat="false" ht="15" hidden="false" customHeight="false" outlineLevel="0" collapsed="false">
      <c r="A877" s="15" t="n">
        <v>1228</v>
      </c>
      <c r="B877" s="16" t="n">
        <v>5.33335824366836</v>
      </c>
      <c r="C877" s="15" t="n">
        <v>300</v>
      </c>
      <c r="D877" s="15" t="n">
        <v>525</v>
      </c>
      <c r="E877" s="15" t="n">
        <v>30</v>
      </c>
      <c r="F877" s="16" t="n">
        <v>0.839507013902909</v>
      </c>
      <c r="G877" s="17" t="s">
        <v>89</v>
      </c>
      <c r="H877" s="18" t="n">
        <v>0.3</v>
      </c>
      <c r="I877" s="18" t="n">
        <v>1.5</v>
      </c>
      <c r="J877" s="19" t="n">
        <v>0.89601273992328</v>
      </c>
      <c r="K877" s="19" t="n">
        <v>0.484344178987432</v>
      </c>
      <c r="L877" s="16" t="n">
        <v>11.1343595901218</v>
      </c>
      <c r="M877" s="19" t="n">
        <v>0.837370335941918</v>
      </c>
      <c r="N877" s="19" t="n">
        <v>0.691790979482818</v>
      </c>
      <c r="O877" s="19" t="n">
        <v>1.12702983244471</v>
      </c>
      <c r="P877" s="19" t="n">
        <v>0.461403355728679</v>
      </c>
      <c r="Q877" s="17" t="s">
        <v>31</v>
      </c>
      <c r="R877" s="5" t="str">
        <f aca="false">IF(OR(Q877="Steel plate",Q877="Concrete jacket"),"Steel plate or jacket",Q877)</f>
        <v>Polymer laminate</v>
      </c>
      <c r="S877" s="5" t="str">
        <f aca="false">IF(O877&lt;='Tree rules'!$C$4,IF(N877&lt;='Tree rules'!$C$5,IF(P877&lt;='Tree rules'!$C$6,"Monitor","Polymer laminate"),IF(P877&lt;='Tree rules'!$C$7,"Seal cracks","Polymer laminate")),IF(O877&lt;='Tree rules'!$C$8,IF(M877&lt;='Tree rules'!$C$9,"Steel plate or jacket","Polymer laminate"),IF(L877&lt;='Tree rules'!$C$10,"Steel plate or jacket","Polymer laminate")))</f>
        <v>Polymer laminate</v>
      </c>
      <c r="T877" s="5" t="str">
        <f aca="false">IF(S877=R877,"Yes","No")</f>
        <v>Yes</v>
      </c>
    </row>
    <row r="878" customFormat="false" ht="15" hidden="false" customHeight="false" outlineLevel="0" collapsed="false">
      <c r="A878" s="15" t="n">
        <v>1230</v>
      </c>
      <c r="B878" s="16" t="n">
        <v>6.83633887149109</v>
      </c>
      <c r="C878" s="15" t="n">
        <v>300</v>
      </c>
      <c r="D878" s="15" t="n">
        <v>675</v>
      </c>
      <c r="E878" s="15" t="n">
        <v>25</v>
      </c>
      <c r="F878" s="16" t="n">
        <v>0.835085766504464</v>
      </c>
      <c r="G878" s="17" t="s">
        <v>89</v>
      </c>
      <c r="H878" s="18" t="n">
        <v>0.3</v>
      </c>
      <c r="I878" s="18" t="n">
        <v>1</v>
      </c>
      <c r="J878" s="19" t="n">
        <v>0.96066987704554</v>
      </c>
      <c r="K878" s="19" t="n">
        <v>0.496987141150504</v>
      </c>
      <c r="L878" s="16" t="n">
        <v>10.903251788662</v>
      </c>
      <c r="M878" s="19" t="n">
        <v>0.555322382888152</v>
      </c>
      <c r="N878" s="19" t="n">
        <v>0.611227790923709</v>
      </c>
      <c r="O878" s="19" t="n">
        <v>0.96066987704554</v>
      </c>
      <c r="P878" s="19" t="n">
        <v>0.681162505101933</v>
      </c>
      <c r="Q878" s="17" t="s">
        <v>29</v>
      </c>
      <c r="R878" s="5" t="str">
        <f aca="false">IF(OR(Q878="Steel plate",Q878="Concrete jacket"),"Steel plate or jacket",Q878)</f>
        <v>Monitor</v>
      </c>
      <c r="S878" s="5" t="str">
        <f aca="false">IF(O878&lt;='Tree rules'!$C$4,IF(N878&lt;='Tree rules'!$C$5,IF(P878&lt;='Tree rules'!$C$6,"Monitor","Polymer laminate"),IF(P878&lt;='Tree rules'!$C$7,"Seal cracks","Polymer laminate")),IF(O878&lt;='Tree rules'!$C$8,IF(M878&lt;='Tree rules'!$C$9,"Steel plate or jacket","Polymer laminate"),IF(L878&lt;='Tree rules'!$C$10,"Steel plate or jacket","Polymer laminate")))</f>
        <v>Monitor</v>
      </c>
      <c r="T878" s="5" t="str">
        <f aca="false">IF(S878=R878,"Yes","No")</f>
        <v>Yes</v>
      </c>
    </row>
    <row r="879" customFormat="false" ht="15" hidden="false" customHeight="false" outlineLevel="0" collapsed="false">
      <c r="A879" s="15" t="n">
        <v>1231</v>
      </c>
      <c r="B879" s="16" t="n">
        <v>3.93337253382049</v>
      </c>
      <c r="C879" s="15" t="n">
        <v>230</v>
      </c>
      <c r="D879" s="15" t="n">
        <v>375</v>
      </c>
      <c r="E879" s="15" t="n">
        <v>30</v>
      </c>
      <c r="F879" s="16" t="n">
        <v>0.797126720614828</v>
      </c>
      <c r="G879" s="17" t="s">
        <v>89</v>
      </c>
      <c r="H879" s="18" t="n">
        <v>0.3</v>
      </c>
      <c r="I879" s="18" t="n">
        <v>1.5</v>
      </c>
      <c r="J879" s="19" t="n">
        <v>0.870061857224205</v>
      </c>
      <c r="K879" s="19" t="n">
        <v>0.606042471794988</v>
      </c>
      <c r="L879" s="16" t="n">
        <v>11.9555396164757</v>
      </c>
      <c r="M879" s="19" t="n">
        <v>0.646537784517633</v>
      </c>
      <c r="N879" s="19" t="n">
        <v>0.758988056888936</v>
      </c>
      <c r="O879" s="19" t="n">
        <v>1.04144556655296</v>
      </c>
      <c r="P879" s="19" t="n">
        <v>0.551287836611923</v>
      </c>
      <c r="Q879" s="17" t="s">
        <v>31</v>
      </c>
      <c r="R879" s="5" t="str">
        <f aca="false">IF(OR(Q879="Steel plate",Q879="Concrete jacket"),"Steel plate or jacket",Q879)</f>
        <v>Polymer laminate</v>
      </c>
      <c r="S879" s="5" t="str">
        <f aca="false">IF(O879&lt;='Tree rules'!$C$4,IF(N879&lt;='Tree rules'!$C$5,IF(P879&lt;='Tree rules'!$C$6,"Monitor","Polymer laminate"),IF(P879&lt;='Tree rules'!$C$7,"Seal cracks","Polymer laminate")),IF(O879&lt;='Tree rules'!$C$8,IF(M879&lt;='Tree rules'!$C$9,"Steel plate or jacket","Polymer laminate"),IF(L879&lt;='Tree rules'!$C$10,"Steel plate or jacket","Polymer laminate")))</f>
        <v>Polymer laminate</v>
      </c>
      <c r="T879" s="5" t="str">
        <f aca="false">IF(S879=R879,"Yes","No")</f>
        <v>Yes</v>
      </c>
    </row>
    <row r="880" customFormat="false" ht="15" hidden="false" customHeight="false" outlineLevel="0" collapsed="false">
      <c r="A880" s="15" t="n">
        <v>1233</v>
      </c>
      <c r="B880" s="16" t="n">
        <v>3.85021228878494</v>
      </c>
      <c r="C880" s="15" t="n">
        <v>230</v>
      </c>
      <c r="D880" s="15" t="n">
        <v>350</v>
      </c>
      <c r="E880" s="15" t="n">
        <v>25</v>
      </c>
      <c r="F880" s="16" t="n">
        <v>0.862679904875916</v>
      </c>
      <c r="G880" s="17" t="s">
        <v>91</v>
      </c>
      <c r="H880" s="18" t="n">
        <v>0.2</v>
      </c>
      <c r="I880" s="18" t="n">
        <v>1.5</v>
      </c>
      <c r="J880" s="19" t="n">
        <v>0.856207744381262</v>
      </c>
      <c r="K880" s="19" t="n">
        <v>0.568122761158117</v>
      </c>
      <c r="L880" s="16" t="n">
        <v>12.665172002582</v>
      </c>
      <c r="M880" s="19" t="n">
        <v>0.33342777351501</v>
      </c>
      <c r="N880" s="19" t="n">
        <v>1.20051461321894</v>
      </c>
      <c r="O880" s="19" t="n">
        <v>1.04109606264047</v>
      </c>
      <c r="P880" s="19" t="n">
        <v>1.15842996038242</v>
      </c>
      <c r="Q880" s="17" t="s">
        <v>31</v>
      </c>
      <c r="R880" s="5" t="str">
        <f aca="false">IF(OR(Q880="Steel plate",Q880="Concrete jacket"),"Steel plate or jacket",Q880)</f>
        <v>Polymer laminate</v>
      </c>
      <c r="S880" s="5" t="str">
        <f aca="false">IF(O880&lt;='Tree rules'!$C$4,IF(N880&lt;='Tree rules'!$C$5,IF(P880&lt;='Tree rules'!$C$6,"Monitor","Polymer laminate"),IF(P880&lt;='Tree rules'!$C$7,"Seal cracks","Polymer laminate")),IF(O880&lt;='Tree rules'!$C$8,IF(M880&lt;='Tree rules'!$C$9,"Steel plate or jacket","Polymer laminate"),IF(L880&lt;='Tree rules'!$C$10,"Steel plate or jacket","Polymer laminate")))</f>
        <v>Polymer laminate</v>
      </c>
      <c r="T880" s="5" t="str">
        <f aca="false">IF(S880=R880,"Yes","No")</f>
        <v>Yes</v>
      </c>
    </row>
    <row r="881" customFormat="false" ht="15" hidden="false" customHeight="false" outlineLevel="0" collapsed="false">
      <c r="A881" s="15" t="n">
        <v>1236</v>
      </c>
      <c r="B881" s="16" t="n">
        <v>3.73746226636267</v>
      </c>
      <c r="C881" s="15" t="n">
        <v>230</v>
      </c>
      <c r="D881" s="15" t="n">
        <v>325</v>
      </c>
      <c r="E881" s="15" t="n">
        <v>30</v>
      </c>
      <c r="F881" s="16" t="n">
        <v>0.699968036696473</v>
      </c>
      <c r="G881" s="17" t="s">
        <v>89</v>
      </c>
      <c r="H881" s="18" t="n">
        <v>0.3</v>
      </c>
      <c r="I881" s="18" t="n">
        <v>1</v>
      </c>
      <c r="J881" s="19" t="n">
        <v>0.918121949755849</v>
      </c>
      <c r="K881" s="19" t="n">
        <v>0.575769739028843</v>
      </c>
      <c r="L881" s="16" t="n">
        <v>13.3005774603654</v>
      </c>
      <c r="M881" s="19" t="n">
        <v>0.516080079410242</v>
      </c>
      <c r="N881" s="19" t="n">
        <v>0.626301526432578</v>
      </c>
      <c r="O881" s="19" t="n">
        <v>0.918121949755849</v>
      </c>
      <c r="P881" s="19" t="n">
        <v>0.605072710287968</v>
      </c>
      <c r="Q881" s="17" t="s">
        <v>29</v>
      </c>
      <c r="R881" s="5" t="str">
        <f aca="false">IF(OR(Q881="Steel plate",Q881="Concrete jacket"),"Steel plate or jacket",Q881)</f>
        <v>Monitor</v>
      </c>
      <c r="S881" s="5" t="str">
        <f aca="false">IF(O881&lt;='Tree rules'!$C$4,IF(N881&lt;='Tree rules'!$C$5,IF(P881&lt;='Tree rules'!$C$6,"Monitor","Polymer laminate"),IF(P881&lt;='Tree rules'!$C$7,"Seal cracks","Polymer laminate")),IF(O881&lt;='Tree rules'!$C$8,IF(M881&lt;='Tree rules'!$C$9,"Steel plate or jacket","Polymer laminate"),IF(L881&lt;='Tree rules'!$C$10,"Steel plate or jacket","Polymer laminate")))</f>
        <v>Monitor</v>
      </c>
      <c r="T881" s="5" t="str">
        <f aca="false">IF(S881=R881,"Yes","No")</f>
        <v>Yes</v>
      </c>
    </row>
    <row r="882" customFormat="false" ht="15" hidden="false" customHeight="false" outlineLevel="0" collapsed="false">
      <c r="A882" s="15" t="n">
        <v>1239</v>
      </c>
      <c r="B882" s="16" t="n">
        <v>4.48536641227809</v>
      </c>
      <c r="C882" s="15" t="n">
        <v>230</v>
      </c>
      <c r="D882" s="15" t="n">
        <v>425</v>
      </c>
      <c r="E882" s="15" t="n">
        <v>30</v>
      </c>
      <c r="F882" s="16" t="n">
        <v>0.922619845496142</v>
      </c>
      <c r="G882" s="17" t="s">
        <v>89</v>
      </c>
      <c r="H882" s="18" t="n">
        <v>0.3</v>
      </c>
      <c r="I882" s="18" t="n">
        <v>1</v>
      </c>
      <c r="J882" s="19" t="n">
        <v>0.883877428156229</v>
      </c>
      <c r="K882" s="19" t="n">
        <v>0.470618688340952</v>
      </c>
      <c r="L882" s="16" t="n">
        <v>11.8347398740847</v>
      </c>
      <c r="M882" s="19" t="n">
        <v>0.639476666174683</v>
      </c>
      <c r="N882" s="19" t="n">
        <v>0.579727888330213</v>
      </c>
      <c r="O882" s="19" t="n">
        <v>0.883877428156229</v>
      </c>
      <c r="P882" s="19" t="n">
        <v>0.5453235783702</v>
      </c>
      <c r="Q882" s="17" t="s">
        <v>29</v>
      </c>
      <c r="R882" s="5" t="str">
        <f aca="false">IF(OR(Q882="Steel plate",Q882="Concrete jacket"),"Steel plate or jacket",Q882)</f>
        <v>Monitor</v>
      </c>
      <c r="S882" s="5" t="str">
        <f aca="false">IF(O882&lt;='Tree rules'!$C$4,IF(N882&lt;='Tree rules'!$C$5,IF(P882&lt;='Tree rules'!$C$6,"Monitor","Polymer laminate"),IF(P882&lt;='Tree rules'!$C$7,"Seal cracks","Polymer laminate")),IF(O882&lt;='Tree rules'!$C$8,IF(M882&lt;='Tree rules'!$C$9,"Steel plate or jacket","Polymer laminate"),IF(L882&lt;='Tree rules'!$C$10,"Steel plate or jacket","Polymer laminate")))</f>
        <v>Monitor</v>
      </c>
      <c r="T882" s="5" t="str">
        <f aca="false">IF(S882=R882,"Yes","No")</f>
        <v>Yes</v>
      </c>
    </row>
    <row r="883" customFormat="false" ht="15" hidden="false" customHeight="false" outlineLevel="0" collapsed="false">
      <c r="A883" s="15" t="n">
        <v>1240</v>
      </c>
      <c r="B883" s="16" t="n">
        <v>4.07595341116896</v>
      </c>
      <c r="C883" s="15" t="n">
        <v>300</v>
      </c>
      <c r="D883" s="15" t="n">
        <v>375</v>
      </c>
      <c r="E883" s="15" t="n">
        <v>25</v>
      </c>
      <c r="F883" s="16" t="n">
        <v>0.683367586279351</v>
      </c>
      <c r="G883" s="17" t="s">
        <v>89</v>
      </c>
      <c r="H883" s="18" t="n">
        <v>0.3</v>
      </c>
      <c r="I883" s="18" t="n">
        <v>1</v>
      </c>
      <c r="J883" s="19" t="n">
        <v>0.873140978012771</v>
      </c>
      <c r="K883" s="19" t="n">
        <v>0.596108753655349</v>
      </c>
      <c r="L883" s="16" t="n">
        <v>12.314058644015</v>
      </c>
      <c r="M883" s="19" t="n">
        <v>0.839112795119929</v>
      </c>
      <c r="N883" s="19" t="n">
        <v>0.522513582751914</v>
      </c>
      <c r="O883" s="19" t="n">
        <v>0.873140978012771</v>
      </c>
      <c r="P883" s="19" t="n">
        <v>0.39312325653891</v>
      </c>
      <c r="Q883" s="17" t="s">
        <v>29</v>
      </c>
      <c r="R883" s="5" t="str">
        <f aca="false">IF(OR(Q883="Steel plate",Q883="Concrete jacket"),"Steel plate or jacket",Q883)</f>
        <v>Monitor</v>
      </c>
      <c r="S883" s="5" t="str">
        <f aca="false">IF(O883&lt;='Tree rules'!$C$4,IF(N883&lt;='Tree rules'!$C$5,IF(P883&lt;='Tree rules'!$C$6,"Monitor","Polymer laminate"),IF(P883&lt;='Tree rules'!$C$7,"Seal cracks","Polymer laminate")),IF(O883&lt;='Tree rules'!$C$8,IF(M883&lt;='Tree rules'!$C$9,"Steel plate or jacket","Polymer laminate"),IF(L883&lt;='Tree rules'!$C$10,"Steel plate or jacket","Polymer laminate")))</f>
        <v>Monitor</v>
      </c>
      <c r="T883" s="5" t="str">
        <f aca="false">IF(S883=R883,"Yes","No")</f>
        <v>Yes</v>
      </c>
    </row>
    <row r="884" customFormat="false" ht="15" hidden="false" customHeight="false" outlineLevel="0" collapsed="false">
      <c r="A884" s="15" t="n">
        <v>1241</v>
      </c>
      <c r="B884" s="16" t="n">
        <v>4.24636156823951</v>
      </c>
      <c r="C884" s="15" t="n">
        <v>300</v>
      </c>
      <c r="D884" s="15" t="n">
        <v>425</v>
      </c>
      <c r="E884" s="15" t="n">
        <v>25</v>
      </c>
      <c r="F884" s="16" t="n">
        <v>0.833313701217452</v>
      </c>
      <c r="G884" s="17" t="s">
        <v>91</v>
      </c>
      <c r="H884" s="18" t="n">
        <v>0.2</v>
      </c>
      <c r="I884" s="18" t="n">
        <v>1</v>
      </c>
      <c r="J884" s="19" t="n">
        <v>0.88159695415169</v>
      </c>
      <c r="K884" s="19" t="n">
        <v>0.614917765652726</v>
      </c>
      <c r="L884" s="16" t="n">
        <v>11.2635585364443</v>
      </c>
      <c r="M884" s="19" t="n">
        <v>0.836925711352512</v>
      </c>
      <c r="N884" s="19" t="n">
        <v>1.02242898768781</v>
      </c>
      <c r="O884" s="19" t="n">
        <v>0.88159695415169</v>
      </c>
      <c r="P884" s="19" t="n">
        <v>0.439321774018859</v>
      </c>
      <c r="Q884" s="17" t="s">
        <v>30</v>
      </c>
      <c r="R884" s="5" t="str">
        <f aca="false">IF(OR(Q884="Steel plate",Q884="Concrete jacket"),"Steel plate or jacket",Q884)</f>
        <v>Seal cracks</v>
      </c>
      <c r="S884" s="5" t="str">
        <f aca="false">IF(O884&lt;='Tree rules'!$C$4,IF(N884&lt;='Tree rules'!$C$5,IF(P884&lt;='Tree rules'!$C$6,"Monitor","Polymer laminate"),IF(P884&lt;='Tree rules'!$C$7,"Seal cracks","Polymer laminate")),IF(O884&lt;='Tree rules'!$C$8,IF(M884&lt;='Tree rules'!$C$9,"Steel plate or jacket","Polymer laminate"),IF(L884&lt;='Tree rules'!$C$10,"Steel plate or jacket","Polymer laminate")))</f>
        <v>Seal cracks</v>
      </c>
      <c r="T884" s="5" t="str">
        <f aca="false">IF(S884=R884,"Yes","No")</f>
        <v>Yes</v>
      </c>
    </row>
    <row r="885" customFormat="false" ht="15" hidden="false" customHeight="false" outlineLevel="0" collapsed="false">
      <c r="A885" s="15" t="n">
        <v>1242</v>
      </c>
      <c r="B885" s="16" t="n">
        <v>3.71379300577041</v>
      </c>
      <c r="C885" s="15" t="n">
        <v>230</v>
      </c>
      <c r="D885" s="15" t="n">
        <v>300</v>
      </c>
      <c r="E885" s="15" t="n">
        <v>30</v>
      </c>
      <c r="F885" s="16" t="n">
        <v>0.688332522525665</v>
      </c>
      <c r="G885" s="17" t="s">
        <v>89</v>
      </c>
      <c r="H885" s="18" t="n">
        <v>0.3</v>
      </c>
      <c r="I885" s="18" t="n">
        <v>1</v>
      </c>
      <c r="J885" s="19" t="n">
        <v>0.940891137163507</v>
      </c>
      <c r="K885" s="19" t="n">
        <v>0.566131008306247</v>
      </c>
      <c r="L885" s="16" t="n">
        <v>14.6212323061827</v>
      </c>
      <c r="M885" s="19" t="n">
        <v>0.506552394437556</v>
      </c>
      <c r="N885" s="19" t="n">
        <v>0.889907078763328</v>
      </c>
      <c r="O885" s="19" t="n">
        <v>0.940891137163507</v>
      </c>
      <c r="P885" s="19" t="n">
        <v>0.636360919514621</v>
      </c>
      <c r="Q885" s="17" t="s">
        <v>29</v>
      </c>
      <c r="R885" s="5" t="str">
        <f aca="false">IF(OR(Q885="Steel plate",Q885="Concrete jacket"),"Steel plate or jacket",Q885)</f>
        <v>Monitor</v>
      </c>
      <c r="S885" s="5" t="str">
        <f aca="false">IF(O885&lt;='Tree rules'!$C$4,IF(N885&lt;='Tree rules'!$C$5,IF(P885&lt;='Tree rules'!$C$6,"Monitor","Polymer laminate"),IF(P885&lt;='Tree rules'!$C$7,"Seal cracks","Polymer laminate")),IF(O885&lt;='Tree rules'!$C$8,IF(M885&lt;='Tree rules'!$C$9,"Steel plate or jacket","Polymer laminate"),IF(L885&lt;='Tree rules'!$C$10,"Steel plate or jacket","Polymer laminate")))</f>
        <v>Monitor</v>
      </c>
      <c r="T885" s="5" t="str">
        <f aca="false">IF(S885=R885,"Yes","No")</f>
        <v>Yes</v>
      </c>
    </row>
    <row r="886" customFormat="false" ht="15" hidden="false" customHeight="false" outlineLevel="0" collapsed="false">
      <c r="A886" s="15" t="n">
        <v>1243</v>
      </c>
      <c r="B886" s="16" t="n">
        <v>3.78252846477558</v>
      </c>
      <c r="C886" s="15" t="n">
        <v>300</v>
      </c>
      <c r="D886" s="15" t="n">
        <v>300</v>
      </c>
      <c r="E886" s="15" t="n">
        <v>20</v>
      </c>
      <c r="F886" s="16" t="n">
        <v>0.625711399885104</v>
      </c>
      <c r="G886" s="17" t="s">
        <v>90</v>
      </c>
      <c r="H886" s="18" t="n">
        <v>0.1</v>
      </c>
      <c r="I886" s="18" t="n">
        <v>2</v>
      </c>
      <c r="J886" s="19" t="n">
        <v>0.949250879556167</v>
      </c>
      <c r="K886" s="19" t="n">
        <v>0.603228422682255</v>
      </c>
      <c r="L886" s="16" t="n">
        <v>15.6951388579899</v>
      </c>
      <c r="M886" s="19" t="n">
        <v>0.6369546753105</v>
      </c>
      <c r="N886" s="19" t="n">
        <v>3.79799578287876</v>
      </c>
      <c r="O886" s="19" t="n">
        <v>1.32588664830792</v>
      </c>
      <c r="P886" s="19" t="n">
        <v>0.627192362521623</v>
      </c>
      <c r="Q886" s="17" t="s">
        <v>31</v>
      </c>
      <c r="R886" s="5" t="str">
        <f aca="false">IF(OR(Q886="Steel plate",Q886="Concrete jacket"),"Steel plate or jacket",Q886)</f>
        <v>Polymer laminate</v>
      </c>
      <c r="S886" s="5" t="str">
        <f aca="false">IF(O886&lt;='Tree rules'!$C$4,IF(N886&lt;='Tree rules'!$C$5,IF(P886&lt;='Tree rules'!$C$6,"Monitor","Polymer laminate"),IF(P886&lt;='Tree rules'!$C$7,"Seal cracks","Polymer laminate")),IF(O886&lt;='Tree rules'!$C$8,IF(M886&lt;='Tree rules'!$C$9,"Steel plate or jacket","Polymer laminate"),IF(L886&lt;='Tree rules'!$C$10,"Steel plate or jacket","Polymer laminate")))</f>
        <v>Polymer laminate</v>
      </c>
      <c r="T886" s="5" t="str">
        <f aca="false">IF(S886=R886,"Yes","No")</f>
        <v>Yes</v>
      </c>
    </row>
    <row r="887" customFormat="false" ht="15" hidden="false" customHeight="false" outlineLevel="0" collapsed="false">
      <c r="A887" s="15" t="n">
        <v>1244</v>
      </c>
      <c r="B887" s="16" t="n">
        <v>3.4537672428838</v>
      </c>
      <c r="C887" s="15" t="n">
        <v>230</v>
      </c>
      <c r="D887" s="15" t="n">
        <v>325</v>
      </c>
      <c r="E887" s="15" t="n">
        <v>30</v>
      </c>
      <c r="F887" s="16" t="n">
        <v>0.699968036696473</v>
      </c>
      <c r="G887" s="17" t="s">
        <v>89</v>
      </c>
      <c r="H887" s="18" t="n">
        <v>0.3</v>
      </c>
      <c r="I887" s="18" t="n">
        <v>1</v>
      </c>
      <c r="J887" s="19" t="n">
        <v>0.943149388976596</v>
      </c>
      <c r="K887" s="19" t="n">
        <v>0.63216906812558</v>
      </c>
      <c r="L887" s="16" t="n">
        <v>12.2909866294797</v>
      </c>
      <c r="M887" s="19" t="n">
        <v>0.771118609421406</v>
      </c>
      <c r="N887" s="19" t="n">
        <v>0.606906457074991</v>
      </c>
      <c r="O887" s="19" t="n">
        <v>0.943149388976596</v>
      </c>
      <c r="P887" s="19" t="n">
        <v>0.413447444153145</v>
      </c>
      <c r="Q887" s="17" t="s">
        <v>29</v>
      </c>
      <c r="R887" s="5" t="str">
        <f aca="false">IF(OR(Q887="Steel plate",Q887="Concrete jacket"),"Steel plate or jacket",Q887)</f>
        <v>Monitor</v>
      </c>
      <c r="S887" s="5" t="str">
        <f aca="false">IF(O887&lt;='Tree rules'!$C$4,IF(N887&lt;='Tree rules'!$C$5,IF(P887&lt;='Tree rules'!$C$6,"Monitor","Polymer laminate"),IF(P887&lt;='Tree rules'!$C$7,"Seal cracks","Polymer laminate")),IF(O887&lt;='Tree rules'!$C$8,IF(M887&lt;='Tree rules'!$C$9,"Steel plate or jacket","Polymer laminate"),IF(L887&lt;='Tree rules'!$C$10,"Steel plate or jacket","Polymer laminate")))</f>
        <v>Monitor</v>
      </c>
      <c r="T887" s="5" t="str">
        <f aca="false">IF(S887=R887,"Yes","No")</f>
        <v>Yes</v>
      </c>
    </row>
    <row r="888" customFormat="false" ht="15" hidden="false" customHeight="false" outlineLevel="0" collapsed="false">
      <c r="A888" s="15" t="n">
        <v>1245</v>
      </c>
      <c r="B888" s="16" t="n">
        <v>3.53216134119975</v>
      </c>
      <c r="C888" s="15" t="n">
        <v>230</v>
      </c>
      <c r="D888" s="15" t="n">
        <v>300</v>
      </c>
      <c r="E888" s="15" t="n">
        <v>25</v>
      </c>
      <c r="F888" s="16" t="n">
        <v>0.688332522525665</v>
      </c>
      <c r="G888" s="17" t="s">
        <v>91</v>
      </c>
      <c r="H888" s="18" t="n">
        <v>0.2</v>
      </c>
      <c r="I888" s="18" t="n">
        <v>1.5</v>
      </c>
      <c r="J888" s="19" t="n">
        <v>0.899707444626854</v>
      </c>
      <c r="K888" s="19" t="n">
        <v>0.421975983601182</v>
      </c>
      <c r="L888" s="16" t="n">
        <v>13.9061470125975</v>
      </c>
      <c r="M888" s="19" t="n">
        <v>0.71630657915512</v>
      </c>
      <c r="N888" s="19" t="n">
        <v>1.5843809397715</v>
      </c>
      <c r="O888" s="19" t="n">
        <v>1.15973369999042</v>
      </c>
      <c r="P888" s="19" t="n">
        <v>0.461990821642541</v>
      </c>
      <c r="Q888" s="17" t="s">
        <v>31</v>
      </c>
      <c r="R888" s="5" t="str">
        <f aca="false">IF(OR(Q888="Steel plate",Q888="Concrete jacket"),"Steel plate or jacket",Q888)</f>
        <v>Polymer laminate</v>
      </c>
      <c r="S888" s="5" t="str">
        <f aca="false">IF(O888&lt;='Tree rules'!$C$4,IF(N888&lt;='Tree rules'!$C$5,IF(P888&lt;='Tree rules'!$C$6,"Monitor","Polymer laminate"),IF(P888&lt;='Tree rules'!$C$7,"Seal cracks","Polymer laminate")),IF(O888&lt;='Tree rules'!$C$8,IF(M888&lt;='Tree rules'!$C$9,"Steel plate or jacket","Polymer laminate"),IF(L888&lt;='Tree rules'!$C$10,"Steel plate or jacket","Polymer laminate")))</f>
        <v>Polymer laminate</v>
      </c>
      <c r="T888" s="5" t="str">
        <f aca="false">IF(S888=R888,"Yes","No")</f>
        <v>Yes</v>
      </c>
    </row>
    <row r="889" customFormat="false" ht="15" hidden="false" customHeight="false" outlineLevel="0" collapsed="false">
      <c r="A889" s="15" t="n">
        <v>1246</v>
      </c>
      <c r="B889" s="16" t="n">
        <v>4.49983729539468</v>
      </c>
      <c r="C889" s="15" t="n">
        <v>230</v>
      </c>
      <c r="D889" s="15" t="n">
        <v>425</v>
      </c>
      <c r="E889" s="15" t="n">
        <v>30</v>
      </c>
      <c r="F889" s="16" t="n">
        <v>0.724620609754306</v>
      </c>
      <c r="G889" s="17" t="s">
        <v>89</v>
      </c>
      <c r="H889" s="18" t="n">
        <v>0.3</v>
      </c>
      <c r="I889" s="18" t="n">
        <v>2</v>
      </c>
      <c r="J889" s="19" t="n">
        <v>0.968851480893562</v>
      </c>
      <c r="K889" s="19" t="n">
        <v>0.47195874295336</v>
      </c>
      <c r="L889" s="16" t="n">
        <v>11.935907945344</v>
      </c>
      <c r="M889" s="19" t="n">
        <v>0.928459678864312</v>
      </c>
      <c r="N889" s="19" t="n">
        <v>1.36072080420652</v>
      </c>
      <c r="O889" s="19" t="n">
        <v>1.4804450347561</v>
      </c>
      <c r="P889" s="19" t="n">
        <v>0.438421225221374</v>
      </c>
      <c r="Q889" s="17" t="s">
        <v>31</v>
      </c>
      <c r="R889" s="5" t="str">
        <f aca="false">IF(OR(Q889="Steel plate",Q889="Concrete jacket"),"Steel plate or jacket",Q889)</f>
        <v>Polymer laminate</v>
      </c>
      <c r="S889" s="5" t="str">
        <f aca="false">IF(O889&lt;='Tree rules'!$C$4,IF(N889&lt;='Tree rules'!$C$5,IF(P889&lt;='Tree rules'!$C$6,"Monitor","Polymer laminate"),IF(P889&lt;='Tree rules'!$C$7,"Seal cracks","Polymer laminate")),IF(O889&lt;='Tree rules'!$C$8,IF(M889&lt;='Tree rules'!$C$9,"Steel plate or jacket","Polymer laminate"),IF(L889&lt;='Tree rules'!$C$10,"Steel plate or jacket","Polymer laminate")))</f>
        <v>Steel plate or jacket</v>
      </c>
      <c r="T889" s="5" t="str">
        <f aca="false">IF(S889=R889,"Yes","No")</f>
        <v>No</v>
      </c>
    </row>
    <row r="890" customFormat="false" ht="15" hidden="false" customHeight="false" outlineLevel="0" collapsed="false">
      <c r="A890" s="15" t="n">
        <v>1248</v>
      </c>
      <c r="B890" s="16" t="n">
        <v>7.60536509148827</v>
      </c>
      <c r="C890" s="15" t="n">
        <v>230</v>
      </c>
      <c r="D890" s="15" t="n">
        <v>650</v>
      </c>
      <c r="E890" s="15" t="n">
        <v>25</v>
      </c>
      <c r="F890" s="16" t="n">
        <v>0.578928677885824</v>
      </c>
      <c r="G890" s="17" t="s">
        <v>89</v>
      </c>
      <c r="H890" s="18" t="n">
        <v>0.3</v>
      </c>
      <c r="I890" s="18" t="n">
        <v>1</v>
      </c>
      <c r="J890" s="19" t="n">
        <v>0.884282526368316</v>
      </c>
      <c r="K890" s="19" t="n">
        <v>0.649193766084214</v>
      </c>
      <c r="L890" s="16" t="n">
        <v>12.5916640587554</v>
      </c>
      <c r="M890" s="19" t="n">
        <v>0.756185806332909</v>
      </c>
      <c r="N890" s="19" t="n">
        <v>0.520895290416398</v>
      </c>
      <c r="O890" s="19" t="n">
        <v>0.884282526368316</v>
      </c>
      <c r="P890" s="19" t="n">
        <v>0.46774860276268</v>
      </c>
      <c r="Q890" s="17" t="s">
        <v>29</v>
      </c>
      <c r="R890" s="5" t="str">
        <f aca="false">IF(OR(Q890="Steel plate",Q890="Concrete jacket"),"Steel plate or jacket",Q890)</f>
        <v>Monitor</v>
      </c>
      <c r="S890" s="5" t="str">
        <f aca="false">IF(O890&lt;='Tree rules'!$C$4,IF(N890&lt;='Tree rules'!$C$5,IF(P890&lt;='Tree rules'!$C$6,"Monitor","Polymer laminate"),IF(P890&lt;='Tree rules'!$C$7,"Seal cracks","Polymer laminate")),IF(O890&lt;='Tree rules'!$C$8,IF(M890&lt;='Tree rules'!$C$9,"Steel plate or jacket","Polymer laminate"),IF(L890&lt;='Tree rules'!$C$10,"Steel plate or jacket","Polymer laminate")))</f>
        <v>Monitor</v>
      </c>
      <c r="T890" s="5" t="str">
        <f aca="false">IF(S890=R890,"Yes","No")</f>
        <v>Yes</v>
      </c>
    </row>
    <row r="891" customFormat="false" ht="15" hidden="false" customHeight="false" outlineLevel="0" collapsed="false">
      <c r="A891" s="15" t="n">
        <v>1250</v>
      </c>
      <c r="B891" s="16" t="n">
        <v>6.59075784193629</v>
      </c>
      <c r="C891" s="15" t="n">
        <v>230</v>
      </c>
      <c r="D891" s="15" t="n">
        <v>550</v>
      </c>
      <c r="E891" s="15" t="n">
        <v>20</v>
      </c>
      <c r="F891" s="16" t="n">
        <v>0.693795479053647</v>
      </c>
      <c r="G891" s="17" t="s">
        <v>89</v>
      </c>
      <c r="H891" s="18" t="n">
        <v>0.3</v>
      </c>
      <c r="I891" s="18" t="n">
        <v>1</v>
      </c>
      <c r="J891" s="19" t="n">
        <v>0.86848047600059</v>
      </c>
      <c r="K891" s="19" t="n">
        <v>0.465776311330766</v>
      </c>
      <c r="L891" s="16" t="n">
        <v>13.0769004800323</v>
      </c>
      <c r="M891" s="19" t="n">
        <v>0.365871070717223</v>
      </c>
      <c r="N891" s="19" t="n">
        <v>0.571985165825716</v>
      </c>
      <c r="O891" s="19" t="n">
        <v>0.86848047600059</v>
      </c>
      <c r="P891" s="19" t="n">
        <v>0.963171661675751</v>
      </c>
      <c r="Q891" s="17" t="s">
        <v>31</v>
      </c>
      <c r="R891" s="5" t="str">
        <f aca="false">IF(OR(Q891="Steel plate",Q891="Concrete jacket"),"Steel plate or jacket",Q891)</f>
        <v>Polymer laminate</v>
      </c>
      <c r="S891" s="5" t="str">
        <f aca="false">IF(O891&lt;='Tree rules'!$C$4,IF(N891&lt;='Tree rules'!$C$5,IF(P891&lt;='Tree rules'!$C$6,"Monitor","Polymer laminate"),IF(P891&lt;='Tree rules'!$C$7,"Seal cracks","Polymer laminate")),IF(O891&lt;='Tree rules'!$C$8,IF(M891&lt;='Tree rules'!$C$9,"Steel plate or jacket","Polymer laminate"),IF(L891&lt;='Tree rules'!$C$10,"Steel plate or jacket","Polymer laminate")))</f>
        <v>Polymer laminate</v>
      </c>
      <c r="T891" s="5" t="str">
        <f aca="false">IF(S891=R891,"Yes","No")</f>
        <v>Yes</v>
      </c>
    </row>
    <row r="892" customFormat="false" ht="15" hidden="false" customHeight="false" outlineLevel="0" collapsed="false">
      <c r="A892" s="15" t="n">
        <v>1251</v>
      </c>
      <c r="B892" s="16" t="n">
        <v>6.54151207268109</v>
      </c>
      <c r="C892" s="15" t="n">
        <v>300</v>
      </c>
      <c r="D892" s="15" t="n">
        <v>600</v>
      </c>
      <c r="E892" s="15" t="n">
        <v>25</v>
      </c>
      <c r="F892" s="16" t="n">
        <v>0.604879451954714</v>
      </c>
      <c r="G892" s="17" t="s">
        <v>89</v>
      </c>
      <c r="H892" s="18" t="n">
        <v>0.3</v>
      </c>
      <c r="I892" s="18" t="n">
        <v>1</v>
      </c>
      <c r="J892" s="19" t="n">
        <v>0.901966500232034</v>
      </c>
      <c r="K892" s="19" t="n">
        <v>0.492227752411354</v>
      </c>
      <c r="L892" s="16" t="n">
        <v>11.8077835246951</v>
      </c>
      <c r="M892" s="19" t="n">
        <v>0.798738326661192</v>
      </c>
      <c r="N892" s="19" t="n">
        <v>0.542658922750803</v>
      </c>
      <c r="O892" s="19" t="n">
        <v>0.901966500232034</v>
      </c>
      <c r="P892" s="19" t="n">
        <v>0.386921745876928</v>
      </c>
      <c r="Q892" s="17" t="s">
        <v>29</v>
      </c>
      <c r="R892" s="5" t="str">
        <f aca="false">IF(OR(Q892="Steel plate",Q892="Concrete jacket"),"Steel plate or jacket",Q892)</f>
        <v>Monitor</v>
      </c>
      <c r="S892" s="5" t="str">
        <f aca="false">IF(O892&lt;='Tree rules'!$C$4,IF(N892&lt;='Tree rules'!$C$5,IF(P892&lt;='Tree rules'!$C$6,"Monitor","Polymer laminate"),IF(P892&lt;='Tree rules'!$C$7,"Seal cracks","Polymer laminate")),IF(O892&lt;='Tree rules'!$C$8,IF(M892&lt;='Tree rules'!$C$9,"Steel plate or jacket","Polymer laminate"),IF(L892&lt;='Tree rules'!$C$10,"Steel plate or jacket","Polymer laminate")))</f>
        <v>Monitor</v>
      </c>
      <c r="T892" s="5" t="str">
        <f aca="false">IF(S892=R892,"Yes","No")</f>
        <v>Yes</v>
      </c>
    </row>
    <row r="893" customFormat="false" ht="15" hidden="false" customHeight="false" outlineLevel="0" collapsed="false">
      <c r="A893" s="15" t="n">
        <v>1252</v>
      </c>
      <c r="B893" s="16" t="n">
        <v>4.99272632199826</v>
      </c>
      <c r="C893" s="15" t="n">
        <v>300</v>
      </c>
      <c r="D893" s="15" t="n">
        <v>400</v>
      </c>
      <c r="E893" s="15" t="n">
        <v>25</v>
      </c>
      <c r="F893" s="16" t="n">
        <v>0.621482226229435</v>
      </c>
      <c r="G893" s="17" t="s">
        <v>90</v>
      </c>
      <c r="H893" s="18" t="n">
        <v>0.1</v>
      </c>
      <c r="I893" s="18" t="n">
        <v>1</v>
      </c>
      <c r="J893" s="19" t="n">
        <v>0.958961482078891</v>
      </c>
      <c r="K893" s="19" t="n">
        <v>0.449844556421432</v>
      </c>
      <c r="L893" s="16" t="n">
        <v>14.815211637977</v>
      </c>
      <c r="M893" s="19" t="n">
        <v>0.521713054352824</v>
      </c>
      <c r="N893" s="19" t="n">
        <v>3.56740133350748</v>
      </c>
      <c r="O893" s="19" t="n">
        <v>0.958961482078891</v>
      </c>
      <c r="P893" s="19" t="n">
        <v>0.573523908690842</v>
      </c>
      <c r="Q893" s="17" t="s">
        <v>30</v>
      </c>
      <c r="R893" s="5" t="str">
        <f aca="false">IF(OR(Q893="Steel plate",Q893="Concrete jacket"),"Steel plate or jacket",Q893)</f>
        <v>Seal cracks</v>
      </c>
      <c r="S893" s="5" t="str">
        <f aca="false">IF(O893&lt;='Tree rules'!$C$4,IF(N893&lt;='Tree rules'!$C$5,IF(P893&lt;='Tree rules'!$C$6,"Monitor","Polymer laminate"),IF(P893&lt;='Tree rules'!$C$7,"Seal cracks","Polymer laminate")),IF(O893&lt;='Tree rules'!$C$8,IF(M893&lt;='Tree rules'!$C$9,"Steel plate or jacket","Polymer laminate"),IF(L893&lt;='Tree rules'!$C$10,"Steel plate or jacket","Polymer laminate")))</f>
        <v>Seal cracks</v>
      </c>
      <c r="T893" s="5" t="str">
        <f aca="false">IF(S893=R893,"Yes","No")</f>
        <v>Yes</v>
      </c>
    </row>
    <row r="894" customFormat="false" ht="15" hidden="false" customHeight="false" outlineLevel="0" collapsed="false">
      <c r="A894" s="15" t="n">
        <v>1254</v>
      </c>
      <c r="B894" s="16" t="n">
        <v>3.53364790808124</v>
      </c>
      <c r="C894" s="15" t="n">
        <v>300</v>
      </c>
      <c r="D894" s="15" t="n">
        <v>300</v>
      </c>
      <c r="E894" s="15" t="n">
        <v>30</v>
      </c>
      <c r="F894" s="16" t="n">
        <v>0.791582400904515</v>
      </c>
      <c r="G894" s="17" t="s">
        <v>91</v>
      </c>
      <c r="H894" s="18" t="n">
        <v>0.2</v>
      </c>
      <c r="I894" s="18" t="n">
        <v>2</v>
      </c>
      <c r="J894" s="19" t="n">
        <v>0.969234489153874</v>
      </c>
      <c r="K894" s="19" t="n">
        <v>0.460707521136646</v>
      </c>
      <c r="L894" s="16" t="n">
        <v>13.9119996381151</v>
      </c>
      <c r="M894" s="19" t="n">
        <v>0.867889790298981</v>
      </c>
      <c r="N894" s="19" t="n">
        <v>1.86074338614322</v>
      </c>
      <c r="O894" s="19" t="n">
        <v>1.49193535940952</v>
      </c>
      <c r="P894" s="19" t="n">
        <v>0.511660243809959</v>
      </c>
      <c r="Q894" s="17" t="s">
        <v>31</v>
      </c>
      <c r="R894" s="5" t="str">
        <f aca="false">IF(OR(Q894="Steel plate",Q894="Concrete jacket"),"Steel plate or jacket",Q894)</f>
        <v>Polymer laminate</v>
      </c>
      <c r="S894" s="5" t="str">
        <f aca="false">IF(O894&lt;='Tree rules'!$C$4,IF(N894&lt;='Tree rules'!$C$5,IF(P894&lt;='Tree rules'!$C$6,"Monitor","Polymer laminate"),IF(P894&lt;='Tree rules'!$C$7,"Seal cracks","Polymer laminate")),IF(O894&lt;='Tree rules'!$C$8,IF(M894&lt;='Tree rules'!$C$9,"Steel plate or jacket","Polymer laminate"),IF(L894&lt;='Tree rules'!$C$10,"Steel plate or jacket","Polymer laminate")))</f>
        <v>Polymer laminate</v>
      </c>
      <c r="T894" s="5" t="str">
        <f aca="false">IF(S894=R894,"Yes","No")</f>
        <v>Yes</v>
      </c>
    </row>
    <row r="895" customFormat="false" ht="15" hidden="false" customHeight="false" outlineLevel="0" collapsed="false">
      <c r="A895" s="15" t="n">
        <v>1255</v>
      </c>
      <c r="B895" s="16" t="n">
        <v>3.48599997166241</v>
      </c>
      <c r="C895" s="15" t="n">
        <v>300</v>
      </c>
      <c r="D895" s="15" t="n">
        <v>300</v>
      </c>
      <c r="E895" s="15" t="n">
        <v>25</v>
      </c>
      <c r="F895" s="16" t="n">
        <v>0.78213924985638</v>
      </c>
      <c r="G895" s="17" t="s">
        <v>90</v>
      </c>
      <c r="H895" s="18" t="n">
        <v>0.1</v>
      </c>
      <c r="I895" s="18" t="n">
        <v>1</v>
      </c>
      <c r="J895" s="19" t="n">
        <v>0.919923162696884</v>
      </c>
      <c r="K895" s="19" t="n">
        <v>0.497432601322773</v>
      </c>
      <c r="L895" s="16" t="n">
        <v>14.4647301728731</v>
      </c>
      <c r="M895" s="19" t="n">
        <v>0.408835214385702</v>
      </c>
      <c r="N895" s="19" t="n">
        <v>2.6995947290793</v>
      </c>
      <c r="O895" s="19" t="n">
        <v>0.919923162696884</v>
      </c>
      <c r="P895" s="19" t="n">
        <v>0.738010647693505</v>
      </c>
      <c r="Q895" s="17" t="s">
        <v>30</v>
      </c>
      <c r="R895" s="5" t="str">
        <f aca="false">IF(OR(Q895="Steel plate",Q895="Concrete jacket"),"Steel plate or jacket",Q895)</f>
        <v>Seal cracks</v>
      </c>
      <c r="S895" s="5" t="str">
        <f aca="false">IF(O895&lt;='Tree rules'!$C$4,IF(N895&lt;='Tree rules'!$C$5,IF(P895&lt;='Tree rules'!$C$6,"Monitor","Polymer laminate"),IF(P895&lt;='Tree rules'!$C$7,"Seal cracks","Polymer laminate")),IF(O895&lt;='Tree rules'!$C$8,IF(M895&lt;='Tree rules'!$C$9,"Steel plate or jacket","Polymer laminate"),IF(L895&lt;='Tree rules'!$C$10,"Steel plate or jacket","Polymer laminate")))</f>
        <v>Seal cracks</v>
      </c>
      <c r="T895" s="5" t="str">
        <f aca="false">IF(S895=R895,"Yes","No")</f>
        <v>Yes</v>
      </c>
    </row>
    <row r="896" customFormat="false" ht="15" hidden="false" customHeight="false" outlineLevel="0" collapsed="false">
      <c r="A896" s="15" t="n">
        <v>1256</v>
      </c>
      <c r="B896" s="16" t="n">
        <v>5.67801037711172</v>
      </c>
      <c r="C896" s="15" t="n">
        <v>300</v>
      </c>
      <c r="D896" s="15" t="n">
        <v>525</v>
      </c>
      <c r="E896" s="15" t="n">
        <v>20</v>
      </c>
      <c r="F896" s="16" t="n">
        <v>0.55967134260194</v>
      </c>
      <c r="G896" s="17" t="s">
        <v>89</v>
      </c>
      <c r="H896" s="18" t="n">
        <v>0.3</v>
      </c>
      <c r="I896" s="18" t="n">
        <v>1</v>
      </c>
      <c r="J896" s="19" t="n">
        <v>0.990162128122227</v>
      </c>
      <c r="K896" s="19" t="n">
        <v>0.496447187942659</v>
      </c>
      <c r="L896" s="16" t="n">
        <v>11.85388387706</v>
      </c>
      <c r="M896" s="19" t="n">
        <v>0.614894444827556</v>
      </c>
      <c r="N896" s="19" t="n">
        <v>0.679474544501388</v>
      </c>
      <c r="O896" s="19" t="n">
        <v>0.990162128122227</v>
      </c>
      <c r="P896" s="19" t="n">
        <v>0.523398237349447</v>
      </c>
      <c r="Q896" s="17" t="s">
        <v>29</v>
      </c>
      <c r="R896" s="5" t="str">
        <f aca="false">IF(OR(Q896="Steel plate",Q896="Concrete jacket"),"Steel plate or jacket",Q896)</f>
        <v>Monitor</v>
      </c>
      <c r="S896" s="5" t="str">
        <f aca="false">IF(O896&lt;='Tree rules'!$C$4,IF(N896&lt;='Tree rules'!$C$5,IF(P896&lt;='Tree rules'!$C$6,"Monitor","Polymer laminate"),IF(P896&lt;='Tree rules'!$C$7,"Seal cracks","Polymer laminate")),IF(O896&lt;='Tree rules'!$C$8,IF(M896&lt;='Tree rules'!$C$9,"Steel plate or jacket","Polymer laminate"),IF(L896&lt;='Tree rules'!$C$10,"Steel plate or jacket","Polymer laminate")))</f>
        <v>Monitor</v>
      </c>
      <c r="T896" s="5" t="str">
        <f aca="false">IF(S896=R896,"Yes","No")</f>
        <v>Yes</v>
      </c>
    </row>
    <row r="897" customFormat="false" ht="15" hidden="false" customHeight="false" outlineLevel="0" collapsed="false">
      <c r="A897" s="15" t="n">
        <v>1257</v>
      </c>
      <c r="B897" s="16" t="n">
        <v>3.96572001182103</v>
      </c>
      <c r="C897" s="15" t="n">
        <v>230</v>
      </c>
      <c r="D897" s="15" t="n">
        <v>350</v>
      </c>
      <c r="E897" s="15" t="n">
        <v>30</v>
      </c>
      <c r="F897" s="16" t="n">
        <v>0.604970452323595</v>
      </c>
      <c r="G897" s="17" t="s">
        <v>90</v>
      </c>
      <c r="H897" s="18" t="n">
        <v>0.1</v>
      </c>
      <c r="I897" s="18" t="n">
        <v>1</v>
      </c>
      <c r="J897" s="19" t="n">
        <v>0.906798828537029</v>
      </c>
      <c r="K897" s="19" t="n">
        <v>0.442593682961091</v>
      </c>
      <c r="L897" s="16" t="n">
        <v>13.7222145737752</v>
      </c>
      <c r="M897" s="19" t="n">
        <v>0.510409758033094</v>
      </c>
      <c r="N897" s="19" t="n">
        <v>2.91890551034266</v>
      </c>
      <c r="O897" s="19" t="n">
        <v>0.906798828537029</v>
      </c>
      <c r="P897" s="19" t="n">
        <v>0.435548313481336</v>
      </c>
      <c r="Q897" s="17" t="s">
        <v>30</v>
      </c>
      <c r="R897" s="5" t="str">
        <f aca="false">IF(OR(Q897="Steel plate",Q897="Concrete jacket"),"Steel plate or jacket",Q897)</f>
        <v>Seal cracks</v>
      </c>
      <c r="S897" s="5" t="str">
        <f aca="false">IF(O897&lt;='Tree rules'!$C$4,IF(N897&lt;='Tree rules'!$C$5,IF(P897&lt;='Tree rules'!$C$6,"Monitor","Polymer laminate"),IF(P897&lt;='Tree rules'!$C$7,"Seal cracks","Polymer laminate")),IF(O897&lt;='Tree rules'!$C$8,IF(M897&lt;='Tree rules'!$C$9,"Steel plate or jacket","Polymer laminate"),IF(L897&lt;='Tree rules'!$C$10,"Steel plate or jacket","Polymer laminate")))</f>
        <v>Seal cracks</v>
      </c>
      <c r="T897" s="5" t="str">
        <f aca="false">IF(S897=R897,"Yes","No")</f>
        <v>Yes</v>
      </c>
    </row>
    <row r="898" customFormat="false" ht="15" hidden="false" customHeight="false" outlineLevel="0" collapsed="false">
      <c r="A898" s="15" t="n">
        <v>1258</v>
      </c>
      <c r="B898" s="16" t="n">
        <v>6.45203140215966</v>
      </c>
      <c r="C898" s="15" t="n">
        <v>300</v>
      </c>
      <c r="D898" s="15" t="n">
        <v>625</v>
      </c>
      <c r="E898" s="15" t="n">
        <v>30</v>
      </c>
      <c r="F898" s="16" t="n">
        <v>0.694514438099298</v>
      </c>
      <c r="G898" s="17" t="s">
        <v>91</v>
      </c>
      <c r="H898" s="18" t="n">
        <v>0.2</v>
      </c>
      <c r="I898" s="18" t="n">
        <v>2</v>
      </c>
      <c r="J898" s="19" t="n">
        <v>0.940541898228261</v>
      </c>
      <c r="K898" s="19" t="n">
        <v>0.539837080843904</v>
      </c>
      <c r="L898" s="16" t="n">
        <v>11.143404839654</v>
      </c>
      <c r="M898" s="19" t="n">
        <v>0.815245734262461</v>
      </c>
      <c r="N898" s="19" t="n">
        <v>1.26279624037824</v>
      </c>
      <c r="O898" s="19" t="n">
        <v>1.37334440370559</v>
      </c>
      <c r="P898" s="19" t="n">
        <v>0.499378434792522</v>
      </c>
      <c r="Q898" s="17" t="s">
        <v>31</v>
      </c>
      <c r="R898" s="5" t="str">
        <f aca="false">IF(OR(Q898="Steel plate",Q898="Concrete jacket"),"Steel plate or jacket",Q898)</f>
        <v>Polymer laminate</v>
      </c>
      <c r="S898" s="5" t="str">
        <f aca="false">IF(O898&lt;='Tree rules'!$C$4,IF(N898&lt;='Tree rules'!$C$5,IF(P898&lt;='Tree rules'!$C$6,"Monitor","Polymer laminate"),IF(P898&lt;='Tree rules'!$C$7,"Seal cracks","Polymer laminate")),IF(O898&lt;='Tree rules'!$C$8,IF(M898&lt;='Tree rules'!$C$9,"Steel plate or jacket","Polymer laminate"),IF(L898&lt;='Tree rules'!$C$10,"Steel plate or jacket","Polymer laminate")))</f>
        <v>Steel plate or jacket</v>
      </c>
      <c r="T898" s="5" t="str">
        <f aca="false">IF(S898=R898,"Yes","No")</f>
        <v>No</v>
      </c>
    </row>
    <row r="899" customFormat="false" ht="15" hidden="false" customHeight="false" outlineLevel="0" collapsed="false">
      <c r="A899" s="15" t="n">
        <v>1259</v>
      </c>
      <c r="B899" s="16" t="n">
        <v>7.22609821939389</v>
      </c>
      <c r="C899" s="15" t="n">
        <v>230</v>
      </c>
      <c r="D899" s="15" t="n">
        <v>625</v>
      </c>
      <c r="E899" s="15" t="n">
        <v>30</v>
      </c>
      <c r="F899" s="16" t="n">
        <v>0.603925598347216</v>
      </c>
      <c r="G899" s="17" t="s">
        <v>91</v>
      </c>
      <c r="H899" s="18" t="n">
        <v>0.2</v>
      </c>
      <c r="I899" s="18" t="n">
        <v>2</v>
      </c>
      <c r="J899" s="19" t="n">
        <v>0.860180524994639</v>
      </c>
      <c r="K899" s="19" t="n">
        <v>0.605659402504357</v>
      </c>
      <c r="L899" s="16" t="n">
        <v>12.4803078055162</v>
      </c>
      <c r="M899" s="19" t="n">
        <v>0.669431122025006</v>
      </c>
      <c r="N899" s="19" t="n">
        <v>1.13681160478358</v>
      </c>
      <c r="O899" s="19" t="n">
        <v>1.19938462717514</v>
      </c>
      <c r="P899" s="19" t="n">
        <v>0.556855758617777</v>
      </c>
      <c r="Q899" s="17" t="s">
        <v>31</v>
      </c>
      <c r="R899" s="5" t="str">
        <f aca="false">IF(OR(Q899="Steel plate",Q899="Concrete jacket"),"Steel plate or jacket",Q899)</f>
        <v>Polymer laminate</v>
      </c>
      <c r="S899" s="5" t="str">
        <f aca="false">IF(O899&lt;='Tree rules'!$C$4,IF(N899&lt;='Tree rules'!$C$5,IF(P899&lt;='Tree rules'!$C$6,"Monitor","Polymer laminate"),IF(P899&lt;='Tree rules'!$C$7,"Seal cracks","Polymer laminate")),IF(O899&lt;='Tree rules'!$C$8,IF(M899&lt;='Tree rules'!$C$9,"Steel plate or jacket","Polymer laminate"),IF(L899&lt;='Tree rules'!$C$10,"Steel plate or jacket","Polymer laminate")))</f>
        <v>Polymer laminate</v>
      </c>
      <c r="T899" s="5" t="str">
        <f aca="false">IF(S899=R899,"Yes","No")</f>
        <v>Yes</v>
      </c>
    </row>
    <row r="900" customFormat="false" ht="15" hidden="false" customHeight="false" outlineLevel="0" collapsed="false">
      <c r="A900" s="15" t="n">
        <v>1260</v>
      </c>
      <c r="B900" s="16" t="n">
        <v>6.0317990319208</v>
      </c>
      <c r="C900" s="15" t="n">
        <v>300</v>
      </c>
      <c r="D900" s="15" t="n">
        <v>550</v>
      </c>
      <c r="E900" s="15" t="n">
        <v>20</v>
      </c>
      <c r="F900" s="16" t="n">
        <v>0.664887334093078</v>
      </c>
      <c r="G900" s="17" t="s">
        <v>89</v>
      </c>
      <c r="H900" s="18" t="n">
        <v>0.3</v>
      </c>
      <c r="I900" s="18" t="n">
        <v>1</v>
      </c>
      <c r="J900" s="19" t="n">
        <v>0.935832431665667</v>
      </c>
      <c r="K900" s="19" t="n">
        <v>0.5804959730654</v>
      </c>
      <c r="L900" s="16" t="n">
        <v>11.9678552220651</v>
      </c>
      <c r="M900" s="19" t="n">
        <v>0.916538947376368</v>
      </c>
      <c r="N900" s="19" t="n">
        <v>0.545510761626454</v>
      </c>
      <c r="O900" s="19" t="n">
        <v>0.935832431665667</v>
      </c>
      <c r="P900" s="19" t="n">
        <v>0.43190271151155</v>
      </c>
      <c r="Q900" s="17" t="s">
        <v>29</v>
      </c>
      <c r="R900" s="5" t="str">
        <f aca="false">IF(OR(Q900="Steel plate",Q900="Concrete jacket"),"Steel plate or jacket",Q900)</f>
        <v>Monitor</v>
      </c>
      <c r="S900" s="5" t="str">
        <f aca="false">IF(O900&lt;='Tree rules'!$C$4,IF(N900&lt;='Tree rules'!$C$5,IF(P900&lt;='Tree rules'!$C$6,"Monitor","Polymer laminate"),IF(P900&lt;='Tree rules'!$C$7,"Seal cracks","Polymer laminate")),IF(O900&lt;='Tree rules'!$C$8,IF(M900&lt;='Tree rules'!$C$9,"Steel plate or jacket","Polymer laminate"),IF(L900&lt;='Tree rules'!$C$10,"Steel plate or jacket","Polymer laminate")))</f>
        <v>Monitor</v>
      </c>
      <c r="T900" s="5" t="str">
        <f aca="false">IF(S900=R900,"Yes","No")</f>
        <v>Yes</v>
      </c>
    </row>
    <row r="901" customFormat="false" ht="15" hidden="false" customHeight="false" outlineLevel="0" collapsed="false">
      <c r="A901" s="15" t="n">
        <v>1261</v>
      </c>
      <c r="B901" s="16" t="n">
        <v>6.5961130270565</v>
      </c>
      <c r="C901" s="15" t="n">
        <v>230</v>
      </c>
      <c r="D901" s="15" t="n">
        <v>600</v>
      </c>
      <c r="E901" s="15" t="n">
        <v>30</v>
      </c>
      <c r="F901" s="16" t="n">
        <v>0.742342309449384</v>
      </c>
      <c r="G901" s="17" t="s">
        <v>89</v>
      </c>
      <c r="H901" s="18" t="n">
        <v>0.3</v>
      </c>
      <c r="I901" s="18" t="n">
        <v>1.5</v>
      </c>
      <c r="J901" s="19" t="n">
        <v>0.964908915904143</v>
      </c>
      <c r="K901" s="19" t="n">
        <v>0.553330516401376</v>
      </c>
      <c r="L901" s="16" t="n">
        <v>11.9494801214792</v>
      </c>
      <c r="M901" s="19" t="n">
        <v>0.688974853847881</v>
      </c>
      <c r="N901" s="19" t="n">
        <v>0.825139597450979</v>
      </c>
      <c r="O901" s="19" t="n">
        <v>1.18040659949745</v>
      </c>
      <c r="P901" s="19" t="n">
        <v>0.603954137174098</v>
      </c>
      <c r="Q901" s="17" t="s">
        <v>31</v>
      </c>
      <c r="R901" s="5" t="str">
        <f aca="false">IF(OR(Q901="Steel plate",Q901="Concrete jacket"),"Steel plate or jacket",Q901)</f>
        <v>Polymer laminate</v>
      </c>
      <c r="S901" s="5" t="str">
        <f aca="false">IF(O901&lt;='Tree rules'!$C$4,IF(N901&lt;='Tree rules'!$C$5,IF(P901&lt;='Tree rules'!$C$6,"Monitor","Polymer laminate"),IF(P901&lt;='Tree rules'!$C$7,"Seal cracks","Polymer laminate")),IF(O901&lt;='Tree rules'!$C$8,IF(M901&lt;='Tree rules'!$C$9,"Steel plate or jacket","Polymer laminate"),IF(L901&lt;='Tree rules'!$C$10,"Steel plate or jacket","Polymer laminate")))</f>
        <v>Polymer laminate</v>
      </c>
      <c r="T901" s="5" t="str">
        <f aca="false">IF(S901=R901,"Yes","No")</f>
        <v>Yes</v>
      </c>
    </row>
    <row r="902" customFormat="false" ht="15" hidden="false" customHeight="false" outlineLevel="0" collapsed="false">
      <c r="A902" s="15" t="n">
        <v>1262</v>
      </c>
      <c r="B902" s="16" t="n">
        <v>7.4634585454135</v>
      </c>
      <c r="C902" s="15" t="n">
        <v>300</v>
      </c>
      <c r="D902" s="15" t="n">
        <v>750</v>
      </c>
      <c r="E902" s="15" t="n">
        <v>20</v>
      </c>
      <c r="F902" s="16" t="n">
        <v>0.596693761365583</v>
      </c>
      <c r="G902" s="17" t="s">
        <v>89</v>
      </c>
      <c r="H902" s="18" t="n">
        <v>0.3</v>
      </c>
      <c r="I902" s="18" t="n">
        <v>1</v>
      </c>
      <c r="J902" s="19" t="n">
        <v>0.891392463670589</v>
      </c>
      <c r="K902" s="19" t="n">
        <v>0.578967322605968</v>
      </c>
      <c r="L902" s="16" t="n">
        <v>10.6317073296489</v>
      </c>
      <c r="M902" s="19" t="n">
        <v>0.447744297561485</v>
      </c>
      <c r="N902" s="19" t="n">
        <v>0.616434509463933</v>
      </c>
      <c r="O902" s="19" t="n">
        <v>0.891392463670589</v>
      </c>
      <c r="P902" s="19" t="n">
        <v>0.684303172697579</v>
      </c>
      <c r="Q902" s="17" t="s">
        <v>29</v>
      </c>
      <c r="R902" s="5" t="str">
        <f aca="false">IF(OR(Q902="Steel plate",Q902="Concrete jacket"),"Steel plate or jacket",Q902)</f>
        <v>Monitor</v>
      </c>
      <c r="S902" s="5" t="str">
        <f aca="false">IF(O902&lt;='Tree rules'!$C$4,IF(N902&lt;='Tree rules'!$C$5,IF(P902&lt;='Tree rules'!$C$6,"Monitor","Polymer laminate"),IF(P902&lt;='Tree rules'!$C$7,"Seal cracks","Polymer laminate")),IF(O902&lt;='Tree rules'!$C$8,IF(M902&lt;='Tree rules'!$C$9,"Steel plate or jacket","Polymer laminate"),IF(L902&lt;='Tree rules'!$C$10,"Steel plate or jacket","Polymer laminate")))</f>
        <v>Monitor</v>
      </c>
      <c r="T902" s="5" t="str">
        <f aca="false">IF(S902=R902,"Yes","No")</f>
        <v>Yes</v>
      </c>
    </row>
    <row r="903" customFormat="false" ht="15" hidden="false" customHeight="false" outlineLevel="0" collapsed="false">
      <c r="A903" s="15" t="n">
        <v>1265</v>
      </c>
      <c r="B903" s="16" t="n">
        <v>7.91272616650599</v>
      </c>
      <c r="C903" s="15" t="n">
        <v>300</v>
      </c>
      <c r="D903" s="15" t="n">
        <v>675</v>
      </c>
      <c r="E903" s="15" t="n">
        <v>25</v>
      </c>
      <c r="F903" s="16" t="n">
        <v>0.668068613203571</v>
      </c>
      <c r="G903" s="17" t="s">
        <v>89</v>
      </c>
      <c r="H903" s="18" t="n">
        <v>0.3</v>
      </c>
      <c r="I903" s="18" t="n">
        <v>2</v>
      </c>
      <c r="J903" s="19" t="n">
        <v>0.855667679500419</v>
      </c>
      <c r="K903" s="19" t="n">
        <v>0.434072656939789</v>
      </c>
      <c r="L903" s="16" t="n">
        <v>12.6199779370112</v>
      </c>
      <c r="M903" s="19" t="n">
        <v>0.297006619895868</v>
      </c>
      <c r="N903" s="19" t="n">
        <v>0.982763386173245</v>
      </c>
      <c r="O903" s="19" t="n">
        <v>1.33991341590259</v>
      </c>
      <c r="P903" s="19" t="n">
        <v>1.33949242174217</v>
      </c>
      <c r="Q903" s="17" t="s">
        <v>92</v>
      </c>
      <c r="R903" s="5" t="str">
        <f aca="false">IF(OR(Q903="Steel plate",Q903="Concrete jacket"),"Steel plate or jacket",Q903)</f>
        <v>Steel plate or jacket</v>
      </c>
      <c r="S903" s="5" t="str">
        <f aca="false">IF(O903&lt;='Tree rules'!$C$4,IF(N903&lt;='Tree rules'!$C$5,IF(P903&lt;='Tree rules'!$C$6,"Monitor","Polymer laminate"),IF(P903&lt;='Tree rules'!$C$7,"Seal cracks","Polymer laminate")),IF(O903&lt;='Tree rules'!$C$8,IF(M903&lt;='Tree rules'!$C$9,"Steel plate or jacket","Polymer laminate"),IF(L903&lt;='Tree rules'!$C$10,"Steel plate or jacket","Polymer laminate")))</f>
        <v>Steel plate or jacket</v>
      </c>
      <c r="T903" s="5" t="str">
        <f aca="false">IF(S903=R903,"Yes","No")</f>
        <v>Yes</v>
      </c>
    </row>
    <row r="904" customFormat="false" ht="15" hidden="false" customHeight="false" outlineLevel="0" collapsed="false">
      <c r="A904" s="15" t="n">
        <v>1266</v>
      </c>
      <c r="B904" s="16" t="n">
        <v>4.87702751354427</v>
      </c>
      <c r="C904" s="15" t="n">
        <v>230</v>
      </c>
      <c r="D904" s="15" t="n">
        <v>450</v>
      </c>
      <c r="E904" s="15" t="n">
        <v>30</v>
      </c>
      <c r="F904" s="16" t="n">
        <v>0.679557138998441</v>
      </c>
      <c r="G904" s="17" t="s">
        <v>91</v>
      </c>
      <c r="H904" s="18" t="n">
        <v>0.2</v>
      </c>
      <c r="I904" s="18" t="n">
        <v>2</v>
      </c>
      <c r="J904" s="19" t="n">
        <v>0.87893997264014</v>
      </c>
      <c r="K904" s="19" t="n">
        <v>0.603547435713309</v>
      </c>
      <c r="L904" s="16" t="n">
        <v>12.1319092376723</v>
      </c>
      <c r="M904" s="19" t="n">
        <v>0.935347670386121</v>
      </c>
      <c r="N904" s="19" t="n">
        <v>1.65143854307223</v>
      </c>
      <c r="O904" s="19" t="n">
        <v>1.2273979786474</v>
      </c>
      <c r="P904" s="19" t="n">
        <v>0.404708845971458</v>
      </c>
      <c r="Q904" s="17" t="s">
        <v>31</v>
      </c>
      <c r="R904" s="5" t="str">
        <f aca="false">IF(OR(Q904="Steel plate",Q904="Concrete jacket"),"Steel plate or jacket",Q904)</f>
        <v>Polymer laminate</v>
      </c>
      <c r="S904" s="5" t="str">
        <f aca="false">IF(O904&lt;='Tree rules'!$C$4,IF(N904&lt;='Tree rules'!$C$5,IF(P904&lt;='Tree rules'!$C$6,"Monitor","Polymer laminate"),IF(P904&lt;='Tree rules'!$C$7,"Seal cracks","Polymer laminate")),IF(O904&lt;='Tree rules'!$C$8,IF(M904&lt;='Tree rules'!$C$9,"Steel plate or jacket","Polymer laminate"),IF(L904&lt;='Tree rules'!$C$10,"Steel plate or jacket","Polymer laminate")))</f>
        <v>Polymer laminate</v>
      </c>
      <c r="T904" s="5" t="str">
        <f aca="false">IF(S904=R904,"Yes","No")</f>
        <v>Yes</v>
      </c>
    </row>
    <row r="905" customFormat="false" ht="15" hidden="false" customHeight="false" outlineLevel="0" collapsed="false">
      <c r="A905" s="15" t="n">
        <v>1267</v>
      </c>
      <c r="B905" s="16" t="n">
        <v>4.66321206960421</v>
      </c>
      <c r="C905" s="15" t="n">
        <v>230</v>
      </c>
      <c r="D905" s="15" t="n">
        <v>375</v>
      </c>
      <c r="E905" s="15" t="n">
        <v>25</v>
      </c>
      <c r="F905" s="16" t="n">
        <v>0.556804015036685</v>
      </c>
      <c r="G905" s="17" t="s">
        <v>90</v>
      </c>
      <c r="H905" s="18" t="n">
        <v>0.1</v>
      </c>
      <c r="I905" s="18" t="n">
        <v>1</v>
      </c>
      <c r="J905" s="19" t="n">
        <v>0.868021418422143</v>
      </c>
      <c r="K905" s="19" t="n">
        <v>0.550046861156488</v>
      </c>
      <c r="L905" s="16" t="n">
        <v>14.8509938522427</v>
      </c>
      <c r="M905" s="19" t="n">
        <v>0.844201972633553</v>
      </c>
      <c r="N905" s="19" t="n">
        <v>2.42360130907436</v>
      </c>
      <c r="O905" s="19" t="n">
        <v>0.868021418422143</v>
      </c>
      <c r="P905" s="19" t="n">
        <v>0.323660043780415</v>
      </c>
      <c r="Q905" s="17" t="s">
        <v>30</v>
      </c>
      <c r="R905" s="5" t="str">
        <f aca="false">IF(OR(Q905="Steel plate",Q905="Concrete jacket"),"Steel plate or jacket",Q905)</f>
        <v>Seal cracks</v>
      </c>
      <c r="S905" s="5" t="str">
        <f aca="false">IF(O905&lt;='Tree rules'!$C$4,IF(N905&lt;='Tree rules'!$C$5,IF(P905&lt;='Tree rules'!$C$6,"Monitor","Polymer laminate"),IF(P905&lt;='Tree rules'!$C$7,"Seal cracks","Polymer laminate")),IF(O905&lt;='Tree rules'!$C$8,IF(M905&lt;='Tree rules'!$C$9,"Steel plate or jacket","Polymer laminate"),IF(L905&lt;='Tree rules'!$C$10,"Steel plate or jacket","Polymer laminate")))</f>
        <v>Seal cracks</v>
      </c>
      <c r="T905" s="5" t="str">
        <f aca="false">IF(S905=R905,"Yes","No")</f>
        <v>Yes</v>
      </c>
    </row>
    <row r="906" customFormat="false" ht="15" hidden="false" customHeight="false" outlineLevel="0" collapsed="false">
      <c r="A906" s="15" t="n">
        <v>1268</v>
      </c>
      <c r="B906" s="16" t="n">
        <v>4.47091539927314</v>
      </c>
      <c r="C906" s="15" t="n">
        <v>230</v>
      </c>
      <c r="D906" s="15" t="n">
        <v>400</v>
      </c>
      <c r="E906" s="15" t="n">
        <v>30</v>
      </c>
      <c r="F906" s="16" t="n">
        <v>0.740832460684402</v>
      </c>
      <c r="G906" s="17" t="s">
        <v>89</v>
      </c>
      <c r="H906" s="18" t="n">
        <v>0.3</v>
      </c>
      <c r="I906" s="18" t="n">
        <v>1</v>
      </c>
      <c r="J906" s="19" t="n">
        <v>0.879502172484427</v>
      </c>
      <c r="K906" s="19" t="n">
        <v>0.649671320166433</v>
      </c>
      <c r="L906" s="16" t="n">
        <v>12.6297045177207</v>
      </c>
      <c r="M906" s="19" t="n">
        <v>0.541554205846138</v>
      </c>
      <c r="N906" s="19" t="n">
        <v>0.642354544678785</v>
      </c>
      <c r="O906" s="19" t="n">
        <v>0.879502172484427</v>
      </c>
      <c r="P906" s="19" t="n">
        <v>0.631895129734552</v>
      </c>
      <c r="Q906" s="17" t="s">
        <v>29</v>
      </c>
      <c r="R906" s="5" t="str">
        <f aca="false">IF(OR(Q906="Steel plate",Q906="Concrete jacket"),"Steel plate or jacket",Q906)</f>
        <v>Monitor</v>
      </c>
      <c r="S906" s="5" t="str">
        <f aca="false">IF(O906&lt;='Tree rules'!$C$4,IF(N906&lt;='Tree rules'!$C$5,IF(P906&lt;='Tree rules'!$C$6,"Monitor","Polymer laminate"),IF(P906&lt;='Tree rules'!$C$7,"Seal cracks","Polymer laminate")),IF(O906&lt;='Tree rules'!$C$8,IF(M906&lt;='Tree rules'!$C$9,"Steel plate or jacket","Polymer laminate"),IF(L906&lt;='Tree rules'!$C$10,"Steel plate or jacket","Polymer laminate")))</f>
        <v>Monitor</v>
      </c>
      <c r="T906" s="5" t="str">
        <f aca="false">IF(S906=R906,"Yes","No")</f>
        <v>Yes</v>
      </c>
    </row>
    <row r="907" customFormat="false" ht="15" hidden="false" customHeight="false" outlineLevel="0" collapsed="false">
      <c r="A907" s="15" t="n">
        <v>1270</v>
      </c>
      <c r="B907" s="16" t="n">
        <v>3.82833539140532</v>
      </c>
      <c r="C907" s="15" t="n">
        <v>300</v>
      </c>
      <c r="D907" s="15" t="n">
        <v>325</v>
      </c>
      <c r="E907" s="15" t="n">
        <v>30</v>
      </c>
      <c r="F907" s="16" t="n">
        <v>0.67080270183412</v>
      </c>
      <c r="G907" s="17" t="s">
        <v>89</v>
      </c>
      <c r="H907" s="18" t="n">
        <v>0.3</v>
      </c>
      <c r="I907" s="18" t="n">
        <v>1</v>
      </c>
      <c r="J907" s="19" t="n">
        <v>0.968903207088878</v>
      </c>
      <c r="K907" s="19" t="n">
        <v>0.634767272834805</v>
      </c>
      <c r="L907" s="16" t="n">
        <v>13.6239693644317</v>
      </c>
      <c r="M907" s="19" t="n">
        <v>0.462619054669662</v>
      </c>
      <c r="N907" s="19" t="n">
        <v>0.682578201965007</v>
      </c>
      <c r="O907" s="19" t="n">
        <v>0.968903207088878</v>
      </c>
      <c r="P907" s="19" t="n">
        <v>0.735648963946591</v>
      </c>
      <c r="Q907" s="17" t="s">
        <v>29</v>
      </c>
      <c r="R907" s="5" t="str">
        <f aca="false">IF(OR(Q907="Steel plate",Q907="Concrete jacket"),"Steel plate or jacket",Q907)</f>
        <v>Monitor</v>
      </c>
      <c r="S907" s="5" t="str">
        <f aca="false">IF(O907&lt;='Tree rules'!$C$4,IF(N907&lt;='Tree rules'!$C$5,IF(P907&lt;='Tree rules'!$C$6,"Monitor","Polymer laminate"),IF(P907&lt;='Tree rules'!$C$7,"Seal cracks","Polymer laminate")),IF(O907&lt;='Tree rules'!$C$8,IF(M907&lt;='Tree rules'!$C$9,"Steel plate or jacket","Polymer laminate"),IF(L907&lt;='Tree rules'!$C$10,"Steel plate or jacket","Polymer laminate")))</f>
        <v>Monitor</v>
      </c>
      <c r="T907" s="5" t="str">
        <f aca="false">IF(S907=R907,"Yes","No")</f>
        <v>Yes</v>
      </c>
    </row>
    <row r="908" customFormat="false" ht="15" hidden="false" customHeight="false" outlineLevel="0" collapsed="false">
      <c r="A908" s="15" t="n">
        <v>1272</v>
      </c>
      <c r="B908" s="16" t="n">
        <v>6.51735165758033</v>
      </c>
      <c r="C908" s="15" t="n">
        <v>300</v>
      </c>
      <c r="D908" s="15" t="n">
        <v>625</v>
      </c>
      <c r="E908" s="15" t="n">
        <v>30</v>
      </c>
      <c r="F908" s="16" t="n">
        <v>0.725960174139756</v>
      </c>
      <c r="G908" s="17" t="s">
        <v>89</v>
      </c>
      <c r="H908" s="18" t="n">
        <v>0.3</v>
      </c>
      <c r="I908" s="18" t="n">
        <v>1</v>
      </c>
      <c r="J908" s="19" t="n">
        <v>0.852900366644266</v>
      </c>
      <c r="K908" s="19" t="n">
        <v>0.497145122668032</v>
      </c>
      <c r="L908" s="16" t="n">
        <v>11.2952368415604</v>
      </c>
      <c r="M908" s="19" t="n">
        <v>0.68676418512781</v>
      </c>
      <c r="N908" s="19" t="n">
        <v>0.578430784752449</v>
      </c>
      <c r="O908" s="19" t="n">
        <v>0.852900366644266</v>
      </c>
      <c r="P908" s="19" t="n">
        <v>0.441128030467194</v>
      </c>
      <c r="Q908" s="17" t="s">
        <v>29</v>
      </c>
      <c r="R908" s="5" t="str">
        <f aca="false">IF(OR(Q908="Steel plate",Q908="Concrete jacket"),"Steel plate or jacket",Q908)</f>
        <v>Monitor</v>
      </c>
      <c r="S908" s="5" t="str">
        <f aca="false">IF(O908&lt;='Tree rules'!$C$4,IF(N908&lt;='Tree rules'!$C$5,IF(P908&lt;='Tree rules'!$C$6,"Monitor","Polymer laminate"),IF(P908&lt;='Tree rules'!$C$7,"Seal cracks","Polymer laminate")),IF(O908&lt;='Tree rules'!$C$8,IF(M908&lt;='Tree rules'!$C$9,"Steel plate or jacket","Polymer laminate"),IF(L908&lt;='Tree rules'!$C$10,"Steel plate or jacket","Polymer laminate")))</f>
        <v>Monitor</v>
      </c>
      <c r="T908" s="5" t="str">
        <f aca="false">IF(S908=R908,"Yes","No")</f>
        <v>Yes</v>
      </c>
    </row>
    <row r="909" customFormat="false" ht="15" hidden="false" customHeight="false" outlineLevel="0" collapsed="false">
      <c r="A909" s="15" t="n">
        <v>1273</v>
      </c>
      <c r="B909" s="16" t="n">
        <v>5.40109731977805</v>
      </c>
      <c r="C909" s="15" t="n">
        <v>230</v>
      </c>
      <c r="D909" s="15" t="n">
        <v>525</v>
      </c>
      <c r="E909" s="15" t="n">
        <v>25</v>
      </c>
      <c r="F909" s="16" t="n">
        <v>0.85906279835652</v>
      </c>
      <c r="G909" s="17" t="s">
        <v>89</v>
      </c>
      <c r="H909" s="18" t="n">
        <v>0.3</v>
      </c>
      <c r="I909" s="18" t="n">
        <v>2</v>
      </c>
      <c r="J909" s="19" t="n">
        <v>0.891776358971287</v>
      </c>
      <c r="K909" s="19" t="n">
        <v>0.517072872380265</v>
      </c>
      <c r="L909" s="16" t="n">
        <v>11.3230551777318</v>
      </c>
      <c r="M909" s="19" t="n">
        <v>0.784358077181262</v>
      </c>
      <c r="N909" s="19" t="n">
        <v>0.912809613222772</v>
      </c>
      <c r="O909" s="19" t="n">
        <v>1.32243935448848</v>
      </c>
      <c r="P909" s="19" t="n">
        <v>0.588141027494817</v>
      </c>
      <c r="Q909" s="17" t="s">
        <v>92</v>
      </c>
      <c r="R909" s="5" t="str">
        <f aca="false">IF(OR(Q909="Steel plate",Q909="Concrete jacket"),"Steel plate or jacket",Q909)</f>
        <v>Steel plate or jacket</v>
      </c>
      <c r="S909" s="5" t="str">
        <f aca="false">IF(O909&lt;='Tree rules'!$C$4,IF(N909&lt;='Tree rules'!$C$5,IF(P909&lt;='Tree rules'!$C$6,"Monitor","Polymer laminate"),IF(P909&lt;='Tree rules'!$C$7,"Seal cracks","Polymer laminate")),IF(O909&lt;='Tree rules'!$C$8,IF(M909&lt;='Tree rules'!$C$9,"Steel plate or jacket","Polymer laminate"),IF(L909&lt;='Tree rules'!$C$10,"Steel plate or jacket","Polymer laminate")))</f>
        <v>Steel plate or jacket</v>
      </c>
      <c r="T909" s="5" t="str">
        <f aca="false">IF(S909=R909,"Yes","No")</f>
        <v>Yes</v>
      </c>
    </row>
    <row r="910" customFormat="false" ht="15" hidden="false" customHeight="false" outlineLevel="0" collapsed="false">
      <c r="A910" s="15" t="n">
        <v>1274</v>
      </c>
      <c r="B910" s="16" t="n">
        <v>3.54607648220804</v>
      </c>
      <c r="C910" s="15" t="n">
        <v>230</v>
      </c>
      <c r="D910" s="15" t="n">
        <v>325</v>
      </c>
      <c r="E910" s="15" t="n">
        <v>30</v>
      </c>
      <c r="F910" s="16" t="n">
        <v>0.662259320914844</v>
      </c>
      <c r="G910" s="17" t="s">
        <v>90</v>
      </c>
      <c r="H910" s="18" t="n">
        <v>0.1</v>
      </c>
      <c r="I910" s="18" t="n">
        <v>1</v>
      </c>
      <c r="J910" s="19" t="n">
        <v>0.863881511294465</v>
      </c>
      <c r="K910" s="19" t="n">
        <v>0.512688958925735</v>
      </c>
      <c r="L910" s="16" t="n">
        <v>13.4321078871517</v>
      </c>
      <c r="M910" s="19" t="n">
        <v>0.245825563330186</v>
      </c>
      <c r="N910" s="19" t="n">
        <v>3.01330491127346</v>
      </c>
      <c r="O910" s="19" t="n">
        <v>0.863881511294465</v>
      </c>
      <c r="P910" s="19" t="n">
        <v>0.886418925306616</v>
      </c>
      <c r="Q910" s="17" t="s">
        <v>30</v>
      </c>
      <c r="R910" s="5" t="str">
        <f aca="false">IF(OR(Q910="Steel plate",Q910="Concrete jacket"),"Steel plate or jacket",Q910)</f>
        <v>Seal cracks</v>
      </c>
      <c r="S910" s="5" t="str">
        <f aca="false">IF(O910&lt;='Tree rules'!$C$4,IF(N910&lt;='Tree rules'!$C$5,IF(P910&lt;='Tree rules'!$C$6,"Monitor","Polymer laminate"),IF(P910&lt;='Tree rules'!$C$7,"Seal cracks","Polymer laminate")),IF(O910&lt;='Tree rules'!$C$8,IF(M910&lt;='Tree rules'!$C$9,"Steel plate or jacket","Polymer laminate"),IF(L910&lt;='Tree rules'!$C$10,"Steel plate or jacket","Polymer laminate")))</f>
        <v>Seal cracks</v>
      </c>
      <c r="T910" s="5" t="str">
        <f aca="false">IF(S910=R910,"Yes","No")</f>
        <v>Yes</v>
      </c>
    </row>
    <row r="911" customFormat="false" ht="15" hidden="false" customHeight="false" outlineLevel="0" collapsed="false">
      <c r="A911" s="15" t="n">
        <v>1276</v>
      </c>
      <c r="B911" s="16" t="n">
        <v>4.08143040968884</v>
      </c>
      <c r="C911" s="15" t="n">
        <v>300</v>
      </c>
      <c r="D911" s="15" t="n">
        <v>350</v>
      </c>
      <c r="E911" s="15" t="n">
        <v>20</v>
      </c>
      <c r="F911" s="16" t="n">
        <v>0.661387927071535</v>
      </c>
      <c r="G911" s="17" t="s">
        <v>91</v>
      </c>
      <c r="H911" s="18" t="n">
        <v>0.2</v>
      </c>
      <c r="I911" s="18" t="n">
        <v>1</v>
      </c>
      <c r="J911" s="19" t="n">
        <v>0.971813702639942</v>
      </c>
      <c r="K911" s="19" t="n">
        <v>0.449112437924783</v>
      </c>
      <c r="L911" s="16" t="n">
        <v>13.425757926608</v>
      </c>
      <c r="M911" s="19" t="n">
        <v>0.942041499338381</v>
      </c>
      <c r="N911" s="19" t="n">
        <v>1.08524409624009</v>
      </c>
      <c r="O911" s="19" t="n">
        <v>0.971813702639942</v>
      </c>
      <c r="P911" s="19" t="n">
        <v>0.379687563784186</v>
      </c>
      <c r="Q911" s="17" t="s">
        <v>30</v>
      </c>
      <c r="R911" s="5" t="str">
        <f aca="false">IF(OR(Q911="Steel plate",Q911="Concrete jacket"),"Steel plate or jacket",Q911)</f>
        <v>Seal cracks</v>
      </c>
      <c r="S911" s="5" t="str">
        <f aca="false">IF(O911&lt;='Tree rules'!$C$4,IF(N911&lt;='Tree rules'!$C$5,IF(P911&lt;='Tree rules'!$C$6,"Monitor","Polymer laminate"),IF(P911&lt;='Tree rules'!$C$7,"Seal cracks","Polymer laminate")),IF(O911&lt;='Tree rules'!$C$8,IF(M911&lt;='Tree rules'!$C$9,"Steel plate or jacket","Polymer laminate"),IF(L911&lt;='Tree rules'!$C$10,"Steel plate or jacket","Polymer laminate")))</f>
        <v>Seal cracks</v>
      </c>
      <c r="T911" s="5" t="str">
        <f aca="false">IF(S911=R911,"Yes","No")</f>
        <v>Yes</v>
      </c>
    </row>
    <row r="912" customFormat="false" ht="15" hidden="false" customHeight="false" outlineLevel="0" collapsed="false">
      <c r="A912" s="15" t="n">
        <v>1279</v>
      </c>
      <c r="B912" s="16" t="n">
        <v>4.0523854781399</v>
      </c>
      <c r="C912" s="15" t="n">
        <v>230</v>
      </c>
      <c r="D912" s="15" t="n">
        <v>375</v>
      </c>
      <c r="E912" s="15" t="n">
        <v>25</v>
      </c>
      <c r="F912" s="16" t="n">
        <v>0.594232683721175</v>
      </c>
      <c r="G912" s="17" t="s">
        <v>89</v>
      </c>
      <c r="H912" s="18" t="n">
        <v>0.3</v>
      </c>
      <c r="I912" s="18" t="n">
        <v>2</v>
      </c>
      <c r="J912" s="19" t="n">
        <v>0.968324595808712</v>
      </c>
      <c r="K912" s="19" t="n">
        <v>0.612952777326033</v>
      </c>
      <c r="L912" s="16" t="n">
        <v>12.2428564294257</v>
      </c>
      <c r="M912" s="19" t="n">
        <v>0.735862567766936</v>
      </c>
      <c r="N912" s="19" t="n">
        <v>0.873413291776299</v>
      </c>
      <c r="O912" s="19" t="n">
        <v>1.34311194126337</v>
      </c>
      <c r="P912" s="19" t="n">
        <v>0.504601865243265</v>
      </c>
      <c r="Q912" s="17" t="s">
        <v>31</v>
      </c>
      <c r="R912" s="5" t="str">
        <f aca="false">IF(OR(Q912="Steel plate",Q912="Concrete jacket"),"Steel plate or jacket",Q912)</f>
        <v>Polymer laminate</v>
      </c>
      <c r="S912" s="5" t="str">
        <f aca="false">IF(O912&lt;='Tree rules'!$C$4,IF(N912&lt;='Tree rules'!$C$5,IF(P912&lt;='Tree rules'!$C$6,"Monitor","Polymer laminate"),IF(P912&lt;='Tree rules'!$C$7,"Seal cracks","Polymer laminate")),IF(O912&lt;='Tree rules'!$C$8,IF(M912&lt;='Tree rules'!$C$9,"Steel plate or jacket","Polymer laminate"),IF(L912&lt;='Tree rules'!$C$10,"Steel plate or jacket","Polymer laminate")))</f>
        <v>Steel plate or jacket</v>
      </c>
      <c r="T912" s="5" t="str">
        <f aca="false">IF(S912=R912,"Yes","No")</f>
        <v>No</v>
      </c>
    </row>
    <row r="913" customFormat="false" ht="15" hidden="false" customHeight="false" outlineLevel="0" collapsed="false">
      <c r="A913" s="15" t="n">
        <v>1281</v>
      </c>
      <c r="B913" s="16" t="n">
        <v>3.16078585062119</v>
      </c>
      <c r="C913" s="15" t="n">
        <v>300</v>
      </c>
      <c r="D913" s="15" t="n">
        <v>300</v>
      </c>
      <c r="E913" s="15" t="n">
        <v>25</v>
      </c>
      <c r="F913" s="16" t="n">
        <v>0.831109167616348</v>
      </c>
      <c r="G913" s="17" t="s">
        <v>91</v>
      </c>
      <c r="H913" s="18" t="n">
        <v>0.2</v>
      </c>
      <c r="I913" s="18" t="n">
        <v>1</v>
      </c>
      <c r="J913" s="19" t="n">
        <v>0.852815682543959</v>
      </c>
      <c r="K913" s="19" t="n">
        <v>0.603632549167614</v>
      </c>
      <c r="L913" s="16" t="n">
        <v>12.5428009945286</v>
      </c>
      <c r="M913" s="19" t="n">
        <v>0.771903915810296</v>
      </c>
      <c r="N913" s="19" t="n">
        <v>1.31000937697906</v>
      </c>
      <c r="O913" s="19" t="n">
        <v>0.852815682543959</v>
      </c>
      <c r="P913" s="19" t="n">
        <v>0.433532670081736</v>
      </c>
      <c r="Q913" s="17" t="s">
        <v>30</v>
      </c>
      <c r="R913" s="5" t="str">
        <f aca="false">IF(OR(Q913="Steel plate",Q913="Concrete jacket"),"Steel plate or jacket",Q913)</f>
        <v>Seal cracks</v>
      </c>
      <c r="S913" s="5" t="str">
        <f aca="false">IF(O913&lt;='Tree rules'!$C$4,IF(N913&lt;='Tree rules'!$C$5,IF(P913&lt;='Tree rules'!$C$6,"Monitor","Polymer laminate"),IF(P913&lt;='Tree rules'!$C$7,"Seal cracks","Polymer laminate")),IF(O913&lt;='Tree rules'!$C$8,IF(M913&lt;='Tree rules'!$C$9,"Steel plate or jacket","Polymer laminate"),IF(L913&lt;='Tree rules'!$C$10,"Steel plate or jacket","Polymer laminate")))</f>
        <v>Seal cracks</v>
      </c>
      <c r="T913" s="5" t="str">
        <f aca="false">IF(S913=R913,"Yes","No")</f>
        <v>Yes</v>
      </c>
    </row>
    <row r="914" customFormat="false" ht="15" hidden="false" customHeight="false" outlineLevel="0" collapsed="false">
      <c r="A914" s="15" t="n">
        <v>1282</v>
      </c>
      <c r="B914" s="16" t="n">
        <v>4.80074421126634</v>
      </c>
      <c r="C914" s="15" t="n">
        <v>300</v>
      </c>
      <c r="D914" s="15" t="n">
        <v>450</v>
      </c>
      <c r="E914" s="15" t="n">
        <v>30</v>
      </c>
      <c r="F914" s="16" t="n">
        <v>0.781490709848207</v>
      </c>
      <c r="G914" s="17" t="s">
        <v>89</v>
      </c>
      <c r="H914" s="18" t="n">
        <v>0.3</v>
      </c>
      <c r="I914" s="18" t="n">
        <v>1</v>
      </c>
      <c r="J914" s="19" t="n">
        <v>0.982933045143471</v>
      </c>
      <c r="K914" s="19" t="n">
        <v>0.408047125170185</v>
      </c>
      <c r="L914" s="16" t="n">
        <v>11.9421497792695</v>
      </c>
      <c r="M914" s="19" t="n">
        <v>0.76037435130609</v>
      </c>
      <c r="N914" s="19" t="n">
        <v>0.790493400892727</v>
      </c>
      <c r="O914" s="19" t="n">
        <v>0.982933045143471</v>
      </c>
      <c r="P914" s="19" t="n">
        <v>0.436156556122483</v>
      </c>
      <c r="Q914" s="17" t="s">
        <v>29</v>
      </c>
      <c r="R914" s="5" t="str">
        <f aca="false">IF(OR(Q914="Steel plate",Q914="Concrete jacket"),"Steel plate or jacket",Q914)</f>
        <v>Monitor</v>
      </c>
      <c r="S914" s="5" t="str">
        <f aca="false">IF(O914&lt;='Tree rules'!$C$4,IF(N914&lt;='Tree rules'!$C$5,IF(P914&lt;='Tree rules'!$C$6,"Monitor","Polymer laminate"),IF(P914&lt;='Tree rules'!$C$7,"Seal cracks","Polymer laminate")),IF(O914&lt;='Tree rules'!$C$8,IF(M914&lt;='Tree rules'!$C$9,"Steel plate or jacket","Polymer laminate"),IF(L914&lt;='Tree rules'!$C$10,"Steel plate or jacket","Polymer laminate")))</f>
        <v>Monitor</v>
      </c>
      <c r="T914" s="5" t="str">
        <f aca="false">IF(S914=R914,"Yes","No")</f>
        <v>Yes</v>
      </c>
    </row>
    <row r="915" customFormat="false" ht="15" hidden="false" customHeight="false" outlineLevel="0" collapsed="false">
      <c r="A915" s="15" t="n">
        <v>1283</v>
      </c>
      <c r="B915" s="16" t="n">
        <v>3.16768684571112</v>
      </c>
      <c r="C915" s="15" t="n">
        <v>230</v>
      </c>
      <c r="D915" s="15" t="n">
        <v>300</v>
      </c>
      <c r="E915" s="15" t="n">
        <v>30</v>
      </c>
      <c r="F915" s="16" t="n">
        <v>0.688332522525665</v>
      </c>
      <c r="G915" s="17" t="s">
        <v>91</v>
      </c>
      <c r="H915" s="18" t="n">
        <v>0.2</v>
      </c>
      <c r="I915" s="18" t="n">
        <v>1.5</v>
      </c>
      <c r="J915" s="19" t="n">
        <v>0.893517950365944</v>
      </c>
      <c r="K915" s="19" t="n">
        <v>0.45217869570905</v>
      </c>
      <c r="L915" s="16" t="n">
        <v>12.4712080539808</v>
      </c>
      <c r="M915" s="19" t="n">
        <v>0.954436119022384</v>
      </c>
      <c r="N915" s="19" t="n">
        <v>1.4926519738102</v>
      </c>
      <c r="O915" s="19" t="n">
        <v>1.13826203485437</v>
      </c>
      <c r="P915" s="19" t="n">
        <v>0.303716996859915</v>
      </c>
      <c r="Q915" s="17" t="s">
        <v>31</v>
      </c>
      <c r="R915" s="5" t="str">
        <f aca="false">IF(OR(Q915="Steel plate",Q915="Concrete jacket"),"Steel plate or jacket",Q915)</f>
        <v>Polymer laminate</v>
      </c>
      <c r="S915" s="5" t="str">
        <f aca="false">IF(O915&lt;='Tree rules'!$C$4,IF(N915&lt;='Tree rules'!$C$5,IF(P915&lt;='Tree rules'!$C$6,"Monitor","Polymer laminate"),IF(P915&lt;='Tree rules'!$C$7,"Seal cracks","Polymer laminate")),IF(O915&lt;='Tree rules'!$C$8,IF(M915&lt;='Tree rules'!$C$9,"Steel plate or jacket","Polymer laminate"),IF(L915&lt;='Tree rules'!$C$10,"Steel plate or jacket","Polymer laminate")))</f>
        <v>Polymer laminate</v>
      </c>
      <c r="T915" s="5" t="str">
        <f aca="false">IF(S915=R915,"Yes","No")</f>
        <v>Yes</v>
      </c>
    </row>
    <row r="916" customFormat="false" ht="15" hidden="false" customHeight="false" outlineLevel="0" collapsed="false">
      <c r="A916" s="15" t="n">
        <v>1284</v>
      </c>
      <c r="B916" s="16" t="n">
        <v>5.03361094115728</v>
      </c>
      <c r="C916" s="15" t="n">
        <v>300</v>
      </c>
      <c r="D916" s="15" t="n">
        <v>475</v>
      </c>
      <c r="E916" s="15" t="n">
        <v>20</v>
      </c>
      <c r="F916" s="16" t="n">
        <v>0.735735984447258</v>
      </c>
      <c r="G916" s="17" t="s">
        <v>91</v>
      </c>
      <c r="H916" s="18" t="n">
        <v>0.2</v>
      </c>
      <c r="I916" s="18" t="n">
        <v>1.5</v>
      </c>
      <c r="J916" s="19" t="n">
        <v>0.907271562160727</v>
      </c>
      <c r="K916" s="19" t="n">
        <v>0.521364596895993</v>
      </c>
      <c r="L916" s="16" t="n">
        <v>11.7883160214456</v>
      </c>
      <c r="M916" s="19" t="n">
        <v>0.934156960925486</v>
      </c>
      <c r="N916" s="19" t="n">
        <v>1.27292818613037</v>
      </c>
      <c r="O916" s="19" t="n">
        <v>1.12439770710053</v>
      </c>
      <c r="P916" s="19" t="n">
        <v>0.445694428103054</v>
      </c>
      <c r="Q916" s="17" t="s">
        <v>31</v>
      </c>
      <c r="R916" s="5" t="str">
        <f aca="false">IF(OR(Q916="Steel plate",Q916="Concrete jacket"),"Steel plate or jacket",Q916)</f>
        <v>Polymer laminate</v>
      </c>
      <c r="S916" s="5" t="str">
        <f aca="false">IF(O916&lt;='Tree rules'!$C$4,IF(N916&lt;='Tree rules'!$C$5,IF(P916&lt;='Tree rules'!$C$6,"Monitor","Polymer laminate"),IF(P916&lt;='Tree rules'!$C$7,"Seal cracks","Polymer laminate")),IF(O916&lt;='Tree rules'!$C$8,IF(M916&lt;='Tree rules'!$C$9,"Steel plate or jacket","Polymer laminate"),IF(L916&lt;='Tree rules'!$C$10,"Steel plate or jacket","Polymer laminate")))</f>
        <v>Polymer laminate</v>
      </c>
      <c r="T916" s="5" t="str">
        <f aca="false">IF(S916=R916,"Yes","No")</f>
        <v>Yes</v>
      </c>
    </row>
    <row r="917" customFormat="false" ht="15" hidden="false" customHeight="false" outlineLevel="0" collapsed="false">
      <c r="A917" s="15" t="n">
        <v>1286</v>
      </c>
      <c r="B917" s="16" t="n">
        <v>6.06896378495074</v>
      </c>
      <c r="C917" s="15" t="n">
        <v>300</v>
      </c>
      <c r="D917" s="15" t="n">
        <v>525</v>
      </c>
      <c r="E917" s="15" t="n">
        <v>25</v>
      </c>
      <c r="F917" s="16" t="n">
        <v>0.658614812073332</v>
      </c>
      <c r="G917" s="17" t="s">
        <v>89</v>
      </c>
      <c r="H917" s="18" t="n">
        <v>0.3</v>
      </c>
      <c r="I917" s="18" t="n">
        <v>2</v>
      </c>
      <c r="J917" s="19" t="n">
        <v>0.886154771415452</v>
      </c>
      <c r="K917" s="19" t="n">
        <v>0.513803260063506</v>
      </c>
      <c r="L917" s="16" t="n">
        <v>12.7231945177164</v>
      </c>
      <c r="M917" s="19" t="n">
        <v>0.945800922109623</v>
      </c>
      <c r="N917" s="19" t="n">
        <v>1.02839976125599</v>
      </c>
      <c r="O917" s="19" t="n">
        <v>1.31700033235681</v>
      </c>
      <c r="P917" s="19" t="n">
        <v>0.454278371944893</v>
      </c>
      <c r="Q917" s="17" t="s">
        <v>31</v>
      </c>
      <c r="R917" s="5" t="str">
        <f aca="false">IF(OR(Q917="Steel plate",Q917="Concrete jacket"),"Steel plate or jacket",Q917)</f>
        <v>Polymer laminate</v>
      </c>
      <c r="S917" s="5" t="str">
        <f aca="false">IF(O917&lt;='Tree rules'!$C$4,IF(N917&lt;='Tree rules'!$C$5,IF(P917&lt;='Tree rules'!$C$6,"Monitor","Polymer laminate"),IF(P917&lt;='Tree rules'!$C$7,"Seal cracks","Polymer laminate")),IF(O917&lt;='Tree rules'!$C$8,IF(M917&lt;='Tree rules'!$C$9,"Steel plate or jacket","Polymer laminate"),IF(L917&lt;='Tree rules'!$C$10,"Steel plate or jacket","Polymer laminate")))</f>
        <v>Steel plate or jacket</v>
      </c>
      <c r="T917" s="5" t="str">
        <f aca="false">IF(S917=R917,"Yes","No")</f>
        <v>No</v>
      </c>
    </row>
    <row r="918" customFormat="false" ht="15" hidden="false" customHeight="false" outlineLevel="0" collapsed="false">
      <c r="A918" s="15" t="n">
        <v>1289</v>
      </c>
      <c r="B918" s="16" t="n">
        <v>3.6369595496427</v>
      </c>
      <c r="C918" s="15" t="n">
        <v>300</v>
      </c>
      <c r="D918" s="15" t="n">
        <v>350</v>
      </c>
      <c r="E918" s="15" t="n">
        <v>20</v>
      </c>
      <c r="F918" s="16" t="n">
        <v>0.661387927071535</v>
      </c>
      <c r="G918" s="17" t="s">
        <v>91</v>
      </c>
      <c r="H918" s="18" t="n">
        <v>0.2</v>
      </c>
      <c r="I918" s="18" t="n">
        <v>1.5</v>
      </c>
      <c r="J918" s="19" t="n">
        <v>0.917597263987499</v>
      </c>
      <c r="K918" s="19" t="n">
        <v>0.588465879598182</v>
      </c>
      <c r="L918" s="16" t="n">
        <v>11.9636827290878</v>
      </c>
      <c r="M918" s="19" t="n">
        <v>0.492437888480307</v>
      </c>
      <c r="N918" s="19" t="n">
        <v>1.39592054237415</v>
      </c>
      <c r="O918" s="19" t="n">
        <v>1.10640855544661</v>
      </c>
      <c r="P918" s="19" t="n">
        <v>0.710573142909788</v>
      </c>
      <c r="Q918" s="17" t="s">
        <v>31</v>
      </c>
      <c r="R918" s="5" t="str">
        <f aca="false">IF(OR(Q918="Steel plate",Q918="Concrete jacket"),"Steel plate or jacket",Q918)</f>
        <v>Polymer laminate</v>
      </c>
      <c r="S918" s="5" t="str">
        <f aca="false">IF(O918&lt;='Tree rules'!$C$4,IF(N918&lt;='Tree rules'!$C$5,IF(P918&lt;='Tree rules'!$C$6,"Monitor","Polymer laminate"),IF(P918&lt;='Tree rules'!$C$7,"Seal cracks","Polymer laminate")),IF(O918&lt;='Tree rules'!$C$8,IF(M918&lt;='Tree rules'!$C$9,"Steel plate or jacket","Polymer laminate"),IF(L918&lt;='Tree rules'!$C$10,"Steel plate or jacket","Polymer laminate")))</f>
        <v>Polymer laminate</v>
      </c>
      <c r="T918" s="5" t="str">
        <f aca="false">IF(S918=R918,"Yes","No")</f>
        <v>Yes</v>
      </c>
    </row>
    <row r="919" customFormat="false" ht="15" hidden="false" customHeight="false" outlineLevel="0" collapsed="false">
      <c r="A919" s="15" t="n">
        <v>1291</v>
      </c>
      <c r="B919" s="16" t="n">
        <v>6.98193437914143</v>
      </c>
      <c r="C919" s="15" t="n">
        <v>300</v>
      </c>
      <c r="D919" s="15" t="n">
        <v>675</v>
      </c>
      <c r="E919" s="15" t="n">
        <v>25</v>
      </c>
      <c r="F919" s="16" t="n">
        <v>0.835085766504464</v>
      </c>
      <c r="G919" s="17" t="s">
        <v>91</v>
      </c>
      <c r="H919" s="18" t="n">
        <v>0.2</v>
      </c>
      <c r="I919" s="18" t="n">
        <v>1</v>
      </c>
      <c r="J919" s="19" t="n">
        <v>0.853762054309805</v>
      </c>
      <c r="K919" s="19" t="n">
        <v>0.511724256314619</v>
      </c>
      <c r="L919" s="16" t="n">
        <v>11.1354615297311</v>
      </c>
      <c r="M919" s="19" t="n">
        <v>0.710062521759036</v>
      </c>
      <c r="N919" s="19" t="n">
        <v>0.782890380286323</v>
      </c>
      <c r="O919" s="19" t="n">
        <v>0.853762054309805</v>
      </c>
      <c r="P919" s="19" t="n">
        <v>0.506857929502621</v>
      </c>
      <c r="Q919" s="17" t="s">
        <v>29</v>
      </c>
      <c r="R919" s="5" t="str">
        <f aca="false">IF(OR(Q919="Steel plate",Q919="Concrete jacket"),"Steel plate or jacket",Q919)</f>
        <v>Monitor</v>
      </c>
      <c r="S919" s="5" t="str">
        <f aca="false">IF(O919&lt;='Tree rules'!$C$4,IF(N919&lt;='Tree rules'!$C$5,IF(P919&lt;='Tree rules'!$C$6,"Monitor","Polymer laminate"),IF(P919&lt;='Tree rules'!$C$7,"Seal cracks","Polymer laminate")),IF(O919&lt;='Tree rules'!$C$8,IF(M919&lt;='Tree rules'!$C$9,"Steel plate or jacket","Polymer laminate"),IF(L919&lt;='Tree rules'!$C$10,"Steel plate or jacket","Polymer laminate")))</f>
        <v>Monitor</v>
      </c>
      <c r="T919" s="5" t="str">
        <f aca="false">IF(S919=R919,"Yes","No")</f>
        <v>Yes</v>
      </c>
    </row>
    <row r="920" customFormat="false" ht="15" hidden="false" customHeight="false" outlineLevel="0" collapsed="false">
      <c r="A920" s="15" t="n">
        <v>1293</v>
      </c>
      <c r="B920" s="16" t="n">
        <v>6.0530186679827</v>
      </c>
      <c r="C920" s="15" t="n">
        <v>300</v>
      </c>
      <c r="D920" s="15" t="n">
        <v>550</v>
      </c>
      <c r="E920" s="15" t="n">
        <v>30</v>
      </c>
      <c r="F920" s="16" t="n">
        <v>0.664887334093078</v>
      </c>
      <c r="G920" s="17" t="s">
        <v>89</v>
      </c>
      <c r="H920" s="18" t="n">
        <v>0.3</v>
      </c>
      <c r="I920" s="18" t="n">
        <v>1.5</v>
      </c>
      <c r="J920" s="19" t="n">
        <v>0.935793635630135</v>
      </c>
      <c r="K920" s="19" t="n">
        <v>0.504991063008673</v>
      </c>
      <c r="L920" s="16" t="n">
        <v>12.0099576745689</v>
      </c>
      <c r="M920" s="19" t="n">
        <v>0.690949272342874</v>
      </c>
      <c r="N920" s="19" t="n">
        <v>0.760363590325174</v>
      </c>
      <c r="O920" s="19" t="n">
        <v>1.1674067420384</v>
      </c>
      <c r="P920" s="19" t="n">
        <v>0.522169656230818</v>
      </c>
      <c r="Q920" s="17" t="s">
        <v>31</v>
      </c>
      <c r="R920" s="5" t="str">
        <f aca="false">IF(OR(Q920="Steel plate",Q920="Concrete jacket"),"Steel plate or jacket",Q920)</f>
        <v>Polymer laminate</v>
      </c>
      <c r="S920" s="5" t="str">
        <f aca="false">IF(O920&lt;='Tree rules'!$C$4,IF(N920&lt;='Tree rules'!$C$5,IF(P920&lt;='Tree rules'!$C$6,"Monitor","Polymer laminate"),IF(P920&lt;='Tree rules'!$C$7,"Seal cracks","Polymer laminate")),IF(O920&lt;='Tree rules'!$C$8,IF(M920&lt;='Tree rules'!$C$9,"Steel plate or jacket","Polymer laminate"),IF(L920&lt;='Tree rules'!$C$10,"Steel plate or jacket","Polymer laminate")))</f>
        <v>Polymer laminate</v>
      </c>
      <c r="T920" s="5" t="str">
        <f aca="false">IF(S920=R920,"Yes","No")</f>
        <v>Yes</v>
      </c>
    </row>
    <row r="921" customFormat="false" ht="15" hidden="false" customHeight="false" outlineLevel="0" collapsed="false">
      <c r="A921" s="15" t="n">
        <v>1294</v>
      </c>
      <c r="B921" s="16" t="n">
        <v>3.77880877295109</v>
      </c>
      <c r="C921" s="15" t="n">
        <v>300</v>
      </c>
      <c r="D921" s="15" t="n">
        <v>350</v>
      </c>
      <c r="E921" s="15" t="n">
        <v>20</v>
      </c>
      <c r="F921" s="16" t="n">
        <v>0.739198271432892</v>
      </c>
      <c r="G921" s="17" t="s">
        <v>91</v>
      </c>
      <c r="H921" s="18" t="n">
        <v>0.2</v>
      </c>
      <c r="I921" s="18" t="n">
        <v>1.5</v>
      </c>
      <c r="J921" s="19" t="n">
        <v>0.901323988561955</v>
      </c>
      <c r="K921" s="19" t="n">
        <v>0.643827380635721</v>
      </c>
      <c r="L921" s="16" t="n">
        <v>12.349048277618</v>
      </c>
      <c r="M921" s="19" t="n">
        <v>0.920759316234976</v>
      </c>
      <c r="N921" s="19" t="n">
        <v>0.962501659924189</v>
      </c>
      <c r="O921" s="19" t="n">
        <v>1.06183745151294</v>
      </c>
      <c r="P921" s="19" t="n">
        <v>0.462773982219472</v>
      </c>
      <c r="Q921" s="17" t="s">
        <v>31</v>
      </c>
      <c r="R921" s="5" t="str">
        <f aca="false">IF(OR(Q921="Steel plate",Q921="Concrete jacket"),"Steel plate or jacket",Q921)</f>
        <v>Polymer laminate</v>
      </c>
      <c r="S921" s="5" t="str">
        <f aca="false">IF(O921&lt;='Tree rules'!$C$4,IF(N921&lt;='Tree rules'!$C$5,IF(P921&lt;='Tree rules'!$C$6,"Monitor","Polymer laminate"),IF(P921&lt;='Tree rules'!$C$7,"Seal cracks","Polymer laminate")),IF(O921&lt;='Tree rules'!$C$8,IF(M921&lt;='Tree rules'!$C$9,"Steel plate or jacket","Polymer laminate"),IF(L921&lt;='Tree rules'!$C$10,"Steel plate or jacket","Polymer laminate")))</f>
        <v>Polymer laminate</v>
      </c>
      <c r="T921" s="5" t="str">
        <f aca="false">IF(S921=R921,"Yes","No")</f>
        <v>Yes</v>
      </c>
    </row>
    <row r="922" customFormat="false" ht="15" hidden="false" customHeight="false" outlineLevel="0" collapsed="false">
      <c r="A922" s="15" t="n">
        <v>1296</v>
      </c>
      <c r="B922" s="16" t="n">
        <v>5.56642384362878</v>
      </c>
      <c r="C922" s="15" t="n">
        <v>300</v>
      </c>
      <c r="D922" s="15" t="n">
        <v>475</v>
      </c>
      <c r="E922" s="15" t="n">
        <v>25</v>
      </c>
      <c r="F922" s="16" t="n">
        <v>0.735735984447258</v>
      </c>
      <c r="G922" s="17" t="s">
        <v>89</v>
      </c>
      <c r="H922" s="18" t="n">
        <v>0.3</v>
      </c>
      <c r="I922" s="18" t="n">
        <v>1.5</v>
      </c>
      <c r="J922" s="19" t="n">
        <v>0.873449278919502</v>
      </c>
      <c r="K922" s="19" t="n">
        <v>0.574224399748711</v>
      </c>
      <c r="L922" s="16" t="n">
        <v>13.0361214136505</v>
      </c>
      <c r="M922" s="19" t="n">
        <v>0.948768276537828</v>
      </c>
      <c r="N922" s="19" t="n">
        <v>0.810985979083728</v>
      </c>
      <c r="O922" s="19" t="n">
        <v>1.05939597443001</v>
      </c>
      <c r="P922" s="19" t="n">
        <v>0.452955430003398</v>
      </c>
      <c r="Q922" s="17" t="s">
        <v>31</v>
      </c>
      <c r="R922" s="5" t="str">
        <f aca="false">IF(OR(Q922="Steel plate",Q922="Concrete jacket"),"Steel plate or jacket",Q922)</f>
        <v>Polymer laminate</v>
      </c>
      <c r="S922" s="5" t="str">
        <f aca="false">IF(O922&lt;='Tree rules'!$C$4,IF(N922&lt;='Tree rules'!$C$5,IF(P922&lt;='Tree rules'!$C$6,"Monitor","Polymer laminate"),IF(P922&lt;='Tree rules'!$C$7,"Seal cracks","Polymer laminate")),IF(O922&lt;='Tree rules'!$C$8,IF(M922&lt;='Tree rules'!$C$9,"Steel plate or jacket","Polymer laminate"),IF(L922&lt;='Tree rules'!$C$10,"Steel plate or jacket","Polymer laminate")))</f>
        <v>Polymer laminate</v>
      </c>
      <c r="T922" s="5" t="str">
        <f aca="false">IF(S922=R922,"Yes","No")</f>
        <v>Yes</v>
      </c>
    </row>
    <row r="923" customFormat="false" ht="15" hidden="false" customHeight="false" outlineLevel="0" collapsed="false">
      <c r="A923" s="15" t="n">
        <v>1297</v>
      </c>
      <c r="B923" s="16" t="n">
        <v>5.06762705631405</v>
      </c>
      <c r="C923" s="15" t="n">
        <v>300</v>
      </c>
      <c r="D923" s="15" t="n">
        <v>450</v>
      </c>
      <c r="E923" s="15" t="n">
        <v>20</v>
      </c>
      <c r="F923" s="16" t="n">
        <v>0.663570725510715</v>
      </c>
      <c r="G923" s="17" t="s">
        <v>89</v>
      </c>
      <c r="H923" s="18" t="n">
        <v>0.3</v>
      </c>
      <c r="I923" s="18" t="n">
        <v>1</v>
      </c>
      <c r="J923" s="19" t="n">
        <v>0.92336449450435</v>
      </c>
      <c r="K923" s="19" t="n">
        <v>0.471977144216049</v>
      </c>
      <c r="L923" s="16" t="n">
        <v>12.54363132751</v>
      </c>
      <c r="M923" s="19" t="n">
        <v>0.431876373755775</v>
      </c>
      <c r="N923" s="19" t="n">
        <v>0.670499629155415</v>
      </c>
      <c r="O923" s="19" t="n">
        <v>0.92336449450435</v>
      </c>
      <c r="P923" s="19" t="n">
        <v>0.772050388623414</v>
      </c>
      <c r="Q923" s="17" t="s">
        <v>29</v>
      </c>
      <c r="R923" s="5" t="str">
        <f aca="false">IF(OR(Q923="Steel plate",Q923="Concrete jacket"),"Steel plate or jacket",Q923)</f>
        <v>Monitor</v>
      </c>
      <c r="S923" s="5" t="str">
        <f aca="false">IF(O923&lt;='Tree rules'!$C$4,IF(N923&lt;='Tree rules'!$C$5,IF(P923&lt;='Tree rules'!$C$6,"Monitor","Polymer laminate"),IF(P923&lt;='Tree rules'!$C$7,"Seal cracks","Polymer laminate")),IF(O923&lt;='Tree rules'!$C$8,IF(M923&lt;='Tree rules'!$C$9,"Steel plate or jacket","Polymer laminate"),IF(L923&lt;='Tree rules'!$C$10,"Steel plate or jacket","Polymer laminate")))</f>
        <v>Monitor</v>
      </c>
      <c r="T923" s="5" t="str">
        <f aca="false">IF(S923=R923,"Yes","No")</f>
        <v>Yes</v>
      </c>
    </row>
    <row r="924" customFormat="false" ht="15" hidden="false" customHeight="false" outlineLevel="0" collapsed="false">
      <c r="A924" s="15" t="n">
        <v>1299</v>
      </c>
      <c r="B924" s="16" t="n">
        <v>3.47205211749701</v>
      </c>
      <c r="C924" s="15" t="n">
        <v>230</v>
      </c>
      <c r="D924" s="15" t="n">
        <v>325</v>
      </c>
      <c r="E924" s="15" t="n">
        <v>30</v>
      </c>
      <c r="F924" s="16" t="n">
        <v>0.626653981080713</v>
      </c>
      <c r="G924" s="17" t="s">
        <v>89</v>
      </c>
      <c r="H924" s="18" t="n">
        <v>0.3</v>
      </c>
      <c r="I924" s="18" t="n">
        <v>1</v>
      </c>
      <c r="J924" s="19" t="n">
        <v>0.934066747682006</v>
      </c>
      <c r="K924" s="19" t="n">
        <v>0.409132144129056</v>
      </c>
      <c r="L924" s="16" t="n">
        <v>12.444631245509</v>
      </c>
      <c r="M924" s="19" t="n">
        <v>0.652127098959742</v>
      </c>
      <c r="N924" s="19" t="n">
        <v>0.849507877410906</v>
      </c>
      <c r="O924" s="19" t="n">
        <v>0.934066747682006</v>
      </c>
      <c r="P924" s="19" t="n">
        <v>0.359862731367972</v>
      </c>
      <c r="Q924" s="17" t="s">
        <v>29</v>
      </c>
      <c r="R924" s="5" t="str">
        <f aca="false">IF(OR(Q924="Steel plate",Q924="Concrete jacket"),"Steel plate or jacket",Q924)</f>
        <v>Monitor</v>
      </c>
      <c r="S924" s="5" t="str">
        <f aca="false">IF(O924&lt;='Tree rules'!$C$4,IF(N924&lt;='Tree rules'!$C$5,IF(P924&lt;='Tree rules'!$C$6,"Monitor","Polymer laminate"),IF(P924&lt;='Tree rules'!$C$7,"Seal cracks","Polymer laminate")),IF(O924&lt;='Tree rules'!$C$8,IF(M924&lt;='Tree rules'!$C$9,"Steel plate or jacket","Polymer laminate"),IF(L924&lt;='Tree rules'!$C$10,"Steel plate or jacket","Polymer laminate")))</f>
        <v>Monitor</v>
      </c>
      <c r="T924" s="5" t="str">
        <f aca="false">IF(S924=R924,"Yes","No")</f>
        <v>Yes</v>
      </c>
    </row>
    <row r="925" customFormat="false" ht="15" hidden="false" customHeight="false" outlineLevel="0" collapsed="false">
      <c r="A925" s="15" t="n">
        <v>1302</v>
      </c>
      <c r="B925" s="16" t="n">
        <v>4.77819412978931</v>
      </c>
      <c r="C925" s="15" t="n">
        <v>300</v>
      </c>
      <c r="D925" s="15" t="n">
        <v>425</v>
      </c>
      <c r="E925" s="15" t="n">
        <v>30</v>
      </c>
      <c r="F925" s="16" t="n">
        <v>0.833313701217452</v>
      </c>
      <c r="G925" s="17" t="s">
        <v>91</v>
      </c>
      <c r="H925" s="18" t="n">
        <v>0.2</v>
      </c>
      <c r="I925" s="18" t="n">
        <v>1</v>
      </c>
      <c r="J925" s="19" t="n">
        <v>0.934746188572603</v>
      </c>
      <c r="K925" s="19" t="n">
        <v>0.468965220231459</v>
      </c>
      <c r="L925" s="16" t="n">
        <v>12.6742549861786</v>
      </c>
      <c r="M925" s="19" t="n">
        <v>0.915633060162189</v>
      </c>
      <c r="N925" s="19" t="n">
        <v>1.09131571649713</v>
      </c>
      <c r="O925" s="19" t="n">
        <v>0.934746188572603</v>
      </c>
      <c r="P925" s="19" t="n">
        <v>0.409095509498412</v>
      </c>
      <c r="Q925" s="17" t="s">
        <v>30</v>
      </c>
      <c r="R925" s="5" t="str">
        <f aca="false">IF(OR(Q925="Steel plate",Q925="Concrete jacket"),"Steel plate or jacket",Q925)</f>
        <v>Seal cracks</v>
      </c>
      <c r="S925" s="5" t="str">
        <f aca="false">IF(O925&lt;='Tree rules'!$C$4,IF(N925&lt;='Tree rules'!$C$5,IF(P925&lt;='Tree rules'!$C$6,"Monitor","Polymer laminate"),IF(P925&lt;='Tree rules'!$C$7,"Seal cracks","Polymer laminate")),IF(O925&lt;='Tree rules'!$C$8,IF(M925&lt;='Tree rules'!$C$9,"Steel plate or jacket","Polymer laminate"),IF(L925&lt;='Tree rules'!$C$10,"Steel plate or jacket","Polymer laminate")))</f>
        <v>Seal cracks</v>
      </c>
      <c r="T925" s="5" t="str">
        <f aca="false">IF(S925=R925,"Yes","No")</f>
        <v>Yes</v>
      </c>
    </row>
    <row r="926" customFormat="false" ht="15" hidden="false" customHeight="false" outlineLevel="0" collapsed="false">
      <c r="A926" s="15" t="n">
        <v>1303</v>
      </c>
      <c r="B926" s="16" t="n">
        <v>3.16268337965505</v>
      </c>
      <c r="C926" s="15" t="n">
        <v>300</v>
      </c>
      <c r="D926" s="15" t="n">
        <v>300</v>
      </c>
      <c r="E926" s="15" t="n">
        <v>30</v>
      </c>
      <c r="F926" s="16" t="n">
        <v>0.831109167616348</v>
      </c>
      <c r="G926" s="17" t="s">
        <v>91</v>
      </c>
      <c r="H926" s="18" t="n">
        <v>0.2</v>
      </c>
      <c r="I926" s="18" t="n">
        <v>1</v>
      </c>
      <c r="J926" s="19" t="n">
        <v>0.987548153744155</v>
      </c>
      <c r="K926" s="19" t="n">
        <v>0.43116756038176</v>
      </c>
      <c r="L926" s="16" t="n">
        <v>12.550330871647</v>
      </c>
      <c r="M926" s="19" t="n">
        <v>0.938467498169356</v>
      </c>
      <c r="N926" s="19" t="n">
        <v>1.51372947191562</v>
      </c>
      <c r="O926" s="19" t="n">
        <v>0.987548153744155</v>
      </c>
      <c r="P926" s="19" t="n">
        <v>0.344238433525343</v>
      </c>
      <c r="Q926" s="17" t="s">
        <v>30</v>
      </c>
      <c r="R926" s="5" t="str">
        <f aca="false">IF(OR(Q926="Steel plate",Q926="Concrete jacket"),"Steel plate or jacket",Q926)</f>
        <v>Seal cracks</v>
      </c>
      <c r="S926" s="5" t="str">
        <f aca="false">IF(O926&lt;='Tree rules'!$C$4,IF(N926&lt;='Tree rules'!$C$5,IF(P926&lt;='Tree rules'!$C$6,"Monitor","Polymer laminate"),IF(P926&lt;='Tree rules'!$C$7,"Seal cracks","Polymer laminate")),IF(O926&lt;='Tree rules'!$C$8,IF(M926&lt;='Tree rules'!$C$9,"Steel plate or jacket","Polymer laminate"),IF(L926&lt;='Tree rules'!$C$10,"Steel plate or jacket","Polymer laminate")))</f>
        <v>Seal cracks</v>
      </c>
      <c r="T926" s="5" t="str">
        <f aca="false">IF(S926=R926,"Yes","No")</f>
        <v>Yes</v>
      </c>
    </row>
    <row r="927" customFormat="false" ht="15" hidden="false" customHeight="false" outlineLevel="0" collapsed="false">
      <c r="A927" s="15" t="n">
        <v>1304</v>
      </c>
      <c r="B927" s="16" t="n">
        <v>6.21717156579604</v>
      </c>
      <c r="C927" s="15" t="n">
        <v>300</v>
      </c>
      <c r="D927" s="15" t="n">
        <v>550</v>
      </c>
      <c r="E927" s="15" t="n">
        <v>25</v>
      </c>
      <c r="F927" s="16" t="n">
        <v>0.860121191947924</v>
      </c>
      <c r="G927" s="17" t="s">
        <v>90</v>
      </c>
      <c r="H927" s="18" t="n">
        <v>0.1</v>
      </c>
      <c r="I927" s="18" t="n">
        <v>2</v>
      </c>
      <c r="J927" s="19" t="n">
        <v>0.872080181987679</v>
      </c>
      <c r="K927" s="19" t="n">
        <v>0.524263985120428</v>
      </c>
      <c r="L927" s="16" t="n">
        <v>12.7662660488625</v>
      </c>
      <c r="M927" s="19" t="n">
        <v>0.90417784915389</v>
      </c>
      <c r="N927" s="19" t="n">
        <v>3.33422215818765</v>
      </c>
      <c r="O927" s="19" t="n">
        <v>1.28696013242195</v>
      </c>
      <c r="P927" s="19" t="n">
        <v>0.538662105032634</v>
      </c>
      <c r="Q927" s="17" t="s">
        <v>31</v>
      </c>
      <c r="R927" s="5" t="str">
        <f aca="false">IF(OR(Q927="Steel plate",Q927="Concrete jacket"),"Steel plate or jacket",Q927)</f>
        <v>Polymer laminate</v>
      </c>
      <c r="S927" s="5" t="str">
        <f aca="false">IF(O927&lt;='Tree rules'!$C$4,IF(N927&lt;='Tree rules'!$C$5,IF(P927&lt;='Tree rules'!$C$6,"Monitor","Polymer laminate"),IF(P927&lt;='Tree rules'!$C$7,"Seal cracks","Polymer laminate")),IF(O927&lt;='Tree rules'!$C$8,IF(M927&lt;='Tree rules'!$C$9,"Steel plate or jacket","Polymer laminate"),IF(L927&lt;='Tree rules'!$C$10,"Steel plate or jacket","Polymer laminate")))</f>
        <v>Polymer laminate</v>
      </c>
      <c r="T927" s="5" t="str">
        <f aca="false">IF(S927=R927,"Yes","No")</f>
        <v>Yes</v>
      </c>
    </row>
    <row r="928" customFormat="false" ht="15" hidden="false" customHeight="false" outlineLevel="0" collapsed="false">
      <c r="A928" s="15" t="n">
        <v>1305</v>
      </c>
      <c r="B928" s="16" t="n">
        <v>3.66127462814628</v>
      </c>
      <c r="C928" s="15" t="n">
        <v>230</v>
      </c>
      <c r="D928" s="15" t="n">
        <v>300</v>
      </c>
      <c r="E928" s="15" t="n">
        <v>30</v>
      </c>
      <c r="F928" s="16" t="n">
        <v>0.576243217710084</v>
      </c>
      <c r="G928" s="17" t="s">
        <v>89</v>
      </c>
      <c r="H928" s="18" t="n">
        <v>0.3</v>
      </c>
      <c r="I928" s="18" t="n">
        <v>1.5</v>
      </c>
      <c r="J928" s="19" t="n">
        <v>0.979403775066009</v>
      </c>
      <c r="K928" s="19" t="n">
        <v>0.605516318944253</v>
      </c>
      <c r="L928" s="16" t="n">
        <v>14.3018540161964</v>
      </c>
      <c r="M928" s="19" t="n">
        <v>0.826239919945371</v>
      </c>
      <c r="N928" s="19" t="n">
        <v>0.822203911367104</v>
      </c>
      <c r="O928" s="19" t="n">
        <v>1.17258317827998</v>
      </c>
      <c r="P928" s="19" t="n">
        <v>0.402427461786383</v>
      </c>
      <c r="Q928" s="17" t="s">
        <v>31</v>
      </c>
      <c r="R928" s="5" t="str">
        <f aca="false">IF(OR(Q928="Steel plate",Q928="Concrete jacket"),"Steel plate or jacket",Q928)</f>
        <v>Polymer laminate</v>
      </c>
      <c r="S928" s="5" t="str">
        <f aca="false">IF(O928&lt;='Tree rules'!$C$4,IF(N928&lt;='Tree rules'!$C$5,IF(P928&lt;='Tree rules'!$C$6,"Monitor","Polymer laminate"),IF(P928&lt;='Tree rules'!$C$7,"Seal cracks","Polymer laminate")),IF(O928&lt;='Tree rules'!$C$8,IF(M928&lt;='Tree rules'!$C$9,"Steel plate or jacket","Polymer laminate"),IF(L928&lt;='Tree rules'!$C$10,"Steel plate or jacket","Polymer laminate")))</f>
        <v>Polymer laminate</v>
      </c>
      <c r="T928" s="5" t="str">
        <f aca="false">IF(S928=R928,"Yes","No")</f>
        <v>Yes</v>
      </c>
    </row>
    <row r="929" customFormat="false" ht="15" hidden="false" customHeight="false" outlineLevel="0" collapsed="false">
      <c r="A929" s="15" t="n">
        <v>1306</v>
      </c>
      <c r="B929" s="16" t="n">
        <v>6.11896644848842</v>
      </c>
      <c r="C929" s="15" t="n">
        <v>300</v>
      </c>
      <c r="D929" s="15" t="n">
        <v>500</v>
      </c>
      <c r="E929" s="15" t="n">
        <v>25</v>
      </c>
      <c r="F929" s="16" t="n">
        <v>0.610666453545169</v>
      </c>
      <c r="G929" s="17" t="s">
        <v>90</v>
      </c>
      <c r="H929" s="18" t="n">
        <v>0.1</v>
      </c>
      <c r="I929" s="18" t="n">
        <v>1.5</v>
      </c>
      <c r="J929" s="19" t="n">
        <v>0.902605185665662</v>
      </c>
      <c r="K929" s="19" t="n">
        <v>0.627194961978274</v>
      </c>
      <c r="L929" s="16" t="n">
        <v>13.9384201560101</v>
      </c>
      <c r="M929" s="19" t="n">
        <v>0.323130795517168</v>
      </c>
      <c r="N929" s="19" t="n">
        <v>3.07595024334744</v>
      </c>
      <c r="O929" s="19" t="n">
        <v>1.07085306594601</v>
      </c>
      <c r="P929" s="19" t="n">
        <v>1.11068986670826</v>
      </c>
      <c r="Q929" s="17" t="s">
        <v>31</v>
      </c>
      <c r="R929" s="5" t="str">
        <f aca="false">IF(OR(Q929="Steel plate",Q929="Concrete jacket"),"Steel plate or jacket",Q929)</f>
        <v>Polymer laminate</v>
      </c>
      <c r="S929" s="5" t="str">
        <f aca="false">IF(O929&lt;='Tree rules'!$C$4,IF(N929&lt;='Tree rules'!$C$5,IF(P929&lt;='Tree rules'!$C$6,"Monitor","Polymer laminate"),IF(P929&lt;='Tree rules'!$C$7,"Seal cracks","Polymer laminate")),IF(O929&lt;='Tree rules'!$C$8,IF(M929&lt;='Tree rules'!$C$9,"Steel plate or jacket","Polymer laminate"),IF(L929&lt;='Tree rules'!$C$10,"Steel plate or jacket","Polymer laminate")))</f>
        <v>Polymer laminate</v>
      </c>
      <c r="T929" s="5" t="str">
        <f aca="false">IF(S929=R929,"Yes","No")</f>
        <v>Yes</v>
      </c>
    </row>
    <row r="930" customFormat="false" ht="15" hidden="false" customHeight="false" outlineLevel="0" collapsed="false">
      <c r="A930" s="15" t="n">
        <v>1307</v>
      </c>
      <c r="B930" s="16" t="n">
        <v>7.35234967649371</v>
      </c>
      <c r="C930" s="15" t="n">
        <v>300</v>
      </c>
      <c r="D930" s="15" t="n">
        <v>650</v>
      </c>
      <c r="E930" s="15" t="n">
        <v>30</v>
      </c>
      <c r="F930" s="16" t="n">
        <v>0.521859244782358</v>
      </c>
      <c r="G930" s="17" t="s">
        <v>91</v>
      </c>
      <c r="H930" s="18" t="n">
        <v>0.2</v>
      </c>
      <c r="I930" s="18" t="n">
        <v>1</v>
      </c>
      <c r="J930" s="19" t="n">
        <v>0.938866493661989</v>
      </c>
      <c r="K930" s="19" t="n">
        <v>0.443618173971993</v>
      </c>
      <c r="L930" s="16" t="n">
        <v>12.2132054426806</v>
      </c>
      <c r="M930" s="19" t="n">
        <v>0.896954578042489</v>
      </c>
      <c r="N930" s="19" t="n">
        <v>1.03115507665884</v>
      </c>
      <c r="O930" s="19" t="n">
        <v>0.938866493661989</v>
      </c>
      <c r="P930" s="19" t="n">
        <v>0.304186182408289</v>
      </c>
      <c r="Q930" s="17" t="s">
        <v>30</v>
      </c>
      <c r="R930" s="5" t="str">
        <f aca="false">IF(OR(Q930="Steel plate",Q930="Concrete jacket"),"Steel plate or jacket",Q930)</f>
        <v>Seal cracks</v>
      </c>
      <c r="S930" s="5" t="str">
        <f aca="false">IF(O930&lt;='Tree rules'!$C$4,IF(N930&lt;='Tree rules'!$C$5,IF(P930&lt;='Tree rules'!$C$6,"Monitor","Polymer laminate"),IF(P930&lt;='Tree rules'!$C$7,"Seal cracks","Polymer laminate")),IF(O930&lt;='Tree rules'!$C$8,IF(M930&lt;='Tree rules'!$C$9,"Steel plate or jacket","Polymer laminate"),IF(L930&lt;='Tree rules'!$C$10,"Steel plate or jacket","Polymer laminate")))</f>
        <v>Seal cracks</v>
      </c>
      <c r="T930" s="5" t="str">
        <f aca="false">IF(S930=R930,"Yes","No")</f>
        <v>Yes</v>
      </c>
    </row>
    <row r="931" customFormat="false" ht="15" hidden="false" customHeight="false" outlineLevel="0" collapsed="false">
      <c r="A931" s="15" t="n">
        <v>1308</v>
      </c>
      <c r="B931" s="16" t="n">
        <v>5.25833163590239</v>
      </c>
      <c r="C931" s="15" t="n">
        <v>300</v>
      </c>
      <c r="D931" s="15" t="n">
        <v>425</v>
      </c>
      <c r="E931" s="15" t="n">
        <v>25</v>
      </c>
      <c r="F931" s="16" t="n">
        <v>0.555542467478301</v>
      </c>
      <c r="G931" s="17" t="s">
        <v>91</v>
      </c>
      <c r="H931" s="18" t="n">
        <v>0.2</v>
      </c>
      <c r="I931" s="18" t="n">
        <v>1</v>
      </c>
      <c r="J931" s="19" t="n">
        <v>0.961388169801172</v>
      </c>
      <c r="K931" s="19" t="n">
        <v>0.583803777595014</v>
      </c>
      <c r="L931" s="16" t="n">
        <v>13.9478292729506</v>
      </c>
      <c r="M931" s="19" t="n">
        <v>0.815606501316036</v>
      </c>
      <c r="N931" s="19" t="n">
        <v>1.51694707029614</v>
      </c>
      <c r="O931" s="19" t="n">
        <v>0.961388169801172</v>
      </c>
      <c r="P931" s="19" t="n">
        <v>0.422279569583393</v>
      </c>
      <c r="Q931" s="17" t="s">
        <v>30</v>
      </c>
      <c r="R931" s="5" t="str">
        <f aca="false">IF(OR(Q931="Steel plate",Q931="Concrete jacket"),"Steel plate or jacket",Q931)</f>
        <v>Seal cracks</v>
      </c>
      <c r="S931" s="5" t="str">
        <f aca="false">IF(O931&lt;='Tree rules'!$C$4,IF(N931&lt;='Tree rules'!$C$5,IF(P931&lt;='Tree rules'!$C$6,"Monitor","Polymer laminate"),IF(P931&lt;='Tree rules'!$C$7,"Seal cracks","Polymer laminate")),IF(O931&lt;='Tree rules'!$C$8,IF(M931&lt;='Tree rules'!$C$9,"Steel plate or jacket","Polymer laminate"),IF(L931&lt;='Tree rules'!$C$10,"Steel plate or jacket","Polymer laminate")))</f>
        <v>Seal cracks</v>
      </c>
      <c r="T931" s="5" t="str">
        <f aca="false">IF(S931=R931,"Yes","No")</f>
        <v>Yes</v>
      </c>
    </row>
    <row r="932" customFormat="false" ht="15" hidden="false" customHeight="false" outlineLevel="0" collapsed="false">
      <c r="A932" s="15" t="n">
        <v>1311</v>
      </c>
      <c r="B932" s="16" t="n">
        <v>4.34061512485598</v>
      </c>
      <c r="C932" s="15" t="n">
        <v>300</v>
      </c>
      <c r="D932" s="15" t="n">
        <v>375</v>
      </c>
      <c r="E932" s="15" t="n">
        <v>25</v>
      </c>
      <c r="F932" s="16" t="n">
        <v>0.611130485804701</v>
      </c>
      <c r="G932" s="17" t="s">
        <v>89</v>
      </c>
      <c r="H932" s="18" t="n">
        <v>0.3</v>
      </c>
      <c r="I932" s="18" t="n">
        <v>1</v>
      </c>
      <c r="J932" s="19" t="n">
        <v>0.962435541946452</v>
      </c>
      <c r="K932" s="19" t="n">
        <v>0.563644818683549</v>
      </c>
      <c r="L932" s="16" t="n">
        <v>13.1933590421155</v>
      </c>
      <c r="M932" s="19" t="n">
        <v>0.938340275247598</v>
      </c>
      <c r="N932" s="19" t="n">
        <v>0.717775053721816</v>
      </c>
      <c r="O932" s="19" t="n">
        <v>0.962435541946452</v>
      </c>
      <c r="P932" s="19" t="n">
        <v>0.364058788290001</v>
      </c>
      <c r="Q932" s="17" t="s">
        <v>29</v>
      </c>
      <c r="R932" s="5" t="str">
        <f aca="false">IF(OR(Q932="Steel plate",Q932="Concrete jacket"),"Steel plate or jacket",Q932)</f>
        <v>Monitor</v>
      </c>
      <c r="S932" s="5" t="str">
        <f aca="false">IF(O932&lt;='Tree rules'!$C$4,IF(N932&lt;='Tree rules'!$C$5,IF(P932&lt;='Tree rules'!$C$6,"Monitor","Polymer laminate"),IF(P932&lt;='Tree rules'!$C$7,"Seal cracks","Polymer laminate")),IF(O932&lt;='Tree rules'!$C$8,IF(M932&lt;='Tree rules'!$C$9,"Steel plate or jacket","Polymer laminate"),IF(L932&lt;='Tree rules'!$C$10,"Steel plate or jacket","Polymer laminate")))</f>
        <v>Monitor</v>
      </c>
      <c r="T932" s="5" t="str">
        <f aca="false">IF(S932=R932,"Yes","No")</f>
        <v>Yes</v>
      </c>
    </row>
    <row r="933" customFormat="false" ht="15" hidden="false" customHeight="false" outlineLevel="0" collapsed="false">
      <c r="A933" s="15" t="n">
        <v>1312</v>
      </c>
      <c r="B933" s="16" t="n">
        <v>4.0134810509562</v>
      </c>
      <c r="C933" s="15" t="n">
        <v>300</v>
      </c>
      <c r="D933" s="15" t="n">
        <v>325</v>
      </c>
      <c r="E933" s="15" t="n">
        <v>30</v>
      </c>
      <c r="F933" s="16" t="n">
        <v>0.67080270183412</v>
      </c>
      <c r="G933" s="17" t="s">
        <v>91</v>
      </c>
      <c r="H933" s="18" t="n">
        <v>0.2</v>
      </c>
      <c r="I933" s="18" t="n">
        <v>1</v>
      </c>
      <c r="J933" s="19" t="n">
        <v>0.982618200622358</v>
      </c>
      <c r="K933" s="19" t="n">
        <v>0.521125021223433</v>
      </c>
      <c r="L933" s="16" t="n">
        <v>14.2828507151466</v>
      </c>
      <c r="M933" s="19" t="n">
        <v>0.510412678694325</v>
      </c>
      <c r="N933" s="19" t="n">
        <v>1.02793995806721</v>
      </c>
      <c r="O933" s="19" t="n">
        <v>0.982618200622358</v>
      </c>
      <c r="P933" s="19" t="n">
        <v>0.653028792818757</v>
      </c>
      <c r="Q933" s="17" t="s">
        <v>30</v>
      </c>
      <c r="R933" s="5" t="str">
        <f aca="false">IF(OR(Q933="Steel plate",Q933="Concrete jacket"),"Steel plate or jacket",Q933)</f>
        <v>Seal cracks</v>
      </c>
      <c r="S933" s="5" t="str">
        <f aca="false">IF(O933&lt;='Tree rules'!$C$4,IF(N933&lt;='Tree rules'!$C$5,IF(P933&lt;='Tree rules'!$C$6,"Monitor","Polymer laminate"),IF(P933&lt;='Tree rules'!$C$7,"Seal cracks","Polymer laminate")),IF(O933&lt;='Tree rules'!$C$8,IF(M933&lt;='Tree rules'!$C$9,"Steel plate or jacket","Polymer laminate"),IF(L933&lt;='Tree rules'!$C$10,"Steel plate or jacket","Polymer laminate")))</f>
        <v>Seal cracks</v>
      </c>
      <c r="T933" s="5" t="str">
        <f aca="false">IF(S933=R933,"Yes","No")</f>
        <v>Yes</v>
      </c>
    </row>
    <row r="934" customFormat="false" ht="15" hidden="false" customHeight="false" outlineLevel="0" collapsed="false">
      <c r="A934" s="15" t="n">
        <v>1315</v>
      </c>
      <c r="B934" s="16" t="n">
        <v>4.10577314120756</v>
      </c>
      <c r="C934" s="15" t="n">
        <v>300</v>
      </c>
      <c r="D934" s="15" t="n">
        <v>375</v>
      </c>
      <c r="E934" s="15" t="n">
        <v>20</v>
      </c>
      <c r="F934" s="16" t="n">
        <v>0.611130485804701</v>
      </c>
      <c r="G934" s="17" t="s">
        <v>91</v>
      </c>
      <c r="H934" s="18" t="n">
        <v>0.2</v>
      </c>
      <c r="I934" s="18" t="n">
        <v>1</v>
      </c>
      <c r="J934" s="19" t="n">
        <v>0.900518926912863</v>
      </c>
      <c r="K934" s="19" t="n">
        <v>0.535968405095731</v>
      </c>
      <c r="L934" s="16" t="n">
        <v>12.4795536206917</v>
      </c>
      <c r="M934" s="19" t="n">
        <v>0.676772986863674</v>
      </c>
      <c r="N934" s="19" t="n">
        <v>1.06318097717613</v>
      </c>
      <c r="O934" s="19" t="n">
        <v>0.900518926912863</v>
      </c>
      <c r="P934" s="19" t="n">
        <v>0.458313118370121</v>
      </c>
      <c r="Q934" s="17" t="s">
        <v>30</v>
      </c>
      <c r="R934" s="5" t="str">
        <f aca="false">IF(OR(Q934="Steel plate",Q934="Concrete jacket"),"Steel plate or jacket",Q934)</f>
        <v>Seal cracks</v>
      </c>
      <c r="S934" s="5" t="str">
        <f aca="false">IF(O934&lt;='Tree rules'!$C$4,IF(N934&lt;='Tree rules'!$C$5,IF(P934&lt;='Tree rules'!$C$6,"Monitor","Polymer laminate"),IF(P934&lt;='Tree rules'!$C$7,"Seal cracks","Polymer laminate")),IF(O934&lt;='Tree rules'!$C$8,IF(M934&lt;='Tree rules'!$C$9,"Steel plate or jacket","Polymer laminate"),IF(L934&lt;='Tree rules'!$C$10,"Steel plate or jacket","Polymer laminate")))</f>
        <v>Seal cracks</v>
      </c>
      <c r="T934" s="5" t="str">
        <f aca="false">IF(S934=R934,"Yes","No")</f>
        <v>Yes</v>
      </c>
    </row>
    <row r="935" customFormat="false" ht="15" hidden="false" customHeight="false" outlineLevel="0" collapsed="false">
      <c r="A935" s="15" t="n">
        <v>1316</v>
      </c>
      <c r="B935" s="16" t="n">
        <v>3.23006736838202</v>
      </c>
      <c r="C935" s="15" t="n">
        <v>230</v>
      </c>
      <c r="D935" s="15" t="n">
        <v>325</v>
      </c>
      <c r="E935" s="15" t="n">
        <v>30</v>
      </c>
      <c r="F935" s="16" t="n">
        <v>0.98621649775225</v>
      </c>
      <c r="G935" s="17" t="s">
        <v>89</v>
      </c>
      <c r="H935" s="18" t="n">
        <v>0.3</v>
      </c>
      <c r="I935" s="18" t="n">
        <v>1</v>
      </c>
      <c r="J935" s="19" t="n">
        <v>0.941727250846921</v>
      </c>
      <c r="K935" s="19" t="n">
        <v>0.517192038868917</v>
      </c>
      <c r="L935" s="16" t="n">
        <v>11.6608930266499</v>
      </c>
      <c r="M935" s="19" t="n">
        <v>0.687366142112991</v>
      </c>
      <c r="N935" s="19" t="n">
        <v>0.867317830749247</v>
      </c>
      <c r="O935" s="19" t="n">
        <v>0.941727250846921</v>
      </c>
      <c r="P935" s="19" t="n">
        <v>0.514049310849142</v>
      </c>
      <c r="Q935" s="17" t="s">
        <v>29</v>
      </c>
      <c r="R935" s="5" t="str">
        <f aca="false">IF(OR(Q935="Steel plate",Q935="Concrete jacket"),"Steel plate or jacket",Q935)</f>
        <v>Monitor</v>
      </c>
      <c r="S935" s="5" t="str">
        <f aca="false">IF(O935&lt;='Tree rules'!$C$4,IF(N935&lt;='Tree rules'!$C$5,IF(P935&lt;='Tree rules'!$C$6,"Monitor","Polymer laminate"),IF(P935&lt;='Tree rules'!$C$7,"Seal cracks","Polymer laminate")),IF(O935&lt;='Tree rules'!$C$8,IF(M935&lt;='Tree rules'!$C$9,"Steel plate or jacket","Polymer laminate"),IF(L935&lt;='Tree rules'!$C$10,"Steel plate or jacket","Polymer laminate")))</f>
        <v>Monitor</v>
      </c>
      <c r="T935" s="5" t="str">
        <f aca="false">IF(S935=R935,"Yes","No")</f>
        <v>Yes</v>
      </c>
    </row>
    <row r="936" customFormat="false" ht="15" hidden="false" customHeight="false" outlineLevel="0" collapsed="false">
      <c r="A936" s="15" t="n">
        <v>1317</v>
      </c>
      <c r="B936" s="16" t="n">
        <v>3.48804979350434</v>
      </c>
      <c r="C936" s="15" t="n">
        <v>300</v>
      </c>
      <c r="D936" s="15" t="n">
        <v>350</v>
      </c>
      <c r="E936" s="15" t="n">
        <v>30</v>
      </c>
      <c r="F936" s="16" t="n">
        <v>0.881850569428714</v>
      </c>
      <c r="G936" s="17" t="s">
        <v>91</v>
      </c>
      <c r="H936" s="18" t="n">
        <v>0.2</v>
      </c>
      <c r="I936" s="18" t="n">
        <v>2</v>
      </c>
      <c r="J936" s="19" t="n">
        <v>0.863748478877714</v>
      </c>
      <c r="K936" s="19" t="n">
        <v>0.617115845310403</v>
      </c>
      <c r="L936" s="16" t="n">
        <v>11.4738480049485</v>
      </c>
      <c r="M936" s="19" t="n">
        <v>0.737004372510459</v>
      </c>
      <c r="N936" s="19" t="n">
        <v>1.30674343830057</v>
      </c>
      <c r="O936" s="19" t="n">
        <v>1.19446408507723</v>
      </c>
      <c r="P936" s="19" t="n">
        <v>0.538330794976484</v>
      </c>
      <c r="Q936" s="17" t="s">
        <v>31</v>
      </c>
      <c r="R936" s="5" t="str">
        <f aca="false">IF(OR(Q936="Steel plate",Q936="Concrete jacket"),"Steel plate or jacket",Q936)</f>
        <v>Polymer laminate</v>
      </c>
      <c r="S936" s="5" t="str">
        <f aca="false">IF(O936&lt;='Tree rules'!$C$4,IF(N936&lt;='Tree rules'!$C$5,IF(P936&lt;='Tree rules'!$C$6,"Monitor","Polymer laminate"),IF(P936&lt;='Tree rules'!$C$7,"Seal cracks","Polymer laminate")),IF(O936&lt;='Tree rules'!$C$8,IF(M936&lt;='Tree rules'!$C$9,"Steel plate or jacket","Polymer laminate"),IF(L936&lt;='Tree rules'!$C$10,"Steel plate or jacket","Polymer laminate")))</f>
        <v>Polymer laminate</v>
      </c>
      <c r="T936" s="5" t="str">
        <f aca="false">IF(S936=R936,"Yes","No")</f>
        <v>Yes</v>
      </c>
    </row>
    <row r="937" customFormat="false" ht="15" hidden="false" customHeight="false" outlineLevel="0" collapsed="false">
      <c r="A937" s="15" t="n">
        <v>1318</v>
      </c>
      <c r="B937" s="16" t="n">
        <v>3.36693409133832</v>
      </c>
      <c r="C937" s="15" t="n">
        <v>230</v>
      </c>
      <c r="D937" s="15" t="n">
        <v>300</v>
      </c>
      <c r="E937" s="15" t="n">
        <v>30</v>
      </c>
      <c r="F937" s="16" t="n">
        <v>1.0324987837885</v>
      </c>
      <c r="G937" s="17" t="s">
        <v>91</v>
      </c>
      <c r="H937" s="18" t="n">
        <v>0.2</v>
      </c>
      <c r="I937" s="18" t="n">
        <v>2</v>
      </c>
      <c r="J937" s="19" t="n">
        <v>0.853687739288751</v>
      </c>
      <c r="K937" s="19" t="n">
        <v>0.409813581970512</v>
      </c>
      <c r="L937" s="16" t="n">
        <v>13.255646028891</v>
      </c>
      <c r="M937" s="19" t="n">
        <v>0.951978228661308</v>
      </c>
      <c r="N937" s="19" t="n">
        <v>1.48882814781252</v>
      </c>
      <c r="O937" s="19" t="n">
        <v>1.35752264825527</v>
      </c>
      <c r="P937" s="19" t="n">
        <v>0.488159506202427</v>
      </c>
      <c r="Q937" s="17" t="s">
        <v>31</v>
      </c>
      <c r="R937" s="5" t="str">
        <f aca="false">IF(OR(Q937="Steel plate",Q937="Concrete jacket"),"Steel plate or jacket",Q937)</f>
        <v>Polymer laminate</v>
      </c>
      <c r="S937" s="5" t="str">
        <f aca="false">IF(O937&lt;='Tree rules'!$C$4,IF(N937&lt;='Tree rules'!$C$5,IF(P937&lt;='Tree rules'!$C$6,"Monitor","Polymer laminate"),IF(P937&lt;='Tree rules'!$C$7,"Seal cracks","Polymer laminate")),IF(O937&lt;='Tree rules'!$C$8,IF(M937&lt;='Tree rules'!$C$9,"Steel plate or jacket","Polymer laminate"),IF(L937&lt;='Tree rules'!$C$10,"Steel plate or jacket","Polymer laminate")))</f>
        <v>Polymer laminate</v>
      </c>
      <c r="T937" s="5" t="str">
        <f aca="false">IF(S937=R937,"Yes","No")</f>
        <v>Yes</v>
      </c>
    </row>
    <row r="938" customFormat="false" ht="15" hidden="false" customHeight="false" outlineLevel="0" collapsed="false">
      <c r="A938" s="15" t="n">
        <v>1320</v>
      </c>
      <c r="B938" s="16" t="n">
        <v>4.13735937072621</v>
      </c>
      <c r="C938" s="15" t="n">
        <v>230</v>
      </c>
      <c r="D938" s="15" t="n">
        <v>375</v>
      </c>
      <c r="E938" s="15" t="n">
        <v>30</v>
      </c>
      <c r="F938" s="16" t="n">
        <v>0.835206022555027</v>
      </c>
      <c r="G938" s="17" t="s">
        <v>90</v>
      </c>
      <c r="H938" s="18" t="n">
        <v>0.1</v>
      </c>
      <c r="I938" s="18" t="n">
        <v>1</v>
      </c>
      <c r="J938" s="19" t="n">
        <v>0.954536871737201</v>
      </c>
      <c r="K938" s="19" t="n">
        <v>0.474037110199752</v>
      </c>
      <c r="L938" s="16" t="n">
        <v>13.1763037284274</v>
      </c>
      <c r="M938" s="19" t="n">
        <v>0.320822960823585</v>
      </c>
      <c r="N938" s="19" t="n">
        <v>2.84788678618548</v>
      </c>
      <c r="O938" s="19" t="n">
        <v>0.954536871737201</v>
      </c>
      <c r="P938" s="19" t="n">
        <v>0.956807169105672</v>
      </c>
      <c r="Q938" s="17" t="s">
        <v>30</v>
      </c>
      <c r="R938" s="5" t="str">
        <f aca="false">IF(OR(Q938="Steel plate",Q938="Concrete jacket"),"Steel plate or jacket",Q938)</f>
        <v>Seal cracks</v>
      </c>
      <c r="S938" s="5" t="str">
        <f aca="false">IF(O938&lt;='Tree rules'!$C$4,IF(N938&lt;='Tree rules'!$C$5,IF(P938&lt;='Tree rules'!$C$6,"Monitor","Polymer laminate"),IF(P938&lt;='Tree rules'!$C$7,"Seal cracks","Polymer laminate")),IF(O938&lt;='Tree rules'!$C$8,IF(M938&lt;='Tree rules'!$C$9,"Steel plate or jacket","Polymer laminate"),IF(L938&lt;='Tree rules'!$C$10,"Steel plate or jacket","Polymer laminate")))</f>
        <v>Seal cracks</v>
      </c>
      <c r="T938" s="5" t="str">
        <f aca="false">IF(S938=R938,"Yes","No")</f>
        <v>Yes</v>
      </c>
    </row>
    <row r="939" customFormat="false" ht="15" hidden="false" customHeight="false" outlineLevel="0" collapsed="false">
      <c r="A939" s="15" t="n">
        <v>1323</v>
      </c>
      <c r="B939" s="16" t="n">
        <v>3.14421163192447</v>
      </c>
      <c r="C939" s="15" t="n">
        <v>230</v>
      </c>
      <c r="D939" s="15" t="n">
        <v>300</v>
      </c>
      <c r="E939" s="15" t="n">
        <v>30</v>
      </c>
      <c r="F939" s="16" t="n">
        <v>0.768324290280112</v>
      </c>
      <c r="G939" s="17" t="s">
        <v>89</v>
      </c>
      <c r="H939" s="18" t="n">
        <v>0.3</v>
      </c>
      <c r="I939" s="18" t="n">
        <v>1.5</v>
      </c>
      <c r="J939" s="19" t="n">
        <v>0.966102110523041</v>
      </c>
      <c r="K939" s="19" t="n">
        <v>0.52306782715998</v>
      </c>
      <c r="L939" s="16" t="n">
        <v>12.282076687205</v>
      </c>
      <c r="M939" s="19" t="n">
        <v>0.777191506676002</v>
      </c>
      <c r="N939" s="19" t="n">
        <v>0.803540593302439</v>
      </c>
      <c r="O939" s="19" t="n">
        <v>1.19648469990158</v>
      </c>
      <c r="P939" s="19" t="n">
        <v>0.449018610769804</v>
      </c>
      <c r="Q939" s="17" t="s">
        <v>31</v>
      </c>
      <c r="R939" s="5" t="str">
        <f aca="false">IF(OR(Q939="Steel plate",Q939="Concrete jacket"),"Steel plate or jacket",Q939)</f>
        <v>Polymer laminate</v>
      </c>
      <c r="S939" s="5" t="str">
        <f aca="false">IF(O939&lt;='Tree rules'!$C$4,IF(N939&lt;='Tree rules'!$C$5,IF(P939&lt;='Tree rules'!$C$6,"Monitor","Polymer laminate"),IF(P939&lt;='Tree rules'!$C$7,"Seal cracks","Polymer laminate")),IF(O939&lt;='Tree rules'!$C$8,IF(M939&lt;='Tree rules'!$C$9,"Steel plate or jacket","Polymer laminate"),IF(L939&lt;='Tree rules'!$C$10,"Steel plate or jacket","Polymer laminate")))</f>
        <v>Polymer laminate</v>
      </c>
      <c r="T939" s="5" t="str">
        <f aca="false">IF(S939=R939,"Yes","No")</f>
        <v>Yes</v>
      </c>
    </row>
    <row r="940" customFormat="false" ht="15" hidden="false" customHeight="false" outlineLevel="0" collapsed="false">
      <c r="A940" s="15" t="n">
        <v>1324</v>
      </c>
      <c r="B940" s="16" t="n">
        <v>6.27510823532777</v>
      </c>
      <c r="C940" s="15" t="n">
        <v>300</v>
      </c>
      <c r="D940" s="15" t="n">
        <v>525</v>
      </c>
      <c r="E940" s="15" t="n">
        <v>25</v>
      </c>
      <c r="F940" s="16" t="n">
        <v>0.658614812073332</v>
      </c>
      <c r="G940" s="17" t="s">
        <v>89</v>
      </c>
      <c r="H940" s="18" t="n">
        <v>0.3</v>
      </c>
      <c r="I940" s="18" t="n">
        <v>1.5</v>
      </c>
      <c r="J940" s="19" t="n">
        <v>0.949529484861427</v>
      </c>
      <c r="K940" s="19" t="n">
        <v>0.435516973348204</v>
      </c>
      <c r="L940" s="16" t="n">
        <v>13.1553631767878</v>
      </c>
      <c r="M940" s="19" t="n">
        <v>0.800026012950637</v>
      </c>
      <c r="N940" s="19" t="n">
        <v>0.968513259079492</v>
      </c>
      <c r="O940" s="19" t="n">
        <v>1.21752612361628</v>
      </c>
      <c r="P940" s="19" t="n">
        <v>0.505449444754999</v>
      </c>
      <c r="Q940" s="17" t="s">
        <v>31</v>
      </c>
      <c r="R940" s="5" t="str">
        <f aca="false">IF(OR(Q940="Steel plate",Q940="Concrete jacket"),"Steel plate or jacket",Q940)</f>
        <v>Polymer laminate</v>
      </c>
      <c r="S940" s="5" t="str">
        <f aca="false">IF(O940&lt;='Tree rules'!$C$4,IF(N940&lt;='Tree rules'!$C$5,IF(P940&lt;='Tree rules'!$C$6,"Monitor","Polymer laminate"),IF(P940&lt;='Tree rules'!$C$7,"Seal cracks","Polymer laminate")),IF(O940&lt;='Tree rules'!$C$8,IF(M940&lt;='Tree rules'!$C$9,"Steel plate or jacket","Polymer laminate"),IF(L940&lt;='Tree rules'!$C$10,"Steel plate or jacket","Polymer laminate")))</f>
        <v>Polymer laminate</v>
      </c>
      <c r="T940" s="5" t="str">
        <f aca="false">IF(S940=R940,"Yes","No")</f>
        <v>Yes</v>
      </c>
    </row>
    <row r="941" customFormat="false" ht="15" hidden="false" customHeight="false" outlineLevel="0" collapsed="false">
      <c r="A941" s="15" t="n">
        <v>1325</v>
      </c>
      <c r="B941" s="16" t="n">
        <v>3.15371673077441</v>
      </c>
      <c r="C941" s="15" t="n">
        <v>230</v>
      </c>
      <c r="D941" s="15" t="n">
        <v>300</v>
      </c>
      <c r="E941" s="15" t="n">
        <v>25</v>
      </c>
      <c r="F941" s="16" t="n">
        <v>0.688332522525665</v>
      </c>
      <c r="G941" s="17" t="s">
        <v>89</v>
      </c>
      <c r="H941" s="18" t="n">
        <v>0.3</v>
      </c>
      <c r="I941" s="18" t="n">
        <v>1</v>
      </c>
      <c r="J941" s="19" t="n">
        <v>0.988656211393897</v>
      </c>
      <c r="K941" s="19" t="n">
        <v>0.625077212312968</v>
      </c>
      <c r="L941" s="16" t="n">
        <v>12.416207601474</v>
      </c>
      <c r="M941" s="19" t="n">
        <v>0.475337886801735</v>
      </c>
      <c r="N941" s="19" t="n">
        <v>0.936509689962926</v>
      </c>
      <c r="O941" s="19" t="n">
        <v>0.988656211393897</v>
      </c>
      <c r="P941" s="19" t="n">
        <v>0.67093892965116</v>
      </c>
      <c r="Q941" s="17" t="s">
        <v>29</v>
      </c>
      <c r="R941" s="5" t="str">
        <f aca="false">IF(OR(Q941="Steel plate",Q941="Concrete jacket"),"Steel plate or jacket",Q941)</f>
        <v>Monitor</v>
      </c>
      <c r="S941" s="5" t="str">
        <f aca="false">IF(O941&lt;='Tree rules'!$C$4,IF(N941&lt;='Tree rules'!$C$5,IF(P941&lt;='Tree rules'!$C$6,"Monitor","Polymer laminate"),IF(P941&lt;='Tree rules'!$C$7,"Seal cracks","Polymer laminate")),IF(O941&lt;='Tree rules'!$C$8,IF(M941&lt;='Tree rules'!$C$9,"Steel plate or jacket","Polymer laminate"),IF(L941&lt;='Tree rules'!$C$10,"Steel plate or jacket","Polymer laminate")))</f>
        <v>Monitor</v>
      </c>
      <c r="T941" s="5" t="str">
        <f aca="false">IF(S941=R941,"Yes","No")</f>
        <v>Yes</v>
      </c>
    </row>
    <row r="942" customFormat="false" ht="15" hidden="false" customHeight="false" outlineLevel="0" collapsed="false">
      <c r="A942" s="15" t="n">
        <v>1326</v>
      </c>
      <c r="B942" s="16" t="n">
        <v>6.76052152058455</v>
      </c>
      <c r="C942" s="15" t="n">
        <v>230</v>
      </c>
      <c r="D942" s="15" t="n">
        <v>650</v>
      </c>
      <c r="E942" s="15" t="n">
        <v>25</v>
      </c>
      <c r="F942" s="16" t="n">
        <v>0.680685971455249</v>
      </c>
      <c r="G942" s="17" t="s">
        <v>91</v>
      </c>
      <c r="H942" s="18" t="n">
        <v>0.2</v>
      </c>
      <c r="I942" s="18" t="n">
        <v>2</v>
      </c>
      <c r="J942" s="19" t="n">
        <v>0.97732093162325</v>
      </c>
      <c r="K942" s="19" t="n">
        <v>0.536132425151015</v>
      </c>
      <c r="L942" s="16" t="n">
        <v>11.230102193662</v>
      </c>
      <c r="M942" s="19" t="n">
        <v>0.755506778989402</v>
      </c>
      <c r="N942" s="19" t="n">
        <v>1.47438517759854</v>
      </c>
      <c r="O942" s="19" t="n">
        <v>1.43066842202448</v>
      </c>
      <c r="P942" s="19" t="n">
        <v>0.580351624128837</v>
      </c>
      <c r="Q942" s="17" t="s">
        <v>92</v>
      </c>
      <c r="R942" s="5" t="str">
        <f aca="false">IF(OR(Q942="Steel plate",Q942="Concrete jacket"),"Steel plate or jacket",Q942)</f>
        <v>Steel plate or jacket</v>
      </c>
      <c r="S942" s="5" t="str">
        <f aca="false">IF(O942&lt;='Tree rules'!$C$4,IF(N942&lt;='Tree rules'!$C$5,IF(P942&lt;='Tree rules'!$C$6,"Monitor","Polymer laminate"),IF(P942&lt;='Tree rules'!$C$7,"Seal cracks","Polymer laminate")),IF(O942&lt;='Tree rules'!$C$8,IF(M942&lt;='Tree rules'!$C$9,"Steel plate or jacket","Polymer laminate"),IF(L942&lt;='Tree rules'!$C$10,"Steel plate or jacket","Polymer laminate")))</f>
        <v>Steel plate or jacket</v>
      </c>
      <c r="T942" s="5" t="str">
        <f aca="false">IF(S942=R942,"Yes","No")</f>
        <v>Yes</v>
      </c>
    </row>
    <row r="943" customFormat="false" ht="15" hidden="false" customHeight="false" outlineLevel="0" collapsed="false">
      <c r="A943" s="15" t="n">
        <v>1327</v>
      </c>
      <c r="B943" s="16" t="n">
        <v>6.79844177507942</v>
      </c>
      <c r="C943" s="15" t="n">
        <v>230</v>
      </c>
      <c r="D943" s="15" t="n">
        <v>550</v>
      </c>
      <c r="E943" s="15" t="n">
        <v>30</v>
      </c>
      <c r="F943" s="16" t="n">
        <v>0.693795479053647</v>
      </c>
      <c r="G943" s="17" t="s">
        <v>89</v>
      </c>
      <c r="H943" s="18" t="n">
        <v>0.3</v>
      </c>
      <c r="I943" s="18" t="n">
        <v>1</v>
      </c>
      <c r="J943" s="19" t="n">
        <v>0.869385123295722</v>
      </c>
      <c r="K943" s="19" t="n">
        <v>0.621702935869738</v>
      </c>
      <c r="L943" s="16" t="n">
        <v>13.4889717759512</v>
      </c>
      <c r="M943" s="19" t="n">
        <v>0.561276358745197</v>
      </c>
      <c r="N943" s="19" t="n">
        <v>0.55906844504116</v>
      </c>
      <c r="O943" s="19" t="n">
        <v>0.869385123295722</v>
      </c>
      <c r="P943" s="19" t="n">
        <v>0.664948327952584</v>
      </c>
      <c r="Q943" s="17" t="s">
        <v>29</v>
      </c>
      <c r="R943" s="5" t="str">
        <f aca="false">IF(OR(Q943="Steel plate",Q943="Concrete jacket"),"Steel plate or jacket",Q943)</f>
        <v>Monitor</v>
      </c>
      <c r="S943" s="5" t="str">
        <f aca="false">IF(O943&lt;='Tree rules'!$C$4,IF(N943&lt;='Tree rules'!$C$5,IF(P943&lt;='Tree rules'!$C$6,"Monitor","Polymer laminate"),IF(P943&lt;='Tree rules'!$C$7,"Seal cracks","Polymer laminate")),IF(O943&lt;='Tree rules'!$C$8,IF(M943&lt;='Tree rules'!$C$9,"Steel plate or jacket","Polymer laminate"),IF(L943&lt;='Tree rules'!$C$10,"Steel plate or jacket","Polymer laminate")))</f>
        <v>Monitor</v>
      </c>
      <c r="T943" s="5" t="str">
        <f aca="false">IF(S943=R943,"Yes","No")</f>
        <v>Yes</v>
      </c>
    </row>
    <row r="944" customFormat="false" ht="15" hidden="false" customHeight="false" outlineLevel="0" collapsed="false">
      <c r="A944" s="15" t="n">
        <v>1329</v>
      </c>
      <c r="B944" s="16" t="n">
        <v>5.98412825476375</v>
      </c>
      <c r="C944" s="15" t="n">
        <v>300</v>
      </c>
      <c r="D944" s="15" t="n">
        <v>500</v>
      </c>
      <c r="E944" s="15" t="n">
        <v>20</v>
      </c>
      <c r="F944" s="16" t="n">
        <v>0.590490249132883</v>
      </c>
      <c r="G944" s="17" t="s">
        <v>89</v>
      </c>
      <c r="H944" s="18" t="n">
        <v>0.3</v>
      </c>
      <c r="I944" s="18" t="n">
        <v>1.5</v>
      </c>
      <c r="J944" s="19" t="n">
        <v>0.944361274265707</v>
      </c>
      <c r="K944" s="19" t="n">
        <v>0.572195552526413</v>
      </c>
      <c r="L944" s="16" t="n">
        <v>13.1808992395677</v>
      </c>
      <c r="M944" s="19" t="n">
        <v>0.341258798112254</v>
      </c>
      <c r="N944" s="19" t="n">
        <v>0.849980134331238</v>
      </c>
      <c r="O944" s="19" t="n">
        <v>1.14636225084205</v>
      </c>
      <c r="P944" s="19" t="n">
        <v>1.17039579687065</v>
      </c>
      <c r="Q944" s="17" t="s">
        <v>31</v>
      </c>
      <c r="R944" s="5" t="str">
        <f aca="false">IF(OR(Q944="Steel plate",Q944="Concrete jacket"),"Steel plate or jacket",Q944)</f>
        <v>Polymer laminate</v>
      </c>
      <c r="S944" s="5" t="str">
        <f aca="false">IF(O944&lt;='Tree rules'!$C$4,IF(N944&lt;='Tree rules'!$C$5,IF(P944&lt;='Tree rules'!$C$6,"Monitor","Polymer laminate"),IF(P944&lt;='Tree rules'!$C$7,"Seal cracks","Polymer laminate")),IF(O944&lt;='Tree rules'!$C$8,IF(M944&lt;='Tree rules'!$C$9,"Steel plate or jacket","Polymer laminate"),IF(L944&lt;='Tree rules'!$C$10,"Steel plate or jacket","Polymer laminate")))</f>
        <v>Polymer laminate</v>
      </c>
      <c r="T944" s="5" t="str">
        <f aca="false">IF(S944=R944,"Yes","No")</f>
        <v>Yes</v>
      </c>
    </row>
    <row r="945" customFormat="false" ht="15" hidden="false" customHeight="false" outlineLevel="0" collapsed="false">
      <c r="A945" s="15" t="n">
        <v>1330</v>
      </c>
      <c r="B945" s="16" t="n">
        <v>4.64658943529316</v>
      </c>
      <c r="C945" s="15" t="n">
        <v>300</v>
      </c>
      <c r="D945" s="15" t="n">
        <v>450</v>
      </c>
      <c r="E945" s="15" t="n">
        <v>25</v>
      </c>
      <c r="F945" s="16" t="n">
        <v>0.663570725510715</v>
      </c>
      <c r="G945" s="17" t="s">
        <v>89</v>
      </c>
      <c r="H945" s="18" t="n">
        <v>0.3</v>
      </c>
      <c r="I945" s="18" t="n">
        <v>1.5</v>
      </c>
      <c r="J945" s="19" t="n">
        <v>0.860706898924403</v>
      </c>
      <c r="K945" s="19" t="n">
        <v>0.438120677089996</v>
      </c>
      <c r="L945" s="16" t="n">
        <v>11.5014589982504</v>
      </c>
      <c r="M945" s="19" t="n">
        <v>0.478162418705278</v>
      </c>
      <c r="N945" s="19" t="n">
        <v>0.808923386763292</v>
      </c>
      <c r="O945" s="19" t="n">
        <v>1.10251360372021</v>
      </c>
      <c r="P945" s="19" t="n">
        <v>0.628500183969647</v>
      </c>
      <c r="Q945" s="17" t="s">
        <v>31</v>
      </c>
      <c r="R945" s="5" t="str">
        <f aca="false">IF(OR(Q945="Steel plate",Q945="Concrete jacket"),"Steel plate or jacket",Q945)</f>
        <v>Polymer laminate</v>
      </c>
      <c r="S945" s="5" t="str">
        <f aca="false">IF(O945&lt;='Tree rules'!$C$4,IF(N945&lt;='Tree rules'!$C$5,IF(P945&lt;='Tree rules'!$C$6,"Monitor","Polymer laminate"),IF(P945&lt;='Tree rules'!$C$7,"Seal cracks","Polymer laminate")),IF(O945&lt;='Tree rules'!$C$8,IF(M945&lt;='Tree rules'!$C$9,"Steel plate or jacket","Polymer laminate"),IF(L945&lt;='Tree rules'!$C$10,"Steel plate or jacket","Polymer laminate")))</f>
        <v>Polymer laminate</v>
      </c>
      <c r="T945" s="5" t="str">
        <f aca="false">IF(S945=R945,"Yes","No")</f>
        <v>Yes</v>
      </c>
    </row>
    <row r="946" customFormat="false" ht="15" hidden="false" customHeight="false" outlineLevel="0" collapsed="false">
      <c r="A946" s="15" t="n">
        <v>1331</v>
      </c>
      <c r="B946" s="16" t="n">
        <v>4.98239805487225</v>
      </c>
      <c r="C946" s="15" t="n">
        <v>300</v>
      </c>
      <c r="D946" s="15" t="n">
        <v>400</v>
      </c>
      <c r="E946" s="15" t="n">
        <v>25</v>
      </c>
      <c r="F946" s="16" t="n">
        <v>0.567971553191375</v>
      </c>
      <c r="G946" s="17" t="s">
        <v>89</v>
      </c>
      <c r="H946" s="18" t="n">
        <v>0.3</v>
      </c>
      <c r="I946" s="18" t="n">
        <v>1</v>
      </c>
      <c r="J946" s="19" t="n">
        <v>0.987093090824872</v>
      </c>
      <c r="K946" s="19" t="n">
        <v>0.4878055230442</v>
      </c>
      <c r="L946" s="16" t="n">
        <v>14.0745707764753</v>
      </c>
      <c r="M946" s="19" t="n">
        <v>0.647470675401005</v>
      </c>
      <c r="N946" s="19" t="n">
        <v>0.794714802816954</v>
      </c>
      <c r="O946" s="19" t="n">
        <v>0.987093090824872</v>
      </c>
      <c r="P946" s="19" t="n">
        <v>0.503005829456621</v>
      </c>
      <c r="Q946" s="17" t="s">
        <v>29</v>
      </c>
      <c r="R946" s="5" t="str">
        <f aca="false">IF(OR(Q946="Steel plate",Q946="Concrete jacket"),"Steel plate or jacket",Q946)</f>
        <v>Monitor</v>
      </c>
      <c r="S946" s="5" t="str">
        <f aca="false">IF(O946&lt;='Tree rules'!$C$4,IF(N946&lt;='Tree rules'!$C$5,IF(P946&lt;='Tree rules'!$C$6,"Monitor","Polymer laminate"),IF(P946&lt;='Tree rules'!$C$7,"Seal cracks","Polymer laminate")),IF(O946&lt;='Tree rules'!$C$8,IF(M946&lt;='Tree rules'!$C$9,"Steel plate or jacket","Polymer laminate"),IF(L946&lt;='Tree rules'!$C$10,"Steel plate or jacket","Polymer laminate")))</f>
        <v>Monitor</v>
      </c>
      <c r="T946" s="5" t="str">
        <f aca="false">IF(S946=R946,"Yes","No")</f>
        <v>Yes</v>
      </c>
    </row>
    <row r="947" customFormat="false" ht="15" hidden="false" customHeight="false" outlineLevel="0" collapsed="false">
      <c r="A947" s="15" t="n">
        <v>1335</v>
      </c>
      <c r="B947" s="16" t="n">
        <v>7.70171149657801</v>
      </c>
      <c r="C947" s="15" t="n">
        <v>300</v>
      </c>
      <c r="D947" s="15" t="n">
        <v>600</v>
      </c>
      <c r="E947" s="15" t="n">
        <v>30</v>
      </c>
      <c r="F947" s="16" t="n">
        <v>0.569129103911194</v>
      </c>
      <c r="G947" s="17" t="s">
        <v>89</v>
      </c>
      <c r="H947" s="18" t="n">
        <v>0.3</v>
      </c>
      <c r="I947" s="18" t="n">
        <v>1.5</v>
      </c>
      <c r="J947" s="19" t="n">
        <v>0.867721384333922</v>
      </c>
      <c r="K947" s="19" t="n">
        <v>0.445293955176559</v>
      </c>
      <c r="L947" s="16" t="n">
        <v>13.9523758995978</v>
      </c>
      <c r="M947" s="19" t="n">
        <v>0.888195122817784</v>
      </c>
      <c r="N947" s="19" t="n">
        <v>0.851261951020152</v>
      </c>
      <c r="O947" s="19" t="n">
        <v>1.10838653289022</v>
      </c>
      <c r="P947" s="19" t="n">
        <v>0.393318565334719</v>
      </c>
      <c r="Q947" s="17" t="s">
        <v>31</v>
      </c>
      <c r="R947" s="5" t="str">
        <f aca="false">IF(OR(Q947="Steel plate",Q947="Concrete jacket"),"Steel plate or jacket",Q947)</f>
        <v>Polymer laminate</v>
      </c>
      <c r="S947" s="5" t="str">
        <f aca="false">IF(O947&lt;='Tree rules'!$C$4,IF(N947&lt;='Tree rules'!$C$5,IF(P947&lt;='Tree rules'!$C$6,"Monitor","Polymer laminate"),IF(P947&lt;='Tree rules'!$C$7,"Seal cracks","Polymer laminate")),IF(O947&lt;='Tree rules'!$C$8,IF(M947&lt;='Tree rules'!$C$9,"Steel plate or jacket","Polymer laminate"),IF(L947&lt;='Tree rules'!$C$10,"Steel plate or jacket","Polymer laminate")))</f>
        <v>Polymer laminate</v>
      </c>
      <c r="T947" s="5" t="str">
        <f aca="false">IF(S947=R947,"Yes","No")</f>
        <v>Yes</v>
      </c>
    </row>
    <row r="948" customFormat="false" ht="15" hidden="false" customHeight="false" outlineLevel="0" collapsed="false">
      <c r="A948" s="15" t="n">
        <v>1336</v>
      </c>
      <c r="B948" s="16" t="n">
        <v>5.57478325951068</v>
      </c>
      <c r="C948" s="15" t="n">
        <v>230</v>
      </c>
      <c r="D948" s="15" t="n">
        <v>475</v>
      </c>
      <c r="E948" s="15" t="n">
        <v>30</v>
      </c>
      <c r="F948" s="16" t="n">
        <v>0.639770421258486</v>
      </c>
      <c r="G948" s="17" t="s">
        <v>91</v>
      </c>
      <c r="H948" s="18" t="n">
        <v>0.2</v>
      </c>
      <c r="I948" s="18" t="n">
        <v>1</v>
      </c>
      <c r="J948" s="19" t="n">
        <v>0.908285004208036</v>
      </c>
      <c r="K948" s="19" t="n">
        <v>0.476230622771492</v>
      </c>
      <c r="L948" s="16" t="n">
        <v>13.055698500025</v>
      </c>
      <c r="M948" s="19" t="n">
        <v>0.699672981973677</v>
      </c>
      <c r="N948" s="19" t="n">
        <v>1.2358648938192</v>
      </c>
      <c r="O948" s="19" t="n">
        <v>0.908285004208036</v>
      </c>
      <c r="P948" s="19" t="n">
        <v>0.433054371663462</v>
      </c>
      <c r="Q948" s="17" t="s">
        <v>30</v>
      </c>
      <c r="R948" s="5" t="str">
        <f aca="false">IF(OR(Q948="Steel plate",Q948="Concrete jacket"),"Steel plate or jacket",Q948)</f>
        <v>Seal cracks</v>
      </c>
      <c r="S948" s="5" t="str">
        <f aca="false">IF(O948&lt;='Tree rules'!$C$4,IF(N948&lt;='Tree rules'!$C$5,IF(P948&lt;='Tree rules'!$C$6,"Monitor","Polymer laminate"),IF(P948&lt;='Tree rules'!$C$7,"Seal cracks","Polymer laminate")),IF(O948&lt;='Tree rules'!$C$8,IF(M948&lt;='Tree rules'!$C$9,"Steel plate or jacket","Polymer laminate"),IF(L948&lt;='Tree rules'!$C$10,"Steel plate or jacket","Polymer laminate")))</f>
        <v>Seal cracks</v>
      </c>
      <c r="T948" s="5" t="str">
        <f aca="false">IF(S948=R948,"Yes","No")</f>
        <v>Yes</v>
      </c>
    </row>
    <row r="949" customFormat="false" ht="15" hidden="false" customHeight="false" outlineLevel="0" collapsed="false">
      <c r="A949" s="15" t="n">
        <v>1339</v>
      </c>
      <c r="B949" s="16" t="n">
        <v>4.5783854717484</v>
      </c>
      <c r="C949" s="15" t="n">
        <v>300</v>
      </c>
      <c r="D949" s="15" t="n">
        <v>450</v>
      </c>
      <c r="E949" s="15" t="n">
        <v>30</v>
      </c>
      <c r="F949" s="16" t="n">
        <v>0.781490709848207</v>
      </c>
      <c r="G949" s="17" t="s">
        <v>89</v>
      </c>
      <c r="H949" s="18" t="n">
        <v>0.3</v>
      </c>
      <c r="I949" s="18" t="n">
        <v>1.5</v>
      </c>
      <c r="J949" s="19" t="n">
        <v>0.86976408902736</v>
      </c>
      <c r="K949" s="19" t="n">
        <v>0.610069957437431</v>
      </c>
      <c r="L949" s="16" t="n">
        <v>11.3890185864388</v>
      </c>
      <c r="M949" s="19" t="n">
        <v>0.910352351317998</v>
      </c>
      <c r="N949" s="19" t="n">
        <v>0.816112544257696</v>
      </c>
      <c r="O949" s="19" t="n">
        <v>1.03933766315428</v>
      </c>
      <c r="P949" s="19" t="n">
        <v>0.405286925518431</v>
      </c>
      <c r="Q949" s="17" t="s">
        <v>31</v>
      </c>
      <c r="R949" s="5" t="str">
        <f aca="false">IF(OR(Q949="Steel plate",Q949="Concrete jacket"),"Steel plate or jacket",Q949)</f>
        <v>Polymer laminate</v>
      </c>
      <c r="S949" s="5" t="str">
        <f aca="false">IF(O949&lt;='Tree rules'!$C$4,IF(N949&lt;='Tree rules'!$C$5,IF(P949&lt;='Tree rules'!$C$6,"Monitor","Polymer laminate"),IF(P949&lt;='Tree rules'!$C$7,"Seal cracks","Polymer laminate")),IF(O949&lt;='Tree rules'!$C$8,IF(M949&lt;='Tree rules'!$C$9,"Steel plate or jacket","Polymer laminate"),IF(L949&lt;='Tree rules'!$C$10,"Steel plate or jacket","Polymer laminate")))</f>
        <v>Polymer laminate</v>
      </c>
      <c r="T949" s="5" t="str">
        <f aca="false">IF(S949=R949,"Yes","No")</f>
        <v>Yes</v>
      </c>
    </row>
    <row r="950" customFormat="false" ht="15" hidden="false" customHeight="false" outlineLevel="0" collapsed="false">
      <c r="A950" s="15" t="n">
        <v>1341</v>
      </c>
      <c r="B950" s="16" t="n">
        <v>5.33293073569173</v>
      </c>
      <c r="C950" s="15" t="n">
        <v>230</v>
      </c>
      <c r="D950" s="15" t="n">
        <v>425</v>
      </c>
      <c r="E950" s="15" t="n">
        <v>30</v>
      </c>
      <c r="F950" s="16" t="n">
        <v>0.754646325628103</v>
      </c>
      <c r="G950" s="17" t="s">
        <v>90</v>
      </c>
      <c r="H950" s="18" t="n">
        <v>0.1</v>
      </c>
      <c r="I950" s="18" t="n">
        <v>1</v>
      </c>
      <c r="J950" s="19" t="n">
        <v>0.926944087776991</v>
      </c>
      <c r="K950" s="19" t="n">
        <v>0.462557795225428</v>
      </c>
      <c r="L950" s="16" t="n">
        <v>14.7318528610269</v>
      </c>
      <c r="M950" s="19" t="n">
        <v>0.327865596267003</v>
      </c>
      <c r="N950" s="19" t="n">
        <v>3.08760481980252</v>
      </c>
      <c r="O950" s="19" t="n">
        <v>0.926944087776991</v>
      </c>
      <c r="P950" s="19" t="n">
        <v>0.975949148300528</v>
      </c>
      <c r="Q950" s="17" t="s">
        <v>31</v>
      </c>
      <c r="R950" s="5" t="str">
        <f aca="false">IF(OR(Q950="Steel plate",Q950="Concrete jacket"),"Steel plate or jacket",Q950)</f>
        <v>Polymer laminate</v>
      </c>
      <c r="S950" s="5" t="str">
        <f aca="false">IF(O950&lt;='Tree rules'!$C$4,IF(N950&lt;='Tree rules'!$C$5,IF(P950&lt;='Tree rules'!$C$6,"Monitor","Polymer laminate"),IF(P950&lt;='Tree rules'!$C$7,"Seal cracks","Polymer laminate")),IF(O950&lt;='Tree rules'!$C$8,IF(M950&lt;='Tree rules'!$C$9,"Steel plate or jacket","Polymer laminate"),IF(L950&lt;='Tree rules'!$C$10,"Steel plate or jacket","Polymer laminate")))</f>
        <v>Seal cracks</v>
      </c>
      <c r="T950" s="5" t="str">
        <f aca="false">IF(S950=R950,"Yes","No")</f>
        <v>No</v>
      </c>
    </row>
    <row r="951" customFormat="false" ht="15" hidden="false" customHeight="false" outlineLevel="0" collapsed="false">
      <c r="A951" s="15" t="n">
        <v>1344</v>
      </c>
      <c r="B951" s="16" t="n">
        <v>6.58557867971143</v>
      </c>
      <c r="C951" s="15" t="n">
        <v>300</v>
      </c>
      <c r="D951" s="15" t="n">
        <v>575</v>
      </c>
      <c r="E951" s="15" t="n">
        <v>20</v>
      </c>
      <c r="F951" s="16" t="n">
        <v>0.633465437396808</v>
      </c>
      <c r="G951" s="17" t="s">
        <v>91</v>
      </c>
      <c r="H951" s="18" t="n">
        <v>0.2</v>
      </c>
      <c r="I951" s="18" t="n">
        <v>1</v>
      </c>
      <c r="J951" s="19" t="n">
        <v>0.891154191047099</v>
      </c>
      <c r="K951" s="19" t="n">
        <v>0.498743718986327</v>
      </c>
      <c r="L951" s="16" t="n">
        <v>12.4491090353713</v>
      </c>
      <c r="M951" s="19" t="n">
        <v>0.709613851987134</v>
      </c>
      <c r="N951" s="19" t="n">
        <v>0.814673302339129</v>
      </c>
      <c r="O951" s="19" t="n">
        <v>0.891154191047099</v>
      </c>
      <c r="P951" s="19" t="n">
        <v>0.49428607351327</v>
      </c>
      <c r="Q951" s="17" t="s">
        <v>29</v>
      </c>
      <c r="R951" s="5" t="str">
        <f aca="false">IF(OR(Q951="Steel plate",Q951="Concrete jacket"),"Steel plate or jacket",Q951)</f>
        <v>Monitor</v>
      </c>
      <c r="S951" s="5" t="str">
        <f aca="false">IF(O951&lt;='Tree rules'!$C$4,IF(N951&lt;='Tree rules'!$C$5,IF(P951&lt;='Tree rules'!$C$6,"Monitor","Polymer laminate"),IF(P951&lt;='Tree rules'!$C$7,"Seal cracks","Polymer laminate")),IF(O951&lt;='Tree rules'!$C$8,IF(M951&lt;='Tree rules'!$C$9,"Steel plate or jacket","Polymer laminate"),IF(L951&lt;='Tree rules'!$C$10,"Steel plate or jacket","Polymer laminate")))</f>
        <v>Monitor</v>
      </c>
      <c r="T951" s="5" t="str">
        <f aca="false">IF(S951=R951,"Yes","No")</f>
        <v>Yes</v>
      </c>
    </row>
    <row r="952" customFormat="false" ht="15" hidden="false" customHeight="false" outlineLevel="0" collapsed="false">
      <c r="A952" s="15" t="n">
        <v>1345</v>
      </c>
      <c r="B952" s="16" t="n">
        <v>4.64835567160719</v>
      </c>
      <c r="C952" s="15" t="n">
        <v>230</v>
      </c>
      <c r="D952" s="15" t="n">
        <v>450</v>
      </c>
      <c r="E952" s="15" t="n">
        <v>25</v>
      </c>
      <c r="F952" s="16" t="n">
        <v>0.679557138998441</v>
      </c>
      <c r="G952" s="17" t="s">
        <v>89</v>
      </c>
      <c r="H952" s="18" t="n">
        <v>0.3</v>
      </c>
      <c r="I952" s="18" t="n">
        <v>1</v>
      </c>
      <c r="J952" s="19" t="n">
        <v>0.959390152700381</v>
      </c>
      <c r="K952" s="19" t="n">
        <v>0.447365455203619</v>
      </c>
      <c r="L952" s="16" t="n">
        <v>11.5630738099681</v>
      </c>
      <c r="M952" s="19" t="n">
        <v>0.54057470599236</v>
      </c>
      <c r="N952" s="19" t="n">
        <v>0.90501099189376</v>
      </c>
      <c r="O952" s="19" t="n">
        <v>0.959390152700381</v>
      </c>
      <c r="P952" s="19" t="n">
        <v>0.547028412578878</v>
      </c>
      <c r="Q952" s="17" t="s">
        <v>29</v>
      </c>
      <c r="R952" s="5" t="str">
        <f aca="false">IF(OR(Q952="Steel plate",Q952="Concrete jacket"),"Steel plate or jacket",Q952)</f>
        <v>Monitor</v>
      </c>
      <c r="S952" s="5" t="str">
        <f aca="false">IF(O952&lt;='Tree rules'!$C$4,IF(N952&lt;='Tree rules'!$C$5,IF(P952&lt;='Tree rules'!$C$6,"Monitor","Polymer laminate"),IF(P952&lt;='Tree rules'!$C$7,"Seal cracks","Polymer laminate")),IF(O952&lt;='Tree rules'!$C$8,IF(M952&lt;='Tree rules'!$C$9,"Steel plate or jacket","Polymer laminate"),IF(L952&lt;='Tree rules'!$C$10,"Steel plate or jacket","Polymer laminate")))</f>
        <v>Monitor</v>
      </c>
      <c r="T952" s="5" t="str">
        <f aca="false">IF(S952=R952,"Yes","No")</f>
        <v>Yes</v>
      </c>
    </row>
    <row r="953" customFormat="false" ht="15" hidden="false" customHeight="false" outlineLevel="0" collapsed="false">
      <c r="A953" s="15" t="n">
        <v>1346</v>
      </c>
      <c r="B953" s="16" t="n">
        <v>4.22912032112472</v>
      </c>
      <c r="C953" s="15" t="n">
        <v>230</v>
      </c>
      <c r="D953" s="15" t="n">
        <v>400</v>
      </c>
      <c r="E953" s="15" t="n">
        <v>25</v>
      </c>
      <c r="F953" s="16" t="n">
        <v>0.740832460684402</v>
      </c>
      <c r="G953" s="17" t="s">
        <v>89</v>
      </c>
      <c r="H953" s="18" t="n">
        <v>0.3</v>
      </c>
      <c r="I953" s="18" t="n">
        <v>1</v>
      </c>
      <c r="J953" s="19" t="n">
        <v>0.955595243333044</v>
      </c>
      <c r="K953" s="19" t="n">
        <v>0.456422950796095</v>
      </c>
      <c r="L953" s="16" t="n">
        <v>11.9466675737987</v>
      </c>
      <c r="M953" s="19" t="n">
        <v>0.90830109261864</v>
      </c>
      <c r="N953" s="19" t="n">
        <v>0.641681481118709</v>
      </c>
      <c r="O953" s="19" t="n">
        <v>0.955595243333044</v>
      </c>
      <c r="P953" s="19" t="n">
        <v>0.370349321997212</v>
      </c>
      <c r="Q953" s="17" t="s">
        <v>29</v>
      </c>
      <c r="R953" s="5" t="str">
        <f aca="false">IF(OR(Q953="Steel plate",Q953="Concrete jacket"),"Steel plate or jacket",Q953)</f>
        <v>Monitor</v>
      </c>
      <c r="S953" s="5" t="str">
        <f aca="false">IF(O953&lt;='Tree rules'!$C$4,IF(N953&lt;='Tree rules'!$C$5,IF(P953&lt;='Tree rules'!$C$6,"Monitor","Polymer laminate"),IF(P953&lt;='Tree rules'!$C$7,"Seal cracks","Polymer laminate")),IF(O953&lt;='Tree rules'!$C$8,IF(M953&lt;='Tree rules'!$C$9,"Steel plate or jacket","Polymer laminate"),IF(L953&lt;='Tree rules'!$C$10,"Steel plate or jacket","Polymer laminate")))</f>
        <v>Monitor</v>
      </c>
      <c r="T953" s="5" t="str">
        <f aca="false">IF(S953=R953,"Yes","No")</f>
        <v>Yes</v>
      </c>
    </row>
    <row r="954" customFormat="false" ht="15" hidden="false" customHeight="false" outlineLevel="0" collapsed="false">
      <c r="A954" s="15" t="n">
        <v>1347</v>
      </c>
      <c r="B954" s="16" t="n">
        <v>3.94029172753144</v>
      </c>
      <c r="C954" s="15" t="n">
        <v>300</v>
      </c>
      <c r="D954" s="15" t="n">
        <v>350</v>
      </c>
      <c r="E954" s="15" t="n">
        <v>20</v>
      </c>
      <c r="F954" s="16" t="n">
        <v>0.693508312050727</v>
      </c>
      <c r="G954" s="17" t="s">
        <v>89</v>
      </c>
      <c r="H954" s="18" t="n">
        <v>0.3</v>
      </c>
      <c r="I954" s="18" t="n">
        <v>1</v>
      </c>
      <c r="J954" s="19" t="n">
        <v>0.934645977351331</v>
      </c>
      <c r="K954" s="19" t="n">
        <v>0.434499767648567</v>
      </c>
      <c r="L954" s="16" t="n">
        <v>13.0473236010975</v>
      </c>
      <c r="M954" s="19" t="n">
        <v>0.571640365840121</v>
      </c>
      <c r="N954" s="19" t="n">
        <v>1.01745523805838</v>
      </c>
      <c r="O954" s="19" t="n">
        <v>0.934645977351331</v>
      </c>
      <c r="P954" s="19" t="n">
        <v>0.563147519557928</v>
      </c>
      <c r="Q954" s="17" t="s">
        <v>30</v>
      </c>
      <c r="R954" s="5" t="str">
        <f aca="false">IF(OR(Q954="Steel plate",Q954="Concrete jacket"),"Steel plate or jacket",Q954)</f>
        <v>Seal cracks</v>
      </c>
      <c r="S954" s="5" t="str">
        <f aca="false">IF(O954&lt;='Tree rules'!$C$4,IF(N954&lt;='Tree rules'!$C$5,IF(P954&lt;='Tree rules'!$C$6,"Monitor","Polymer laminate"),IF(P954&lt;='Tree rules'!$C$7,"Seal cracks","Polymer laminate")),IF(O954&lt;='Tree rules'!$C$8,IF(M954&lt;='Tree rules'!$C$9,"Steel plate or jacket","Polymer laminate"),IF(L954&lt;='Tree rules'!$C$10,"Steel plate or jacket","Polymer laminate")))</f>
        <v>Seal cracks</v>
      </c>
      <c r="T954" s="5" t="str">
        <f aca="false">IF(S954=R954,"Yes","No")</f>
        <v>Yes</v>
      </c>
    </row>
    <row r="955" customFormat="false" ht="15" hidden="false" customHeight="false" outlineLevel="0" collapsed="false">
      <c r="A955" s="15" t="n">
        <v>1348</v>
      </c>
      <c r="B955" s="16" t="n">
        <v>4.10079453957272</v>
      </c>
      <c r="C955" s="15" t="n">
        <v>230</v>
      </c>
      <c r="D955" s="15" t="n">
        <v>375</v>
      </c>
      <c r="E955" s="15" t="n">
        <v>30</v>
      </c>
      <c r="F955" s="16" t="n">
        <v>0.875583236786453</v>
      </c>
      <c r="G955" s="17" t="s">
        <v>90</v>
      </c>
      <c r="H955" s="18" t="n">
        <v>0.1</v>
      </c>
      <c r="I955" s="18" t="n">
        <v>1.5</v>
      </c>
      <c r="J955" s="19" t="n">
        <v>0.939759086629075</v>
      </c>
      <c r="K955" s="19" t="n">
        <v>0.592553525518159</v>
      </c>
      <c r="L955" s="16" t="n">
        <v>13.1435722422203</v>
      </c>
      <c r="M955" s="19" t="n">
        <v>0.950294835758531</v>
      </c>
      <c r="N955" s="19" t="n">
        <v>3.4536112280066</v>
      </c>
      <c r="O955" s="19" t="n">
        <v>1.13120984998372</v>
      </c>
      <c r="P955" s="19" t="n">
        <v>0.427767896295377</v>
      </c>
      <c r="Q955" s="17" t="s">
        <v>31</v>
      </c>
      <c r="R955" s="5" t="str">
        <f aca="false">IF(OR(Q955="Steel plate",Q955="Concrete jacket"),"Steel plate or jacket",Q955)</f>
        <v>Polymer laminate</v>
      </c>
      <c r="S955" s="5" t="str">
        <f aca="false">IF(O955&lt;='Tree rules'!$C$4,IF(N955&lt;='Tree rules'!$C$5,IF(P955&lt;='Tree rules'!$C$6,"Monitor","Polymer laminate"),IF(P955&lt;='Tree rules'!$C$7,"Seal cracks","Polymer laminate")),IF(O955&lt;='Tree rules'!$C$8,IF(M955&lt;='Tree rules'!$C$9,"Steel plate or jacket","Polymer laminate"),IF(L955&lt;='Tree rules'!$C$10,"Steel plate or jacket","Polymer laminate")))</f>
        <v>Polymer laminate</v>
      </c>
      <c r="T955" s="5" t="str">
        <f aca="false">IF(S955=R955,"Yes","No")</f>
        <v>Yes</v>
      </c>
    </row>
    <row r="956" customFormat="false" ht="15" hidden="false" customHeight="false" outlineLevel="0" collapsed="false">
      <c r="A956" s="15" t="n">
        <v>1349</v>
      </c>
      <c r="B956" s="16" t="n">
        <v>6.89295228986378</v>
      </c>
      <c r="C956" s="15" t="n">
        <v>300</v>
      </c>
      <c r="D956" s="15" t="n">
        <v>625</v>
      </c>
      <c r="E956" s="15" t="n">
        <v>30</v>
      </c>
      <c r="F956" s="16" t="n">
        <v>0.578762031749415</v>
      </c>
      <c r="G956" s="17" t="s">
        <v>89</v>
      </c>
      <c r="H956" s="18" t="n">
        <v>0.3</v>
      </c>
      <c r="I956" s="18" t="n">
        <v>1</v>
      </c>
      <c r="J956" s="19" t="n">
        <v>0.99754570399668</v>
      </c>
      <c r="K956" s="19" t="n">
        <v>0.522607314320525</v>
      </c>
      <c r="L956" s="16" t="n">
        <v>11.9049262346525</v>
      </c>
      <c r="M956" s="19" t="n">
        <v>0.248369185183285</v>
      </c>
      <c r="N956" s="19" t="n">
        <v>0.698821564603117</v>
      </c>
      <c r="O956" s="19" t="n">
        <v>0.99754570399668</v>
      </c>
      <c r="P956" s="19" t="n">
        <v>1.18204842472742</v>
      </c>
      <c r="Q956" s="17" t="s">
        <v>31</v>
      </c>
      <c r="R956" s="5" t="str">
        <f aca="false">IF(OR(Q956="Steel plate",Q956="Concrete jacket"),"Steel plate or jacket",Q956)</f>
        <v>Polymer laminate</v>
      </c>
      <c r="S956" s="5" t="str">
        <f aca="false">IF(O956&lt;='Tree rules'!$C$4,IF(N956&lt;='Tree rules'!$C$5,IF(P956&lt;='Tree rules'!$C$6,"Monitor","Polymer laminate"),IF(P956&lt;='Tree rules'!$C$7,"Seal cracks","Polymer laminate")),IF(O956&lt;='Tree rules'!$C$8,IF(M956&lt;='Tree rules'!$C$9,"Steel plate or jacket","Polymer laminate"),IF(L956&lt;='Tree rules'!$C$10,"Steel plate or jacket","Polymer laminate")))</f>
        <v>Polymer laminate</v>
      </c>
      <c r="T956" s="5" t="str">
        <f aca="false">IF(S956=R956,"Yes","No")</f>
        <v>Yes</v>
      </c>
    </row>
    <row r="957" customFormat="false" ht="15" hidden="false" customHeight="false" outlineLevel="0" collapsed="false">
      <c r="A957" s="15" t="n">
        <v>1350</v>
      </c>
      <c r="B957" s="16" t="n">
        <v>4.39873450942134</v>
      </c>
      <c r="C957" s="15" t="n">
        <v>230</v>
      </c>
      <c r="D957" s="15" t="n">
        <v>350</v>
      </c>
      <c r="E957" s="15" t="n">
        <v>20</v>
      </c>
      <c r="F957" s="16" t="n">
        <v>0.575119936583944</v>
      </c>
      <c r="G957" s="17" t="s">
        <v>91</v>
      </c>
      <c r="H957" s="18" t="n">
        <v>0.2</v>
      </c>
      <c r="I957" s="18" t="n">
        <v>1</v>
      </c>
      <c r="J957" s="19" t="n">
        <v>0.932698602682702</v>
      </c>
      <c r="K957" s="19" t="n">
        <v>0.504053662828076</v>
      </c>
      <c r="L957" s="16" t="n">
        <v>14.4695214125702</v>
      </c>
      <c r="M957" s="19" t="n">
        <v>0.869361418548338</v>
      </c>
      <c r="N957" s="19" t="n">
        <v>1.16659008162039</v>
      </c>
      <c r="O957" s="19" t="n">
        <v>0.932698602682702</v>
      </c>
      <c r="P957" s="19" t="n">
        <v>0.387011208993924</v>
      </c>
      <c r="Q957" s="17" t="s">
        <v>30</v>
      </c>
      <c r="R957" s="5" t="str">
        <f aca="false">IF(OR(Q957="Steel plate",Q957="Concrete jacket"),"Steel plate or jacket",Q957)</f>
        <v>Seal cracks</v>
      </c>
      <c r="S957" s="5" t="str">
        <f aca="false">IF(O957&lt;='Tree rules'!$C$4,IF(N957&lt;='Tree rules'!$C$5,IF(P957&lt;='Tree rules'!$C$6,"Monitor","Polymer laminate"),IF(P957&lt;='Tree rules'!$C$7,"Seal cracks","Polymer laminate")),IF(O957&lt;='Tree rules'!$C$8,IF(M957&lt;='Tree rules'!$C$9,"Steel plate or jacket","Polymer laminate"),IF(L957&lt;='Tree rules'!$C$10,"Steel plate or jacket","Polymer laminate")))</f>
        <v>Seal cracks</v>
      </c>
      <c r="T957" s="5" t="str">
        <f aca="false">IF(S957=R957,"Yes","No")</f>
        <v>Yes</v>
      </c>
    </row>
    <row r="958" customFormat="false" ht="15" hidden="false" customHeight="false" outlineLevel="0" collapsed="false">
      <c r="A958" s="15" t="n">
        <v>1352</v>
      </c>
      <c r="B958" s="16" t="n">
        <v>3.39690448898784</v>
      </c>
      <c r="C958" s="15" t="n">
        <v>230</v>
      </c>
      <c r="D958" s="15" t="n">
        <v>350</v>
      </c>
      <c r="E958" s="15" t="n">
        <v>30</v>
      </c>
      <c r="F958" s="16" t="n">
        <v>0.862679904875916</v>
      </c>
      <c r="G958" s="17" t="s">
        <v>91</v>
      </c>
      <c r="H958" s="18" t="n">
        <v>0.2</v>
      </c>
      <c r="I958" s="18" t="n">
        <v>1</v>
      </c>
      <c r="J958" s="19" t="n">
        <v>0.882465651961803</v>
      </c>
      <c r="K958" s="19" t="n">
        <v>0.471767274442403</v>
      </c>
      <c r="L958" s="16" t="n">
        <v>11.1740279243021</v>
      </c>
      <c r="M958" s="19" t="n">
        <v>0.772576221383678</v>
      </c>
      <c r="N958" s="19" t="n">
        <v>0.93661124170481</v>
      </c>
      <c r="O958" s="19" t="n">
        <v>0.882465651961803</v>
      </c>
      <c r="P958" s="19" t="n">
        <v>0.381299211759934</v>
      </c>
      <c r="Q958" s="17" t="s">
        <v>29</v>
      </c>
      <c r="R958" s="5" t="str">
        <f aca="false">IF(OR(Q958="Steel plate",Q958="Concrete jacket"),"Steel plate or jacket",Q958)</f>
        <v>Monitor</v>
      </c>
      <c r="S958" s="5" t="str">
        <f aca="false">IF(O958&lt;='Tree rules'!$C$4,IF(N958&lt;='Tree rules'!$C$5,IF(P958&lt;='Tree rules'!$C$6,"Monitor","Polymer laminate"),IF(P958&lt;='Tree rules'!$C$7,"Seal cracks","Polymer laminate")),IF(O958&lt;='Tree rules'!$C$8,IF(M958&lt;='Tree rules'!$C$9,"Steel plate or jacket","Polymer laminate"),IF(L958&lt;='Tree rules'!$C$10,"Steel plate or jacket","Polymer laminate")))</f>
        <v>Monitor</v>
      </c>
      <c r="T958" s="5" t="str">
        <f aca="false">IF(S958=R958,"Yes","No")</f>
        <v>Yes</v>
      </c>
    </row>
    <row r="959" customFormat="false" ht="15" hidden="false" customHeight="false" outlineLevel="0" collapsed="false">
      <c r="A959" s="15" t="n">
        <v>1353</v>
      </c>
      <c r="B959" s="16" t="n">
        <v>3.18083424087949</v>
      </c>
      <c r="C959" s="15" t="n">
        <v>230</v>
      </c>
      <c r="D959" s="15" t="n">
        <v>300</v>
      </c>
      <c r="E959" s="15" t="n">
        <v>25</v>
      </c>
      <c r="F959" s="16" t="n">
        <v>0.768324290280112</v>
      </c>
      <c r="G959" s="17" t="s">
        <v>89</v>
      </c>
      <c r="H959" s="18" t="n">
        <v>0.3</v>
      </c>
      <c r="I959" s="18" t="n">
        <v>2</v>
      </c>
      <c r="J959" s="19" t="n">
        <v>0.951755452306311</v>
      </c>
      <c r="K959" s="19" t="n">
        <v>0.521316810151969</v>
      </c>
      <c r="L959" s="16" t="n">
        <v>12.4251337534355</v>
      </c>
      <c r="M959" s="19" t="n">
        <v>0.364755908479416</v>
      </c>
      <c r="N959" s="19" t="n">
        <v>1.00772545429184</v>
      </c>
      <c r="O959" s="19" t="n">
        <v>1.40734478817155</v>
      </c>
      <c r="P959" s="19" t="n">
        <v>1.07501121546558</v>
      </c>
      <c r="Q959" s="17" t="s">
        <v>31</v>
      </c>
      <c r="R959" s="5" t="str">
        <f aca="false">IF(OR(Q959="Steel plate",Q959="Concrete jacket"),"Steel plate or jacket",Q959)</f>
        <v>Polymer laminate</v>
      </c>
      <c r="S959" s="5" t="str">
        <f aca="false">IF(O959&lt;='Tree rules'!$C$4,IF(N959&lt;='Tree rules'!$C$5,IF(P959&lt;='Tree rules'!$C$6,"Monitor","Polymer laminate"),IF(P959&lt;='Tree rules'!$C$7,"Seal cracks","Polymer laminate")),IF(O959&lt;='Tree rules'!$C$8,IF(M959&lt;='Tree rules'!$C$9,"Steel plate or jacket","Polymer laminate"),IF(L959&lt;='Tree rules'!$C$10,"Steel plate or jacket","Polymer laminate")))</f>
        <v>Steel plate or jacket</v>
      </c>
      <c r="T959" s="5" t="str">
        <f aca="false">IF(S959=R959,"Yes","No")</f>
        <v>No</v>
      </c>
    </row>
    <row r="960" customFormat="false" ht="15" hidden="false" customHeight="false" outlineLevel="0" collapsed="false">
      <c r="A960" s="15" t="n">
        <v>1354</v>
      </c>
      <c r="B960" s="16" t="n">
        <v>6.68269157011048</v>
      </c>
      <c r="C960" s="15" t="n">
        <v>300</v>
      </c>
      <c r="D960" s="15" t="n">
        <v>600</v>
      </c>
      <c r="E960" s="15" t="n">
        <v>20</v>
      </c>
      <c r="F960" s="16" t="n">
        <v>0.604879451954714</v>
      </c>
      <c r="G960" s="17" t="s">
        <v>89</v>
      </c>
      <c r="H960" s="18" t="n">
        <v>0.3</v>
      </c>
      <c r="I960" s="18" t="n">
        <v>1.5</v>
      </c>
      <c r="J960" s="19" t="n">
        <v>0.861833534639431</v>
      </c>
      <c r="K960" s="19" t="n">
        <v>0.591120084960655</v>
      </c>
      <c r="L960" s="16" t="n">
        <v>12.0626201626543</v>
      </c>
      <c r="M960" s="19" t="n">
        <v>0.681020851770311</v>
      </c>
      <c r="N960" s="19" t="n">
        <v>0.644582144217462</v>
      </c>
      <c r="O960" s="19" t="n">
        <v>1.03802674585015</v>
      </c>
      <c r="P960" s="19" t="n">
        <v>0.552476621635752</v>
      </c>
      <c r="Q960" s="17" t="s">
        <v>31</v>
      </c>
      <c r="R960" s="5" t="str">
        <f aca="false">IF(OR(Q960="Steel plate",Q960="Concrete jacket"),"Steel plate or jacket",Q960)</f>
        <v>Polymer laminate</v>
      </c>
      <c r="S960" s="5" t="str">
        <f aca="false">IF(O960&lt;='Tree rules'!$C$4,IF(N960&lt;='Tree rules'!$C$5,IF(P960&lt;='Tree rules'!$C$6,"Monitor","Polymer laminate"),IF(P960&lt;='Tree rules'!$C$7,"Seal cracks","Polymer laminate")),IF(O960&lt;='Tree rules'!$C$8,IF(M960&lt;='Tree rules'!$C$9,"Steel plate or jacket","Polymer laminate"),IF(L960&lt;='Tree rules'!$C$10,"Steel plate or jacket","Polymer laminate")))</f>
        <v>Polymer laminate</v>
      </c>
      <c r="T960" s="5" t="str">
        <f aca="false">IF(S960=R960,"Yes","No")</f>
        <v>Yes</v>
      </c>
    </row>
    <row r="961" customFormat="false" ht="15" hidden="false" customHeight="false" outlineLevel="0" collapsed="false">
      <c r="A961" s="15" t="n">
        <v>1355</v>
      </c>
      <c r="B961" s="16" t="n">
        <v>3.31821526217008</v>
      </c>
      <c r="C961" s="15" t="n">
        <v>300</v>
      </c>
      <c r="D961" s="15" t="n">
        <v>300</v>
      </c>
      <c r="E961" s="15" t="n">
        <v>30</v>
      </c>
      <c r="F961" s="16" t="n">
        <v>0.831109167616348</v>
      </c>
      <c r="G961" s="17" t="s">
        <v>89</v>
      </c>
      <c r="H961" s="18" t="n">
        <v>0.3</v>
      </c>
      <c r="I961" s="18" t="n">
        <v>2</v>
      </c>
      <c r="J961" s="19" t="n">
        <v>0.866219711295528</v>
      </c>
      <c r="K961" s="19" t="n">
        <v>0.572173220363697</v>
      </c>
      <c r="L961" s="16" t="n">
        <v>13.1675208816273</v>
      </c>
      <c r="M961" s="19" t="n">
        <v>0.672896561099733</v>
      </c>
      <c r="N961" s="19" t="n">
        <v>1.3556517474013</v>
      </c>
      <c r="O961" s="19" t="n">
        <v>1.23681170083658</v>
      </c>
      <c r="P961" s="19" t="n">
        <v>0.577119950990239</v>
      </c>
      <c r="Q961" s="17" t="s">
        <v>31</v>
      </c>
      <c r="R961" s="5" t="str">
        <f aca="false">IF(OR(Q961="Steel plate",Q961="Concrete jacket"),"Steel plate or jacket",Q961)</f>
        <v>Polymer laminate</v>
      </c>
      <c r="S961" s="5" t="str">
        <f aca="false">IF(O961&lt;='Tree rules'!$C$4,IF(N961&lt;='Tree rules'!$C$5,IF(P961&lt;='Tree rules'!$C$6,"Monitor","Polymer laminate"),IF(P961&lt;='Tree rules'!$C$7,"Seal cracks","Polymer laminate")),IF(O961&lt;='Tree rules'!$C$8,IF(M961&lt;='Tree rules'!$C$9,"Steel plate or jacket","Polymer laminate"),IF(L961&lt;='Tree rules'!$C$10,"Steel plate or jacket","Polymer laminate")))</f>
        <v>Polymer laminate</v>
      </c>
      <c r="T961" s="5" t="str">
        <f aca="false">IF(S961=R961,"Yes","No")</f>
        <v>Yes</v>
      </c>
    </row>
    <row r="962" customFormat="false" ht="15" hidden="false" customHeight="false" outlineLevel="0" collapsed="false">
      <c r="A962" s="15" t="n">
        <v>1356</v>
      </c>
      <c r="B962" s="16" t="n">
        <v>4.32983462053262</v>
      </c>
      <c r="C962" s="15" t="n">
        <v>230</v>
      </c>
      <c r="D962" s="15" t="n">
        <v>400</v>
      </c>
      <c r="E962" s="15" t="n">
        <v>30</v>
      </c>
      <c r="F962" s="16" t="n">
        <v>0.740832460684402</v>
      </c>
      <c r="G962" s="17" t="s">
        <v>89</v>
      </c>
      <c r="H962" s="18" t="n">
        <v>0.3</v>
      </c>
      <c r="I962" s="18" t="n">
        <v>2</v>
      </c>
      <c r="J962" s="19" t="n">
        <v>0.897908572956798</v>
      </c>
      <c r="K962" s="19" t="n">
        <v>0.603543713632724</v>
      </c>
      <c r="L962" s="16" t="n">
        <v>12.2311712444424</v>
      </c>
      <c r="M962" s="19" t="n">
        <v>0.809156792905237</v>
      </c>
      <c r="N962" s="19" t="n">
        <v>0.893709205614388</v>
      </c>
      <c r="O962" s="19" t="n">
        <v>1.25389007128859</v>
      </c>
      <c r="P962" s="19" t="n">
        <v>0.49399705388247</v>
      </c>
      <c r="Q962" s="17" t="s">
        <v>31</v>
      </c>
      <c r="R962" s="5" t="str">
        <f aca="false">IF(OR(Q962="Steel plate",Q962="Concrete jacket"),"Steel plate or jacket",Q962)</f>
        <v>Polymer laminate</v>
      </c>
      <c r="S962" s="5" t="str">
        <f aca="false">IF(O962&lt;='Tree rules'!$C$4,IF(N962&lt;='Tree rules'!$C$5,IF(P962&lt;='Tree rules'!$C$6,"Monitor","Polymer laminate"),IF(P962&lt;='Tree rules'!$C$7,"Seal cracks","Polymer laminate")),IF(O962&lt;='Tree rules'!$C$8,IF(M962&lt;='Tree rules'!$C$9,"Steel plate or jacket","Polymer laminate"),IF(L962&lt;='Tree rules'!$C$10,"Steel plate or jacket","Polymer laminate")))</f>
        <v>Polymer laminate</v>
      </c>
      <c r="T962" s="5" t="str">
        <f aca="false">IF(S962=R962,"Yes","No")</f>
        <v>Yes</v>
      </c>
    </row>
    <row r="963" customFormat="false" ht="15" hidden="false" customHeight="false" outlineLevel="0" collapsed="false">
      <c r="A963" s="15" t="n">
        <v>1357</v>
      </c>
      <c r="B963" s="16" t="n">
        <v>3.89698899692718</v>
      </c>
      <c r="C963" s="15" t="n">
        <v>300</v>
      </c>
      <c r="D963" s="15" t="n">
        <v>375</v>
      </c>
      <c r="E963" s="15" t="n">
        <v>30</v>
      </c>
      <c r="F963" s="16" t="n">
        <v>0.960731698345503</v>
      </c>
      <c r="G963" s="17" t="s">
        <v>91</v>
      </c>
      <c r="H963" s="18" t="n">
        <v>0.2</v>
      </c>
      <c r="I963" s="18" t="n">
        <v>1.5</v>
      </c>
      <c r="J963" s="19" t="n">
        <v>0.916444229001085</v>
      </c>
      <c r="K963" s="19" t="n">
        <v>0.437760431951705</v>
      </c>
      <c r="L963" s="16" t="n">
        <v>11.9173975441198</v>
      </c>
      <c r="M963" s="19" t="n">
        <v>0.877866994214169</v>
      </c>
      <c r="N963" s="19" t="n">
        <v>1.42658235749874</v>
      </c>
      <c r="O963" s="19" t="n">
        <v>1.17407483272805</v>
      </c>
      <c r="P963" s="19" t="n">
        <v>0.46610651475198</v>
      </c>
      <c r="Q963" s="17" t="s">
        <v>31</v>
      </c>
      <c r="R963" s="5" t="str">
        <f aca="false">IF(OR(Q963="Steel plate",Q963="Concrete jacket"),"Steel plate or jacket",Q963)</f>
        <v>Polymer laminate</v>
      </c>
      <c r="S963" s="5" t="str">
        <f aca="false">IF(O963&lt;='Tree rules'!$C$4,IF(N963&lt;='Tree rules'!$C$5,IF(P963&lt;='Tree rules'!$C$6,"Monitor","Polymer laminate"),IF(P963&lt;='Tree rules'!$C$7,"Seal cracks","Polymer laminate")),IF(O963&lt;='Tree rules'!$C$8,IF(M963&lt;='Tree rules'!$C$9,"Steel plate or jacket","Polymer laminate"),IF(L963&lt;='Tree rules'!$C$10,"Steel plate or jacket","Polymer laminate")))</f>
        <v>Polymer laminate</v>
      </c>
      <c r="T963" s="5" t="str">
        <f aca="false">IF(S963=R963,"Yes","No")</f>
        <v>Yes</v>
      </c>
    </row>
    <row r="964" customFormat="false" ht="15" hidden="false" customHeight="false" outlineLevel="0" collapsed="false">
      <c r="A964" s="15" t="n">
        <v>1358</v>
      </c>
      <c r="B964" s="16" t="n">
        <v>3.79108788657857</v>
      </c>
      <c r="C964" s="15" t="n">
        <v>230</v>
      </c>
      <c r="D964" s="15" t="n">
        <v>325</v>
      </c>
      <c r="E964" s="15" t="n">
        <v>30</v>
      </c>
      <c r="F964" s="16" t="n">
        <v>0.699968036696473</v>
      </c>
      <c r="G964" s="17" t="s">
        <v>91</v>
      </c>
      <c r="H964" s="18" t="n">
        <v>0.2</v>
      </c>
      <c r="I964" s="18" t="n">
        <v>2</v>
      </c>
      <c r="J964" s="19" t="n">
        <v>0.865412701242685</v>
      </c>
      <c r="K964" s="19" t="n">
        <v>0.645109829894068</v>
      </c>
      <c r="L964" s="16" t="n">
        <v>13.4914159664718</v>
      </c>
      <c r="M964" s="19" t="n">
        <v>0.944692039949432</v>
      </c>
      <c r="N964" s="19" t="n">
        <v>1.12217185980083</v>
      </c>
      <c r="O964" s="19" t="n">
        <v>1.17253916199854</v>
      </c>
      <c r="P964" s="19" t="n">
        <v>0.408161124407024</v>
      </c>
      <c r="Q964" s="17" t="s">
        <v>31</v>
      </c>
      <c r="R964" s="5" t="str">
        <f aca="false">IF(OR(Q964="Steel plate",Q964="Concrete jacket"),"Steel plate or jacket",Q964)</f>
        <v>Polymer laminate</v>
      </c>
      <c r="S964" s="5" t="str">
        <f aca="false">IF(O964&lt;='Tree rules'!$C$4,IF(N964&lt;='Tree rules'!$C$5,IF(P964&lt;='Tree rules'!$C$6,"Monitor","Polymer laminate"),IF(P964&lt;='Tree rules'!$C$7,"Seal cracks","Polymer laminate")),IF(O964&lt;='Tree rules'!$C$8,IF(M964&lt;='Tree rules'!$C$9,"Steel plate or jacket","Polymer laminate"),IF(L964&lt;='Tree rules'!$C$10,"Steel plate or jacket","Polymer laminate")))</f>
        <v>Polymer laminate</v>
      </c>
      <c r="T964" s="5" t="str">
        <f aca="false">IF(S964=R964,"Yes","No")</f>
        <v>Yes</v>
      </c>
    </row>
    <row r="965" customFormat="false" ht="15" hidden="false" customHeight="false" outlineLevel="0" collapsed="false">
      <c r="A965" s="15" t="n">
        <v>1360</v>
      </c>
      <c r="B965" s="16" t="n">
        <v>3.57453000575743</v>
      </c>
      <c r="C965" s="15" t="n">
        <v>300</v>
      </c>
      <c r="D965" s="15" t="n">
        <v>350</v>
      </c>
      <c r="E965" s="15" t="n">
        <v>25</v>
      </c>
      <c r="F965" s="16" t="n">
        <v>0.693508312050727</v>
      </c>
      <c r="G965" s="17" t="s">
        <v>89</v>
      </c>
      <c r="H965" s="18" t="n">
        <v>0.3</v>
      </c>
      <c r="I965" s="18" t="n">
        <v>1.5</v>
      </c>
      <c r="J965" s="19" t="n">
        <v>0.992984257399124</v>
      </c>
      <c r="K965" s="19" t="n">
        <v>0.587784709553587</v>
      </c>
      <c r="L965" s="16" t="n">
        <v>11.8361920720445</v>
      </c>
      <c r="M965" s="19" t="n">
        <v>0.49129309708502</v>
      </c>
      <c r="N965" s="19" t="n">
        <v>1.36590278036784</v>
      </c>
      <c r="O965" s="19" t="n">
        <v>1.19764590443537</v>
      </c>
      <c r="P965" s="19" t="n">
        <v>0.718547832427462</v>
      </c>
      <c r="Q965" s="17" t="s">
        <v>31</v>
      </c>
      <c r="R965" s="5" t="str">
        <f aca="false">IF(OR(Q965="Steel plate",Q965="Concrete jacket"),"Steel plate or jacket",Q965)</f>
        <v>Polymer laminate</v>
      </c>
      <c r="S965" s="5" t="str">
        <f aca="false">IF(O965&lt;='Tree rules'!$C$4,IF(N965&lt;='Tree rules'!$C$5,IF(P965&lt;='Tree rules'!$C$6,"Monitor","Polymer laminate"),IF(P965&lt;='Tree rules'!$C$7,"Seal cracks","Polymer laminate")),IF(O965&lt;='Tree rules'!$C$8,IF(M965&lt;='Tree rules'!$C$9,"Steel plate or jacket","Polymer laminate"),IF(L965&lt;='Tree rules'!$C$10,"Steel plate or jacket","Polymer laminate")))</f>
        <v>Polymer laminate</v>
      </c>
      <c r="T965" s="5" t="str">
        <f aca="false">IF(S965=R965,"Yes","No")</f>
        <v>Yes</v>
      </c>
    </row>
    <row r="966" customFormat="false" ht="15" hidden="false" customHeight="false" outlineLevel="0" collapsed="false">
      <c r="A966" s="15" t="n">
        <v>1361</v>
      </c>
      <c r="B966" s="16" t="n">
        <v>4.71988321494227</v>
      </c>
      <c r="C966" s="15" t="n">
        <v>300</v>
      </c>
      <c r="D966" s="15" t="n">
        <v>375</v>
      </c>
      <c r="E966" s="15" t="n">
        <v>20</v>
      </c>
      <c r="F966" s="16" t="n">
        <v>0.671280481536281</v>
      </c>
      <c r="G966" s="17" t="s">
        <v>90</v>
      </c>
      <c r="H966" s="18" t="n">
        <v>0.1</v>
      </c>
      <c r="I966" s="18" t="n">
        <v>1</v>
      </c>
      <c r="J966" s="19" t="n">
        <v>0.850850516514361</v>
      </c>
      <c r="K966" s="19" t="n">
        <v>0.543722555600683</v>
      </c>
      <c r="L966" s="16" t="n">
        <v>15.1278308171226</v>
      </c>
      <c r="M966" s="19" t="n">
        <v>0.372018745263264</v>
      </c>
      <c r="N966" s="19" t="n">
        <v>3.22302050389758</v>
      </c>
      <c r="O966" s="19" t="n">
        <v>0.850850516514361</v>
      </c>
      <c r="P966" s="19" t="n">
        <v>0.858141721301877</v>
      </c>
      <c r="Q966" s="17" t="s">
        <v>30</v>
      </c>
      <c r="R966" s="5" t="str">
        <f aca="false">IF(OR(Q966="Steel plate",Q966="Concrete jacket"),"Steel plate or jacket",Q966)</f>
        <v>Seal cracks</v>
      </c>
      <c r="S966" s="5" t="str">
        <f aca="false">IF(O966&lt;='Tree rules'!$C$4,IF(N966&lt;='Tree rules'!$C$5,IF(P966&lt;='Tree rules'!$C$6,"Monitor","Polymer laminate"),IF(P966&lt;='Tree rules'!$C$7,"Seal cracks","Polymer laminate")),IF(O966&lt;='Tree rules'!$C$8,IF(M966&lt;='Tree rules'!$C$9,"Steel plate or jacket","Polymer laminate"),IF(L966&lt;='Tree rules'!$C$10,"Steel plate or jacket","Polymer laminate")))</f>
        <v>Seal cracks</v>
      </c>
      <c r="T966" s="5" t="str">
        <f aca="false">IF(S966=R966,"Yes","No")</f>
        <v>Yes</v>
      </c>
    </row>
    <row r="967" customFormat="false" ht="15" hidden="false" customHeight="false" outlineLevel="0" collapsed="false">
      <c r="A967" s="15" t="n">
        <v>1365</v>
      </c>
      <c r="B967" s="16" t="n">
        <v>5.93731482766655</v>
      </c>
      <c r="C967" s="15" t="n">
        <v>300</v>
      </c>
      <c r="D967" s="15" t="n">
        <v>475</v>
      </c>
      <c r="E967" s="15" t="n">
        <v>30</v>
      </c>
      <c r="F967" s="16" t="n">
        <v>0.762522488735387</v>
      </c>
      <c r="G967" s="17" t="s">
        <v>90</v>
      </c>
      <c r="H967" s="18" t="n">
        <v>0.1</v>
      </c>
      <c r="I967" s="18" t="n">
        <v>1</v>
      </c>
      <c r="J967" s="19" t="n">
        <v>0.871659427610286</v>
      </c>
      <c r="K967" s="19" t="n">
        <v>0.497790369595059</v>
      </c>
      <c r="L967" s="16" t="n">
        <v>14.410958319579</v>
      </c>
      <c r="M967" s="19" t="n">
        <v>0.596758828944491</v>
      </c>
      <c r="N967" s="19" t="n">
        <v>2.5744510952184</v>
      </c>
      <c r="O967" s="19" t="n">
        <v>0.871659427610286</v>
      </c>
      <c r="P967" s="19" t="n">
        <v>0.572787304335497</v>
      </c>
      <c r="Q967" s="17" t="s">
        <v>30</v>
      </c>
      <c r="R967" s="5" t="str">
        <f aca="false">IF(OR(Q967="Steel plate",Q967="Concrete jacket"),"Steel plate or jacket",Q967)</f>
        <v>Seal cracks</v>
      </c>
      <c r="S967" s="5" t="str">
        <f aca="false">IF(O967&lt;='Tree rules'!$C$4,IF(N967&lt;='Tree rules'!$C$5,IF(P967&lt;='Tree rules'!$C$6,"Monitor","Polymer laminate"),IF(P967&lt;='Tree rules'!$C$7,"Seal cracks","Polymer laminate")),IF(O967&lt;='Tree rules'!$C$8,IF(M967&lt;='Tree rules'!$C$9,"Steel plate or jacket","Polymer laminate"),IF(L967&lt;='Tree rules'!$C$10,"Steel plate or jacket","Polymer laminate")))</f>
        <v>Seal cracks</v>
      </c>
      <c r="T967" s="5" t="str">
        <f aca="false">IF(S967=R967,"Yes","No")</f>
        <v>Yes</v>
      </c>
    </row>
    <row r="968" customFormat="false" ht="15" hidden="false" customHeight="false" outlineLevel="0" collapsed="false">
      <c r="A968" s="15" t="n">
        <v>1367</v>
      </c>
      <c r="B968" s="16" t="n">
        <v>3.05511527498117</v>
      </c>
      <c r="C968" s="15" t="n">
        <v>300</v>
      </c>
      <c r="D968" s="15" t="n">
        <v>300</v>
      </c>
      <c r="E968" s="15" t="n">
        <v>25</v>
      </c>
      <c r="F968" s="16" t="n">
        <v>0.736310778185108</v>
      </c>
      <c r="G968" s="17" t="s">
        <v>89</v>
      </c>
      <c r="H968" s="18" t="n">
        <v>0.3</v>
      </c>
      <c r="I968" s="18" t="n">
        <v>1</v>
      </c>
      <c r="J968" s="19" t="n">
        <v>0.980759012221457</v>
      </c>
      <c r="K968" s="19" t="n">
        <v>0.631536754635494</v>
      </c>
      <c r="L968" s="16" t="n">
        <v>11.9340440428952</v>
      </c>
      <c r="M968" s="19" t="n">
        <v>0.69786920726377</v>
      </c>
      <c r="N968" s="19" t="n">
        <v>0.659306823466749</v>
      </c>
      <c r="O968" s="19" t="n">
        <v>0.980759012221457</v>
      </c>
      <c r="P968" s="19" t="n">
        <v>0.492321402586988</v>
      </c>
      <c r="Q968" s="17" t="s">
        <v>29</v>
      </c>
      <c r="R968" s="5" t="str">
        <f aca="false">IF(OR(Q968="Steel plate",Q968="Concrete jacket"),"Steel plate or jacket",Q968)</f>
        <v>Monitor</v>
      </c>
      <c r="S968" s="5" t="str">
        <f aca="false">IF(O968&lt;='Tree rules'!$C$4,IF(N968&lt;='Tree rules'!$C$5,IF(P968&lt;='Tree rules'!$C$6,"Monitor","Polymer laminate"),IF(P968&lt;='Tree rules'!$C$7,"Seal cracks","Polymer laminate")),IF(O968&lt;='Tree rules'!$C$8,IF(M968&lt;='Tree rules'!$C$9,"Steel plate or jacket","Polymer laminate"),IF(L968&lt;='Tree rules'!$C$10,"Steel plate or jacket","Polymer laminate")))</f>
        <v>Monitor</v>
      </c>
      <c r="T968" s="5" t="str">
        <f aca="false">IF(S968=R968,"Yes","No")</f>
        <v>Yes</v>
      </c>
    </row>
    <row r="969" customFormat="false" ht="15" hidden="false" customHeight="false" outlineLevel="0" collapsed="false">
      <c r="A969" s="15" t="n">
        <v>1368</v>
      </c>
      <c r="B969" s="16" t="n">
        <v>3.50871920536979</v>
      </c>
      <c r="C969" s="15" t="n">
        <v>230</v>
      </c>
      <c r="D969" s="15" t="n">
        <v>325</v>
      </c>
      <c r="E969" s="15" t="n">
        <v>30</v>
      </c>
      <c r="F969" s="16" t="n">
        <v>0.699968036696473</v>
      </c>
      <c r="G969" s="17" t="s">
        <v>89</v>
      </c>
      <c r="H969" s="18" t="n">
        <v>0.3</v>
      </c>
      <c r="I969" s="18" t="n">
        <v>1</v>
      </c>
      <c r="J969" s="19" t="n">
        <v>0.929260004823165</v>
      </c>
      <c r="K969" s="19" t="n">
        <v>0.511977330215499</v>
      </c>
      <c r="L969" s="16" t="n">
        <v>12.4865452148391</v>
      </c>
      <c r="M969" s="19" t="n">
        <v>0.520208831888736</v>
      </c>
      <c r="N969" s="19" t="n">
        <v>0.63379160396998</v>
      </c>
      <c r="O969" s="19" t="n">
        <v>0.929260004823165</v>
      </c>
      <c r="P969" s="19" t="n">
        <v>0.542026987094993</v>
      </c>
      <c r="Q969" s="17" t="s">
        <v>29</v>
      </c>
      <c r="R969" s="5" t="str">
        <f aca="false">IF(OR(Q969="Steel plate",Q969="Concrete jacket"),"Steel plate or jacket",Q969)</f>
        <v>Monitor</v>
      </c>
      <c r="S969" s="5" t="str">
        <f aca="false">IF(O969&lt;='Tree rules'!$C$4,IF(N969&lt;='Tree rules'!$C$5,IF(P969&lt;='Tree rules'!$C$6,"Monitor","Polymer laminate"),IF(P969&lt;='Tree rules'!$C$7,"Seal cracks","Polymer laminate")),IF(O969&lt;='Tree rules'!$C$8,IF(M969&lt;='Tree rules'!$C$9,"Steel plate or jacket","Polymer laminate"),IF(L969&lt;='Tree rules'!$C$10,"Steel plate or jacket","Polymer laminate")))</f>
        <v>Monitor</v>
      </c>
      <c r="T969" s="5" t="str">
        <f aca="false">IF(S969=R969,"Yes","No")</f>
        <v>Yes</v>
      </c>
    </row>
    <row r="970" customFormat="false" ht="15" hidden="false" customHeight="false" outlineLevel="0" collapsed="false">
      <c r="A970" s="15" t="n">
        <v>1369</v>
      </c>
      <c r="B970" s="16" t="n">
        <v>6.28892888442344</v>
      </c>
      <c r="C970" s="15" t="n">
        <v>300</v>
      </c>
      <c r="D970" s="15" t="n">
        <v>575</v>
      </c>
      <c r="E970" s="15" t="n">
        <v>25</v>
      </c>
      <c r="F970" s="16" t="n">
        <v>0.633465437396808</v>
      </c>
      <c r="G970" s="17" t="s">
        <v>89</v>
      </c>
      <c r="H970" s="18" t="n">
        <v>0.3</v>
      </c>
      <c r="I970" s="18" t="n">
        <v>1</v>
      </c>
      <c r="J970" s="19" t="n">
        <v>0.861484813330258</v>
      </c>
      <c r="K970" s="19" t="n">
        <v>0.541795680446101</v>
      </c>
      <c r="L970" s="16" t="n">
        <v>11.8883343750916</v>
      </c>
      <c r="M970" s="19" t="n">
        <v>0.477470754092341</v>
      </c>
      <c r="N970" s="19" t="n">
        <v>0.567737748275021</v>
      </c>
      <c r="O970" s="19" t="n">
        <v>0.861484813330258</v>
      </c>
      <c r="P970" s="19" t="n">
        <v>0.634566911198666</v>
      </c>
      <c r="Q970" s="17" t="s">
        <v>29</v>
      </c>
      <c r="R970" s="5" t="str">
        <f aca="false">IF(OR(Q970="Steel plate",Q970="Concrete jacket"),"Steel plate or jacket",Q970)</f>
        <v>Monitor</v>
      </c>
      <c r="S970" s="5" t="str">
        <f aca="false">IF(O970&lt;='Tree rules'!$C$4,IF(N970&lt;='Tree rules'!$C$5,IF(P970&lt;='Tree rules'!$C$6,"Monitor","Polymer laminate"),IF(P970&lt;='Tree rules'!$C$7,"Seal cracks","Polymer laminate")),IF(O970&lt;='Tree rules'!$C$8,IF(M970&lt;='Tree rules'!$C$9,"Steel plate or jacket","Polymer laminate"),IF(L970&lt;='Tree rules'!$C$10,"Steel plate or jacket","Polymer laminate")))</f>
        <v>Monitor</v>
      </c>
      <c r="T970" s="5" t="str">
        <f aca="false">IF(S970=R970,"Yes","No")</f>
        <v>Yes</v>
      </c>
    </row>
    <row r="971" customFormat="false" ht="15" hidden="false" customHeight="false" outlineLevel="0" collapsed="false">
      <c r="A971" s="15" t="n">
        <v>1371</v>
      </c>
      <c r="B971" s="16" t="n">
        <v>3.88405843521524</v>
      </c>
      <c r="C971" s="15" t="n">
        <v>300</v>
      </c>
      <c r="D971" s="15" t="n">
        <v>325</v>
      </c>
      <c r="E971" s="15" t="n">
        <v>25</v>
      </c>
      <c r="F971" s="16" t="n">
        <v>0.67080270183412</v>
      </c>
      <c r="G971" s="17" t="s">
        <v>89</v>
      </c>
      <c r="H971" s="18" t="n">
        <v>0.3</v>
      </c>
      <c r="I971" s="18" t="n">
        <v>2</v>
      </c>
      <c r="J971" s="19" t="n">
        <v>0.907815302694213</v>
      </c>
      <c r="K971" s="19" t="n">
        <v>0.574899782154041</v>
      </c>
      <c r="L971" s="16" t="n">
        <v>13.8222720114421</v>
      </c>
      <c r="M971" s="19" t="n">
        <v>0.659588170556538</v>
      </c>
      <c r="N971" s="19" t="n">
        <v>0.885258600050336</v>
      </c>
      <c r="O971" s="19" t="n">
        <v>1.29372778563342</v>
      </c>
      <c r="P971" s="19" t="n">
        <v>0.61969740583671</v>
      </c>
      <c r="Q971" s="17" t="s">
        <v>31</v>
      </c>
      <c r="R971" s="5" t="str">
        <f aca="false">IF(OR(Q971="Steel plate",Q971="Concrete jacket"),"Steel plate or jacket",Q971)</f>
        <v>Polymer laminate</v>
      </c>
      <c r="S971" s="5" t="str">
        <f aca="false">IF(O971&lt;='Tree rules'!$C$4,IF(N971&lt;='Tree rules'!$C$5,IF(P971&lt;='Tree rules'!$C$6,"Monitor","Polymer laminate"),IF(P971&lt;='Tree rules'!$C$7,"Seal cracks","Polymer laminate")),IF(O971&lt;='Tree rules'!$C$8,IF(M971&lt;='Tree rules'!$C$9,"Steel plate or jacket","Polymer laminate"),IF(L971&lt;='Tree rules'!$C$10,"Steel plate or jacket","Polymer laminate")))</f>
        <v>Polymer laminate</v>
      </c>
      <c r="T971" s="5" t="str">
        <f aca="false">IF(S971=R971,"Yes","No")</f>
        <v>Yes</v>
      </c>
    </row>
    <row r="972" customFormat="false" ht="15" hidden="false" customHeight="false" outlineLevel="0" collapsed="false">
      <c r="A972" s="15" t="n">
        <v>1375</v>
      </c>
      <c r="B972" s="16" t="n">
        <v>4.51497850564726</v>
      </c>
      <c r="C972" s="15" t="n">
        <v>300</v>
      </c>
      <c r="D972" s="15" t="n">
        <v>400</v>
      </c>
      <c r="E972" s="15" t="n">
        <v>20</v>
      </c>
      <c r="F972" s="16" t="n">
        <v>0.757295404255167</v>
      </c>
      <c r="G972" s="17" t="s">
        <v>89</v>
      </c>
      <c r="H972" s="18" t="n">
        <v>0.3</v>
      </c>
      <c r="I972" s="18" t="n">
        <v>1</v>
      </c>
      <c r="J972" s="19" t="n">
        <v>0.893390253772342</v>
      </c>
      <c r="K972" s="19" t="n">
        <v>0.444913280240219</v>
      </c>
      <c r="L972" s="16" t="n">
        <v>12.754176569625</v>
      </c>
      <c r="M972" s="19" t="n">
        <v>0.485009921815796</v>
      </c>
      <c r="N972" s="19" t="n">
        <v>0.643825299331374</v>
      </c>
      <c r="O972" s="19" t="n">
        <v>0.893390253772342</v>
      </c>
      <c r="P972" s="19" t="n">
        <v>0.71063326476231</v>
      </c>
      <c r="Q972" s="17" t="s">
        <v>29</v>
      </c>
      <c r="R972" s="5" t="str">
        <f aca="false">IF(OR(Q972="Steel plate",Q972="Concrete jacket"),"Steel plate or jacket",Q972)</f>
        <v>Monitor</v>
      </c>
      <c r="S972" s="5" t="str">
        <f aca="false">IF(O972&lt;='Tree rules'!$C$4,IF(N972&lt;='Tree rules'!$C$5,IF(P972&lt;='Tree rules'!$C$6,"Monitor","Polymer laminate"),IF(P972&lt;='Tree rules'!$C$7,"Seal cracks","Polymer laminate")),IF(O972&lt;='Tree rules'!$C$8,IF(M972&lt;='Tree rules'!$C$9,"Steel plate or jacket","Polymer laminate"),IF(L972&lt;='Tree rules'!$C$10,"Steel plate or jacket","Polymer laminate")))</f>
        <v>Monitor</v>
      </c>
      <c r="T972" s="5" t="str">
        <f aca="false">IF(S972=R972,"Yes","No")</f>
        <v>Yes</v>
      </c>
    </row>
    <row r="973" customFormat="false" ht="15" hidden="false" customHeight="false" outlineLevel="0" collapsed="false">
      <c r="A973" s="15" t="n">
        <v>1376</v>
      </c>
      <c r="B973" s="16" t="n">
        <v>7.69929997125671</v>
      </c>
      <c r="C973" s="15" t="n">
        <v>300</v>
      </c>
      <c r="D973" s="15" t="n">
        <v>625</v>
      </c>
      <c r="E973" s="15" t="n">
        <v>30</v>
      </c>
      <c r="F973" s="16" t="n">
        <v>0.578762031749415</v>
      </c>
      <c r="G973" s="17" t="s">
        <v>91</v>
      </c>
      <c r="H973" s="18" t="n">
        <v>0.2</v>
      </c>
      <c r="I973" s="18" t="n">
        <v>1</v>
      </c>
      <c r="J973" s="19" t="n">
        <v>0.855826757679459</v>
      </c>
      <c r="K973" s="19" t="n">
        <v>0.507821774795133</v>
      </c>
      <c r="L973" s="16" t="n">
        <v>13.2975819883536</v>
      </c>
      <c r="M973" s="19" t="n">
        <v>0.50599518356095</v>
      </c>
      <c r="N973" s="19" t="n">
        <v>0.837309236578537</v>
      </c>
      <c r="O973" s="19" t="n">
        <v>0.855826757679459</v>
      </c>
      <c r="P973" s="19" t="n">
        <v>0.580037752399249</v>
      </c>
      <c r="Q973" s="17" t="s">
        <v>29</v>
      </c>
      <c r="R973" s="5" t="str">
        <f aca="false">IF(OR(Q973="Steel plate",Q973="Concrete jacket"),"Steel plate or jacket",Q973)</f>
        <v>Monitor</v>
      </c>
      <c r="S973" s="5" t="str">
        <f aca="false">IF(O973&lt;='Tree rules'!$C$4,IF(N973&lt;='Tree rules'!$C$5,IF(P973&lt;='Tree rules'!$C$6,"Monitor","Polymer laminate"),IF(P973&lt;='Tree rules'!$C$7,"Seal cracks","Polymer laminate")),IF(O973&lt;='Tree rules'!$C$8,IF(M973&lt;='Tree rules'!$C$9,"Steel plate or jacket","Polymer laminate"),IF(L973&lt;='Tree rules'!$C$10,"Steel plate or jacket","Polymer laminate")))</f>
        <v>Monitor</v>
      </c>
      <c r="T973" s="5" t="str">
        <f aca="false">IF(S973=R973,"Yes","No")</f>
        <v>Yes</v>
      </c>
    </row>
    <row r="974" customFormat="false" ht="15" hidden="false" customHeight="false" outlineLevel="0" collapsed="false">
      <c r="A974" s="15" t="n">
        <v>1377</v>
      </c>
      <c r="B974" s="16" t="n">
        <v>4.7931626799667</v>
      </c>
      <c r="C974" s="15" t="n">
        <v>230</v>
      </c>
      <c r="D974" s="15" t="n">
        <v>425</v>
      </c>
      <c r="E974" s="15" t="n">
        <v>30</v>
      </c>
      <c r="F974" s="16" t="n">
        <v>0.724620609754306</v>
      </c>
      <c r="G974" s="17" t="s">
        <v>91</v>
      </c>
      <c r="H974" s="18" t="n">
        <v>0.2</v>
      </c>
      <c r="I974" s="18" t="n">
        <v>1</v>
      </c>
      <c r="J974" s="19" t="n">
        <v>0.933896537285104</v>
      </c>
      <c r="K974" s="19" t="n">
        <v>0.636151309089663</v>
      </c>
      <c r="L974" s="16" t="n">
        <v>12.7139593633069</v>
      </c>
      <c r="M974" s="19" t="n">
        <v>0.820857268521752</v>
      </c>
      <c r="N974" s="19" t="n">
        <v>1.24684419104771</v>
      </c>
      <c r="O974" s="19" t="n">
        <v>0.933896537285104</v>
      </c>
      <c r="P974" s="19" t="n">
        <v>0.451759311582244</v>
      </c>
      <c r="Q974" s="17" t="s">
        <v>30</v>
      </c>
      <c r="R974" s="5" t="str">
        <f aca="false">IF(OR(Q974="Steel plate",Q974="Concrete jacket"),"Steel plate or jacket",Q974)</f>
        <v>Seal cracks</v>
      </c>
      <c r="S974" s="5" t="str">
        <f aca="false">IF(O974&lt;='Tree rules'!$C$4,IF(N974&lt;='Tree rules'!$C$5,IF(P974&lt;='Tree rules'!$C$6,"Monitor","Polymer laminate"),IF(P974&lt;='Tree rules'!$C$7,"Seal cracks","Polymer laminate")),IF(O974&lt;='Tree rules'!$C$8,IF(M974&lt;='Tree rules'!$C$9,"Steel plate or jacket","Polymer laminate"),IF(L974&lt;='Tree rules'!$C$10,"Steel plate or jacket","Polymer laminate")))</f>
        <v>Seal cracks</v>
      </c>
      <c r="T974" s="5" t="str">
        <f aca="false">IF(S974=R974,"Yes","No")</f>
        <v>Yes</v>
      </c>
    </row>
    <row r="975" customFormat="false" ht="15" hidden="false" customHeight="false" outlineLevel="0" collapsed="false">
      <c r="A975" s="15" t="n">
        <v>1378</v>
      </c>
      <c r="B975" s="16" t="n">
        <v>3.44082013690614</v>
      </c>
      <c r="C975" s="15" t="n">
        <v>230</v>
      </c>
      <c r="D975" s="15" t="n">
        <v>300</v>
      </c>
      <c r="E975" s="15" t="n">
        <v>25</v>
      </c>
      <c r="F975" s="16" t="n">
        <v>0.688332522525665</v>
      </c>
      <c r="G975" s="17" t="s">
        <v>89</v>
      </c>
      <c r="H975" s="18" t="n">
        <v>0.3</v>
      </c>
      <c r="I975" s="18" t="n">
        <v>2</v>
      </c>
      <c r="J975" s="19" t="n">
        <v>0.978815310312034</v>
      </c>
      <c r="K975" s="19" t="n">
        <v>0.430315448029668</v>
      </c>
      <c r="L975" s="16" t="n">
        <v>13.5465359720714</v>
      </c>
      <c r="M975" s="19" t="n">
        <v>0.660702342422734</v>
      </c>
      <c r="N975" s="19" t="n">
        <v>1.44431780486209</v>
      </c>
      <c r="O975" s="19" t="n">
        <v>1.53643127182885</v>
      </c>
      <c r="P975" s="19" t="n">
        <v>0.59634240393256</v>
      </c>
      <c r="Q975" s="17" t="s">
        <v>31</v>
      </c>
      <c r="R975" s="5" t="str">
        <f aca="false">IF(OR(Q975="Steel plate",Q975="Concrete jacket"),"Steel plate or jacket",Q975)</f>
        <v>Polymer laminate</v>
      </c>
      <c r="S975" s="5" t="str">
        <f aca="false">IF(O975&lt;='Tree rules'!$C$4,IF(N975&lt;='Tree rules'!$C$5,IF(P975&lt;='Tree rules'!$C$6,"Monitor","Polymer laminate"),IF(P975&lt;='Tree rules'!$C$7,"Seal cracks","Polymer laminate")),IF(O975&lt;='Tree rules'!$C$8,IF(M975&lt;='Tree rules'!$C$9,"Steel plate or jacket","Polymer laminate"),IF(L975&lt;='Tree rules'!$C$10,"Steel plate or jacket","Polymer laminate")))</f>
        <v>Polymer laminate</v>
      </c>
      <c r="T975" s="5" t="str">
        <f aca="false">IF(S975=R975,"Yes","No")</f>
        <v>Yes</v>
      </c>
    </row>
    <row r="976" customFormat="false" ht="15" hidden="false" customHeight="false" outlineLevel="0" collapsed="false">
      <c r="A976" s="15" t="n">
        <v>1379</v>
      </c>
      <c r="B976" s="16" t="n">
        <v>4.71893823134857</v>
      </c>
      <c r="C976" s="15" t="n">
        <v>230</v>
      </c>
      <c r="D976" s="15" t="n">
        <v>375</v>
      </c>
      <c r="E976" s="15" t="n">
        <v>25</v>
      </c>
      <c r="F976" s="16" t="n">
        <v>0.594232683721175</v>
      </c>
      <c r="G976" s="17" t="s">
        <v>89</v>
      </c>
      <c r="H976" s="18" t="n">
        <v>0.3</v>
      </c>
      <c r="I976" s="18" t="n">
        <v>1</v>
      </c>
      <c r="J976" s="19" t="n">
        <v>0.95112011235204</v>
      </c>
      <c r="K976" s="19" t="n">
        <v>0.582508437223724</v>
      </c>
      <c r="L976" s="16" t="n">
        <v>14.2566109708416</v>
      </c>
      <c r="M976" s="19" t="n">
        <v>0.733986144580636</v>
      </c>
      <c r="N976" s="19" t="n">
        <v>0.594470385961681</v>
      </c>
      <c r="O976" s="19" t="n">
        <v>0.95112011235204</v>
      </c>
      <c r="P976" s="19" t="n">
        <v>0.480543940850652</v>
      </c>
      <c r="Q976" s="17" t="s">
        <v>29</v>
      </c>
      <c r="R976" s="5" t="str">
        <f aca="false">IF(OR(Q976="Steel plate",Q976="Concrete jacket"),"Steel plate or jacket",Q976)</f>
        <v>Monitor</v>
      </c>
      <c r="S976" s="5" t="str">
        <f aca="false">IF(O976&lt;='Tree rules'!$C$4,IF(N976&lt;='Tree rules'!$C$5,IF(P976&lt;='Tree rules'!$C$6,"Monitor","Polymer laminate"),IF(P976&lt;='Tree rules'!$C$7,"Seal cracks","Polymer laminate")),IF(O976&lt;='Tree rules'!$C$8,IF(M976&lt;='Tree rules'!$C$9,"Steel plate or jacket","Polymer laminate"),IF(L976&lt;='Tree rules'!$C$10,"Steel plate or jacket","Polymer laminate")))</f>
        <v>Monitor</v>
      </c>
      <c r="T976" s="5" t="str">
        <f aca="false">IF(S976=R976,"Yes","No")</f>
        <v>Yes</v>
      </c>
    </row>
    <row r="977" customFormat="false" ht="15" hidden="false" customHeight="false" outlineLevel="0" collapsed="false">
      <c r="A977" s="15" t="n">
        <v>1381</v>
      </c>
      <c r="B977" s="16" t="n">
        <v>6.72626467408893</v>
      </c>
      <c r="C977" s="15" t="n">
        <v>230</v>
      </c>
      <c r="D977" s="15" t="n">
        <v>600</v>
      </c>
      <c r="E977" s="15" t="n">
        <v>30</v>
      </c>
      <c r="F977" s="16" t="n">
        <v>0.742342309449384</v>
      </c>
      <c r="G977" s="17" t="s">
        <v>89</v>
      </c>
      <c r="H977" s="18" t="n">
        <v>0.3</v>
      </c>
      <c r="I977" s="18" t="n">
        <v>1.5</v>
      </c>
      <c r="J977" s="19" t="n">
        <v>0.899794557654059</v>
      </c>
      <c r="K977" s="19" t="n">
        <v>0.648437915394987</v>
      </c>
      <c r="L977" s="16" t="n">
        <v>12.1852620907408</v>
      </c>
      <c r="M977" s="19" t="n">
        <v>0.44884699353696</v>
      </c>
      <c r="N977" s="19" t="n">
        <v>0.767449192483973</v>
      </c>
      <c r="O977" s="19" t="n">
        <v>1.05796138285661</v>
      </c>
      <c r="P977" s="19" t="n">
        <v>0.898000364362763</v>
      </c>
      <c r="Q977" s="17" t="s">
        <v>31</v>
      </c>
      <c r="R977" s="5" t="str">
        <f aca="false">IF(OR(Q977="Steel plate",Q977="Concrete jacket"),"Steel plate or jacket",Q977)</f>
        <v>Polymer laminate</v>
      </c>
      <c r="S977" s="5" t="str">
        <f aca="false">IF(O977&lt;='Tree rules'!$C$4,IF(N977&lt;='Tree rules'!$C$5,IF(P977&lt;='Tree rules'!$C$6,"Monitor","Polymer laminate"),IF(P977&lt;='Tree rules'!$C$7,"Seal cracks","Polymer laminate")),IF(O977&lt;='Tree rules'!$C$8,IF(M977&lt;='Tree rules'!$C$9,"Steel plate or jacket","Polymer laminate"),IF(L977&lt;='Tree rules'!$C$10,"Steel plate or jacket","Polymer laminate")))</f>
        <v>Polymer laminate</v>
      </c>
      <c r="T977" s="5" t="str">
        <f aca="false">IF(S977=R977,"Yes","No")</f>
        <v>Yes</v>
      </c>
    </row>
    <row r="978" customFormat="false" ht="15" hidden="false" customHeight="false" outlineLevel="0" collapsed="false">
      <c r="A978" s="15" t="n">
        <v>1383</v>
      </c>
      <c r="B978" s="16" t="n">
        <v>3.91322209469034</v>
      </c>
      <c r="C978" s="15" t="n">
        <v>230</v>
      </c>
      <c r="D978" s="15" t="n">
        <v>375</v>
      </c>
      <c r="E978" s="15" t="n">
        <v>30</v>
      </c>
      <c r="F978" s="16" t="n">
        <v>0.835418868126524</v>
      </c>
      <c r="G978" s="17" t="s">
        <v>89</v>
      </c>
      <c r="H978" s="18" t="n">
        <v>0.3</v>
      </c>
      <c r="I978" s="18" t="n">
        <v>1.5</v>
      </c>
      <c r="J978" s="19" t="n">
        <v>0.887724532254779</v>
      </c>
      <c r="K978" s="19" t="n">
        <v>0.486117844260529</v>
      </c>
      <c r="L978" s="16" t="n">
        <v>11.9670400449246</v>
      </c>
      <c r="M978" s="19" t="n">
        <v>0.461234027790296</v>
      </c>
      <c r="N978" s="19" t="n">
        <v>1.08060891657656</v>
      </c>
      <c r="O978" s="19" t="n">
        <v>1.11581743042373</v>
      </c>
      <c r="P978" s="19" t="n">
        <v>0.742476890312028</v>
      </c>
      <c r="Q978" s="17" t="s">
        <v>31</v>
      </c>
      <c r="R978" s="5" t="str">
        <f aca="false">IF(OR(Q978="Steel plate",Q978="Concrete jacket"),"Steel plate or jacket",Q978)</f>
        <v>Polymer laminate</v>
      </c>
      <c r="S978" s="5" t="str">
        <f aca="false">IF(O978&lt;='Tree rules'!$C$4,IF(N978&lt;='Tree rules'!$C$5,IF(P978&lt;='Tree rules'!$C$6,"Monitor","Polymer laminate"),IF(P978&lt;='Tree rules'!$C$7,"Seal cracks","Polymer laminate")),IF(O978&lt;='Tree rules'!$C$8,IF(M978&lt;='Tree rules'!$C$9,"Steel plate or jacket","Polymer laminate"),IF(L978&lt;='Tree rules'!$C$10,"Steel plate or jacket","Polymer laminate")))</f>
        <v>Polymer laminate</v>
      </c>
      <c r="T978" s="5" t="str">
        <f aca="false">IF(S978=R978,"Yes","No")</f>
        <v>Yes</v>
      </c>
    </row>
    <row r="979" customFormat="false" ht="15" hidden="false" customHeight="false" outlineLevel="0" collapsed="false">
      <c r="A979" s="15" t="n">
        <v>1386</v>
      </c>
      <c r="B979" s="16" t="n">
        <v>6.39455572744894</v>
      </c>
      <c r="C979" s="15" t="n">
        <v>300</v>
      </c>
      <c r="D979" s="15" t="n">
        <v>600</v>
      </c>
      <c r="E979" s="15" t="n">
        <v>25</v>
      </c>
      <c r="F979" s="16" t="n">
        <v>0.780035419885734</v>
      </c>
      <c r="G979" s="17" t="s">
        <v>90</v>
      </c>
      <c r="H979" s="18" t="n">
        <v>0.1</v>
      </c>
      <c r="I979" s="18" t="n">
        <v>1.5</v>
      </c>
      <c r="J979" s="19" t="n">
        <v>0.860957722143784</v>
      </c>
      <c r="K979" s="19" t="n">
        <v>0.607706547309024</v>
      </c>
      <c r="L979" s="16" t="n">
        <v>11.9079250045604</v>
      </c>
      <c r="M979" s="19" t="n">
        <v>0.882633958094062</v>
      </c>
      <c r="N979" s="19" t="n">
        <v>2.58535536583517</v>
      </c>
      <c r="O979" s="19" t="n">
        <v>1.02983176086416</v>
      </c>
      <c r="P979" s="19" t="n">
        <v>0.457865930370232</v>
      </c>
      <c r="Q979" s="17" t="s">
        <v>31</v>
      </c>
      <c r="R979" s="5" t="str">
        <f aca="false">IF(OR(Q979="Steel plate",Q979="Concrete jacket"),"Steel plate or jacket",Q979)</f>
        <v>Polymer laminate</v>
      </c>
      <c r="S979" s="5" t="str">
        <f aca="false">IF(O979&lt;='Tree rules'!$C$4,IF(N979&lt;='Tree rules'!$C$5,IF(P979&lt;='Tree rules'!$C$6,"Monitor","Polymer laminate"),IF(P979&lt;='Tree rules'!$C$7,"Seal cracks","Polymer laminate")),IF(O979&lt;='Tree rules'!$C$8,IF(M979&lt;='Tree rules'!$C$9,"Steel plate or jacket","Polymer laminate"),IF(L979&lt;='Tree rules'!$C$10,"Steel plate or jacket","Polymer laminate")))</f>
        <v>Polymer laminate</v>
      </c>
      <c r="T979" s="5" t="str">
        <f aca="false">IF(S979=R979,"Yes","No")</f>
        <v>Yes</v>
      </c>
    </row>
    <row r="980" customFormat="false" ht="15" hidden="false" customHeight="false" outlineLevel="0" collapsed="false">
      <c r="A980" s="15" t="n">
        <v>1388</v>
      </c>
      <c r="B980" s="16" t="n">
        <v>3.03836412769712</v>
      </c>
      <c r="C980" s="15" t="n">
        <v>230</v>
      </c>
      <c r="D980" s="15" t="n">
        <v>300</v>
      </c>
      <c r="E980" s="15" t="n">
        <v>30</v>
      </c>
      <c r="F980" s="16" t="n">
        <v>0.768324290280112</v>
      </c>
      <c r="G980" s="17" t="s">
        <v>91</v>
      </c>
      <c r="H980" s="18" t="n">
        <v>0.2</v>
      </c>
      <c r="I980" s="18" t="n">
        <v>1</v>
      </c>
      <c r="J980" s="19" t="n">
        <v>0.917319598412307</v>
      </c>
      <c r="K980" s="19" t="n">
        <v>0.606705904358143</v>
      </c>
      <c r="L980" s="16" t="n">
        <v>11.8686098738169</v>
      </c>
      <c r="M980" s="19" t="n">
        <v>0.286374781593274</v>
      </c>
      <c r="N980" s="19" t="n">
        <v>1.00026564838381</v>
      </c>
      <c r="O980" s="19" t="n">
        <v>0.917319598412307</v>
      </c>
      <c r="P980" s="19" t="n">
        <v>1.00513052052653</v>
      </c>
      <c r="Q980" s="17" t="s">
        <v>31</v>
      </c>
      <c r="R980" s="5" t="str">
        <f aca="false">IF(OR(Q980="Steel plate",Q980="Concrete jacket"),"Steel plate or jacket",Q980)</f>
        <v>Polymer laminate</v>
      </c>
      <c r="S980" s="5" t="str">
        <f aca="false">IF(O980&lt;='Tree rules'!$C$4,IF(N980&lt;='Tree rules'!$C$5,IF(P980&lt;='Tree rules'!$C$6,"Monitor","Polymer laminate"),IF(P980&lt;='Tree rules'!$C$7,"Seal cracks","Polymer laminate")),IF(O980&lt;='Tree rules'!$C$8,IF(M980&lt;='Tree rules'!$C$9,"Steel plate or jacket","Polymer laminate"),IF(L980&lt;='Tree rules'!$C$10,"Steel plate or jacket","Polymer laminate")))</f>
        <v>Polymer laminate</v>
      </c>
      <c r="T980" s="5" t="str">
        <f aca="false">IF(S980=R980,"Yes","No")</f>
        <v>Yes</v>
      </c>
    </row>
    <row r="981" customFormat="false" ht="15" hidden="false" customHeight="false" outlineLevel="0" collapsed="false">
      <c r="A981" s="15" t="n">
        <v>1389</v>
      </c>
      <c r="B981" s="16" t="n">
        <v>6.96646005316706</v>
      </c>
      <c r="C981" s="15" t="n">
        <v>300</v>
      </c>
      <c r="D981" s="15" t="n">
        <v>625</v>
      </c>
      <c r="E981" s="15" t="n">
        <v>20</v>
      </c>
      <c r="F981" s="16" t="n">
        <v>0.725960174139756</v>
      </c>
      <c r="G981" s="17" t="s">
        <v>89</v>
      </c>
      <c r="H981" s="18" t="n">
        <v>0.3</v>
      </c>
      <c r="I981" s="18" t="n">
        <v>2</v>
      </c>
      <c r="J981" s="19" t="n">
        <v>0.867483495496699</v>
      </c>
      <c r="K981" s="19" t="n">
        <v>0.576978903804346</v>
      </c>
      <c r="L981" s="16" t="n">
        <v>12.0735876138077</v>
      </c>
      <c r="M981" s="19" t="n">
        <v>0.921053837730306</v>
      </c>
      <c r="N981" s="19" t="n">
        <v>0.793382043921638</v>
      </c>
      <c r="O981" s="19" t="n">
        <v>1.23444731469335</v>
      </c>
      <c r="P981" s="19" t="n">
        <v>0.523568930679058</v>
      </c>
      <c r="Q981" s="17" t="s">
        <v>31</v>
      </c>
      <c r="R981" s="5" t="str">
        <f aca="false">IF(OR(Q981="Steel plate",Q981="Concrete jacket"),"Steel plate or jacket",Q981)</f>
        <v>Polymer laminate</v>
      </c>
      <c r="S981" s="5" t="str">
        <f aca="false">IF(O981&lt;='Tree rules'!$C$4,IF(N981&lt;='Tree rules'!$C$5,IF(P981&lt;='Tree rules'!$C$6,"Monitor","Polymer laminate"),IF(P981&lt;='Tree rules'!$C$7,"Seal cracks","Polymer laminate")),IF(O981&lt;='Tree rules'!$C$8,IF(M981&lt;='Tree rules'!$C$9,"Steel plate or jacket","Polymer laminate"),IF(L981&lt;='Tree rules'!$C$10,"Steel plate or jacket","Polymer laminate")))</f>
        <v>Polymer laminate</v>
      </c>
      <c r="T981" s="5" t="str">
        <f aca="false">IF(S981=R981,"Yes","No")</f>
        <v>Yes</v>
      </c>
    </row>
    <row r="982" customFormat="false" ht="15" hidden="false" customHeight="false" outlineLevel="0" collapsed="false">
      <c r="A982" s="15" t="n">
        <v>1392</v>
      </c>
      <c r="B982" s="16" t="n">
        <v>5.1720244725991</v>
      </c>
      <c r="C982" s="15" t="n">
        <v>300</v>
      </c>
      <c r="D982" s="15" t="n">
        <v>450</v>
      </c>
      <c r="E982" s="15" t="n">
        <v>20</v>
      </c>
      <c r="F982" s="16" t="n">
        <v>0.663570725510715</v>
      </c>
      <c r="G982" s="17" t="s">
        <v>89</v>
      </c>
      <c r="H982" s="18" t="n">
        <v>0.3</v>
      </c>
      <c r="I982" s="18" t="n">
        <v>1</v>
      </c>
      <c r="J982" s="19" t="n">
        <v>0.953521368164523</v>
      </c>
      <c r="K982" s="19" t="n">
        <v>0.479334853120171</v>
      </c>
      <c r="L982" s="16" t="n">
        <v>12.8020407737601</v>
      </c>
      <c r="M982" s="19" t="n">
        <v>0.747184393999659</v>
      </c>
      <c r="N982" s="19" t="n">
        <v>0.640927233032341</v>
      </c>
      <c r="O982" s="19" t="n">
        <v>0.953521368164523</v>
      </c>
      <c r="P982" s="19" t="n">
        <v>0.493767754887912</v>
      </c>
      <c r="Q982" s="17" t="s">
        <v>29</v>
      </c>
      <c r="R982" s="5" t="str">
        <f aca="false">IF(OR(Q982="Steel plate",Q982="Concrete jacket"),"Steel plate or jacket",Q982)</f>
        <v>Monitor</v>
      </c>
      <c r="S982" s="5" t="str">
        <f aca="false">IF(O982&lt;='Tree rules'!$C$4,IF(N982&lt;='Tree rules'!$C$5,IF(P982&lt;='Tree rules'!$C$6,"Monitor","Polymer laminate"),IF(P982&lt;='Tree rules'!$C$7,"Seal cracks","Polymer laminate")),IF(O982&lt;='Tree rules'!$C$8,IF(M982&lt;='Tree rules'!$C$9,"Steel plate or jacket","Polymer laminate"),IF(L982&lt;='Tree rules'!$C$10,"Steel plate or jacket","Polymer laminate")))</f>
        <v>Monitor</v>
      </c>
      <c r="T982" s="5" t="str">
        <f aca="false">IF(S982=R982,"Yes","No")</f>
        <v>Yes</v>
      </c>
    </row>
    <row r="983" customFormat="false" ht="15" hidden="false" customHeight="false" outlineLevel="0" collapsed="false">
      <c r="A983" s="15" t="n">
        <v>1394</v>
      </c>
      <c r="B983" s="16" t="n">
        <v>5.21896874184937</v>
      </c>
      <c r="C983" s="15" t="n">
        <v>230</v>
      </c>
      <c r="D983" s="15" t="n">
        <v>500</v>
      </c>
      <c r="E983" s="15" t="n">
        <v>30</v>
      </c>
      <c r="F983" s="16" t="n">
        <v>0.770204672782022</v>
      </c>
      <c r="G983" s="17" t="s">
        <v>89</v>
      </c>
      <c r="H983" s="18" t="n">
        <v>0.3</v>
      </c>
      <c r="I983" s="18" t="n">
        <v>1</v>
      </c>
      <c r="J983" s="19" t="n">
        <v>0.913854272910788</v>
      </c>
      <c r="K983" s="19" t="n">
        <v>0.478891190100798</v>
      </c>
      <c r="L983" s="16" t="n">
        <v>11.4955258631043</v>
      </c>
      <c r="M983" s="19" t="n">
        <v>0.849180535279679</v>
      </c>
      <c r="N983" s="19" t="n">
        <v>0.560805616994998</v>
      </c>
      <c r="O983" s="19" t="n">
        <v>0.913854272910788</v>
      </c>
      <c r="P983" s="19" t="n">
        <v>0.389101395140069</v>
      </c>
      <c r="Q983" s="17" t="s">
        <v>29</v>
      </c>
      <c r="R983" s="5" t="str">
        <f aca="false">IF(OR(Q983="Steel plate",Q983="Concrete jacket"),"Steel plate or jacket",Q983)</f>
        <v>Monitor</v>
      </c>
      <c r="S983" s="5" t="str">
        <f aca="false">IF(O983&lt;='Tree rules'!$C$4,IF(N983&lt;='Tree rules'!$C$5,IF(P983&lt;='Tree rules'!$C$6,"Monitor","Polymer laminate"),IF(P983&lt;='Tree rules'!$C$7,"Seal cracks","Polymer laminate")),IF(O983&lt;='Tree rules'!$C$8,IF(M983&lt;='Tree rules'!$C$9,"Steel plate or jacket","Polymer laminate"),IF(L983&lt;='Tree rules'!$C$10,"Steel plate or jacket","Polymer laminate")))</f>
        <v>Monitor</v>
      </c>
      <c r="T983" s="5" t="str">
        <f aca="false">IF(S983=R983,"Yes","No")</f>
        <v>Yes</v>
      </c>
    </row>
    <row r="984" customFormat="false" ht="15" hidden="false" customHeight="false" outlineLevel="0" collapsed="false">
      <c r="A984" s="15" t="n">
        <v>1396</v>
      </c>
      <c r="B984" s="16" t="n">
        <v>3.69533661031797</v>
      </c>
      <c r="C984" s="15" t="n">
        <v>300</v>
      </c>
      <c r="D984" s="15" t="n">
        <v>325</v>
      </c>
      <c r="E984" s="15" t="n">
        <v>20</v>
      </c>
      <c r="F984" s="16" t="n">
        <v>0.72065207824282</v>
      </c>
      <c r="G984" s="17" t="s">
        <v>91</v>
      </c>
      <c r="H984" s="18" t="n">
        <v>0.2</v>
      </c>
      <c r="I984" s="18" t="n">
        <v>1.5</v>
      </c>
      <c r="J984" s="19" t="n">
        <v>0.871219991431394</v>
      </c>
      <c r="K984" s="19" t="n">
        <v>0.639501297311959</v>
      </c>
      <c r="L984" s="16" t="n">
        <v>13.2449340871612</v>
      </c>
      <c r="M984" s="19" t="n">
        <v>0.589767149445399</v>
      </c>
      <c r="N984" s="19" t="n">
        <v>1.2668309654623</v>
      </c>
      <c r="O984" s="19" t="n">
        <v>1.02825682976485</v>
      </c>
      <c r="P984" s="19" t="n">
        <v>0.671902471005278</v>
      </c>
      <c r="Q984" s="17" t="s">
        <v>31</v>
      </c>
      <c r="R984" s="5" t="str">
        <f aca="false">IF(OR(Q984="Steel plate",Q984="Concrete jacket"),"Steel plate or jacket",Q984)</f>
        <v>Polymer laminate</v>
      </c>
      <c r="S984" s="5" t="str">
        <f aca="false">IF(O984&lt;='Tree rules'!$C$4,IF(N984&lt;='Tree rules'!$C$5,IF(P984&lt;='Tree rules'!$C$6,"Monitor","Polymer laminate"),IF(P984&lt;='Tree rules'!$C$7,"Seal cracks","Polymer laminate")),IF(O984&lt;='Tree rules'!$C$8,IF(M984&lt;='Tree rules'!$C$9,"Steel plate or jacket","Polymer laminate"),IF(L984&lt;='Tree rules'!$C$10,"Steel plate or jacket","Polymer laminate")))</f>
        <v>Polymer laminate</v>
      </c>
      <c r="T984" s="5" t="str">
        <f aca="false">IF(S984=R984,"Yes","No")</f>
        <v>Yes</v>
      </c>
    </row>
    <row r="985" customFormat="false" ht="15" hidden="false" customHeight="false" outlineLevel="0" collapsed="false">
      <c r="A985" s="15" t="n">
        <v>1399</v>
      </c>
      <c r="B985" s="16" t="n">
        <v>4.75803333691081</v>
      </c>
      <c r="C985" s="15" t="n">
        <v>300</v>
      </c>
      <c r="D985" s="15" t="n">
        <v>450</v>
      </c>
      <c r="E985" s="15" t="n">
        <v>25</v>
      </c>
      <c r="F985" s="16" t="n">
        <v>0.829463406888394</v>
      </c>
      <c r="G985" s="17" t="s">
        <v>91</v>
      </c>
      <c r="H985" s="18" t="n">
        <v>0.2</v>
      </c>
      <c r="I985" s="18" t="n">
        <v>2</v>
      </c>
      <c r="J985" s="19" t="n">
        <v>0.910728768183615</v>
      </c>
      <c r="K985" s="19" t="n">
        <v>0.402916889596434</v>
      </c>
      <c r="L985" s="16" t="n">
        <v>11.7773102398782</v>
      </c>
      <c r="M985" s="19" t="n">
        <v>0.952601534552998</v>
      </c>
      <c r="N985" s="19" t="n">
        <v>1.40152553008107</v>
      </c>
      <c r="O985" s="19" t="n">
        <v>1.4545095338247</v>
      </c>
      <c r="P985" s="19" t="n">
        <v>0.482227027145874</v>
      </c>
      <c r="Q985" s="17" t="s">
        <v>92</v>
      </c>
      <c r="R985" s="5" t="str">
        <f aca="false">IF(OR(Q985="Steel plate",Q985="Concrete jacket"),"Steel plate or jacket",Q985)</f>
        <v>Steel plate or jacket</v>
      </c>
      <c r="S985" s="5" t="str">
        <f aca="false">IF(O985&lt;='Tree rules'!$C$4,IF(N985&lt;='Tree rules'!$C$5,IF(P985&lt;='Tree rules'!$C$6,"Monitor","Polymer laminate"),IF(P985&lt;='Tree rules'!$C$7,"Seal cracks","Polymer laminate")),IF(O985&lt;='Tree rules'!$C$8,IF(M985&lt;='Tree rules'!$C$9,"Steel plate or jacket","Polymer laminate"),IF(L985&lt;='Tree rules'!$C$10,"Steel plate or jacket","Polymer laminate")))</f>
        <v>Steel plate or jacket</v>
      </c>
      <c r="T985" s="5" t="str">
        <f aca="false">IF(S985=R985,"Yes","No")</f>
        <v>Yes</v>
      </c>
    </row>
    <row r="986" customFormat="false" ht="15" hidden="false" customHeight="false" outlineLevel="0" collapsed="false">
      <c r="A986" s="15" t="n">
        <v>1400</v>
      </c>
      <c r="B986" s="16" t="n">
        <v>3.03429072997445</v>
      </c>
      <c r="C986" s="15" t="n">
        <v>230</v>
      </c>
      <c r="D986" s="15" t="n">
        <v>300</v>
      </c>
      <c r="E986" s="15" t="n">
        <v>30</v>
      </c>
      <c r="F986" s="16" t="n">
        <v>0.768324290280112</v>
      </c>
      <c r="G986" s="17" t="s">
        <v>89</v>
      </c>
      <c r="H986" s="18" t="n">
        <v>0.3</v>
      </c>
      <c r="I986" s="18" t="n">
        <v>1</v>
      </c>
      <c r="J986" s="19" t="n">
        <v>0.885144159715972</v>
      </c>
      <c r="K986" s="19" t="n">
        <v>0.472189941281946</v>
      </c>
      <c r="L986" s="16" t="n">
        <v>11.8526981639627</v>
      </c>
      <c r="M986" s="19" t="n">
        <v>0.459755287263011</v>
      </c>
      <c r="N986" s="19" t="n">
        <v>0.619216321937892</v>
      </c>
      <c r="O986" s="19" t="n">
        <v>0.885144159715972</v>
      </c>
      <c r="P986" s="19" t="n">
        <v>0.555571958318378</v>
      </c>
      <c r="Q986" s="17" t="s">
        <v>29</v>
      </c>
      <c r="R986" s="5" t="str">
        <f aca="false">IF(OR(Q986="Steel plate",Q986="Concrete jacket"),"Steel plate or jacket",Q986)</f>
        <v>Monitor</v>
      </c>
      <c r="S986" s="5" t="str">
        <f aca="false">IF(O986&lt;='Tree rules'!$C$4,IF(N986&lt;='Tree rules'!$C$5,IF(P986&lt;='Tree rules'!$C$6,"Monitor","Polymer laminate"),IF(P986&lt;='Tree rules'!$C$7,"Seal cracks","Polymer laminate")),IF(O986&lt;='Tree rules'!$C$8,IF(M986&lt;='Tree rules'!$C$9,"Steel plate or jacket","Polymer laminate"),IF(L986&lt;='Tree rules'!$C$10,"Steel plate or jacket","Polymer laminate")))</f>
        <v>Monitor</v>
      </c>
      <c r="T986" s="5" t="str">
        <f aca="false">IF(S986=R986,"Yes","No")</f>
        <v>Yes</v>
      </c>
    </row>
    <row r="987" customFormat="false" ht="15" hidden="false" customHeight="false" outlineLevel="0" collapsed="false">
      <c r="A987" s="15" t="n">
        <v>1401</v>
      </c>
      <c r="B987" s="16" t="n">
        <v>4.09372794252764</v>
      </c>
      <c r="C987" s="15" t="n">
        <v>230</v>
      </c>
      <c r="D987" s="15" t="n">
        <v>350</v>
      </c>
      <c r="E987" s="15" t="n">
        <v>20</v>
      </c>
      <c r="F987" s="16" t="n">
        <v>0.575119936583944</v>
      </c>
      <c r="G987" s="17" t="s">
        <v>91</v>
      </c>
      <c r="H987" s="18" t="n">
        <v>0.2</v>
      </c>
      <c r="I987" s="18" t="n">
        <v>2</v>
      </c>
      <c r="J987" s="19" t="n">
        <v>0.902913178454546</v>
      </c>
      <c r="K987" s="19" t="n">
        <v>0.595684664756695</v>
      </c>
      <c r="L987" s="16" t="n">
        <v>13.466210337262</v>
      </c>
      <c r="M987" s="19" t="n">
        <v>0.740197177408041</v>
      </c>
      <c r="N987" s="19" t="n">
        <v>1.71912564938384</v>
      </c>
      <c r="O987" s="19" t="n">
        <v>1.26797482289699</v>
      </c>
      <c r="P987" s="19" t="n">
        <v>0.516758667284083</v>
      </c>
      <c r="Q987" s="17" t="s">
        <v>31</v>
      </c>
      <c r="R987" s="5" t="str">
        <f aca="false">IF(OR(Q987="Steel plate",Q987="Concrete jacket"),"Steel plate or jacket",Q987)</f>
        <v>Polymer laminate</v>
      </c>
      <c r="S987" s="5" t="str">
        <f aca="false">IF(O987&lt;='Tree rules'!$C$4,IF(N987&lt;='Tree rules'!$C$5,IF(P987&lt;='Tree rules'!$C$6,"Monitor","Polymer laminate"),IF(P987&lt;='Tree rules'!$C$7,"Seal cracks","Polymer laminate")),IF(O987&lt;='Tree rules'!$C$8,IF(M987&lt;='Tree rules'!$C$9,"Steel plate or jacket","Polymer laminate"),IF(L987&lt;='Tree rules'!$C$10,"Steel plate or jacket","Polymer laminate")))</f>
        <v>Polymer laminate</v>
      </c>
      <c r="T987" s="5" t="str">
        <f aca="false">IF(S987=R987,"Yes","No")</f>
        <v>Yes</v>
      </c>
    </row>
    <row r="988" customFormat="false" ht="15" hidden="false" customHeight="false" outlineLevel="0" collapsed="false">
      <c r="A988" s="15" t="n">
        <v>1402</v>
      </c>
      <c r="B988" s="16" t="n">
        <v>5.28686629699845</v>
      </c>
      <c r="C988" s="15" t="n">
        <v>230</v>
      </c>
      <c r="D988" s="15" t="n">
        <v>450</v>
      </c>
      <c r="E988" s="15" t="n">
        <v>20</v>
      </c>
      <c r="F988" s="16" t="n">
        <v>0.679557138998441</v>
      </c>
      <c r="G988" s="17" t="s">
        <v>89</v>
      </c>
      <c r="H988" s="18" t="n">
        <v>0.3</v>
      </c>
      <c r="I988" s="18" t="n">
        <v>1</v>
      </c>
      <c r="J988" s="19" t="n">
        <v>0.860797719162614</v>
      </c>
      <c r="K988" s="19" t="n">
        <v>0.610446548803777</v>
      </c>
      <c r="L988" s="16" t="n">
        <v>13.1514086990011</v>
      </c>
      <c r="M988" s="19" t="n">
        <v>0.947296678728903</v>
      </c>
      <c r="N988" s="19" t="n">
        <v>0.710627910448044</v>
      </c>
      <c r="O988" s="19" t="n">
        <v>0.860797719162614</v>
      </c>
      <c r="P988" s="19" t="n">
        <v>0.415381546234474</v>
      </c>
      <c r="Q988" s="17" t="s">
        <v>29</v>
      </c>
      <c r="R988" s="5" t="str">
        <f aca="false">IF(OR(Q988="Steel plate",Q988="Concrete jacket"),"Steel plate or jacket",Q988)</f>
        <v>Monitor</v>
      </c>
      <c r="S988" s="5" t="str">
        <f aca="false">IF(O988&lt;='Tree rules'!$C$4,IF(N988&lt;='Tree rules'!$C$5,IF(P988&lt;='Tree rules'!$C$6,"Monitor","Polymer laminate"),IF(P988&lt;='Tree rules'!$C$7,"Seal cracks","Polymer laminate")),IF(O988&lt;='Tree rules'!$C$8,IF(M988&lt;='Tree rules'!$C$9,"Steel plate or jacket","Polymer laminate"),IF(L988&lt;='Tree rules'!$C$10,"Steel plate or jacket","Polymer laminate")))</f>
        <v>Monitor</v>
      </c>
      <c r="T988" s="5" t="str">
        <f aca="false">IF(S988=R988,"Yes","No")</f>
        <v>Yes</v>
      </c>
    </row>
    <row r="989" customFormat="false" ht="15" hidden="false" customHeight="false" outlineLevel="0" collapsed="false">
      <c r="A989" s="15" t="n">
        <v>1403</v>
      </c>
      <c r="B989" s="16" t="n">
        <v>3.39953049735743</v>
      </c>
      <c r="C989" s="15" t="n">
        <v>300</v>
      </c>
      <c r="D989" s="15" t="n">
        <v>300</v>
      </c>
      <c r="E989" s="15" t="n">
        <v>20</v>
      </c>
      <c r="F989" s="16" t="n">
        <v>0.736310778185108</v>
      </c>
      <c r="G989" s="17" t="s">
        <v>91</v>
      </c>
      <c r="H989" s="18" t="n">
        <v>0.2</v>
      </c>
      <c r="I989" s="18" t="n">
        <v>1</v>
      </c>
      <c r="J989" s="19" t="n">
        <v>0.858653797566841</v>
      </c>
      <c r="K989" s="19" t="n">
        <v>0.5927827130499</v>
      </c>
      <c r="L989" s="16" t="n">
        <v>13.2794160053025</v>
      </c>
      <c r="M989" s="19" t="n">
        <v>0.515381499751507</v>
      </c>
      <c r="N989" s="19" t="n">
        <v>0.883818020966166</v>
      </c>
      <c r="O989" s="19" t="n">
        <v>0.858653797566841</v>
      </c>
      <c r="P989" s="19" t="n">
        <v>0.669650868325557</v>
      </c>
      <c r="Q989" s="17" t="s">
        <v>29</v>
      </c>
      <c r="R989" s="5" t="str">
        <f aca="false">IF(OR(Q989="Steel plate",Q989="Concrete jacket"),"Steel plate or jacket",Q989)</f>
        <v>Monitor</v>
      </c>
      <c r="S989" s="5" t="str">
        <f aca="false">IF(O989&lt;='Tree rules'!$C$4,IF(N989&lt;='Tree rules'!$C$5,IF(P989&lt;='Tree rules'!$C$6,"Monitor","Polymer laminate"),IF(P989&lt;='Tree rules'!$C$7,"Seal cracks","Polymer laminate")),IF(O989&lt;='Tree rules'!$C$8,IF(M989&lt;='Tree rules'!$C$9,"Steel plate or jacket","Polymer laminate"),IF(L989&lt;='Tree rules'!$C$10,"Steel plate or jacket","Polymer laminate")))</f>
        <v>Monitor</v>
      </c>
      <c r="T989" s="5" t="str">
        <f aca="false">IF(S989=R989,"Yes","No")</f>
        <v>Yes</v>
      </c>
    </row>
    <row r="990" customFormat="false" ht="15" hidden="false" customHeight="false" outlineLevel="0" collapsed="false">
      <c r="A990" s="15" t="n">
        <v>1406</v>
      </c>
      <c r="B990" s="16" t="n">
        <v>5.22216841360643</v>
      </c>
      <c r="C990" s="15" t="n">
        <v>230</v>
      </c>
      <c r="D990" s="15" t="n">
        <v>400</v>
      </c>
      <c r="E990" s="15" t="n">
        <v>25</v>
      </c>
      <c r="F990" s="16" t="n">
        <v>0.552502860426148</v>
      </c>
      <c r="G990" s="17" t="s">
        <v>89</v>
      </c>
      <c r="H990" s="18" t="n">
        <v>0.3</v>
      </c>
      <c r="I990" s="18" t="n">
        <v>2</v>
      </c>
      <c r="J990" s="19" t="n">
        <v>0.879898791491997</v>
      </c>
      <c r="K990" s="19" t="n">
        <v>0.49853611289061</v>
      </c>
      <c r="L990" s="16" t="n">
        <v>14.6690123977709</v>
      </c>
      <c r="M990" s="19" t="n">
        <v>0.434590239590203</v>
      </c>
      <c r="N990" s="19" t="n">
        <v>0.900337727576919</v>
      </c>
      <c r="O990" s="19" t="n">
        <v>1.32113625973643</v>
      </c>
      <c r="P990" s="19" t="n">
        <v>0.849000271461243</v>
      </c>
      <c r="Q990" s="17" t="s">
        <v>31</v>
      </c>
      <c r="R990" s="5" t="str">
        <f aca="false">IF(OR(Q990="Steel plate",Q990="Concrete jacket"),"Steel plate or jacket",Q990)</f>
        <v>Polymer laminate</v>
      </c>
      <c r="S990" s="5" t="str">
        <f aca="false">IF(O990&lt;='Tree rules'!$C$4,IF(N990&lt;='Tree rules'!$C$5,IF(P990&lt;='Tree rules'!$C$6,"Monitor","Polymer laminate"),IF(P990&lt;='Tree rules'!$C$7,"Seal cracks","Polymer laminate")),IF(O990&lt;='Tree rules'!$C$8,IF(M990&lt;='Tree rules'!$C$9,"Steel plate or jacket","Polymer laminate"),IF(L990&lt;='Tree rules'!$C$10,"Steel plate or jacket","Polymer laminate")))</f>
        <v>Polymer laminate</v>
      </c>
      <c r="T990" s="5" t="str">
        <f aca="false">IF(S990=R990,"Yes","No")</f>
        <v>Yes</v>
      </c>
    </row>
    <row r="991" customFormat="false" ht="15" hidden="false" customHeight="false" outlineLevel="0" collapsed="false">
      <c r="A991" s="15" t="n">
        <v>1407</v>
      </c>
      <c r="B991" s="16" t="n">
        <v>3.36628313819477</v>
      </c>
      <c r="C991" s="15" t="n">
        <v>300</v>
      </c>
      <c r="D991" s="15" t="n">
        <v>325</v>
      </c>
      <c r="E991" s="15" t="n">
        <v>20</v>
      </c>
      <c r="F991" s="16" t="n">
        <v>0.756099314943392</v>
      </c>
      <c r="G991" s="17" t="s">
        <v>89</v>
      </c>
      <c r="H991" s="18" t="n">
        <v>0.3</v>
      </c>
      <c r="I991" s="18" t="n">
        <v>2</v>
      </c>
      <c r="J991" s="19" t="n">
        <v>0.917922592182204</v>
      </c>
      <c r="K991" s="19" t="n">
        <v>0.646436747010993</v>
      </c>
      <c r="L991" s="16" t="n">
        <v>12.1526467082844</v>
      </c>
      <c r="M991" s="19" t="n">
        <v>0.645459554407447</v>
      </c>
      <c r="N991" s="19" t="n">
        <v>1.34132419949047</v>
      </c>
      <c r="O991" s="19" t="n">
        <v>1.24246628986625</v>
      </c>
      <c r="P991" s="19" t="n">
        <v>0.654318279890934</v>
      </c>
      <c r="Q991" s="17" t="s">
        <v>31</v>
      </c>
      <c r="R991" s="5" t="str">
        <f aca="false">IF(OR(Q991="Steel plate",Q991="Concrete jacket"),"Steel plate or jacket",Q991)</f>
        <v>Polymer laminate</v>
      </c>
      <c r="S991" s="5" t="str">
        <f aca="false">IF(O991&lt;='Tree rules'!$C$4,IF(N991&lt;='Tree rules'!$C$5,IF(P991&lt;='Tree rules'!$C$6,"Monitor","Polymer laminate"),IF(P991&lt;='Tree rules'!$C$7,"Seal cracks","Polymer laminate")),IF(O991&lt;='Tree rules'!$C$8,IF(M991&lt;='Tree rules'!$C$9,"Steel plate or jacket","Polymer laminate"),IF(L991&lt;='Tree rules'!$C$10,"Steel plate or jacket","Polymer laminate")))</f>
        <v>Polymer laminate</v>
      </c>
      <c r="T991" s="5" t="str">
        <f aca="false">IF(S991=R991,"Yes","No")</f>
        <v>Yes</v>
      </c>
    </row>
    <row r="992" customFormat="false" ht="15" hidden="false" customHeight="false" outlineLevel="0" collapsed="false">
      <c r="A992" s="15" t="n">
        <v>1408</v>
      </c>
      <c r="B992" s="16" t="n">
        <v>5.15037849610728</v>
      </c>
      <c r="C992" s="15" t="n">
        <v>230</v>
      </c>
      <c r="D992" s="15" t="n">
        <v>500</v>
      </c>
      <c r="E992" s="15" t="n">
        <v>25</v>
      </c>
      <c r="F992" s="16" t="n">
        <v>0.90657733366385</v>
      </c>
      <c r="G992" s="17" t="s">
        <v>89</v>
      </c>
      <c r="H992" s="18" t="n">
        <v>0.3</v>
      </c>
      <c r="I992" s="18" t="n">
        <v>1</v>
      </c>
      <c r="J992" s="19" t="n">
        <v>0.871845974802494</v>
      </c>
      <c r="K992" s="19" t="n">
        <v>0.467544661652053</v>
      </c>
      <c r="L992" s="16" t="n">
        <v>11.3946426905028</v>
      </c>
      <c r="M992" s="19" t="n">
        <v>0.455294448442592</v>
      </c>
      <c r="N992" s="19" t="n">
        <v>0.62541090673541</v>
      </c>
      <c r="O992" s="19" t="n">
        <v>0.871845974802494</v>
      </c>
      <c r="P992" s="19" t="n">
        <v>0.759570089614063</v>
      </c>
      <c r="Q992" s="17" t="s">
        <v>29</v>
      </c>
      <c r="R992" s="5" t="str">
        <f aca="false">IF(OR(Q992="Steel plate",Q992="Concrete jacket"),"Steel plate or jacket",Q992)</f>
        <v>Monitor</v>
      </c>
      <c r="S992" s="5" t="str">
        <f aca="false">IF(O992&lt;='Tree rules'!$C$4,IF(N992&lt;='Tree rules'!$C$5,IF(P992&lt;='Tree rules'!$C$6,"Monitor","Polymer laminate"),IF(P992&lt;='Tree rules'!$C$7,"Seal cracks","Polymer laminate")),IF(O992&lt;='Tree rules'!$C$8,IF(M992&lt;='Tree rules'!$C$9,"Steel plate or jacket","Polymer laminate"),IF(L992&lt;='Tree rules'!$C$10,"Steel plate or jacket","Polymer laminate")))</f>
        <v>Monitor</v>
      </c>
      <c r="T992" s="5" t="str">
        <f aca="false">IF(S992=R992,"Yes","No")</f>
        <v>Yes</v>
      </c>
    </row>
    <row r="993" customFormat="false" ht="15" hidden="false" customHeight="false" outlineLevel="0" collapsed="false">
      <c r="A993" s="15" t="n">
        <v>1410</v>
      </c>
      <c r="B993" s="16" t="n">
        <v>4.54865991257576</v>
      </c>
      <c r="C993" s="15" t="n">
        <v>230</v>
      </c>
      <c r="D993" s="15" t="n">
        <v>450</v>
      </c>
      <c r="E993" s="15" t="n">
        <v>25</v>
      </c>
      <c r="F993" s="16" t="n">
        <v>0.705896562990629</v>
      </c>
      <c r="G993" s="17" t="s">
        <v>90</v>
      </c>
      <c r="H993" s="18" t="n">
        <v>0.1</v>
      </c>
      <c r="I993" s="18" t="n">
        <v>1</v>
      </c>
      <c r="J993" s="19" t="n">
        <v>0.912714670972576</v>
      </c>
      <c r="K993" s="19" t="n">
        <v>0.562054459187019</v>
      </c>
      <c r="L993" s="16" t="n">
        <v>11.7536431849503</v>
      </c>
      <c r="M993" s="19" t="n">
        <v>0.796061112308807</v>
      </c>
      <c r="N993" s="19" t="n">
        <v>2.67703016433204</v>
      </c>
      <c r="O993" s="19" t="n">
        <v>0.912714670972576</v>
      </c>
      <c r="P993" s="19" t="n">
        <v>0.381078375811967</v>
      </c>
      <c r="Q993" s="17" t="s">
        <v>30</v>
      </c>
      <c r="R993" s="5" t="str">
        <f aca="false">IF(OR(Q993="Steel plate",Q993="Concrete jacket"),"Steel plate or jacket",Q993)</f>
        <v>Seal cracks</v>
      </c>
      <c r="S993" s="5" t="str">
        <f aca="false">IF(O993&lt;='Tree rules'!$C$4,IF(N993&lt;='Tree rules'!$C$5,IF(P993&lt;='Tree rules'!$C$6,"Monitor","Polymer laminate"),IF(P993&lt;='Tree rules'!$C$7,"Seal cracks","Polymer laminate")),IF(O993&lt;='Tree rules'!$C$8,IF(M993&lt;='Tree rules'!$C$9,"Steel plate or jacket","Polymer laminate"),IF(L993&lt;='Tree rules'!$C$10,"Steel plate or jacket","Polymer laminate")))</f>
        <v>Seal cracks</v>
      </c>
      <c r="T993" s="5" t="str">
        <f aca="false">IF(S993=R993,"Yes","No")</f>
        <v>Yes</v>
      </c>
    </row>
    <row r="994" customFormat="false" ht="15" hidden="false" customHeight="false" outlineLevel="0" collapsed="false">
      <c r="A994" s="15" t="n">
        <v>1411</v>
      </c>
      <c r="B994" s="16" t="n">
        <v>4.46933321945153</v>
      </c>
      <c r="C994" s="15" t="n">
        <v>300</v>
      </c>
      <c r="D994" s="15" t="n">
        <v>450</v>
      </c>
      <c r="E994" s="15" t="n">
        <v>30</v>
      </c>
      <c r="F994" s="16" t="n">
        <v>1.04198761313094</v>
      </c>
      <c r="G994" s="17" t="s">
        <v>91</v>
      </c>
      <c r="H994" s="18" t="n">
        <v>0.2</v>
      </c>
      <c r="I994" s="18" t="n">
        <v>1</v>
      </c>
      <c r="J994" s="19" t="n">
        <v>0.858075812321369</v>
      </c>
      <c r="K994" s="19" t="n">
        <v>0.463115186955005</v>
      </c>
      <c r="L994" s="16" t="n">
        <v>11.1177443269939</v>
      </c>
      <c r="M994" s="19" t="n">
        <v>0.689535368896938</v>
      </c>
      <c r="N994" s="19" t="n">
        <v>0.899897787817093</v>
      </c>
      <c r="O994" s="19" t="n">
        <v>0.858075812321369</v>
      </c>
      <c r="P994" s="19" t="n">
        <v>0.511517821715335</v>
      </c>
      <c r="Q994" s="17" t="s">
        <v>29</v>
      </c>
      <c r="R994" s="5" t="str">
        <f aca="false">IF(OR(Q994="Steel plate",Q994="Concrete jacket"),"Steel plate or jacket",Q994)</f>
        <v>Monitor</v>
      </c>
      <c r="S994" s="5" t="str">
        <f aca="false">IF(O994&lt;='Tree rules'!$C$4,IF(N994&lt;='Tree rules'!$C$5,IF(P994&lt;='Tree rules'!$C$6,"Monitor","Polymer laminate"),IF(P994&lt;='Tree rules'!$C$7,"Seal cracks","Polymer laminate")),IF(O994&lt;='Tree rules'!$C$8,IF(M994&lt;='Tree rules'!$C$9,"Steel plate or jacket","Polymer laminate"),IF(L994&lt;='Tree rules'!$C$10,"Steel plate or jacket","Polymer laminate")))</f>
        <v>Monitor</v>
      </c>
      <c r="T994" s="5" t="str">
        <f aca="false">IF(S994=R994,"Yes","No")</f>
        <v>Yes</v>
      </c>
    </row>
    <row r="995" customFormat="false" ht="15" hidden="false" customHeight="false" outlineLevel="0" collapsed="false">
      <c r="A995" s="15" t="n">
        <v>1412</v>
      </c>
      <c r="B995" s="16" t="n">
        <v>3.63269014586163</v>
      </c>
      <c r="C995" s="15" t="n">
        <v>300</v>
      </c>
      <c r="D995" s="15" t="n">
        <v>350</v>
      </c>
      <c r="E995" s="15" t="n">
        <v>25</v>
      </c>
      <c r="F995" s="16" t="n">
        <v>0.661387927071535</v>
      </c>
      <c r="G995" s="17" t="s">
        <v>91</v>
      </c>
      <c r="H995" s="18" t="n">
        <v>0.2</v>
      </c>
      <c r="I995" s="18" t="n">
        <v>2</v>
      </c>
      <c r="J995" s="19" t="n">
        <v>0.903460182178496</v>
      </c>
      <c r="K995" s="19" t="n">
        <v>0.622010849916743</v>
      </c>
      <c r="L995" s="16" t="n">
        <v>11.9496386377027</v>
      </c>
      <c r="M995" s="19" t="n">
        <v>0.818201142925612</v>
      </c>
      <c r="N995" s="19" t="n">
        <v>1.50302382889931</v>
      </c>
      <c r="O995" s="19" t="n">
        <v>1.24495832857421</v>
      </c>
      <c r="P995" s="19" t="n">
        <v>0.444991830738356</v>
      </c>
      <c r="Q995" s="17" t="s">
        <v>31</v>
      </c>
      <c r="R995" s="5" t="str">
        <f aca="false">IF(OR(Q995="Steel plate",Q995="Concrete jacket"),"Steel plate or jacket",Q995)</f>
        <v>Polymer laminate</v>
      </c>
      <c r="S995" s="5" t="str">
        <f aca="false">IF(O995&lt;='Tree rules'!$C$4,IF(N995&lt;='Tree rules'!$C$5,IF(P995&lt;='Tree rules'!$C$6,"Monitor","Polymer laminate"),IF(P995&lt;='Tree rules'!$C$7,"Seal cracks","Polymer laminate")),IF(O995&lt;='Tree rules'!$C$8,IF(M995&lt;='Tree rules'!$C$9,"Steel plate or jacket","Polymer laminate"),IF(L995&lt;='Tree rules'!$C$10,"Steel plate or jacket","Polymer laminate")))</f>
        <v>Polymer laminate</v>
      </c>
      <c r="T995" s="5" t="str">
        <f aca="false">IF(S995=R995,"Yes","No")</f>
        <v>Yes</v>
      </c>
    </row>
    <row r="996" customFormat="false" ht="15" hidden="false" customHeight="false" outlineLevel="0" collapsed="false">
      <c r="A996" s="15" t="n">
        <v>1414</v>
      </c>
      <c r="B996" s="16" t="n">
        <v>5.94794046181771</v>
      </c>
      <c r="C996" s="15" t="n">
        <v>230</v>
      </c>
      <c r="D996" s="15" t="n">
        <v>475</v>
      </c>
      <c r="E996" s="15" t="n">
        <v>30</v>
      </c>
      <c r="F996" s="16" t="n">
        <v>0.611316296229087</v>
      </c>
      <c r="G996" s="17" t="s">
        <v>91</v>
      </c>
      <c r="H996" s="18" t="n">
        <v>0.2</v>
      </c>
      <c r="I996" s="18" t="n">
        <v>1</v>
      </c>
      <c r="J996" s="19" t="n">
        <v>0.930987252785364</v>
      </c>
      <c r="K996" s="19" t="n">
        <v>0.526702537350878</v>
      </c>
      <c r="L996" s="16" t="n">
        <v>13.8646630811602</v>
      </c>
      <c r="M996" s="19" t="n">
        <v>0.886178550347167</v>
      </c>
      <c r="N996" s="19" t="n">
        <v>0.912789556727537</v>
      </c>
      <c r="O996" s="19" t="n">
        <v>0.930987252785364</v>
      </c>
      <c r="P996" s="19" t="n">
        <v>0.386189224379322</v>
      </c>
      <c r="Q996" s="17" t="s">
        <v>29</v>
      </c>
      <c r="R996" s="5" t="str">
        <f aca="false">IF(OR(Q996="Steel plate",Q996="Concrete jacket"),"Steel plate or jacket",Q996)</f>
        <v>Monitor</v>
      </c>
      <c r="S996" s="5" t="str">
        <f aca="false">IF(O996&lt;='Tree rules'!$C$4,IF(N996&lt;='Tree rules'!$C$5,IF(P996&lt;='Tree rules'!$C$6,"Monitor","Polymer laminate"),IF(P996&lt;='Tree rules'!$C$7,"Seal cracks","Polymer laminate")),IF(O996&lt;='Tree rules'!$C$8,IF(M996&lt;='Tree rules'!$C$9,"Steel plate or jacket","Polymer laminate"),IF(L996&lt;='Tree rules'!$C$10,"Steel plate or jacket","Polymer laminate")))</f>
        <v>Monitor</v>
      </c>
      <c r="T996" s="5" t="str">
        <f aca="false">IF(S996=R996,"Yes","No")</f>
        <v>Yes</v>
      </c>
    </row>
    <row r="997" customFormat="false" ht="15" hidden="false" customHeight="false" outlineLevel="0" collapsed="false">
      <c r="A997" s="15" t="n">
        <v>1415</v>
      </c>
      <c r="B997" s="16" t="n">
        <v>3.51461802503569</v>
      </c>
      <c r="C997" s="15" t="n">
        <v>300</v>
      </c>
      <c r="D997" s="15" t="n">
        <v>300</v>
      </c>
      <c r="E997" s="15" t="n">
        <v>25</v>
      </c>
      <c r="F997" s="16" t="n">
        <v>0.589048622548086</v>
      </c>
      <c r="G997" s="17" t="s">
        <v>91</v>
      </c>
      <c r="H997" s="18" t="n">
        <v>0.2</v>
      </c>
      <c r="I997" s="18" t="n">
        <v>2</v>
      </c>
      <c r="J997" s="19" t="n">
        <v>0.94919556242665</v>
      </c>
      <c r="K997" s="19" t="n">
        <v>0.602434252458497</v>
      </c>
      <c r="L997" s="16" t="n">
        <v>13.7289766602957</v>
      </c>
      <c r="M997" s="19" t="n">
        <v>0.949505291528839</v>
      </c>
      <c r="N997" s="19" t="n">
        <v>1.37127833960073</v>
      </c>
      <c r="O997" s="19" t="n">
        <v>1.32656320576588</v>
      </c>
      <c r="P997" s="19" t="n">
        <v>0.397059577501064</v>
      </c>
      <c r="Q997" s="17" t="s">
        <v>31</v>
      </c>
      <c r="R997" s="5" t="str">
        <f aca="false">IF(OR(Q997="Steel plate",Q997="Concrete jacket"),"Steel plate or jacket",Q997)</f>
        <v>Polymer laminate</v>
      </c>
      <c r="S997" s="5" t="str">
        <f aca="false">IF(O997&lt;='Tree rules'!$C$4,IF(N997&lt;='Tree rules'!$C$5,IF(P997&lt;='Tree rules'!$C$6,"Monitor","Polymer laminate"),IF(P997&lt;='Tree rules'!$C$7,"Seal cracks","Polymer laminate")),IF(O997&lt;='Tree rules'!$C$8,IF(M997&lt;='Tree rules'!$C$9,"Steel plate or jacket","Polymer laminate"),IF(L997&lt;='Tree rules'!$C$10,"Steel plate or jacket","Polymer laminate")))</f>
        <v>Polymer laminate</v>
      </c>
      <c r="T997" s="5" t="str">
        <f aca="false">IF(S997=R997,"Yes","No")</f>
        <v>Yes</v>
      </c>
    </row>
    <row r="998" customFormat="false" ht="15" hidden="false" customHeight="false" outlineLevel="0" collapsed="false">
      <c r="A998" s="15" t="n">
        <v>1416</v>
      </c>
      <c r="B998" s="16" t="n">
        <v>4.54483876997396</v>
      </c>
      <c r="C998" s="15" t="n">
        <v>300</v>
      </c>
      <c r="D998" s="15" t="n">
        <v>375</v>
      </c>
      <c r="E998" s="15" t="n">
        <v>25</v>
      </c>
      <c r="F998" s="16" t="n">
        <v>0.814840647739602</v>
      </c>
      <c r="G998" s="17" t="s">
        <v>91</v>
      </c>
      <c r="H998" s="18" t="n">
        <v>0.2</v>
      </c>
      <c r="I998" s="18" t="n">
        <v>1</v>
      </c>
      <c r="J998" s="19" t="n">
        <v>0.853309858322549</v>
      </c>
      <c r="K998" s="19" t="n">
        <v>0.517345408694341</v>
      </c>
      <c r="L998" s="16" t="n">
        <v>13.8140996047841</v>
      </c>
      <c r="M998" s="19" t="n">
        <v>0.559610388921581</v>
      </c>
      <c r="N998" s="19" t="n">
        <v>0.925736844703522</v>
      </c>
      <c r="O998" s="19" t="n">
        <v>0.853309858322549</v>
      </c>
      <c r="P998" s="19" t="n">
        <v>0.664830297330677</v>
      </c>
      <c r="Q998" s="17" t="s">
        <v>29</v>
      </c>
      <c r="R998" s="5" t="str">
        <f aca="false">IF(OR(Q998="Steel plate",Q998="Concrete jacket"),"Steel plate or jacket",Q998)</f>
        <v>Monitor</v>
      </c>
      <c r="S998" s="5" t="str">
        <f aca="false">IF(O998&lt;='Tree rules'!$C$4,IF(N998&lt;='Tree rules'!$C$5,IF(P998&lt;='Tree rules'!$C$6,"Monitor","Polymer laminate"),IF(P998&lt;='Tree rules'!$C$7,"Seal cracks","Polymer laminate")),IF(O998&lt;='Tree rules'!$C$8,IF(M998&lt;='Tree rules'!$C$9,"Steel plate or jacket","Polymer laminate"),IF(L998&lt;='Tree rules'!$C$10,"Steel plate or jacket","Polymer laminate")))</f>
        <v>Monitor</v>
      </c>
      <c r="T998" s="5" t="str">
        <f aca="false">IF(S998=R998,"Yes","No")</f>
        <v>Yes</v>
      </c>
    </row>
    <row r="999" customFormat="false" ht="15" hidden="false" customHeight="false" outlineLevel="0" collapsed="false">
      <c r="A999" s="15" t="n">
        <v>1417</v>
      </c>
      <c r="B999" s="16" t="n">
        <v>7.07826208155847</v>
      </c>
      <c r="C999" s="15" t="n">
        <v>300</v>
      </c>
      <c r="D999" s="15" t="n">
        <v>675</v>
      </c>
      <c r="E999" s="15" t="n">
        <v>25</v>
      </c>
      <c r="F999" s="16" t="n">
        <v>0.668068613203571</v>
      </c>
      <c r="G999" s="17" t="s">
        <v>91</v>
      </c>
      <c r="H999" s="18" t="n">
        <v>0.2</v>
      </c>
      <c r="I999" s="18" t="n">
        <v>1</v>
      </c>
      <c r="J999" s="19" t="n">
        <v>0.899093921499214</v>
      </c>
      <c r="K999" s="19" t="n">
        <v>0.646208443343454</v>
      </c>
      <c r="L999" s="16" t="n">
        <v>11.2890942289609</v>
      </c>
      <c r="M999" s="19" t="n">
        <v>0.816838710277419</v>
      </c>
      <c r="N999" s="19" t="n">
        <v>0.868732515371131</v>
      </c>
      <c r="O999" s="19" t="n">
        <v>0.899093921499214</v>
      </c>
      <c r="P999" s="19" t="n">
        <v>0.445140610565737</v>
      </c>
      <c r="Q999" s="17" t="s">
        <v>29</v>
      </c>
      <c r="R999" s="5" t="str">
        <f aca="false">IF(OR(Q999="Steel plate",Q999="Concrete jacket"),"Steel plate or jacket",Q999)</f>
        <v>Monitor</v>
      </c>
      <c r="S999" s="5" t="str">
        <f aca="false">IF(O999&lt;='Tree rules'!$C$4,IF(N999&lt;='Tree rules'!$C$5,IF(P999&lt;='Tree rules'!$C$6,"Monitor","Polymer laminate"),IF(P999&lt;='Tree rules'!$C$7,"Seal cracks","Polymer laminate")),IF(O999&lt;='Tree rules'!$C$8,IF(M999&lt;='Tree rules'!$C$9,"Steel plate or jacket","Polymer laminate"),IF(L999&lt;='Tree rules'!$C$10,"Steel plate or jacket","Polymer laminate")))</f>
        <v>Monitor</v>
      </c>
      <c r="T999" s="5" t="str">
        <f aca="false">IF(S999=R999,"Yes","No")</f>
        <v>Yes</v>
      </c>
    </row>
    <row r="1000" customFormat="false" ht="15" hidden="false" customHeight="false" outlineLevel="0" collapsed="false">
      <c r="A1000" s="15" t="n">
        <v>1419</v>
      </c>
      <c r="B1000" s="16" t="n">
        <v>3.73447103889209</v>
      </c>
      <c r="C1000" s="15" t="n">
        <v>300</v>
      </c>
      <c r="D1000" s="15" t="n">
        <v>325</v>
      </c>
      <c r="E1000" s="15" t="n">
        <v>25</v>
      </c>
      <c r="F1000" s="16" t="n">
        <v>0.799387443661525</v>
      </c>
      <c r="G1000" s="17" t="s">
        <v>90</v>
      </c>
      <c r="H1000" s="18" t="n">
        <v>0.1</v>
      </c>
      <c r="I1000" s="18" t="n">
        <v>1</v>
      </c>
      <c r="J1000" s="19" t="n">
        <v>0.87724587058514</v>
      </c>
      <c r="K1000" s="19" t="n">
        <v>0.496316849241144</v>
      </c>
      <c r="L1000" s="16" t="n">
        <v>14.2537062553133</v>
      </c>
      <c r="M1000" s="19" t="n">
        <v>0.728134573543126</v>
      </c>
      <c r="N1000" s="19" t="n">
        <v>3.09013626797505</v>
      </c>
      <c r="O1000" s="19" t="n">
        <v>0.87724587058514</v>
      </c>
      <c r="P1000" s="19" t="n">
        <v>0.425925683100312</v>
      </c>
      <c r="Q1000" s="17" t="s">
        <v>30</v>
      </c>
      <c r="R1000" s="5" t="str">
        <f aca="false">IF(OR(Q1000="Steel plate",Q1000="Concrete jacket"),"Steel plate or jacket",Q1000)</f>
        <v>Seal cracks</v>
      </c>
      <c r="S1000" s="5" t="str">
        <f aca="false">IF(O1000&lt;='Tree rules'!$C$4,IF(N1000&lt;='Tree rules'!$C$5,IF(P1000&lt;='Tree rules'!$C$6,"Monitor","Polymer laminate"),IF(P1000&lt;='Tree rules'!$C$7,"Seal cracks","Polymer laminate")),IF(O1000&lt;='Tree rules'!$C$8,IF(M1000&lt;='Tree rules'!$C$9,"Steel plate or jacket","Polymer laminate"),IF(L1000&lt;='Tree rules'!$C$10,"Steel plate or jacket","Polymer laminate")))</f>
        <v>Seal cracks</v>
      </c>
      <c r="T1000" s="5" t="str">
        <f aca="false">IF(S1000=R1000,"Yes","No")</f>
        <v>Yes</v>
      </c>
    </row>
    <row r="1001" customFormat="false" ht="15" hidden="false" customHeight="false" outlineLevel="0" collapsed="false">
      <c r="A1001" s="15" t="n">
        <v>1421</v>
      </c>
      <c r="B1001" s="16" t="n">
        <v>4.43333440529726</v>
      </c>
      <c r="C1001" s="15" t="n">
        <v>230</v>
      </c>
      <c r="D1001" s="15" t="n">
        <v>425</v>
      </c>
      <c r="E1001" s="15" t="n">
        <v>30</v>
      </c>
      <c r="F1001" s="16" t="n">
        <v>0.922619845496142</v>
      </c>
      <c r="G1001" s="17" t="s">
        <v>89</v>
      </c>
      <c r="H1001" s="18" t="n">
        <v>0.3</v>
      </c>
      <c r="I1001" s="18" t="n">
        <v>2</v>
      </c>
      <c r="J1001" s="19" t="n">
        <v>0.863997275541452</v>
      </c>
      <c r="K1001" s="19" t="n">
        <v>0.48428133868851</v>
      </c>
      <c r="L1001" s="16" t="n">
        <v>11.697452256721</v>
      </c>
      <c r="M1001" s="19" t="n">
        <v>0.607177213778785</v>
      </c>
      <c r="N1001" s="19" t="n">
        <v>0.880068626164381</v>
      </c>
      <c r="O1001" s="19" t="n">
        <v>1.30957679386046</v>
      </c>
      <c r="P1001" s="19" t="n">
        <v>0.706282661520095</v>
      </c>
      <c r="Q1001" s="17" t="s">
        <v>31</v>
      </c>
      <c r="R1001" s="5" t="str">
        <f aca="false">IF(OR(Q1001="Steel plate",Q1001="Concrete jacket"),"Steel plate or jacket",Q1001)</f>
        <v>Polymer laminate</v>
      </c>
      <c r="S1001" s="5" t="str">
        <f aca="false">IF(O1001&lt;='Tree rules'!$C$4,IF(N1001&lt;='Tree rules'!$C$5,IF(P1001&lt;='Tree rules'!$C$6,"Monitor","Polymer laminate"),IF(P1001&lt;='Tree rules'!$C$7,"Seal cracks","Polymer laminate")),IF(O1001&lt;='Tree rules'!$C$8,IF(M1001&lt;='Tree rules'!$C$9,"Steel plate or jacket","Polymer laminate"),IF(L1001&lt;='Tree rules'!$C$10,"Steel plate or jacket","Polymer laminate")))</f>
        <v>Steel plate or jacket</v>
      </c>
      <c r="T1001" s="5" t="str">
        <f aca="false">IF(S1001=R1001,"Yes","No")</f>
        <v>No</v>
      </c>
    </row>
    <row r="1002" customFormat="false" ht="15" hidden="false" customHeight="false" outlineLevel="0" collapsed="false">
      <c r="A1002" s="15" t="n">
        <v>1422</v>
      </c>
      <c r="B1002" s="16" t="n">
        <v>3.35944382539344</v>
      </c>
      <c r="C1002" s="15" t="n">
        <v>230</v>
      </c>
      <c r="D1002" s="15" t="n">
        <v>325</v>
      </c>
      <c r="E1002" s="15" t="n">
        <v>20</v>
      </c>
      <c r="F1002" s="16" t="n">
        <v>0.662259320914844</v>
      </c>
      <c r="G1002" s="17" t="s">
        <v>90</v>
      </c>
      <c r="H1002" s="18" t="n">
        <v>0.1</v>
      </c>
      <c r="I1002" s="18" t="n">
        <v>1.5</v>
      </c>
      <c r="J1002" s="19" t="n">
        <v>0.953681598928786</v>
      </c>
      <c r="K1002" s="19" t="n">
        <v>0.522669907287656</v>
      </c>
      <c r="L1002" s="16" t="n">
        <v>12.7251660052782</v>
      </c>
      <c r="M1002" s="19" t="n">
        <v>0.596991396161155</v>
      </c>
      <c r="N1002" s="19" t="n">
        <v>3.75019031904788</v>
      </c>
      <c r="O1002" s="19" t="n">
        <v>1.18129206194615</v>
      </c>
      <c r="P1002" s="19" t="n">
        <v>0.516490437312904</v>
      </c>
      <c r="Q1002" s="17" t="s">
        <v>31</v>
      </c>
      <c r="R1002" s="5" t="str">
        <f aca="false">IF(OR(Q1002="Steel plate",Q1002="Concrete jacket"),"Steel plate or jacket",Q1002)</f>
        <v>Polymer laminate</v>
      </c>
      <c r="S1002" s="5" t="str">
        <f aca="false">IF(O1002&lt;='Tree rules'!$C$4,IF(N1002&lt;='Tree rules'!$C$5,IF(P1002&lt;='Tree rules'!$C$6,"Monitor","Polymer laminate"),IF(P1002&lt;='Tree rules'!$C$7,"Seal cracks","Polymer laminate")),IF(O1002&lt;='Tree rules'!$C$8,IF(M1002&lt;='Tree rules'!$C$9,"Steel plate or jacket","Polymer laminate"),IF(L1002&lt;='Tree rules'!$C$10,"Steel plate or jacket","Polymer laminate")))</f>
        <v>Polymer laminate</v>
      </c>
      <c r="T1002" s="5" t="str">
        <f aca="false">IF(S1002=R1002,"Yes","No")</f>
        <v>Yes</v>
      </c>
    </row>
    <row r="1003" customFormat="false" ht="15" hidden="false" customHeight="false" outlineLevel="0" collapsed="false">
      <c r="A1003" s="15" t="n">
        <v>1424</v>
      </c>
      <c r="B1003" s="16" t="n">
        <v>3.03750014857999</v>
      </c>
      <c r="C1003" s="15" t="n">
        <v>300</v>
      </c>
      <c r="D1003" s="15" t="n">
        <v>300</v>
      </c>
      <c r="E1003" s="15" t="n">
        <v>20</v>
      </c>
      <c r="F1003" s="16" t="n">
        <v>0.736310778185108</v>
      </c>
      <c r="G1003" s="17" t="s">
        <v>91</v>
      </c>
      <c r="H1003" s="18" t="n">
        <v>0.2</v>
      </c>
      <c r="I1003" s="18" t="n">
        <v>1</v>
      </c>
      <c r="J1003" s="19" t="n">
        <v>0.87800693312006</v>
      </c>
      <c r="K1003" s="19" t="n">
        <v>0.488590285195617</v>
      </c>
      <c r="L1003" s="16" t="n">
        <v>11.8652349553906</v>
      </c>
      <c r="M1003" s="19" t="n">
        <v>0.871379537076906</v>
      </c>
      <c r="N1003" s="19" t="n">
        <v>0.824233269930564</v>
      </c>
      <c r="O1003" s="19" t="n">
        <v>0.87800693312006</v>
      </c>
      <c r="P1003" s="19" t="n">
        <v>0.349835333961695</v>
      </c>
      <c r="Q1003" s="17" t="s">
        <v>29</v>
      </c>
      <c r="R1003" s="5" t="str">
        <f aca="false">IF(OR(Q1003="Steel plate",Q1003="Concrete jacket"),"Steel plate or jacket",Q1003)</f>
        <v>Monitor</v>
      </c>
      <c r="S1003" s="5" t="str">
        <f aca="false">IF(O1003&lt;='Tree rules'!$C$4,IF(N1003&lt;='Tree rules'!$C$5,IF(P1003&lt;='Tree rules'!$C$6,"Monitor","Polymer laminate"),IF(P1003&lt;='Tree rules'!$C$7,"Seal cracks","Polymer laminate")),IF(O1003&lt;='Tree rules'!$C$8,IF(M1003&lt;='Tree rules'!$C$9,"Steel plate or jacket","Polymer laminate"),IF(L1003&lt;='Tree rules'!$C$10,"Steel plate or jacket","Polymer laminate")))</f>
        <v>Monitor</v>
      </c>
      <c r="T1003" s="5" t="str">
        <f aca="false">IF(S1003=R1003,"Yes","No")</f>
        <v>Yes</v>
      </c>
    </row>
    <row r="1004" customFormat="false" ht="15" hidden="false" customHeight="false" outlineLevel="0" collapsed="false">
      <c r="A1004" s="15" t="n">
        <v>1425</v>
      </c>
      <c r="B1004" s="16" t="n">
        <v>7.07821982302367</v>
      </c>
      <c r="C1004" s="15" t="n">
        <v>300</v>
      </c>
      <c r="D1004" s="15" t="n">
        <v>550</v>
      </c>
      <c r="E1004" s="15" t="n">
        <v>30</v>
      </c>
      <c r="F1004" s="16" t="n">
        <v>0.625815269639401</v>
      </c>
      <c r="G1004" s="17" t="s">
        <v>91</v>
      </c>
      <c r="H1004" s="18" t="n">
        <v>0.2</v>
      </c>
      <c r="I1004" s="18" t="n">
        <v>1</v>
      </c>
      <c r="J1004" s="19" t="n">
        <v>0.932436803933328</v>
      </c>
      <c r="K1004" s="19" t="n">
        <v>0.560328431299837</v>
      </c>
      <c r="L1004" s="16" t="n">
        <v>14.100039488095</v>
      </c>
      <c r="M1004" s="19" t="n">
        <v>0.844504406837274</v>
      </c>
      <c r="N1004" s="19" t="n">
        <v>1.07096793397112</v>
      </c>
      <c r="O1004" s="19" t="n">
        <v>0.932436803933328</v>
      </c>
      <c r="P1004" s="19" t="n">
        <v>0.448390248633455</v>
      </c>
      <c r="Q1004" s="17" t="s">
        <v>30</v>
      </c>
      <c r="R1004" s="5" t="str">
        <f aca="false">IF(OR(Q1004="Steel plate",Q1004="Concrete jacket"),"Steel plate or jacket",Q1004)</f>
        <v>Seal cracks</v>
      </c>
      <c r="S1004" s="5" t="str">
        <f aca="false">IF(O1004&lt;='Tree rules'!$C$4,IF(N1004&lt;='Tree rules'!$C$5,IF(P1004&lt;='Tree rules'!$C$6,"Monitor","Polymer laminate"),IF(P1004&lt;='Tree rules'!$C$7,"Seal cracks","Polymer laminate")),IF(O1004&lt;='Tree rules'!$C$8,IF(M1004&lt;='Tree rules'!$C$9,"Steel plate or jacket","Polymer laminate"),IF(L1004&lt;='Tree rules'!$C$10,"Steel plate or jacket","Polymer laminate")))</f>
        <v>Seal cracks</v>
      </c>
      <c r="T1004" s="5" t="str">
        <f aca="false">IF(S1004=R1004,"Yes","No")</f>
        <v>Yes</v>
      </c>
    </row>
    <row r="1005" customFormat="false" ht="15" hidden="false" customHeight="false" outlineLevel="0" collapsed="false">
      <c r="A1005" s="15" t="n">
        <v>1426</v>
      </c>
      <c r="B1005" s="16" t="n">
        <v>4.87261218508677</v>
      </c>
      <c r="C1005" s="15" t="n">
        <v>300</v>
      </c>
      <c r="D1005" s="15" t="n">
        <v>450</v>
      </c>
      <c r="E1005" s="15" t="n">
        <v>30</v>
      </c>
      <c r="F1005" s="16" t="n">
        <v>0.781490709848207</v>
      </c>
      <c r="G1005" s="17" t="s">
        <v>89</v>
      </c>
      <c r="H1005" s="18" t="n">
        <v>0.3</v>
      </c>
      <c r="I1005" s="18" t="n">
        <v>1</v>
      </c>
      <c r="J1005" s="19" t="n">
        <v>0.938263153509592</v>
      </c>
      <c r="K1005" s="19" t="n">
        <v>0.514712500054236</v>
      </c>
      <c r="L1005" s="16" t="n">
        <v>12.1209258335492</v>
      </c>
      <c r="M1005" s="19" t="n">
        <v>0.581472726631236</v>
      </c>
      <c r="N1005" s="19" t="n">
        <v>0.779895951835873</v>
      </c>
      <c r="O1005" s="19" t="n">
        <v>0.938263153509592</v>
      </c>
      <c r="P1005" s="19" t="n">
        <v>0.589328863552564</v>
      </c>
      <c r="Q1005" s="17" t="s">
        <v>29</v>
      </c>
      <c r="R1005" s="5" t="str">
        <f aca="false">IF(OR(Q1005="Steel plate",Q1005="Concrete jacket"),"Steel plate or jacket",Q1005)</f>
        <v>Monitor</v>
      </c>
      <c r="S1005" s="5" t="str">
        <f aca="false">IF(O1005&lt;='Tree rules'!$C$4,IF(N1005&lt;='Tree rules'!$C$5,IF(P1005&lt;='Tree rules'!$C$6,"Monitor","Polymer laminate"),IF(P1005&lt;='Tree rules'!$C$7,"Seal cracks","Polymer laminate")),IF(O1005&lt;='Tree rules'!$C$8,IF(M1005&lt;='Tree rules'!$C$9,"Steel plate or jacket","Polymer laminate"),IF(L1005&lt;='Tree rules'!$C$10,"Steel plate or jacket","Polymer laminate")))</f>
        <v>Monitor</v>
      </c>
      <c r="T1005" s="5" t="str">
        <f aca="false">IF(S1005=R1005,"Yes","No")</f>
        <v>Yes</v>
      </c>
    </row>
    <row r="1006" customFormat="false" ht="15" hidden="false" customHeight="false" outlineLevel="0" collapsed="false">
      <c r="A1006" s="15" t="n">
        <v>1427</v>
      </c>
      <c r="B1006" s="16" t="n">
        <v>3.88491016593261</v>
      </c>
      <c r="C1006" s="15" t="n">
        <v>300</v>
      </c>
      <c r="D1006" s="15" t="n">
        <v>375</v>
      </c>
      <c r="E1006" s="15" t="n">
        <v>25</v>
      </c>
      <c r="F1006" s="16" t="n">
        <v>0.640487798897002</v>
      </c>
      <c r="G1006" s="17" t="s">
        <v>89</v>
      </c>
      <c r="H1006" s="18" t="n">
        <v>0.3</v>
      </c>
      <c r="I1006" s="18" t="n">
        <v>1</v>
      </c>
      <c r="J1006" s="19" t="n">
        <v>0.853867790413335</v>
      </c>
      <c r="K1006" s="19" t="n">
        <v>0.545898366455875</v>
      </c>
      <c r="L1006" s="16" t="n">
        <v>11.8804592230355</v>
      </c>
      <c r="M1006" s="19" t="n">
        <v>0.865274400628876</v>
      </c>
      <c r="N1006" s="19" t="n">
        <v>0.864823091721995</v>
      </c>
      <c r="O1006" s="19" t="n">
        <v>0.853867790413335</v>
      </c>
      <c r="P1006" s="19" t="n">
        <v>0.320608615636729</v>
      </c>
      <c r="Q1006" s="17" t="s">
        <v>29</v>
      </c>
      <c r="R1006" s="5" t="str">
        <f aca="false">IF(OR(Q1006="Steel plate",Q1006="Concrete jacket"),"Steel plate or jacket",Q1006)</f>
        <v>Monitor</v>
      </c>
      <c r="S1006" s="5" t="str">
        <f aca="false">IF(O1006&lt;='Tree rules'!$C$4,IF(N1006&lt;='Tree rules'!$C$5,IF(P1006&lt;='Tree rules'!$C$6,"Monitor","Polymer laminate"),IF(P1006&lt;='Tree rules'!$C$7,"Seal cracks","Polymer laminate")),IF(O1006&lt;='Tree rules'!$C$8,IF(M1006&lt;='Tree rules'!$C$9,"Steel plate or jacket","Polymer laminate"),IF(L1006&lt;='Tree rules'!$C$10,"Steel plate or jacket","Polymer laminate")))</f>
        <v>Monitor</v>
      </c>
      <c r="T1006" s="5" t="str">
        <f aca="false">IF(S1006=R1006,"Yes","No")</f>
        <v>Yes</v>
      </c>
    </row>
    <row r="1007" customFormat="false" ht="15" hidden="false" customHeight="false" outlineLevel="0" collapsed="false">
      <c r="A1007" s="15" t="n">
        <v>1428</v>
      </c>
      <c r="B1007" s="16" t="n">
        <v>3.98308763241835</v>
      </c>
      <c r="C1007" s="15" t="n">
        <v>300</v>
      </c>
      <c r="D1007" s="15" t="n">
        <v>375</v>
      </c>
      <c r="E1007" s="15" t="n">
        <v>25</v>
      </c>
      <c r="F1007" s="16" t="n">
        <v>0.640487798897002</v>
      </c>
      <c r="G1007" s="17" t="s">
        <v>91</v>
      </c>
      <c r="H1007" s="18" t="n">
        <v>0.2</v>
      </c>
      <c r="I1007" s="18" t="n">
        <v>2</v>
      </c>
      <c r="J1007" s="19" t="n">
        <v>0.98700383352735</v>
      </c>
      <c r="K1007" s="19" t="n">
        <v>0.519137247477966</v>
      </c>
      <c r="L1007" s="16" t="n">
        <v>12.1806961236035</v>
      </c>
      <c r="M1007" s="19" t="n">
        <v>0.698884202547428</v>
      </c>
      <c r="N1007" s="19" t="n">
        <v>2.46571120492873</v>
      </c>
      <c r="O1007" s="19" t="n">
        <v>1.46161721366711</v>
      </c>
      <c r="P1007" s="19" t="n">
        <v>0.547467005008741</v>
      </c>
      <c r="Q1007" s="17" t="s">
        <v>31</v>
      </c>
      <c r="R1007" s="5" t="str">
        <f aca="false">IF(OR(Q1007="Steel plate",Q1007="Concrete jacket"),"Steel plate or jacket",Q1007)</f>
        <v>Polymer laminate</v>
      </c>
      <c r="S1007" s="5" t="str">
        <f aca="false">IF(O1007&lt;='Tree rules'!$C$4,IF(N1007&lt;='Tree rules'!$C$5,IF(P1007&lt;='Tree rules'!$C$6,"Monitor","Polymer laminate"),IF(P1007&lt;='Tree rules'!$C$7,"Seal cracks","Polymer laminate")),IF(O1007&lt;='Tree rules'!$C$8,IF(M1007&lt;='Tree rules'!$C$9,"Steel plate or jacket","Polymer laminate"),IF(L1007&lt;='Tree rules'!$C$10,"Steel plate or jacket","Polymer laminate")))</f>
        <v>Steel plate or jacket</v>
      </c>
      <c r="T1007" s="5" t="str">
        <f aca="false">IF(S1007=R1007,"Yes","No")</f>
        <v>No</v>
      </c>
    </row>
    <row r="1008" customFormat="false" ht="15" hidden="false" customHeight="false" outlineLevel="0" collapsed="false">
      <c r="A1008" s="15" t="n">
        <v>1429</v>
      </c>
      <c r="B1008" s="16" t="n">
        <v>5.80928673421312</v>
      </c>
      <c r="C1008" s="15" t="n">
        <v>300</v>
      </c>
      <c r="D1008" s="15" t="n">
        <v>500</v>
      </c>
      <c r="E1008" s="15" t="n">
        <v>25</v>
      </c>
      <c r="F1008" s="16" t="n">
        <v>0.590490249132883</v>
      </c>
      <c r="G1008" s="17" t="s">
        <v>89</v>
      </c>
      <c r="H1008" s="18" t="n">
        <v>0.3</v>
      </c>
      <c r="I1008" s="18" t="n">
        <v>1</v>
      </c>
      <c r="J1008" s="19" t="n">
        <v>0.869610577629764</v>
      </c>
      <c r="K1008" s="19" t="n">
        <v>0.505257024725932</v>
      </c>
      <c r="L1008" s="16" t="n">
        <v>12.7957857581787</v>
      </c>
      <c r="M1008" s="19" t="n">
        <v>0.926842127696832</v>
      </c>
      <c r="N1008" s="19" t="n">
        <v>0.544410582774294</v>
      </c>
      <c r="O1008" s="19" t="n">
        <v>0.869610577629764</v>
      </c>
      <c r="P1008" s="19" t="n">
        <v>0.337456297026192</v>
      </c>
      <c r="Q1008" s="17" t="s">
        <v>29</v>
      </c>
      <c r="R1008" s="5" t="str">
        <f aca="false">IF(OR(Q1008="Steel plate",Q1008="Concrete jacket"),"Steel plate or jacket",Q1008)</f>
        <v>Monitor</v>
      </c>
      <c r="S1008" s="5" t="str">
        <f aca="false">IF(O1008&lt;='Tree rules'!$C$4,IF(N1008&lt;='Tree rules'!$C$5,IF(P1008&lt;='Tree rules'!$C$6,"Monitor","Polymer laminate"),IF(P1008&lt;='Tree rules'!$C$7,"Seal cracks","Polymer laminate")),IF(O1008&lt;='Tree rules'!$C$8,IF(M1008&lt;='Tree rules'!$C$9,"Steel plate or jacket","Polymer laminate"),IF(L1008&lt;='Tree rules'!$C$10,"Steel plate or jacket","Polymer laminate")))</f>
        <v>Monitor</v>
      </c>
      <c r="T1008" s="5" t="str">
        <f aca="false">IF(S1008=R1008,"Yes","No")</f>
        <v>Yes</v>
      </c>
    </row>
    <row r="1009" customFormat="false" ht="15" hidden="false" customHeight="false" outlineLevel="0" collapsed="false">
      <c r="A1009" s="15" t="n">
        <v>1430</v>
      </c>
      <c r="B1009" s="16" t="n">
        <v>4.07257788518523</v>
      </c>
      <c r="C1009" s="15" t="n">
        <v>230</v>
      </c>
      <c r="D1009" s="15" t="n">
        <v>325</v>
      </c>
      <c r="E1009" s="15" t="n">
        <v>20</v>
      </c>
      <c r="F1009" s="16" t="n">
        <v>0.662259320914844</v>
      </c>
      <c r="G1009" s="17" t="s">
        <v>90</v>
      </c>
      <c r="H1009" s="18" t="n">
        <v>0.1</v>
      </c>
      <c r="I1009" s="18" t="n">
        <v>1</v>
      </c>
      <c r="J1009" s="19" t="n">
        <v>0.894507253412346</v>
      </c>
      <c r="K1009" s="19" t="n">
        <v>0.42173531240966</v>
      </c>
      <c r="L1009" s="16" t="n">
        <v>15.4264313832774</v>
      </c>
      <c r="M1009" s="19" t="n">
        <v>0.945167984770079</v>
      </c>
      <c r="N1009" s="19" t="n">
        <v>2.48880745403171</v>
      </c>
      <c r="O1009" s="19" t="n">
        <v>0.894507253412346</v>
      </c>
      <c r="P1009" s="19" t="n">
        <v>0.32129091215439</v>
      </c>
      <c r="Q1009" s="17" t="s">
        <v>30</v>
      </c>
      <c r="R1009" s="5" t="str">
        <f aca="false">IF(OR(Q1009="Steel plate",Q1009="Concrete jacket"),"Steel plate or jacket",Q1009)</f>
        <v>Seal cracks</v>
      </c>
      <c r="S1009" s="5" t="str">
        <f aca="false">IF(O1009&lt;='Tree rules'!$C$4,IF(N1009&lt;='Tree rules'!$C$5,IF(P1009&lt;='Tree rules'!$C$6,"Monitor","Polymer laminate"),IF(P1009&lt;='Tree rules'!$C$7,"Seal cracks","Polymer laminate")),IF(O1009&lt;='Tree rules'!$C$8,IF(M1009&lt;='Tree rules'!$C$9,"Steel plate or jacket","Polymer laminate"),IF(L1009&lt;='Tree rules'!$C$10,"Steel plate or jacket","Polymer laminate")))</f>
        <v>Seal cracks</v>
      </c>
      <c r="T1009" s="5" t="str">
        <f aca="false">IF(S1009=R1009,"Yes","No")</f>
        <v>Yes</v>
      </c>
    </row>
    <row r="1010" customFormat="false" ht="15" hidden="false" customHeight="false" outlineLevel="0" collapsed="false">
      <c r="A1010" s="15" t="n">
        <v>1432</v>
      </c>
      <c r="B1010" s="16" t="n">
        <v>6.2199591370829</v>
      </c>
      <c r="C1010" s="15" t="n">
        <v>300</v>
      </c>
      <c r="D1010" s="15" t="n">
        <v>625</v>
      </c>
      <c r="E1010" s="15" t="n">
        <v>25</v>
      </c>
      <c r="F1010" s="16" t="n">
        <v>0.694514438099298</v>
      </c>
      <c r="G1010" s="17" t="s">
        <v>89</v>
      </c>
      <c r="H1010" s="18" t="n">
        <v>0.3</v>
      </c>
      <c r="I1010" s="18" t="n">
        <v>2</v>
      </c>
      <c r="J1010" s="19" t="n">
        <v>0.972555233224114</v>
      </c>
      <c r="K1010" s="19" t="n">
        <v>0.51464699252658</v>
      </c>
      <c r="L1010" s="16" t="n">
        <v>10.7425891832175</v>
      </c>
      <c r="M1010" s="19" t="n">
        <v>0.912185419254857</v>
      </c>
      <c r="N1010" s="19" t="n">
        <v>0.863346633544406</v>
      </c>
      <c r="O1010" s="19" t="n">
        <v>1.44458784060345</v>
      </c>
      <c r="P1010" s="19" t="n">
        <v>0.471404309004965</v>
      </c>
      <c r="Q1010" s="17" t="s">
        <v>92</v>
      </c>
      <c r="R1010" s="5" t="str">
        <f aca="false">IF(OR(Q1010="Steel plate",Q1010="Concrete jacket"),"Steel plate or jacket",Q1010)</f>
        <v>Steel plate or jacket</v>
      </c>
      <c r="S1010" s="5" t="str">
        <f aca="false">IF(O1010&lt;='Tree rules'!$C$4,IF(N1010&lt;='Tree rules'!$C$5,IF(P1010&lt;='Tree rules'!$C$6,"Monitor","Polymer laminate"),IF(P1010&lt;='Tree rules'!$C$7,"Seal cracks","Polymer laminate")),IF(O1010&lt;='Tree rules'!$C$8,IF(M1010&lt;='Tree rules'!$C$9,"Steel plate or jacket","Polymer laminate"),IF(L1010&lt;='Tree rules'!$C$10,"Steel plate or jacket","Polymer laminate")))</f>
        <v>Steel plate or jacket</v>
      </c>
      <c r="T1010" s="5" t="str">
        <f aca="false">IF(S1010=R1010,"Yes","No")</f>
        <v>Yes</v>
      </c>
    </row>
    <row r="1011" customFormat="false" ht="15" hidden="false" customHeight="false" outlineLevel="0" collapsed="false">
      <c r="A1011" s="15" t="n">
        <v>1433</v>
      </c>
      <c r="B1011" s="16" t="n">
        <v>4.24743629492572</v>
      </c>
      <c r="C1011" s="15" t="n">
        <v>300</v>
      </c>
      <c r="D1011" s="15" t="n">
        <v>350</v>
      </c>
      <c r="E1011" s="15" t="n">
        <v>30</v>
      </c>
      <c r="F1011" s="16" t="n">
        <v>0.647751062595834</v>
      </c>
      <c r="G1011" s="17" t="s">
        <v>90</v>
      </c>
      <c r="H1011" s="18" t="n">
        <v>0.1</v>
      </c>
      <c r="I1011" s="18" t="n">
        <v>2</v>
      </c>
      <c r="J1011" s="19" t="n">
        <v>0.935137144391245</v>
      </c>
      <c r="K1011" s="19" t="n">
        <v>0.470953504471148</v>
      </c>
      <c r="L1011" s="16" t="n">
        <v>14.5960010134904</v>
      </c>
      <c r="M1011" s="19" t="n">
        <v>0.608721897841795</v>
      </c>
      <c r="N1011" s="19" t="n">
        <v>4.04059607924166</v>
      </c>
      <c r="O1011" s="19" t="n">
        <v>1.42986817347029</v>
      </c>
      <c r="P1011" s="19" t="n">
        <v>0.580189394111068</v>
      </c>
      <c r="Q1011" s="17" t="s">
        <v>31</v>
      </c>
      <c r="R1011" s="5" t="str">
        <f aca="false">IF(OR(Q1011="Steel plate",Q1011="Concrete jacket"),"Steel plate or jacket",Q1011)</f>
        <v>Polymer laminate</v>
      </c>
      <c r="S1011" s="5" t="str">
        <f aca="false">IF(O1011&lt;='Tree rules'!$C$4,IF(N1011&lt;='Tree rules'!$C$5,IF(P1011&lt;='Tree rules'!$C$6,"Monitor","Polymer laminate"),IF(P1011&lt;='Tree rules'!$C$7,"Seal cracks","Polymer laminate")),IF(O1011&lt;='Tree rules'!$C$8,IF(M1011&lt;='Tree rules'!$C$9,"Steel plate or jacket","Polymer laminate"),IF(L1011&lt;='Tree rules'!$C$10,"Steel plate or jacket","Polymer laminate")))</f>
        <v>Polymer laminate</v>
      </c>
      <c r="T1011" s="5" t="str">
        <f aca="false">IF(S1011=R1011,"Yes","No")</f>
        <v>Yes</v>
      </c>
    </row>
    <row r="1012" customFormat="false" ht="15" hidden="false" customHeight="false" outlineLevel="0" collapsed="false">
      <c r="A1012" s="15" t="n">
        <v>1434</v>
      </c>
      <c r="B1012" s="16" t="n">
        <v>3.69766339144469</v>
      </c>
      <c r="C1012" s="15" t="n">
        <v>230</v>
      </c>
      <c r="D1012" s="15" t="n">
        <v>325</v>
      </c>
      <c r="E1012" s="15" t="n">
        <v>30</v>
      </c>
      <c r="F1012" s="16" t="n">
        <v>0.98621649775225</v>
      </c>
      <c r="G1012" s="17" t="s">
        <v>89</v>
      </c>
      <c r="H1012" s="18" t="n">
        <v>0.3</v>
      </c>
      <c r="I1012" s="18" t="n">
        <v>2</v>
      </c>
      <c r="J1012" s="19" t="n">
        <v>0.861811773438677</v>
      </c>
      <c r="K1012" s="19" t="n">
        <v>0.501993606084162</v>
      </c>
      <c r="L1012" s="16" t="n">
        <v>13.3489653120747</v>
      </c>
      <c r="M1012" s="19" t="n">
        <v>0.363258073805726</v>
      </c>
      <c r="N1012" s="19" t="n">
        <v>1.26065582418587</v>
      </c>
      <c r="O1012" s="19" t="n">
        <v>1.29099954696309</v>
      </c>
      <c r="P1012" s="19" t="n">
        <v>1.21561950181877</v>
      </c>
      <c r="Q1012" s="17" t="s">
        <v>31</v>
      </c>
      <c r="R1012" s="5" t="str">
        <f aca="false">IF(OR(Q1012="Steel plate",Q1012="Concrete jacket"),"Steel plate or jacket",Q1012)</f>
        <v>Polymer laminate</v>
      </c>
      <c r="S1012" s="5" t="str">
        <f aca="false">IF(O1012&lt;='Tree rules'!$C$4,IF(N1012&lt;='Tree rules'!$C$5,IF(P1012&lt;='Tree rules'!$C$6,"Monitor","Polymer laminate"),IF(P1012&lt;='Tree rules'!$C$7,"Seal cracks","Polymer laminate")),IF(O1012&lt;='Tree rules'!$C$8,IF(M1012&lt;='Tree rules'!$C$9,"Steel plate or jacket","Polymer laminate"),IF(L1012&lt;='Tree rules'!$C$10,"Steel plate or jacket","Polymer laminate")))</f>
        <v>Polymer laminate</v>
      </c>
      <c r="T1012" s="5" t="str">
        <f aca="false">IF(S1012=R1012,"Yes","No")</f>
        <v>Yes</v>
      </c>
    </row>
    <row r="1013" customFormat="false" ht="15" hidden="false" customHeight="false" outlineLevel="0" collapsed="false">
      <c r="A1013" s="15" t="n">
        <v>1436</v>
      </c>
      <c r="B1013" s="16" t="n">
        <v>4.20244381423638</v>
      </c>
      <c r="C1013" s="15" t="n">
        <v>300</v>
      </c>
      <c r="D1013" s="15" t="n">
        <v>375</v>
      </c>
      <c r="E1013" s="15" t="n">
        <v>30</v>
      </c>
      <c r="F1013" s="16" t="n">
        <v>0.640487798897002</v>
      </c>
      <c r="G1013" s="17" t="s">
        <v>91</v>
      </c>
      <c r="H1013" s="18" t="n">
        <v>0.2</v>
      </c>
      <c r="I1013" s="18" t="n">
        <v>2</v>
      </c>
      <c r="J1013" s="19" t="n">
        <v>0.91019539507102</v>
      </c>
      <c r="K1013" s="19" t="n">
        <v>0.417698947575114</v>
      </c>
      <c r="L1013" s="16" t="n">
        <v>12.8515101352794</v>
      </c>
      <c r="M1013" s="19" t="n">
        <v>0.82384954047668</v>
      </c>
      <c r="N1013" s="19" t="n">
        <v>2.40295510026157</v>
      </c>
      <c r="O1013" s="19" t="n">
        <v>1.44020313153316</v>
      </c>
      <c r="P1013" s="19" t="n">
        <v>0.423465118540495</v>
      </c>
      <c r="Q1013" s="17" t="s">
        <v>31</v>
      </c>
      <c r="R1013" s="5" t="str">
        <f aca="false">IF(OR(Q1013="Steel plate",Q1013="Concrete jacket"),"Steel plate or jacket",Q1013)</f>
        <v>Polymer laminate</v>
      </c>
      <c r="S1013" s="5" t="str">
        <f aca="false">IF(O1013&lt;='Tree rules'!$C$4,IF(N1013&lt;='Tree rules'!$C$5,IF(P1013&lt;='Tree rules'!$C$6,"Monitor","Polymer laminate"),IF(P1013&lt;='Tree rules'!$C$7,"Seal cracks","Polymer laminate")),IF(O1013&lt;='Tree rules'!$C$8,IF(M1013&lt;='Tree rules'!$C$9,"Steel plate or jacket","Polymer laminate"),IF(L1013&lt;='Tree rules'!$C$10,"Steel plate or jacket","Polymer laminate")))</f>
        <v>Steel plate or jacket</v>
      </c>
      <c r="T1013" s="5" t="str">
        <f aca="false">IF(S1013=R1013,"Yes","No")</f>
        <v>No</v>
      </c>
    </row>
    <row r="1014" customFormat="false" ht="15" hidden="false" customHeight="false" outlineLevel="0" collapsed="false">
      <c r="A1014" s="15" t="n">
        <v>1438</v>
      </c>
      <c r="B1014" s="16" t="n">
        <v>5.3101482846506</v>
      </c>
      <c r="C1014" s="15" t="n">
        <v>230</v>
      </c>
      <c r="D1014" s="15" t="n">
        <v>500</v>
      </c>
      <c r="E1014" s="15" t="n">
        <v>25</v>
      </c>
      <c r="F1014" s="16" t="n">
        <v>0.577653504586516</v>
      </c>
      <c r="G1014" s="17" t="s">
        <v>89</v>
      </c>
      <c r="H1014" s="18" t="n">
        <v>0.3</v>
      </c>
      <c r="I1014" s="18" t="n">
        <v>1</v>
      </c>
      <c r="J1014" s="19" t="n">
        <v>0.986447116113244</v>
      </c>
      <c r="K1014" s="19" t="n">
        <v>0.429737489091666</v>
      </c>
      <c r="L1014" s="16" t="n">
        <v>11.6963618604639</v>
      </c>
      <c r="M1014" s="19" t="n">
        <v>0.565514480232963</v>
      </c>
      <c r="N1014" s="19" t="n">
        <v>0.698355302784492</v>
      </c>
      <c r="O1014" s="19" t="n">
        <v>0.986447116113244</v>
      </c>
      <c r="P1014" s="19" t="n">
        <v>0.490141779449663</v>
      </c>
      <c r="Q1014" s="17" t="s">
        <v>29</v>
      </c>
      <c r="R1014" s="5" t="str">
        <f aca="false">IF(OR(Q1014="Steel plate",Q1014="Concrete jacket"),"Steel plate or jacket",Q1014)</f>
        <v>Monitor</v>
      </c>
      <c r="S1014" s="5" t="str">
        <f aca="false">IF(O1014&lt;='Tree rules'!$C$4,IF(N1014&lt;='Tree rules'!$C$5,IF(P1014&lt;='Tree rules'!$C$6,"Monitor","Polymer laminate"),IF(P1014&lt;='Tree rules'!$C$7,"Seal cracks","Polymer laminate")),IF(O1014&lt;='Tree rules'!$C$8,IF(M1014&lt;='Tree rules'!$C$9,"Steel plate or jacket","Polymer laminate"),IF(L1014&lt;='Tree rules'!$C$10,"Steel plate or jacket","Polymer laminate")))</f>
        <v>Monitor</v>
      </c>
      <c r="T1014" s="5" t="str">
        <f aca="false">IF(S1014=R1014,"Yes","No")</f>
        <v>Yes</v>
      </c>
    </row>
    <row r="1015" customFormat="false" ht="15" hidden="false" customHeight="false" outlineLevel="0" collapsed="false">
      <c r="A1015" s="15" t="n">
        <v>1441</v>
      </c>
      <c r="B1015" s="16" t="n">
        <v>5.54513320692469</v>
      </c>
      <c r="C1015" s="15" t="n">
        <v>230</v>
      </c>
      <c r="D1015" s="15" t="n">
        <v>525</v>
      </c>
      <c r="E1015" s="15" t="n">
        <v>20</v>
      </c>
      <c r="F1015" s="16" t="n">
        <v>0.59130296510254</v>
      </c>
      <c r="G1015" s="17" t="s">
        <v>90</v>
      </c>
      <c r="H1015" s="18" t="n">
        <v>0.1</v>
      </c>
      <c r="I1015" s="18" t="n">
        <v>1</v>
      </c>
      <c r="J1015" s="19" t="n">
        <v>0.939043005546824</v>
      </c>
      <c r="K1015" s="19" t="n">
        <v>0.523100028990018</v>
      </c>
      <c r="L1015" s="16" t="n">
        <v>12.0024528288413</v>
      </c>
      <c r="M1015" s="19" t="n">
        <v>0.900196272121006</v>
      </c>
      <c r="N1015" s="19" t="n">
        <v>2.57364222350972</v>
      </c>
      <c r="O1015" s="19" t="n">
        <v>0.939043005546824</v>
      </c>
      <c r="P1015" s="19" t="n">
        <v>0.345458128113231</v>
      </c>
      <c r="Q1015" s="17" t="s">
        <v>30</v>
      </c>
      <c r="R1015" s="5" t="str">
        <f aca="false">IF(OR(Q1015="Steel plate",Q1015="Concrete jacket"),"Steel plate or jacket",Q1015)</f>
        <v>Seal cracks</v>
      </c>
      <c r="S1015" s="5" t="str">
        <f aca="false">IF(O1015&lt;='Tree rules'!$C$4,IF(N1015&lt;='Tree rules'!$C$5,IF(P1015&lt;='Tree rules'!$C$6,"Monitor","Polymer laminate"),IF(P1015&lt;='Tree rules'!$C$7,"Seal cracks","Polymer laminate")),IF(O1015&lt;='Tree rules'!$C$8,IF(M1015&lt;='Tree rules'!$C$9,"Steel plate or jacket","Polymer laminate"),IF(L1015&lt;='Tree rules'!$C$10,"Steel plate or jacket","Polymer laminate")))</f>
        <v>Seal cracks</v>
      </c>
      <c r="T1015" s="5" t="str">
        <f aca="false">IF(S1015=R1015,"Yes","No")</f>
        <v>Yes</v>
      </c>
    </row>
    <row r="1016" customFormat="false" ht="15" hidden="false" customHeight="false" outlineLevel="0" collapsed="false">
      <c r="A1016" s="15" t="n">
        <v>1443</v>
      </c>
      <c r="B1016" s="16" t="n">
        <v>5.71997339808144</v>
      </c>
      <c r="C1016" s="15" t="n">
        <v>230</v>
      </c>
      <c r="D1016" s="15" t="n">
        <v>500</v>
      </c>
      <c r="E1016" s="15" t="n">
        <v>30</v>
      </c>
      <c r="F1016" s="16" t="n">
        <v>0.604384889109233</v>
      </c>
      <c r="G1016" s="17" t="s">
        <v>89</v>
      </c>
      <c r="H1016" s="18" t="n">
        <v>0.3</v>
      </c>
      <c r="I1016" s="18" t="n">
        <v>2</v>
      </c>
      <c r="J1016" s="19" t="n">
        <v>0.967662168449082</v>
      </c>
      <c r="K1016" s="19" t="n">
        <v>0.567237915172768</v>
      </c>
      <c r="L1016" s="16" t="n">
        <v>12.654808402835</v>
      </c>
      <c r="M1016" s="19" t="n">
        <v>0.954782731224883</v>
      </c>
      <c r="N1016" s="19" t="n">
        <v>1.24981458275001</v>
      </c>
      <c r="O1016" s="19" t="n">
        <v>1.38642966587555</v>
      </c>
      <c r="P1016" s="19" t="n">
        <v>0.420071230926316</v>
      </c>
      <c r="Q1016" s="17" t="s">
        <v>31</v>
      </c>
      <c r="R1016" s="5" t="str">
        <f aca="false">IF(OR(Q1016="Steel plate",Q1016="Concrete jacket"),"Steel plate or jacket",Q1016)</f>
        <v>Polymer laminate</v>
      </c>
      <c r="S1016" s="5" t="str">
        <f aca="false">IF(O1016&lt;='Tree rules'!$C$4,IF(N1016&lt;='Tree rules'!$C$5,IF(P1016&lt;='Tree rules'!$C$6,"Monitor","Polymer laminate"),IF(P1016&lt;='Tree rules'!$C$7,"Seal cracks","Polymer laminate")),IF(O1016&lt;='Tree rules'!$C$8,IF(M1016&lt;='Tree rules'!$C$9,"Steel plate or jacket","Polymer laminate"),IF(L1016&lt;='Tree rules'!$C$10,"Steel plate or jacket","Polymer laminate")))</f>
        <v>Steel plate or jacket</v>
      </c>
      <c r="T1016" s="5" t="str">
        <f aca="false">IF(S1016=R1016,"Yes","No")</f>
        <v>No</v>
      </c>
    </row>
    <row r="1017" customFormat="false" ht="15" hidden="false" customHeight="false" outlineLevel="0" collapsed="false">
      <c r="A1017" s="15" t="n">
        <v>1444</v>
      </c>
      <c r="B1017" s="16" t="n">
        <v>6.35026180576831</v>
      </c>
      <c r="C1017" s="15" t="n">
        <v>230</v>
      </c>
      <c r="D1017" s="15" t="n">
        <v>600</v>
      </c>
      <c r="E1017" s="15" t="n">
        <v>25</v>
      </c>
      <c r="F1017" s="16" t="n">
        <v>0.742342309449384</v>
      </c>
      <c r="G1017" s="17" t="s">
        <v>89</v>
      </c>
      <c r="H1017" s="18" t="n">
        <v>0.3</v>
      </c>
      <c r="I1017" s="18" t="n">
        <v>1</v>
      </c>
      <c r="J1017" s="19" t="n">
        <v>0.889882464152993</v>
      </c>
      <c r="K1017" s="19" t="n">
        <v>0.486433801643951</v>
      </c>
      <c r="L1017" s="16" t="n">
        <v>11.5040974742179</v>
      </c>
      <c r="M1017" s="19" t="n">
        <v>0.684190441839566</v>
      </c>
      <c r="N1017" s="19" t="n">
        <v>0.601098327613452</v>
      </c>
      <c r="O1017" s="19" t="n">
        <v>0.889882464152993</v>
      </c>
      <c r="P1017" s="19" t="n">
        <v>0.49294217140606</v>
      </c>
      <c r="Q1017" s="17" t="s">
        <v>29</v>
      </c>
      <c r="R1017" s="5" t="str">
        <f aca="false">IF(OR(Q1017="Steel plate",Q1017="Concrete jacket"),"Steel plate or jacket",Q1017)</f>
        <v>Monitor</v>
      </c>
      <c r="S1017" s="5" t="str">
        <f aca="false">IF(O1017&lt;='Tree rules'!$C$4,IF(N1017&lt;='Tree rules'!$C$5,IF(P1017&lt;='Tree rules'!$C$6,"Monitor","Polymer laminate"),IF(P1017&lt;='Tree rules'!$C$7,"Seal cracks","Polymer laminate")),IF(O1017&lt;='Tree rules'!$C$8,IF(M1017&lt;='Tree rules'!$C$9,"Steel plate or jacket","Polymer laminate"),IF(L1017&lt;='Tree rules'!$C$10,"Steel plate or jacket","Polymer laminate")))</f>
        <v>Monitor</v>
      </c>
      <c r="T1017" s="5" t="str">
        <f aca="false">IF(S1017=R1017,"Yes","No")</f>
        <v>Yes</v>
      </c>
    </row>
    <row r="1018" customFormat="false" ht="15" hidden="false" customHeight="false" outlineLevel="0" collapsed="false">
      <c r="A1018" s="15" t="n">
        <v>1445</v>
      </c>
      <c r="B1018" s="16" t="n">
        <v>3.19567242200738</v>
      </c>
      <c r="C1018" s="15" t="n">
        <v>230</v>
      </c>
      <c r="D1018" s="15" t="n">
        <v>325</v>
      </c>
      <c r="E1018" s="15" t="n">
        <v>30</v>
      </c>
      <c r="F1018" s="16" t="n">
        <v>0.626653981080713</v>
      </c>
      <c r="G1018" s="17" t="s">
        <v>89</v>
      </c>
      <c r="H1018" s="18" t="n">
        <v>0.3</v>
      </c>
      <c r="I1018" s="18" t="n">
        <v>1</v>
      </c>
      <c r="J1018" s="19" t="n">
        <v>0.978870652621219</v>
      </c>
      <c r="K1018" s="19" t="n">
        <v>0.453591456748395</v>
      </c>
      <c r="L1018" s="16" t="n">
        <v>11.4540230179476</v>
      </c>
      <c r="M1018" s="19" t="n">
        <v>0.932906239729053</v>
      </c>
      <c r="N1018" s="19" t="n">
        <v>0.831243204521139</v>
      </c>
      <c r="O1018" s="19" t="n">
        <v>0.978870652621219</v>
      </c>
      <c r="P1018" s="19" t="n">
        <v>0.26062135182015</v>
      </c>
      <c r="Q1018" s="17" t="s">
        <v>29</v>
      </c>
      <c r="R1018" s="5" t="str">
        <f aca="false">IF(OR(Q1018="Steel plate",Q1018="Concrete jacket"),"Steel plate or jacket",Q1018)</f>
        <v>Monitor</v>
      </c>
      <c r="S1018" s="5" t="str">
        <f aca="false">IF(O1018&lt;='Tree rules'!$C$4,IF(N1018&lt;='Tree rules'!$C$5,IF(P1018&lt;='Tree rules'!$C$6,"Monitor","Polymer laminate"),IF(P1018&lt;='Tree rules'!$C$7,"Seal cracks","Polymer laminate")),IF(O1018&lt;='Tree rules'!$C$8,IF(M1018&lt;='Tree rules'!$C$9,"Steel plate or jacket","Polymer laminate"),IF(L1018&lt;='Tree rules'!$C$10,"Steel plate or jacket","Polymer laminate")))</f>
        <v>Monitor</v>
      </c>
      <c r="T1018" s="5" t="str">
        <f aca="false">IF(S1018=R1018,"Yes","No")</f>
        <v>Yes</v>
      </c>
    </row>
    <row r="1019" customFormat="false" ht="15" hidden="false" customHeight="false" outlineLevel="0" collapsed="false">
      <c r="A1019" s="15" t="n">
        <v>1449</v>
      </c>
      <c r="B1019" s="16" t="n">
        <v>7.44624871156266</v>
      </c>
      <c r="C1019" s="15" t="n">
        <v>230</v>
      </c>
      <c r="D1019" s="15" t="n">
        <v>600</v>
      </c>
      <c r="E1019" s="15" t="n">
        <v>30</v>
      </c>
      <c r="F1019" s="16" t="n">
        <v>0.63117855856144</v>
      </c>
      <c r="G1019" s="17" t="s">
        <v>91</v>
      </c>
      <c r="H1019" s="18" t="n">
        <v>0.2</v>
      </c>
      <c r="I1019" s="18" t="n">
        <v>1</v>
      </c>
      <c r="J1019" s="19" t="n">
        <v>0.878616873502872</v>
      </c>
      <c r="K1019" s="19" t="n">
        <v>0.448653663655481</v>
      </c>
      <c r="L1019" s="16" t="n">
        <v>13.4408821508351</v>
      </c>
      <c r="M1019" s="19" t="n">
        <v>0.949870995333405</v>
      </c>
      <c r="N1019" s="19" t="n">
        <v>0.752382901187697</v>
      </c>
      <c r="O1019" s="19" t="n">
        <v>0.878616873502872</v>
      </c>
      <c r="P1019" s="19" t="n">
        <v>0.348003517488253</v>
      </c>
      <c r="Q1019" s="17" t="s">
        <v>29</v>
      </c>
      <c r="R1019" s="5" t="str">
        <f aca="false">IF(OR(Q1019="Steel plate",Q1019="Concrete jacket"),"Steel plate or jacket",Q1019)</f>
        <v>Monitor</v>
      </c>
      <c r="S1019" s="5" t="str">
        <f aca="false">IF(O1019&lt;='Tree rules'!$C$4,IF(N1019&lt;='Tree rules'!$C$5,IF(P1019&lt;='Tree rules'!$C$6,"Monitor","Polymer laminate"),IF(P1019&lt;='Tree rules'!$C$7,"Seal cracks","Polymer laminate")),IF(O1019&lt;='Tree rules'!$C$8,IF(M1019&lt;='Tree rules'!$C$9,"Steel plate or jacket","Polymer laminate"),IF(L1019&lt;='Tree rules'!$C$10,"Steel plate or jacket","Polymer laminate")))</f>
        <v>Monitor</v>
      </c>
      <c r="T1019" s="5" t="str">
        <f aca="false">IF(S1019=R1019,"Yes","No")</f>
        <v>Yes</v>
      </c>
    </row>
    <row r="1020" customFormat="false" ht="15" hidden="false" customHeight="false" outlineLevel="0" collapsed="false">
      <c r="A1020" s="15" t="n">
        <v>1450</v>
      </c>
      <c r="B1020" s="16" t="n">
        <v>7.90473746714776</v>
      </c>
      <c r="C1020" s="15" t="n">
        <v>230</v>
      </c>
      <c r="D1020" s="15" t="n">
        <v>725</v>
      </c>
      <c r="E1020" s="15" t="n">
        <v>30</v>
      </c>
      <c r="F1020" s="16" t="n">
        <v>0.618992378876224</v>
      </c>
      <c r="G1020" s="17" t="s">
        <v>90</v>
      </c>
      <c r="H1020" s="18" t="n">
        <v>0.1</v>
      </c>
      <c r="I1020" s="18" t="n">
        <v>2</v>
      </c>
      <c r="J1020" s="19" t="n">
        <v>0.991284083578515</v>
      </c>
      <c r="K1020" s="19" t="n">
        <v>0.436786279191107</v>
      </c>
      <c r="L1020" s="16" t="n">
        <v>11.9406910379876</v>
      </c>
      <c r="M1020" s="19" t="n">
        <v>0.302909085005354</v>
      </c>
      <c r="N1020" s="19" t="n">
        <v>4.29873363740119</v>
      </c>
      <c r="O1020" s="19" t="n">
        <v>1.5495888806694</v>
      </c>
      <c r="P1020" s="19" t="n">
        <v>1.20904959428127</v>
      </c>
      <c r="Q1020" s="17" t="s">
        <v>92</v>
      </c>
      <c r="R1020" s="5" t="str">
        <f aca="false">IF(OR(Q1020="Steel plate",Q1020="Concrete jacket"),"Steel plate or jacket",Q1020)</f>
        <v>Steel plate or jacket</v>
      </c>
      <c r="S1020" s="5" t="str">
        <f aca="false">IF(O1020&lt;='Tree rules'!$C$4,IF(N1020&lt;='Tree rules'!$C$5,IF(P1020&lt;='Tree rules'!$C$6,"Monitor","Polymer laminate"),IF(P1020&lt;='Tree rules'!$C$7,"Seal cracks","Polymer laminate")),IF(O1020&lt;='Tree rules'!$C$8,IF(M1020&lt;='Tree rules'!$C$9,"Steel plate or jacket","Polymer laminate"),IF(L1020&lt;='Tree rules'!$C$10,"Steel plate or jacket","Polymer laminate")))</f>
        <v>Steel plate or jacket</v>
      </c>
      <c r="T1020" s="5" t="str">
        <f aca="false">IF(S1020=R1020,"Yes","No")</f>
        <v>Yes</v>
      </c>
    </row>
    <row r="1021" customFormat="false" ht="15" hidden="false" customHeight="false" outlineLevel="0" collapsed="false">
      <c r="A1021" s="15" t="n">
        <v>1453</v>
      </c>
      <c r="B1021" s="16" t="n">
        <v>5.72070190683427</v>
      </c>
      <c r="C1021" s="15" t="n">
        <v>230</v>
      </c>
      <c r="D1021" s="15" t="n">
        <v>500</v>
      </c>
      <c r="E1021" s="15" t="n">
        <v>30</v>
      </c>
      <c r="F1021" s="16" t="n">
        <v>0.770204672782022</v>
      </c>
      <c r="G1021" s="17" t="s">
        <v>89</v>
      </c>
      <c r="H1021" s="18" t="n">
        <v>0.3</v>
      </c>
      <c r="I1021" s="18" t="n">
        <v>1.5</v>
      </c>
      <c r="J1021" s="19" t="n">
        <v>0.921403602878569</v>
      </c>
      <c r="K1021" s="19" t="n">
        <v>0.487579776268045</v>
      </c>
      <c r="L1021" s="16" t="n">
        <v>12.600664993027</v>
      </c>
      <c r="M1021" s="19" t="n">
        <v>0.941899723167024</v>
      </c>
      <c r="N1021" s="19" t="n">
        <v>0.717436279927177</v>
      </c>
      <c r="O1021" s="19" t="n">
        <v>1.1574765230458</v>
      </c>
      <c r="P1021" s="19" t="n">
        <v>0.444372225818927</v>
      </c>
      <c r="Q1021" s="17" t="s">
        <v>31</v>
      </c>
      <c r="R1021" s="5" t="str">
        <f aca="false">IF(OR(Q1021="Steel plate",Q1021="Concrete jacket"),"Steel plate or jacket",Q1021)</f>
        <v>Polymer laminate</v>
      </c>
      <c r="S1021" s="5" t="str">
        <f aca="false">IF(O1021&lt;='Tree rules'!$C$4,IF(N1021&lt;='Tree rules'!$C$5,IF(P1021&lt;='Tree rules'!$C$6,"Monitor","Polymer laminate"),IF(P1021&lt;='Tree rules'!$C$7,"Seal cracks","Polymer laminate")),IF(O1021&lt;='Tree rules'!$C$8,IF(M1021&lt;='Tree rules'!$C$9,"Steel plate or jacket","Polymer laminate"),IF(L1021&lt;='Tree rules'!$C$10,"Steel plate or jacket","Polymer laminate")))</f>
        <v>Polymer laminate</v>
      </c>
      <c r="T1021" s="5" t="str">
        <f aca="false">IF(S1021=R1021,"Yes","No")</f>
        <v>Yes</v>
      </c>
    </row>
    <row r="1022" customFormat="false" ht="15" hidden="false" customHeight="false" outlineLevel="0" collapsed="false">
      <c r="A1022" s="15" t="n">
        <v>1455</v>
      </c>
      <c r="B1022" s="16" t="n">
        <v>3.30294820006429</v>
      </c>
      <c r="C1022" s="15" t="n">
        <v>300</v>
      </c>
      <c r="D1022" s="15" t="n">
        <v>300</v>
      </c>
      <c r="E1022" s="15" t="n">
        <v>25</v>
      </c>
      <c r="F1022" s="16" t="n">
        <v>0.589048622548086</v>
      </c>
      <c r="G1022" s="17" t="s">
        <v>91</v>
      </c>
      <c r="H1022" s="18" t="n">
        <v>0.2</v>
      </c>
      <c r="I1022" s="18" t="n">
        <v>1.5</v>
      </c>
      <c r="J1022" s="19" t="n">
        <v>0.99791524400018</v>
      </c>
      <c r="K1022" s="19" t="n">
        <v>0.535955695763107</v>
      </c>
      <c r="L1022" s="16" t="n">
        <v>12.9021414065011</v>
      </c>
      <c r="M1022" s="19" t="n">
        <v>0.850639695815324</v>
      </c>
      <c r="N1022" s="19" t="n">
        <v>1.28389821783843</v>
      </c>
      <c r="O1022" s="19" t="n">
        <v>1.22945368654491</v>
      </c>
      <c r="P1022" s="19" t="n">
        <v>0.386043406929201</v>
      </c>
      <c r="Q1022" s="17" t="s">
        <v>31</v>
      </c>
      <c r="R1022" s="5" t="str">
        <f aca="false">IF(OR(Q1022="Steel plate",Q1022="Concrete jacket"),"Steel plate or jacket",Q1022)</f>
        <v>Polymer laminate</v>
      </c>
      <c r="S1022" s="5" t="str">
        <f aca="false">IF(O1022&lt;='Tree rules'!$C$4,IF(N1022&lt;='Tree rules'!$C$5,IF(P1022&lt;='Tree rules'!$C$6,"Monitor","Polymer laminate"),IF(P1022&lt;='Tree rules'!$C$7,"Seal cracks","Polymer laminate")),IF(O1022&lt;='Tree rules'!$C$8,IF(M1022&lt;='Tree rules'!$C$9,"Steel plate or jacket","Polymer laminate"),IF(L1022&lt;='Tree rules'!$C$10,"Steel plate or jacket","Polymer laminate")))</f>
        <v>Polymer laminate</v>
      </c>
      <c r="T1022" s="5" t="str">
        <f aca="false">IF(S1022=R1022,"Yes","No")</f>
        <v>Yes</v>
      </c>
    </row>
    <row r="1023" customFormat="false" ht="15" hidden="false" customHeight="false" outlineLevel="0" collapsed="false">
      <c r="A1023" s="15" t="n">
        <v>1456</v>
      </c>
      <c r="B1023" s="16" t="n">
        <v>3.4757242199889</v>
      </c>
      <c r="C1023" s="15" t="n">
        <v>300</v>
      </c>
      <c r="D1023" s="15" t="n">
        <v>300</v>
      </c>
      <c r="E1023" s="15" t="n">
        <v>25</v>
      </c>
      <c r="F1023" s="16" t="n">
        <v>0.625711399885104</v>
      </c>
      <c r="G1023" s="17" t="s">
        <v>90</v>
      </c>
      <c r="H1023" s="18" t="n">
        <v>0.1</v>
      </c>
      <c r="I1023" s="18" t="n">
        <v>1</v>
      </c>
      <c r="J1023" s="19" t="n">
        <v>0.889394435288481</v>
      </c>
      <c r="K1023" s="19" t="n">
        <v>0.643178654485549</v>
      </c>
      <c r="L1023" s="16" t="n">
        <v>14.4220921991241</v>
      </c>
      <c r="M1023" s="19" t="n">
        <v>0.279827057004974</v>
      </c>
      <c r="N1023" s="19" t="n">
        <v>2.7553919780377</v>
      </c>
      <c r="O1023" s="19" t="n">
        <v>0.889394435288481</v>
      </c>
      <c r="P1023" s="19" t="n">
        <v>0.949598026929073</v>
      </c>
      <c r="Q1023" s="17" t="s">
        <v>30</v>
      </c>
      <c r="R1023" s="5" t="str">
        <f aca="false">IF(OR(Q1023="Steel plate",Q1023="Concrete jacket"),"Steel plate or jacket",Q1023)</f>
        <v>Seal cracks</v>
      </c>
      <c r="S1023" s="5" t="str">
        <f aca="false">IF(O1023&lt;='Tree rules'!$C$4,IF(N1023&lt;='Tree rules'!$C$5,IF(P1023&lt;='Tree rules'!$C$6,"Monitor","Polymer laminate"),IF(P1023&lt;='Tree rules'!$C$7,"Seal cracks","Polymer laminate")),IF(O1023&lt;='Tree rules'!$C$8,IF(M1023&lt;='Tree rules'!$C$9,"Steel plate or jacket","Polymer laminate"),IF(L1023&lt;='Tree rules'!$C$10,"Steel plate or jacket","Polymer laminate")))</f>
        <v>Seal cracks</v>
      </c>
      <c r="T1023" s="5" t="str">
        <f aca="false">IF(S1023=R1023,"Yes","No")</f>
        <v>Yes</v>
      </c>
    </row>
    <row r="1024" customFormat="false" ht="15" hidden="false" customHeight="false" outlineLevel="0" collapsed="false">
      <c r="A1024" s="15" t="n">
        <v>1457</v>
      </c>
      <c r="B1024" s="16" t="n">
        <v>3.61783147281231</v>
      </c>
      <c r="C1024" s="15" t="n">
        <v>300</v>
      </c>
      <c r="D1024" s="15" t="n">
        <v>325</v>
      </c>
      <c r="E1024" s="15" t="n">
        <v>30</v>
      </c>
      <c r="F1024" s="16" t="n">
        <v>0.72065207824282</v>
      </c>
      <c r="G1024" s="17" t="s">
        <v>89</v>
      </c>
      <c r="H1024" s="18" t="n">
        <v>0.3</v>
      </c>
      <c r="I1024" s="18" t="n">
        <v>1</v>
      </c>
      <c r="J1024" s="19" t="n">
        <v>0.903428008272389</v>
      </c>
      <c r="K1024" s="19" t="n">
        <v>0.514166422838575</v>
      </c>
      <c r="L1024" s="16" t="n">
        <v>12.9671378953846</v>
      </c>
      <c r="M1024" s="19" t="n">
        <v>0.81582191943391</v>
      </c>
      <c r="N1024" s="19" t="n">
        <v>0.711395693500504</v>
      </c>
      <c r="O1024" s="19" t="n">
        <v>0.903428008272389</v>
      </c>
      <c r="P1024" s="19" t="n">
        <v>0.374024822975131</v>
      </c>
      <c r="Q1024" s="17" t="s">
        <v>29</v>
      </c>
      <c r="R1024" s="5" t="str">
        <f aca="false">IF(OR(Q1024="Steel plate",Q1024="Concrete jacket"),"Steel plate or jacket",Q1024)</f>
        <v>Monitor</v>
      </c>
      <c r="S1024" s="5" t="str">
        <f aca="false">IF(O1024&lt;='Tree rules'!$C$4,IF(N1024&lt;='Tree rules'!$C$5,IF(P1024&lt;='Tree rules'!$C$6,"Monitor","Polymer laminate"),IF(P1024&lt;='Tree rules'!$C$7,"Seal cracks","Polymer laminate")),IF(O1024&lt;='Tree rules'!$C$8,IF(M1024&lt;='Tree rules'!$C$9,"Steel plate or jacket","Polymer laminate"),IF(L1024&lt;='Tree rules'!$C$10,"Steel plate or jacket","Polymer laminate")))</f>
        <v>Monitor</v>
      </c>
      <c r="T1024" s="5" t="str">
        <f aca="false">IF(S1024=R1024,"Yes","No")</f>
        <v>Yes</v>
      </c>
    </row>
    <row r="1025" customFormat="false" ht="15" hidden="false" customHeight="false" outlineLevel="0" collapsed="false">
      <c r="A1025" s="15" t="n">
        <v>1458</v>
      </c>
      <c r="B1025" s="16" t="n">
        <v>6.32091609761213</v>
      </c>
      <c r="C1025" s="15" t="n">
        <v>300</v>
      </c>
      <c r="D1025" s="15" t="n">
        <v>500</v>
      </c>
      <c r="E1025" s="15" t="n">
        <v>30</v>
      </c>
      <c r="F1025" s="16" t="n">
        <v>0.738112811416104</v>
      </c>
      <c r="G1025" s="17" t="s">
        <v>91</v>
      </c>
      <c r="H1025" s="18" t="n">
        <v>0.2</v>
      </c>
      <c r="I1025" s="18" t="n">
        <v>1</v>
      </c>
      <c r="J1025" s="19" t="n">
        <v>0.876288625870926</v>
      </c>
      <c r="K1025" s="19" t="n">
        <v>0.415625127917849</v>
      </c>
      <c r="L1025" s="16" t="n">
        <v>13.922722681965</v>
      </c>
      <c r="M1025" s="19" t="n">
        <v>0.317271477294944</v>
      </c>
      <c r="N1025" s="19" t="n">
        <v>0.921364941059298</v>
      </c>
      <c r="O1025" s="19" t="n">
        <v>0.876288625870926</v>
      </c>
      <c r="P1025" s="19" t="n">
        <v>1.02084205513054</v>
      </c>
      <c r="Q1025" s="17" t="s">
        <v>31</v>
      </c>
      <c r="R1025" s="5" t="str">
        <f aca="false">IF(OR(Q1025="Steel plate",Q1025="Concrete jacket"),"Steel plate or jacket",Q1025)</f>
        <v>Polymer laminate</v>
      </c>
      <c r="S1025" s="5" t="str">
        <f aca="false">IF(O1025&lt;='Tree rules'!$C$4,IF(N1025&lt;='Tree rules'!$C$5,IF(P1025&lt;='Tree rules'!$C$6,"Monitor","Polymer laminate"),IF(P1025&lt;='Tree rules'!$C$7,"Seal cracks","Polymer laminate")),IF(O1025&lt;='Tree rules'!$C$8,IF(M1025&lt;='Tree rules'!$C$9,"Steel plate or jacket","Polymer laminate"),IF(L1025&lt;='Tree rules'!$C$10,"Steel plate or jacket","Polymer laminate")))</f>
        <v>Polymer laminate</v>
      </c>
      <c r="T1025" s="5" t="str">
        <f aca="false">IF(S1025=R1025,"Yes","No")</f>
        <v>Yes</v>
      </c>
    </row>
    <row r="1026" customFormat="false" ht="15" hidden="false" customHeight="false" outlineLevel="0" collapsed="false">
      <c r="A1026" s="15" t="n">
        <v>1460</v>
      </c>
      <c r="B1026" s="16" t="n">
        <v>4.03871190569513</v>
      </c>
      <c r="C1026" s="15" t="n">
        <v>230</v>
      </c>
      <c r="D1026" s="15" t="n">
        <v>350</v>
      </c>
      <c r="E1026" s="15" t="n">
        <v>25</v>
      </c>
      <c r="F1026" s="16" t="n">
        <v>0.862679904875916</v>
      </c>
      <c r="G1026" s="17" t="s">
        <v>89</v>
      </c>
      <c r="H1026" s="18" t="n">
        <v>0.3</v>
      </c>
      <c r="I1026" s="18" t="n">
        <v>1.5</v>
      </c>
      <c r="J1026" s="19" t="n">
        <v>0.862293408573958</v>
      </c>
      <c r="K1026" s="19" t="n">
        <v>0.564711578645222</v>
      </c>
      <c r="L1026" s="16" t="n">
        <v>13.2852365318919</v>
      </c>
      <c r="M1026" s="19" t="n">
        <v>0.943660341770207</v>
      </c>
      <c r="N1026" s="19" t="n">
        <v>0.724626897056676</v>
      </c>
      <c r="O1026" s="19" t="n">
        <v>1.04996657685535</v>
      </c>
      <c r="P1026" s="19" t="n">
        <v>0.466139484080696</v>
      </c>
      <c r="Q1026" s="17" t="s">
        <v>31</v>
      </c>
      <c r="R1026" s="5" t="str">
        <f aca="false">IF(OR(Q1026="Steel plate",Q1026="Concrete jacket"),"Steel plate or jacket",Q1026)</f>
        <v>Polymer laminate</v>
      </c>
      <c r="S1026" s="5" t="str">
        <f aca="false">IF(O1026&lt;='Tree rules'!$C$4,IF(N1026&lt;='Tree rules'!$C$5,IF(P1026&lt;='Tree rules'!$C$6,"Monitor","Polymer laminate"),IF(P1026&lt;='Tree rules'!$C$7,"Seal cracks","Polymer laminate")),IF(O1026&lt;='Tree rules'!$C$8,IF(M1026&lt;='Tree rules'!$C$9,"Steel plate or jacket","Polymer laminate"),IF(L1026&lt;='Tree rules'!$C$10,"Steel plate or jacket","Polymer laminate")))</f>
        <v>Polymer laminate</v>
      </c>
      <c r="T1026" s="5" t="str">
        <f aca="false">IF(S1026=R1026,"Yes","No")</f>
        <v>Yes</v>
      </c>
    </row>
    <row r="1027" customFormat="false" ht="15" hidden="false" customHeight="false" outlineLevel="0" collapsed="false">
      <c r="A1027" s="15" t="n">
        <v>1463</v>
      </c>
      <c r="B1027" s="16" t="n">
        <v>4.50949582946918</v>
      </c>
      <c r="C1027" s="15" t="n">
        <v>300</v>
      </c>
      <c r="D1027" s="15" t="n">
        <v>375</v>
      </c>
      <c r="E1027" s="15" t="n">
        <v>25</v>
      </c>
      <c r="F1027" s="16" t="n">
        <v>0.671280481536281</v>
      </c>
      <c r="G1027" s="17" t="s">
        <v>90</v>
      </c>
      <c r="H1027" s="18" t="n">
        <v>0.1</v>
      </c>
      <c r="I1027" s="18" t="n">
        <v>1</v>
      </c>
      <c r="J1027" s="19" t="n">
        <v>0.995990917525382</v>
      </c>
      <c r="K1027" s="19" t="n">
        <v>0.461662608916333</v>
      </c>
      <c r="L1027" s="16" t="n">
        <v>14.4535122739397</v>
      </c>
      <c r="M1027" s="19" t="n">
        <v>0.744427510596025</v>
      </c>
      <c r="N1027" s="19" t="n">
        <v>3.52357748384747</v>
      </c>
      <c r="O1027" s="19" t="n">
        <v>0.995990917525382</v>
      </c>
      <c r="P1027" s="19" t="n">
        <v>0.436795598163799</v>
      </c>
      <c r="Q1027" s="17" t="s">
        <v>30</v>
      </c>
      <c r="R1027" s="5" t="str">
        <f aca="false">IF(OR(Q1027="Steel plate",Q1027="Concrete jacket"),"Steel plate or jacket",Q1027)</f>
        <v>Seal cracks</v>
      </c>
      <c r="S1027" s="5" t="str">
        <f aca="false">IF(O1027&lt;='Tree rules'!$C$4,IF(N1027&lt;='Tree rules'!$C$5,IF(P1027&lt;='Tree rules'!$C$6,"Monitor","Polymer laminate"),IF(P1027&lt;='Tree rules'!$C$7,"Seal cracks","Polymer laminate")),IF(O1027&lt;='Tree rules'!$C$8,IF(M1027&lt;='Tree rules'!$C$9,"Steel plate or jacket","Polymer laminate"),IF(L1027&lt;='Tree rules'!$C$10,"Steel plate or jacket","Polymer laminate")))</f>
        <v>Seal cracks</v>
      </c>
      <c r="T1027" s="5" t="str">
        <f aca="false">IF(S1027=R1027,"Yes","No")</f>
        <v>Yes</v>
      </c>
    </row>
    <row r="1028" customFormat="false" ht="15" hidden="false" customHeight="false" outlineLevel="0" collapsed="false">
      <c r="A1028" s="15" t="n">
        <v>1464</v>
      </c>
      <c r="B1028" s="16" t="n">
        <v>4.01641738522785</v>
      </c>
      <c r="C1028" s="15" t="n">
        <v>300</v>
      </c>
      <c r="D1028" s="15" t="n">
        <v>350</v>
      </c>
      <c r="E1028" s="15" t="n">
        <v>20</v>
      </c>
      <c r="F1028" s="16" t="n">
        <v>0.693508312050727</v>
      </c>
      <c r="G1028" s="17" t="s">
        <v>91</v>
      </c>
      <c r="H1028" s="18" t="n">
        <v>0.2</v>
      </c>
      <c r="I1028" s="18" t="n">
        <v>1</v>
      </c>
      <c r="J1028" s="19" t="n">
        <v>0.890755986161792</v>
      </c>
      <c r="K1028" s="19" t="n">
        <v>0.563758859075765</v>
      </c>
      <c r="L1028" s="16" t="n">
        <v>13.299395315324</v>
      </c>
      <c r="M1028" s="19" t="n">
        <v>0.499379177397577</v>
      </c>
      <c r="N1028" s="19" t="n">
        <v>1.47651958958089</v>
      </c>
      <c r="O1028" s="19" t="n">
        <v>0.890755986161792</v>
      </c>
      <c r="P1028" s="19" t="n">
        <v>0.691795582414868</v>
      </c>
      <c r="Q1028" s="17" t="s">
        <v>30</v>
      </c>
      <c r="R1028" s="5" t="str">
        <f aca="false">IF(OR(Q1028="Steel plate",Q1028="Concrete jacket"),"Steel plate or jacket",Q1028)</f>
        <v>Seal cracks</v>
      </c>
      <c r="S1028" s="5" t="str">
        <f aca="false">IF(O1028&lt;='Tree rules'!$C$4,IF(N1028&lt;='Tree rules'!$C$5,IF(P1028&lt;='Tree rules'!$C$6,"Monitor","Polymer laminate"),IF(P1028&lt;='Tree rules'!$C$7,"Seal cracks","Polymer laminate")),IF(O1028&lt;='Tree rules'!$C$8,IF(M1028&lt;='Tree rules'!$C$9,"Steel plate or jacket","Polymer laminate"),IF(L1028&lt;='Tree rules'!$C$10,"Steel plate or jacket","Polymer laminate")))</f>
        <v>Seal cracks</v>
      </c>
      <c r="T1028" s="5" t="str">
        <f aca="false">IF(S1028=R1028,"Yes","No")</f>
        <v>Yes</v>
      </c>
    </row>
    <row r="1029" customFormat="false" ht="15" hidden="false" customHeight="false" outlineLevel="0" collapsed="false">
      <c r="A1029" s="15" t="n">
        <v>1465</v>
      </c>
      <c r="B1029" s="16" t="n">
        <v>3.66192663981663</v>
      </c>
      <c r="C1029" s="15" t="n">
        <v>300</v>
      </c>
      <c r="D1029" s="15" t="n">
        <v>300</v>
      </c>
      <c r="E1029" s="15" t="n">
        <v>25</v>
      </c>
      <c r="F1029" s="16" t="n">
        <v>0.589048622548086</v>
      </c>
      <c r="G1029" s="17" t="s">
        <v>89</v>
      </c>
      <c r="H1029" s="18" t="n">
        <v>0.3</v>
      </c>
      <c r="I1029" s="18" t="n">
        <v>1.5</v>
      </c>
      <c r="J1029" s="19" t="n">
        <v>0.931655723477693</v>
      </c>
      <c r="K1029" s="19" t="n">
        <v>0.6315505743015</v>
      </c>
      <c r="L1029" s="16" t="n">
        <v>14.3044009367837</v>
      </c>
      <c r="M1029" s="19" t="n">
        <v>0.915149746255733</v>
      </c>
      <c r="N1029" s="19" t="n">
        <v>0.743112345332731</v>
      </c>
      <c r="O1029" s="19" t="n">
        <v>1.10328973160973</v>
      </c>
      <c r="P1029" s="19" t="n">
        <v>0.393760720554067</v>
      </c>
      <c r="Q1029" s="17" t="s">
        <v>31</v>
      </c>
      <c r="R1029" s="5" t="str">
        <f aca="false">IF(OR(Q1029="Steel plate",Q1029="Concrete jacket"),"Steel plate or jacket",Q1029)</f>
        <v>Polymer laminate</v>
      </c>
      <c r="S1029" s="5" t="str">
        <f aca="false">IF(O1029&lt;='Tree rules'!$C$4,IF(N1029&lt;='Tree rules'!$C$5,IF(P1029&lt;='Tree rules'!$C$6,"Monitor","Polymer laminate"),IF(P1029&lt;='Tree rules'!$C$7,"Seal cracks","Polymer laminate")),IF(O1029&lt;='Tree rules'!$C$8,IF(M1029&lt;='Tree rules'!$C$9,"Steel plate or jacket","Polymer laminate"),IF(L1029&lt;='Tree rules'!$C$10,"Steel plate or jacket","Polymer laminate")))</f>
        <v>Polymer laminate</v>
      </c>
      <c r="T1029" s="5" t="str">
        <f aca="false">IF(S1029=R1029,"Yes","No")</f>
        <v>Yes</v>
      </c>
    </row>
    <row r="1030" customFormat="false" ht="15" hidden="false" customHeight="false" outlineLevel="0" collapsed="false">
      <c r="A1030" s="15" t="n">
        <v>1467</v>
      </c>
      <c r="B1030" s="16" t="n">
        <v>4.75811361660288</v>
      </c>
      <c r="C1030" s="15" t="n">
        <v>300</v>
      </c>
      <c r="D1030" s="15" t="n">
        <v>425</v>
      </c>
      <c r="E1030" s="15" t="n">
        <v>25</v>
      </c>
      <c r="F1030" s="16" t="n">
        <v>0.530506411160282</v>
      </c>
      <c r="G1030" s="17" t="s">
        <v>89</v>
      </c>
      <c r="H1030" s="18" t="n">
        <v>0.3</v>
      </c>
      <c r="I1030" s="18" t="n">
        <v>2</v>
      </c>
      <c r="J1030" s="19" t="n">
        <v>0.893697326863038</v>
      </c>
      <c r="K1030" s="19" t="n">
        <v>0.51588867133567</v>
      </c>
      <c r="L1030" s="16" t="n">
        <v>12.5543894897174</v>
      </c>
      <c r="M1030" s="19" t="n">
        <v>0.277517758404321</v>
      </c>
      <c r="N1030" s="19" t="n">
        <v>1.17953881662264</v>
      </c>
      <c r="O1030" s="19" t="n">
        <v>1.32634632719446</v>
      </c>
      <c r="P1030" s="19" t="n">
        <v>1.11565299329525</v>
      </c>
      <c r="Q1030" s="17" t="s">
        <v>31</v>
      </c>
      <c r="R1030" s="5" t="str">
        <f aca="false">IF(OR(Q1030="Steel plate",Q1030="Concrete jacket"),"Steel plate or jacket",Q1030)</f>
        <v>Polymer laminate</v>
      </c>
      <c r="S1030" s="5" t="str">
        <f aca="false">IF(O1030&lt;='Tree rules'!$C$4,IF(N1030&lt;='Tree rules'!$C$5,IF(P1030&lt;='Tree rules'!$C$6,"Monitor","Polymer laminate"),IF(P1030&lt;='Tree rules'!$C$7,"Seal cracks","Polymer laminate")),IF(O1030&lt;='Tree rules'!$C$8,IF(M1030&lt;='Tree rules'!$C$9,"Steel plate or jacket","Polymer laminate"),IF(L1030&lt;='Tree rules'!$C$10,"Steel plate or jacket","Polymer laminate")))</f>
        <v>Steel plate or jacket</v>
      </c>
      <c r="T1030" s="5" t="str">
        <f aca="false">IF(S1030=R1030,"Yes","No")</f>
        <v>No</v>
      </c>
    </row>
    <row r="1031" customFormat="false" ht="15" hidden="false" customHeight="false" outlineLevel="0" collapsed="false">
      <c r="A1031" s="15" t="n">
        <v>1468</v>
      </c>
      <c r="B1031" s="16" t="n">
        <v>7.19579376425824</v>
      </c>
      <c r="C1031" s="15" t="n">
        <v>300</v>
      </c>
      <c r="D1031" s="15" t="n">
        <v>675</v>
      </c>
      <c r="E1031" s="15" t="n">
        <v>30</v>
      </c>
      <c r="F1031" s="16" t="n">
        <v>0.532755510942625</v>
      </c>
      <c r="G1031" s="17" t="s">
        <v>91</v>
      </c>
      <c r="H1031" s="18" t="n">
        <v>0.2</v>
      </c>
      <c r="I1031" s="18" t="n">
        <v>1</v>
      </c>
      <c r="J1031" s="19" t="n">
        <v>0.85545548902767</v>
      </c>
      <c r="K1031" s="19" t="n">
        <v>0.546470367263176</v>
      </c>
      <c r="L1031" s="16" t="n">
        <v>11.4400536792659</v>
      </c>
      <c r="M1031" s="19" t="n">
        <v>0.738651018671371</v>
      </c>
      <c r="N1031" s="19" t="n">
        <v>0.767895630065028</v>
      </c>
      <c r="O1031" s="19" t="n">
        <v>0.85545548902767</v>
      </c>
      <c r="P1031" s="19" t="n">
        <v>0.34813235285382</v>
      </c>
      <c r="Q1031" s="17" t="s">
        <v>29</v>
      </c>
      <c r="R1031" s="5" t="str">
        <f aca="false">IF(OR(Q1031="Steel plate",Q1031="Concrete jacket"),"Steel plate or jacket",Q1031)</f>
        <v>Monitor</v>
      </c>
      <c r="S1031" s="5" t="str">
        <f aca="false">IF(O1031&lt;='Tree rules'!$C$4,IF(N1031&lt;='Tree rules'!$C$5,IF(P1031&lt;='Tree rules'!$C$6,"Monitor","Polymer laminate"),IF(P1031&lt;='Tree rules'!$C$7,"Seal cracks","Polymer laminate")),IF(O1031&lt;='Tree rules'!$C$8,IF(M1031&lt;='Tree rules'!$C$9,"Steel plate or jacket","Polymer laminate"),IF(L1031&lt;='Tree rules'!$C$10,"Steel plate or jacket","Polymer laminate")))</f>
        <v>Monitor</v>
      </c>
      <c r="T1031" s="5" t="str">
        <f aca="false">IF(S1031=R1031,"Yes","No")</f>
        <v>Yes</v>
      </c>
    </row>
    <row r="1032" customFormat="false" ht="15" hidden="false" customHeight="false" outlineLevel="0" collapsed="false">
      <c r="A1032" s="15" t="n">
        <v>1469</v>
      </c>
      <c r="B1032" s="16" t="n">
        <v>5.87462047855808</v>
      </c>
      <c r="C1032" s="15" t="n">
        <v>300</v>
      </c>
      <c r="D1032" s="15" t="n">
        <v>550</v>
      </c>
      <c r="E1032" s="15" t="n">
        <v>25</v>
      </c>
      <c r="F1032" s="16" t="n">
        <v>0.834420359519201</v>
      </c>
      <c r="G1032" s="17" t="s">
        <v>89</v>
      </c>
      <c r="H1032" s="18" t="n">
        <v>0.3</v>
      </c>
      <c r="I1032" s="18" t="n">
        <v>1.5</v>
      </c>
      <c r="J1032" s="19" t="n">
        <v>0.872813596226066</v>
      </c>
      <c r="K1032" s="19" t="n">
        <v>0.530620965349633</v>
      </c>
      <c r="L1032" s="16" t="n">
        <v>11.7024312321874</v>
      </c>
      <c r="M1032" s="19" t="n">
        <v>0.871433234989794</v>
      </c>
      <c r="N1032" s="19" t="n">
        <v>0.715861134817583</v>
      </c>
      <c r="O1032" s="19" t="n">
        <v>1.07765379783922</v>
      </c>
      <c r="P1032" s="19" t="n">
        <v>0.489923834043826</v>
      </c>
      <c r="Q1032" s="17" t="s">
        <v>31</v>
      </c>
      <c r="R1032" s="5" t="str">
        <f aca="false">IF(OR(Q1032="Steel plate",Q1032="Concrete jacket"),"Steel plate or jacket",Q1032)</f>
        <v>Polymer laminate</v>
      </c>
      <c r="S1032" s="5" t="str">
        <f aca="false">IF(O1032&lt;='Tree rules'!$C$4,IF(N1032&lt;='Tree rules'!$C$5,IF(P1032&lt;='Tree rules'!$C$6,"Monitor","Polymer laminate"),IF(P1032&lt;='Tree rules'!$C$7,"Seal cracks","Polymer laminate")),IF(O1032&lt;='Tree rules'!$C$8,IF(M1032&lt;='Tree rules'!$C$9,"Steel plate or jacket","Polymer laminate"),IF(L1032&lt;='Tree rules'!$C$10,"Steel plate or jacket","Polymer laminate")))</f>
        <v>Polymer laminate</v>
      </c>
      <c r="T1032" s="5" t="str">
        <f aca="false">IF(S1032=R1032,"Yes","No")</f>
        <v>Yes</v>
      </c>
    </row>
    <row r="1033" customFormat="false" ht="15" hidden="false" customHeight="false" outlineLevel="0" collapsed="false">
      <c r="A1033" s="15" t="n">
        <v>1470</v>
      </c>
      <c r="B1033" s="16" t="n">
        <v>6.10309442603372</v>
      </c>
      <c r="C1033" s="15" t="n">
        <v>230</v>
      </c>
      <c r="D1033" s="15" t="n">
        <v>500</v>
      </c>
      <c r="E1033" s="15" t="n">
        <v>30</v>
      </c>
      <c r="F1033" s="16" t="n">
        <v>0.604384889109233</v>
      </c>
      <c r="G1033" s="17" t="s">
        <v>89</v>
      </c>
      <c r="H1033" s="18" t="n">
        <v>0.3</v>
      </c>
      <c r="I1033" s="18" t="n">
        <v>2</v>
      </c>
      <c r="J1033" s="19" t="n">
        <v>0.94043993034152</v>
      </c>
      <c r="K1033" s="19" t="n">
        <v>0.603605309273167</v>
      </c>
      <c r="L1033" s="16" t="n">
        <v>13.5024212965348</v>
      </c>
      <c r="M1033" s="19" t="n">
        <v>0.458736453438323</v>
      </c>
      <c r="N1033" s="19" t="n">
        <v>1.28797417407193</v>
      </c>
      <c r="O1033" s="19" t="n">
        <v>1.31322532567641</v>
      </c>
      <c r="P1033" s="19" t="n">
        <v>0.865037637627371</v>
      </c>
      <c r="Q1033" s="17" t="s">
        <v>31</v>
      </c>
      <c r="R1033" s="5" t="str">
        <f aca="false">IF(OR(Q1033="Steel plate",Q1033="Concrete jacket"),"Steel plate or jacket",Q1033)</f>
        <v>Polymer laminate</v>
      </c>
      <c r="S1033" s="5" t="str">
        <f aca="false">IF(O1033&lt;='Tree rules'!$C$4,IF(N1033&lt;='Tree rules'!$C$5,IF(P1033&lt;='Tree rules'!$C$6,"Monitor","Polymer laminate"),IF(P1033&lt;='Tree rules'!$C$7,"Seal cracks","Polymer laminate")),IF(O1033&lt;='Tree rules'!$C$8,IF(M1033&lt;='Tree rules'!$C$9,"Steel plate or jacket","Polymer laminate"),IF(L1033&lt;='Tree rules'!$C$10,"Steel plate or jacket","Polymer laminate")))</f>
        <v>Polymer laminate</v>
      </c>
      <c r="T1033" s="5" t="str">
        <f aca="false">IF(S1033=R1033,"Yes","No")</f>
        <v>Yes</v>
      </c>
    </row>
    <row r="1034" customFormat="false" ht="15" hidden="false" customHeight="false" outlineLevel="0" collapsed="false">
      <c r="A1034" s="15" t="n">
        <v>1471</v>
      </c>
      <c r="B1034" s="16" t="n">
        <v>4.00125021979658</v>
      </c>
      <c r="C1034" s="15" t="n">
        <v>300</v>
      </c>
      <c r="D1034" s="15" t="n">
        <v>375</v>
      </c>
      <c r="E1034" s="15" t="n">
        <v>30</v>
      </c>
      <c r="F1034" s="16" t="n">
        <v>0.569472988566126</v>
      </c>
      <c r="G1034" s="17" t="s">
        <v>91</v>
      </c>
      <c r="H1034" s="18" t="n">
        <v>0.2</v>
      </c>
      <c r="I1034" s="18" t="n">
        <v>2</v>
      </c>
      <c r="J1034" s="19" t="n">
        <v>0.912000012146502</v>
      </c>
      <c r="K1034" s="19" t="n">
        <v>0.562541527178308</v>
      </c>
      <c r="L1034" s="16" t="n">
        <v>12.0883692440984</v>
      </c>
      <c r="M1034" s="19" t="n">
        <v>0.615375858237664</v>
      </c>
      <c r="N1034" s="19" t="n">
        <v>1.33624472088327</v>
      </c>
      <c r="O1034" s="19" t="n">
        <v>1.31096214467348</v>
      </c>
      <c r="P1034" s="19" t="n">
        <v>0.50147801140783</v>
      </c>
      <c r="Q1034" s="17" t="s">
        <v>31</v>
      </c>
      <c r="R1034" s="5" t="str">
        <f aca="false">IF(OR(Q1034="Steel plate",Q1034="Concrete jacket"),"Steel plate or jacket",Q1034)</f>
        <v>Polymer laminate</v>
      </c>
      <c r="S1034" s="5" t="str">
        <f aca="false">IF(O1034&lt;='Tree rules'!$C$4,IF(N1034&lt;='Tree rules'!$C$5,IF(P1034&lt;='Tree rules'!$C$6,"Monitor","Polymer laminate"),IF(P1034&lt;='Tree rules'!$C$7,"Seal cracks","Polymer laminate")),IF(O1034&lt;='Tree rules'!$C$8,IF(M1034&lt;='Tree rules'!$C$9,"Steel plate or jacket","Polymer laminate"),IF(L1034&lt;='Tree rules'!$C$10,"Steel plate or jacket","Polymer laminate")))</f>
        <v>Steel plate or jacket</v>
      </c>
      <c r="T1034" s="5" t="str">
        <f aca="false">IF(S1034=R1034,"Yes","No")</f>
        <v>No</v>
      </c>
    </row>
    <row r="1035" customFormat="false" ht="15" hidden="false" customHeight="false" outlineLevel="0" collapsed="false">
      <c r="A1035" s="15" t="n">
        <v>1472</v>
      </c>
      <c r="B1035" s="16" t="n">
        <v>4.75561803995551</v>
      </c>
      <c r="C1035" s="15" t="n">
        <v>300</v>
      </c>
      <c r="D1035" s="15" t="n">
        <v>400</v>
      </c>
      <c r="E1035" s="15" t="n">
        <v>25</v>
      </c>
      <c r="F1035" s="16" t="n">
        <v>0.635378289490071</v>
      </c>
      <c r="G1035" s="17" t="s">
        <v>89</v>
      </c>
      <c r="H1035" s="18" t="n">
        <v>0.3</v>
      </c>
      <c r="I1035" s="18" t="n">
        <v>2</v>
      </c>
      <c r="J1035" s="19" t="n">
        <v>0.939741308362059</v>
      </c>
      <c r="K1035" s="19" t="n">
        <v>0.466376214907342</v>
      </c>
      <c r="L1035" s="16" t="n">
        <v>13.3584776403245</v>
      </c>
      <c r="M1035" s="19" t="n">
        <v>0.695343179074585</v>
      </c>
      <c r="N1035" s="19" t="n">
        <v>0.928843358563483</v>
      </c>
      <c r="O1035" s="19" t="n">
        <v>1.44120962233815</v>
      </c>
      <c r="P1035" s="19" t="n">
        <v>0.598243523954117</v>
      </c>
      <c r="Q1035" s="17" t="s">
        <v>31</v>
      </c>
      <c r="R1035" s="5" t="str">
        <f aca="false">IF(OR(Q1035="Steel plate",Q1035="Concrete jacket"),"Steel plate or jacket",Q1035)</f>
        <v>Polymer laminate</v>
      </c>
      <c r="S1035" s="5" t="str">
        <f aca="false">IF(O1035&lt;='Tree rules'!$C$4,IF(N1035&lt;='Tree rules'!$C$5,IF(P1035&lt;='Tree rules'!$C$6,"Monitor","Polymer laminate"),IF(P1035&lt;='Tree rules'!$C$7,"Seal cracks","Polymer laminate")),IF(O1035&lt;='Tree rules'!$C$8,IF(M1035&lt;='Tree rules'!$C$9,"Steel plate or jacket","Polymer laminate"),IF(L1035&lt;='Tree rules'!$C$10,"Steel plate or jacket","Polymer laminate")))</f>
        <v>Polymer laminate</v>
      </c>
      <c r="T1035" s="5" t="str">
        <f aca="false">IF(S1035=R1035,"Yes","No")</f>
        <v>Yes</v>
      </c>
    </row>
    <row r="1036" customFormat="false" ht="15" hidden="false" customHeight="false" outlineLevel="0" collapsed="false">
      <c r="A1036" s="15" t="n">
        <v>1475</v>
      </c>
      <c r="B1036" s="16" t="n">
        <v>3.17947562056695</v>
      </c>
      <c r="C1036" s="15" t="n">
        <v>230</v>
      </c>
      <c r="D1036" s="15" t="n">
        <v>300</v>
      </c>
      <c r="E1036" s="15" t="n">
        <v>30</v>
      </c>
      <c r="F1036" s="16" t="n">
        <v>0.768324290280112</v>
      </c>
      <c r="G1036" s="17" t="s">
        <v>89</v>
      </c>
      <c r="H1036" s="18" t="n">
        <v>0.3</v>
      </c>
      <c r="I1036" s="18" t="n">
        <v>1</v>
      </c>
      <c r="J1036" s="19" t="n">
        <v>0.986665146118293</v>
      </c>
      <c r="K1036" s="19" t="n">
        <v>0.47259224094277</v>
      </c>
      <c r="L1036" s="16" t="n">
        <v>12.4198266428397</v>
      </c>
      <c r="M1036" s="19" t="n">
        <v>0.590844774333197</v>
      </c>
      <c r="N1036" s="19" t="n">
        <v>0.675497372057156</v>
      </c>
      <c r="O1036" s="19" t="n">
        <v>0.986665146118293</v>
      </c>
      <c r="P1036" s="19" t="n">
        <v>0.510549971018259</v>
      </c>
      <c r="Q1036" s="17" t="s">
        <v>29</v>
      </c>
      <c r="R1036" s="5" t="str">
        <f aca="false">IF(OR(Q1036="Steel plate",Q1036="Concrete jacket"),"Steel plate or jacket",Q1036)</f>
        <v>Monitor</v>
      </c>
      <c r="S1036" s="5" t="str">
        <f aca="false">IF(O1036&lt;='Tree rules'!$C$4,IF(N1036&lt;='Tree rules'!$C$5,IF(P1036&lt;='Tree rules'!$C$6,"Monitor","Polymer laminate"),IF(P1036&lt;='Tree rules'!$C$7,"Seal cracks","Polymer laminate")),IF(O1036&lt;='Tree rules'!$C$8,IF(M1036&lt;='Tree rules'!$C$9,"Steel plate or jacket","Polymer laminate"),IF(L1036&lt;='Tree rules'!$C$10,"Steel plate or jacket","Polymer laminate")))</f>
        <v>Monitor</v>
      </c>
      <c r="T1036" s="5" t="str">
        <f aca="false">IF(S1036=R1036,"Yes","No")</f>
        <v>Yes</v>
      </c>
    </row>
    <row r="1037" customFormat="false" ht="15" hidden="false" customHeight="false" outlineLevel="0" collapsed="false">
      <c r="A1037" s="15" t="n">
        <v>1476</v>
      </c>
      <c r="B1037" s="16" t="n">
        <v>3.17637708755801</v>
      </c>
      <c r="C1037" s="15" t="n">
        <v>230</v>
      </c>
      <c r="D1037" s="15" t="n">
        <v>325</v>
      </c>
      <c r="E1037" s="15" t="n">
        <v>30</v>
      </c>
      <c r="F1037" s="16" t="n">
        <v>0.98621649775225</v>
      </c>
      <c r="G1037" s="17" t="s">
        <v>89</v>
      </c>
      <c r="H1037" s="18" t="n">
        <v>0.3</v>
      </c>
      <c r="I1037" s="18" t="n">
        <v>1</v>
      </c>
      <c r="J1037" s="19" t="n">
        <v>0.880553473492708</v>
      </c>
      <c r="K1037" s="19" t="n">
        <v>0.626856371939032</v>
      </c>
      <c r="L1037" s="16" t="n">
        <v>11.4670652980434</v>
      </c>
      <c r="M1037" s="19" t="n">
        <v>0.740922545602566</v>
      </c>
      <c r="N1037" s="19" t="n">
        <v>0.798914728800845</v>
      </c>
      <c r="O1037" s="19" t="n">
        <v>0.880553473492708</v>
      </c>
      <c r="P1037" s="19" t="n">
        <v>0.483023574416823</v>
      </c>
      <c r="Q1037" s="17" t="s">
        <v>29</v>
      </c>
      <c r="R1037" s="5" t="str">
        <f aca="false">IF(OR(Q1037="Steel plate",Q1037="Concrete jacket"),"Steel plate or jacket",Q1037)</f>
        <v>Monitor</v>
      </c>
      <c r="S1037" s="5" t="str">
        <f aca="false">IF(O1037&lt;='Tree rules'!$C$4,IF(N1037&lt;='Tree rules'!$C$5,IF(P1037&lt;='Tree rules'!$C$6,"Monitor","Polymer laminate"),IF(P1037&lt;='Tree rules'!$C$7,"Seal cracks","Polymer laminate")),IF(O1037&lt;='Tree rules'!$C$8,IF(M1037&lt;='Tree rules'!$C$9,"Steel plate or jacket","Polymer laminate"),IF(L1037&lt;='Tree rules'!$C$10,"Steel plate or jacket","Polymer laminate")))</f>
        <v>Monitor</v>
      </c>
      <c r="T1037" s="5" t="str">
        <f aca="false">IF(S1037=R1037,"Yes","No")</f>
        <v>Yes</v>
      </c>
    </row>
    <row r="1038" customFormat="false" ht="15" hidden="false" customHeight="false" outlineLevel="0" collapsed="false">
      <c r="A1038" s="15" t="n">
        <v>1477</v>
      </c>
      <c r="B1038" s="16" t="n">
        <v>4.96839918525926</v>
      </c>
      <c r="C1038" s="15" t="n">
        <v>230</v>
      </c>
      <c r="D1038" s="15" t="n">
        <v>425</v>
      </c>
      <c r="E1038" s="15" t="n">
        <v>30</v>
      </c>
      <c r="F1038" s="16" t="n">
        <v>0.691964884122107</v>
      </c>
      <c r="G1038" s="17" t="s">
        <v>91</v>
      </c>
      <c r="H1038" s="18" t="n">
        <v>0.2</v>
      </c>
      <c r="I1038" s="18" t="n">
        <v>2</v>
      </c>
      <c r="J1038" s="19" t="n">
        <v>0.947264003232052</v>
      </c>
      <c r="K1038" s="19" t="n">
        <v>0.587855702332631</v>
      </c>
      <c r="L1038" s="16" t="n">
        <v>13.1092326787843</v>
      </c>
      <c r="M1038" s="19" t="n">
        <v>0.601367458879361</v>
      </c>
      <c r="N1038" s="19" t="n">
        <v>1.47490934833779</v>
      </c>
      <c r="O1038" s="19" t="n">
        <v>1.33767346054971</v>
      </c>
      <c r="P1038" s="19" t="n">
        <v>0.702842996038772</v>
      </c>
      <c r="Q1038" s="17" t="s">
        <v>31</v>
      </c>
      <c r="R1038" s="5" t="str">
        <f aca="false">IF(OR(Q1038="Steel plate",Q1038="Concrete jacket"),"Steel plate or jacket",Q1038)</f>
        <v>Polymer laminate</v>
      </c>
      <c r="S1038" s="5" t="str">
        <f aca="false">IF(O1038&lt;='Tree rules'!$C$4,IF(N1038&lt;='Tree rules'!$C$5,IF(P1038&lt;='Tree rules'!$C$6,"Monitor","Polymer laminate"),IF(P1038&lt;='Tree rules'!$C$7,"Seal cracks","Polymer laminate")),IF(O1038&lt;='Tree rules'!$C$8,IF(M1038&lt;='Tree rules'!$C$9,"Steel plate or jacket","Polymer laminate"),IF(L1038&lt;='Tree rules'!$C$10,"Steel plate or jacket","Polymer laminate")))</f>
        <v>Polymer laminate</v>
      </c>
      <c r="T1038" s="5" t="str">
        <f aca="false">IF(S1038=R1038,"Yes","No")</f>
        <v>Yes</v>
      </c>
    </row>
    <row r="1039" customFormat="false" ht="15" hidden="false" customHeight="false" outlineLevel="0" collapsed="false">
      <c r="A1039" s="15" t="n">
        <v>1480</v>
      </c>
      <c r="B1039" s="16" t="n">
        <v>5.23171823264764</v>
      </c>
      <c r="C1039" s="15" t="n">
        <v>230</v>
      </c>
      <c r="D1039" s="15" t="n">
        <v>500</v>
      </c>
      <c r="E1039" s="15" t="n">
        <v>30</v>
      </c>
      <c r="F1039" s="16" t="n">
        <v>0.90657733366385</v>
      </c>
      <c r="G1039" s="17" t="s">
        <v>89</v>
      </c>
      <c r="H1039" s="18" t="n">
        <v>0.3</v>
      </c>
      <c r="I1039" s="18" t="n">
        <v>1</v>
      </c>
      <c r="J1039" s="19" t="n">
        <v>0.858850740577911</v>
      </c>
      <c r="K1039" s="19" t="n">
        <v>0.579325705219812</v>
      </c>
      <c r="L1039" s="16" t="n">
        <v>11.5745978598399</v>
      </c>
      <c r="M1039" s="19" t="n">
        <v>0.920023378144474</v>
      </c>
      <c r="N1039" s="19" t="n">
        <v>0.569368397749471</v>
      </c>
      <c r="O1039" s="19" t="n">
        <v>0.858850740577911</v>
      </c>
      <c r="P1039" s="19" t="n">
        <v>0.41964065820045</v>
      </c>
      <c r="Q1039" s="17" t="s">
        <v>29</v>
      </c>
      <c r="R1039" s="5" t="str">
        <f aca="false">IF(OR(Q1039="Steel plate",Q1039="Concrete jacket"),"Steel plate or jacket",Q1039)</f>
        <v>Monitor</v>
      </c>
      <c r="S1039" s="5" t="str">
        <f aca="false">IF(O1039&lt;='Tree rules'!$C$4,IF(N1039&lt;='Tree rules'!$C$5,IF(P1039&lt;='Tree rules'!$C$6,"Monitor","Polymer laminate"),IF(P1039&lt;='Tree rules'!$C$7,"Seal cracks","Polymer laminate")),IF(O1039&lt;='Tree rules'!$C$8,IF(M1039&lt;='Tree rules'!$C$9,"Steel plate or jacket","Polymer laminate"),IF(L1039&lt;='Tree rules'!$C$10,"Steel plate or jacket","Polymer laminate")))</f>
        <v>Monitor</v>
      </c>
      <c r="T1039" s="5" t="str">
        <f aca="false">IF(S1039=R1039,"Yes","No")</f>
        <v>Yes</v>
      </c>
    </row>
    <row r="1040" customFormat="false" ht="15" hidden="false" customHeight="false" outlineLevel="0" collapsed="false">
      <c r="A1040" s="15" t="n">
        <v>1481</v>
      </c>
      <c r="B1040" s="16" t="n">
        <v>3.48741820436322</v>
      </c>
      <c r="C1040" s="15" t="n">
        <v>230</v>
      </c>
      <c r="D1040" s="15" t="n">
        <v>300</v>
      </c>
      <c r="E1040" s="15" t="n">
        <v>25</v>
      </c>
      <c r="F1040" s="16" t="n">
        <v>0.688332522525665</v>
      </c>
      <c r="G1040" s="17" t="s">
        <v>89</v>
      </c>
      <c r="H1040" s="18" t="n">
        <v>0.3</v>
      </c>
      <c r="I1040" s="18" t="n">
        <v>2</v>
      </c>
      <c r="J1040" s="19" t="n">
        <v>0.947576467825635</v>
      </c>
      <c r="K1040" s="19" t="n">
        <v>0.479886452060025</v>
      </c>
      <c r="L1040" s="16" t="n">
        <v>13.7299929305639</v>
      </c>
      <c r="M1040" s="19" t="n">
        <v>0.931772624234165</v>
      </c>
      <c r="N1040" s="19" t="n">
        <v>1.29089665584738</v>
      </c>
      <c r="O1040" s="19" t="n">
        <v>1.44042382645086</v>
      </c>
      <c r="P1040" s="19" t="n">
        <v>0.432448312579964</v>
      </c>
      <c r="Q1040" s="17" t="s">
        <v>31</v>
      </c>
      <c r="R1040" s="5" t="str">
        <f aca="false">IF(OR(Q1040="Steel plate",Q1040="Concrete jacket"),"Steel plate or jacket",Q1040)</f>
        <v>Polymer laminate</v>
      </c>
      <c r="S1040" s="5" t="str">
        <f aca="false">IF(O1040&lt;='Tree rules'!$C$4,IF(N1040&lt;='Tree rules'!$C$5,IF(P1040&lt;='Tree rules'!$C$6,"Monitor","Polymer laminate"),IF(P1040&lt;='Tree rules'!$C$7,"Seal cracks","Polymer laminate")),IF(O1040&lt;='Tree rules'!$C$8,IF(M1040&lt;='Tree rules'!$C$9,"Steel plate or jacket","Polymer laminate"),IF(L1040&lt;='Tree rules'!$C$10,"Steel plate or jacket","Polymer laminate")))</f>
        <v>Polymer laminate</v>
      </c>
      <c r="T1040" s="5" t="str">
        <f aca="false">IF(S1040=R1040,"Yes","No")</f>
        <v>Yes</v>
      </c>
    </row>
    <row r="1041" customFormat="false" ht="15" hidden="false" customHeight="false" outlineLevel="0" collapsed="false">
      <c r="A1041" s="15" t="n">
        <v>1482</v>
      </c>
      <c r="B1041" s="16" t="n">
        <v>3.79825071098431</v>
      </c>
      <c r="C1041" s="15" t="n">
        <v>300</v>
      </c>
      <c r="D1041" s="15" t="n">
        <v>350</v>
      </c>
      <c r="E1041" s="15" t="n">
        <v>25</v>
      </c>
      <c r="F1041" s="16" t="n">
        <v>0.693508312050727</v>
      </c>
      <c r="G1041" s="17" t="s">
        <v>89</v>
      </c>
      <c r="H1041" s="18" t="n">
        <v>0.3</v>
      </c>
      <c r="I1041" s="18" t="n">
        <v>1</v>
      </c>
      <c r="J1041" s="19" t="n">
        <v>0.978067446830254</v>
      </c>
      <c r="K1041" s="19" t="n">
        <v>0.616366467396575</v>
      </c>
      <c r="L1041" s="16" t="n">
        <v>12.5769891092196</v>
      </c>
      <c r="M1041" s="19" t="n">
        <v>0.378713166132678</v>
      </c>
      <c r="N1041" s="19" t="n">
        <v>1.13250023962672</v>
      </c>
      <c r="O1041" s="19" t="n">
        <v>0.978067446830254</v>
      </c>
      <c r="P1041" s="19" t="n">
        <v>0.894379473584586</v>
      </c>
      <c r="Q1041" s="17" t="s">
        <v>30</v>
      </c>
      <c r="R1041" s="5" t="str">
        <f aca="false">IF(OR(Q1041="Steel plate",Q1041="Concrete jacket"),"Steel plate or jacket",Q1041)</f>
        <v>Seal cracks</v>
      </c>
      <c r="S1041" s="5" t="str">
        <f aca="false">IF(O1041&lt;='Tree rules'!$C$4,IF(N1041&lt;='Tree rules'!$C$5,IF(P1041&lt;='Tree rules'!$C$6,"Monitor","Polymer laminate"),IF(P1041&lt;='Tree rules'!$C$7,"Seal cracks","Polymer laminate")),IF(O1041&lt;='Tree rules'!$C$8,IF(M1041&lt;='Tree rules'!$C$9,"Steel plate or jacket","Polymer laminate"),IF(L1041&lt;='Tree rules'!$C$10,"Steel plate or jacket","Polymer laminate")))</f>
        <v>Seal cracks</v>
      </c>
      <c r="T1041" s="5" t="str">
        <f aca="false">IF(S1041=R1041,"Yes","No")</f>
        <v>Yes</v>
      </c>
    </row>
    <row r="1042" customFormat="false" ht="15" hidden="false" customHeight="false" outlineLevel="0" collapsed="false">
      <c r="A1042" s="15" t="n">
        <v>1485</v>
      </c>
      <c r="B1042" s="16" t="n">
        <v>3.89736447026868</v>
      </c>
      <c r="C1042" s="15" t="n">
        <v>230</v>
      </c>
      <c r="D1042" s="15" t="n">
        <v>300</v>
      </c>
      <c r="E1042" s="15" t="n">
        <v>30</v>
      </c>
      <c r="F1042" s="16" t="n">
        <v>0.688332522525665</v>
      </c>
      <c r="G1042" s="17" t="s">
        <v>89</v>
      </c>
      <c r="H1042" s="18" t="n">
        <v>0.3</v>
      </c>
      <c r="I1042" s="18" t="n">
        <v>2</v>
      </c>
      <c r="J1042" s="19" t="n">
        <v>0.850362632077908</v>
      </c>
      <c r="K1042" s="19" t="n">
        <v>0.599624541099963</v>
      </c>
      <c r="L1042" s="16" t="n">
        <v>15.343954607357</v>
      </c>
      <c r="M1042" s="19" t="n">
        <v>0.812161628602018</v>
      </c>
      <c r="N1042" s="19" t="n">
        <v>1.07808126234168</v>
      </c>
      <c r="O1042" s="19" t="n">
        <v>1.19082696112754</v>
      </c>
      <c r="P1042" s="19" t="n">
        <v>0.479506725922831</v>
      </c>
      <c r="Q1042" s="17" t="s">
        <v>31</v>
      </c>
      <c r="R1042" s="5" t="str">
        <f aca="false">IF(OR(Q1042="Steel plate",Q1042="Concrete jacket"),"Steel plate or jacket",Q1042)</f>
        <v>Polymer laminate</v>
      </c>
      <c r="S1042" s="5" t="str">
        <f aca="false">IF(O1042&lt;='Tree rules'!$C$4,IF(N1042&lt;='Tree rules'!$C$5,IF(P1042&lt;='Tree rules'!$C$6,"Monitor","Polymer laminate"),IF(P1042&lt;='Tree rules'!$C$7,"Seal cracks","Polymer laminate")),IF(O1042&lt;='Tree rules'!$C$8,IF(M1042&lt;='Tree rules'!$C$9,"Steel plate or jacket","Polymer laminate"),IF(L1042&lt;='Tree rules'!$C$10,"Steel plate or jacket","Polymer laminate")))</f>
        <v>Polymer laminate</v>
      </c>
      <c r="T1042" s="5" t="str">
        <f aca="false">IF(S1042=R1042,"Yes","No")</f>
        <v>Yes</v>
      </c>
    </row>
    <row r="1043" customFormat="false" ht="15" hidden="false" customHeight="false" outlineLevel="0" collapsed="false">
      <c r="A1043" s="15" t="n">
        <v>1486</v>
      </c>
      <c r="B1043" s="16" t="n">
        <v>3.35011835239094</v>
      </c>
      <c r="C1043" s="15" t="n">
        <v>300</v>
      </c>
      <c r="D1043" s="15" t="n">
        <v>325</v>
      </c>
      <c r="E1043" s="15" t="n">
        <v>30</v>
      </c>
      <c r="F1043" s="16" t="n">
        <v>0.72065207824282</v>
      </c>
      <c r="G1043" s="17" t="s">
        <v>91</v>
      </c>
      <c r="H1043" s="18" t="n">
        <v>0.2</v>
      </c>
      <c r="I1043" s="18" t="n">
        <v>1</v>
      </c>
      <c r="J1043" s="19" t="n">
        <v>0.99201999675138</v>
      </c>
      <c r="K1043" s="19" t="n">
        <v>0.469689271719526</v>
      </c>
      <c r="L1043" s="16" t="n">
        <v>12.0075926608994</v>
      </c>
      <c r="M1043" s="19" t="n">
        <v>0.545707585419596</v>
      </c>
      <c r="N1043" s="19" t="n">
        <v>1.25967226934909</v>
      </c>
      <c r="O1043" s="19" t="n">
        <v>0.99201999675138</v>
      </c>
      <c r="P1043" s="19" t="n">
        <v>0.521131668261429</v>
      </c>
      <c r="Q1043" s="17" t="s">
        <v>30</v>
      </c>
      <c r="R1043" s="5" t="str">
        <f aca="false">IF(OR(Q1043="Steel plate",Q1043="Concrete jacket"),"Steel plate or jacket",Q1043)</f>
        <v>Seal cracks</v>
      </c>
      <c r="S1043" s="5" t="str">
        <f aca="false">IF(O1043&lt;='Tree rules'!$C$4,IF(N1043&lt;='Tree rules'!$C$5,IF(P1043&lt;='Tree rules'!$C$6,"Monitor","Polymer laminate"),IF(P1043&lt;='Tree rules'!$C$7,"Seal cracks","Polymer laminate")),IF(O1043&lt;='Tree rules'!$C$8,IF(M1043&lt;='Tree rules'!$C$9,"Steel plate or jacket","Polymer laminate"),IF(L1043&lt;='Tree rules'!$C$10,"Steel plate or jacket","Polymer laminate")))</f>
        <v>Seal cracks</v>
      </c>
      <c r="T1043" s="5" t="str">
        <f aca="false">IF(S1043=R1043,"Yes","No")</f>
        <v>Yes</v>
      </c>
    </row>
    <row r="1044" customFormat="false" ht="15" hidden="false" customHeight="false" outlineLevel="0" collapsed="false">
      <c r="A1044" s="15" t="n">
        <v>1487</v>
      </c>
      <c r="B1044" s="16" t="n">
        <v>6.74132931099905</v>
      </c>
      <c r="C1044" s="15" t="n">
        <v>300</v>
      </c>
      <c r="D1044" s="15" t="n">
        <v>650</v>
      </c>
      <c r="E1044" s="15" t="n">
        <v>30</v>
      </c>
      <c r="F1044" s="16" t="n">
        <v>0.713592879861395</v>
      </c>
      <c r="G1044" s="17" t="s">
        <v>90</v>
      </c>
      <c r="H1044" s="18" t="n">
        <v>0.1</v>
      </c>
      <c r="I1044" s="18" t="n">
        <v>2</v>
      </c>
      <c r="J1044" s="19" t="n">
        <v>0.87596194520339</v>
      </c>
      <c r="K1044" s="19" t="n">
        <v>0.52459026248823</v>
      </c>
      <c r="L1044" s="16" t="n">
        <v>11.4843770204413</v>
      </c>
      <c r="M1044" s="19" t="n">
        <v>0.373744207209573</v>
      </c>
      <c r="N1044" s="19" t="n">
        <v>3.62116740240325</v>
      </c>
      <c r="O1044" s="19" t="n">
        <v>1.29240278364283</v>
      </c>
      <c r="P1044" s="19" t="n">
        <v>0.94489178582441</v>
      </c>
      <c r="Q1044" s="17" t="s">
        <v>31</v>
      </c>
      <c r="R1044" s="5" t="str">
        <f aca="false">IF(OR(Q1044="Steel plate",Q1044="Concrete jacket"),"Steel plate or jacket",Q1044)</f>
        <v>Polymer laminate</v>
      </c>
      <c r="S1044" s="5" t="str">
        <f aca="false">IF(O1044&lt;='Tree rules'!$C$4,IF(N1044&lt;='Tree rules'!$C$5,IF(P1044&lt;='Tree rules'!$C$6,"Monitor","Polymer laminate"),IF(P1044&lt;='Tree rules'!$C$7,"Seal cracks","Polymer laminate")),IF(O1044&lt;='Tree rules'!$C$8,IF(M1044&lt;='Tree rules'!$C$9,"Steel plate or jacket","Polymer laminate"),IF(L1044&lt;='Tree rules'!$C$10,"Steel plate or jacket","Polymer laminate")))</f>
        <v>Polymer laminate</v>
      </c>
      <c r="T1044" s="5" t="str">
        <f aca="false">IF(S1044=R1044,"Yes","No")</f>
        <v>Yes</v>
      </c>
    </row>
    <row r="1045" customFormat="false" ht="15" hidden="false" customHeight="false" outlineLevel="0" collapsed="false">
      <c r="A1045" s="15" t="n">
        <v>1488</v>
      </c>
      <c r="B1045" s="16" t="n">
        <v>3.51505719046561</v>
      </c>
      <c r="C1045" s="15" t="n">
        <v>230</v>
      </c>
      <c r="D1045" s="15" t="n">
        <v>325</v>
      </c>
      <c r="E1045" s="15" t="n">
        <v>30</v>
      </c>
      <c r="F1045" s="16" t="n">
        <v>0.939980971621069</v>
      </c>
      <c r="G1045" s="17" t="s">
        <v>89</v>
      </c>
      <c r="H1045" s="18" t="n">
        <v>0.3</v>
      </c>
      <c r="I1045" s="18" t="n">
        <v>2</v>
      </c>
      <c r="J1045" s="19" t="n">
        <v>0.871435516817705</v>
      </c>
      <c r="K1045" s="19" t="n">
        <v>0.613053347813715</v>
      </c>
      <c r="L1045" s="16" t="n">
        <v>12.5987712919914</v>
      </c>
      <c r="M1045" s="19" t="n">
        <v>0.668601809363829</v>
      </c>
      <c r="N1045" s="19" t="n">
        <v>0.900794164407911</v>
      </c>
      <c r="O1045" s="19" t="n">
        <v>1.20863457264654</v>
      </c>
      <c r="P1045" s="19" t="n">
        <v>0.658021124824958</v>
      </c>
      <c r="Q1045" s="17" t="s">
        <v>31</v>
      </c>
      <c r="R1045" s="5" t="str">
        <f aca="false">IF(OR(Q1045="Steel plate",Q1045="Concrete jacket"),"Steel plate or jacket",Q1045)</f>
        <v>Polymer laminate</v>
      </c>
      <c r="S1045" s="5" t="str">
        <f aca="false">IF(O1045&lt;='Tree rules'!$C$4,IF(N1045&lt;='Tree rules'!$C$5,IF(P1045&lt;='Tree rules'!$C$6,"Monitor","Polymer laminate"),IF(P1045&lt;='Tree rules'!$C$7,"Seal cracks","Polymer laminate")),IF(O1045&lt;='Tree rules'!$C$8,IF(M1045&lt;='Tree rules'!$C$9,"Steel plate or jacket","Polymer laminate"),IF(L1045&lt;='Tree rules'!$C$10,"Steel plate or jacket","Polymer laminate")))</f>
        <v>Polymer laminate</v>
      </c>
      <c r="T1045" s="5" t="str">
        <f aca="false">IF(S1045=R1045,"Yes","No")</f>
        <v>Yes</v>
      </c>
    </row>
    <row r="1046" customFormat="false" ht="15" hidden="false" customHeight="false" outlineLevel="0" collapsed="false">
      <c r="A1046" s="15" t="n">
        <v>1489</v>
      </c>
      <c r="B1046" s="16" t="n">
        <v>4.11738111105606</v>
      </c>
      <c r="C1046" s="15" t="n">
        <v>300</v>
      </c>
      <c r="D1046" s="15" t="n">
        <v>400</v>
      </c>
      <c r="E1046" s="15" t="n">
        <v>30</v>
      </c>
      <c r="F1046" s="16" t="n">
        <v>0.594998608634431</v>
      </c>
      <c r="G1046" s="17" t="s">
        <v>91</v>
      </c>
      <c r="H1046" s="18" t="n">
        <v>0.2</v>
      </c>
      <c r="I1046" s="18" t="n">
        <v>1</v>
      </c>
      <c r="J1046" s="19" t="n">
        <v>0.970958352701025</v>
      </c>
      <c r="K1046" s="19" t="n">
        <v>0.45488473307964</v>
      </c>
      <c r="L1046" s="16" t="n">
        <v>11.6971054291365</v>
      </c>
      <c r="M1046" s="19" t="n">
        <v>0.504208393790022</v>
      </c>
      <c r="N1046" s="19" t="n">
        <v>1.68095785138753</v>
      </c>
      <c r="O1046" s="19" t="n">
        <v>0.970958352701025</v>
      </c>
      <c r="P1046" s="19" t="n">
        <v>0.483835580465852</v>
      </c>
      <c r="Q1046" s="17" t="s">
        <v>30</v>
      </c>
      <c r="R1046" s="5" t="str">
        <f aca="false">IF(OR(Q1046="Steel plate",Q1046="Concrete jacket"),"Steel plate or jacket",Q1046)</f>
        <v>Seal cracks</v>
      </c>
      <c r="S1046" s="5" t="str">
        <f aca="false">IF(O1046&lt;='Tree rules'!$C$4,IF(N1046&lt;='Tree rules'!$C$5,IF(P1046&lt;='Tree rules'!$C$6,"Monitor","Polymer laminate"),IF(P1046&lt;='Tree rules'!$C$7,"Seal cracks","Polymer laminate")),IF(O1046&lt;='Tree rules'!$C$8,IF(M1046&lt;='Tree rules'!$C$9,"Steel plate or jacket","Polymer laminate"),IF(L1046&lt;='Tree rules'!$C$10,"Steel plate or jacket","Polymer laminate")))</f>
        <v>Seal cracks</v>
      </c>
      <c r="T1046" s="5" t="str">
        <f aca="false">IF(S1046=R1046,"Yes","No")</f>
        <v>Yes</v>
      </c>
    </row>
    <row r="1047" customFormat="false" ht="15" hidden="false" customHeight="false" outlineLevel="0" collapsed="false">
      <c r="A1047" s="15" t="n">
        <v>1490</v>
      </c>
      <c r="B1047" s="16" t="n">
        <v>6.13706826156071</v>
      </c>
      <c r="C1047" s="15" t="n">
        <v>300</v>
      </c>
      <c r="D1047" s="15" t="n">
        <v>525</v>
      </c>
      <c r="E1047" s="15" t="n">
        <v>25</v>
      </c>
      <c r="F1047" s="16" t="n">
        <v>0.699589178252424</v>
      </c>
      <c r="G1047" s="17" t="s">
        <v>91</v>
      </c>
      <c r="H1047" s="18" t="n">
        <v>0.2</v>
      </c>
      <c r="I1047" s="18" t="n">
        <v>1</v>
      </c>
      <c r="J1047" s="19" t="n">
        <v>0.88784509810011</v>
      </c>
      <c r="K1047" s="19" t="n">
        <v>0.562215959908986</v>
      </c>
      <c r="L1047" s="16" t="n">
        <v>12.8122510679764</v>
      </c>
      <c r="M1047" s="19" t="n">
        <v>0.935009955855797</v>
      </c>
      <c r="N1047" s="19" t="n">
        <v>0.789693180610948</v>
      </c>
      <c r="O1047" s="19" t="n">
        <v>0.88784509810011</v>
      </c>
      <c r="P1047" s="19" t="n">
        <v>0.413259626428013</v>
      </c>
      <c r="Q1047" s="17" t="s">
        <v>29</v>
      </c>
      <c r="R1047" s="5" t="str">
        <f aca="false">IF(OR(Q1047="Steel plate",Q1047="Concrete jacket"),"Steel plate or jacket",Q1047)</f>
        <v>Monitor</v>
      </c>
      <c r="S1047" s="5" t="str">
        <f aca="false">IF(O1047&lt;='Tree rules'!$C$4,IF(N1047&lt;='Tree rules'!$C$5,IF(P1047&lt;='Tree rules'!$C$6,"Monitor","Polymer laminate"),IF(P1047&lt;='Tree rules'!$C$7,"Seal cracks","Polymer laminate")),IF(O1047&lt;='Tree rules'!$C$8,IF(M1047&lt;='Tree rules'!$C$9,"Steel plate or jacket","Polymer laminate"),IF(L1047&lt;='Tree rules'!$C$10,"Steel plate or jacket","Polymer laminate")))</f>
        <v>Monitor</v>
      </c>
      <c r="T1047" s="5" t="str">
        <f aca="false">IF(S1047=R1047,"Yes","No")</f>
        <v>Yes</v>
      </c>
    </row>
    <row r="1048" customFormat="false" ht="15" hidden="false" customHeight="false" outlineLevel="0" collapsed="false">
      <c r="A1048" s="15" t="n">
        <v>1491</v>
      </c>
      <c r="B1048" s="16" t="n">
        <v>5.32222298581092</v>
      </c>
      <c r="C1048" s="15" t="n">
        <v>300</v>
      </c>
      <c r="D1048" s="15" t="n">
        <v>450</v>
      </c>
      <c r="E1048" s="15" t="n">
        <v>25</v>
      </c>
      <c r="F1048" s="16" t="n">
        <v>0.663570725510715</v>
      </c>
      <c r="G1048" s="17" t="s">
        <v>91</v>
      </c>
      <c r="H1048" s="18" t="n">
        <v>0.2</v>
      </c>
      <c r="I1048" s="18" t="n">
        <v>1</v>
      </c>
      <c r="J1048" s="19" t="n">
        <v>0.936210807368238</v>
      </c>
      <c r="K1048" s="19" t="n">
        <v>0.521815488495278</v>
      </c>
      <c r="L1048" s="16" t="n">
        <v>13.1738192718092</v>
      </c>
      <c r="M1048" s="19" t="n">
        <v>0.484821756579169</v>
      </c>
      <c r="N1048" s="19" t="n">
        <v>1.02106576279728</v>
      </c>
      <c r="O1048" s="19" t="n">
        <v>0.936210807368238</v>
      </c>
      <c r="P1048" s="19" t="n">
        <v>0.715346768990242</v>
      </c>
      <c r="Q1048" s="17" t="s">
        <v>30</v>
      </c>
      <c r="R1048" s="5" t="str">
        <f aca="false">IF(OR(Q1048="Steel plate",Q1048="Concrete jacket"),"Steel plate or jacket",Q1048)</f>
        <v>Seal cracks</v>
      </c>
      <c r="S1048" s="5" t="str">
        <f aca="false">IF(O1048&lt;='Tree rules'!$C$4,IF(N1048&lt;='Tree rules'!$C$5,IF(P1048&lt;='Tree rules'!$C$6,"Monitor","Polymer laminate"),IF(P1048&lt;='Tree rules'!$C$7,"Seal cracks","Polymer laminate")),IF(O1048&lt;='Tree rules'!$C$8,IF(M1048&lt;='Tree rules'!$C$9,"Steel plate or jacket","Polymer laminate"),IF(L1048&lt;='Tree rules'!$C$10,"Steel plate or jacket","Polymer laminate")))</f>
        <v>Seal cracks</v>
      </c>
      <c r="T1048" s="5" t="str">
        <f aca="false">IF(S1048=R1048,"Yes","No")</f>
        <v>Yes</v>
      </c>
    </row>
    <row r="1049" customFormat="false" ht="15" hidden="false" customHeight="false" outlineLevel="0" collapsed="false">
      <c r="A1049" s="15" t="n">
        <v>1492</v>
      </c>
      <c r="B1049" s="16" t="n">
        <v>7.34545095420152</v>
      </c>
      <c r="C1049" s="15" t="n">
        <v>300</v>
      </c>
      <c r="D1049" s="15" t="n">
        <v>600</v>
      </c>
      <c r="E1049" s="15" t="n">
        <v>20</v>
      </c>
      <c r="F1049" s="16" t="n">
        <v>0.604879451954714</v>
      </c>
      <c r="G1049" s="17" t="s">
        <v>91</v>
      </c>
      <c r="H1049" s="18" t="n">
        <v>0.2</v>
      </c>
      <c r="I1049" s="18" t="n">
        <v>1</v>
      </c>
      <c r="J1049" s="19" t="n">
        <v>0.92576533881348</v>
      </c>
      <c r="K1049" s="19" t="n">
        <v>0.427258093650273</v>
      </c>
      <c r="L1049" s="16" t="n">
        <v>13.258936740436</v>
      </c>
      <c r="M1049" s="19" t="n">
        <v>0.457729915595394</v>
      </c>
      <c r="N1049" s="19" t="n">
        <v>0.905958241650891</v>
      </c>
      <c r="O1049" s="19" t="n">
        <v>0.92576533881348</v>
      </c>
      <c r="P1049" s="19" t="n">
        <v>0.746286484548386</v>
      </c>
      <c r="Q1049" s="17" t="s">
        <v>29</v>
      </c>
      <c r="R1049" s="5" t="str">
        <f aca="false">IF(OR(Q1049="Steel plate",Q1049="Concrete jacket"),"Steel plate or jacket",Q1049)</f>
        <v>Monitor</v>
      </c>
      <c r="S1049" s="5" t="str">
        <f aca="false">IF(O1049&lt;='Tree rules'!$C$4,IF(N1049&lt;='Tree rules'!$C$5,IF(P1049&lt;='Tree rules'!$C$6,"Monitor","Polymer laminate"),IF(P1049&lt;='Tree rules'!$C$7,"Seal cracks","Polymer laminate")),IF(O1049&lt;='Tree rules'!$C$8,IF(M1049&lt;='Tree rules'!$C$9,"Steel plate or jacket","Polymer laminate"),IF(L1049&lt;='Tree rules'!$C$10,"Steel plate or jacket","Polymer laminate")))</f>
        <v>Monitor</v>
      </c>
      <c r="T1049" s="5" t="str">
        <f aca="false">IF(S1049=R1049,"Yes","No")</f>
        <v>Yes</v>
      </c>
    </row>
    <row r="1050" customFormat="false" ht="15" hidden="false" customHeight="false" outlineLevel="0" collapsed="false">
      <c r="A1050" s="15" t="n">
        <v>1493</v>
      </c>
      <c r="B1050" s="16" t="n">
        <v>5.30589101333582</v>
      </c>
      <c r="C1050" s="15" t="n">
        <v>230</v>
      </c>
      <c r="D1050" s="15" t="n">
        <v>525</v>
      </c>
      <c r="E1050" s="15" t="n">
        <v>25</v>
      </c>
      <c r="F1050" s="16" t="n">
        <v>0.730006099046008</v>
      </c>
      <c r="G1050" s="17" t="s">
        <v>89</v>
      </c>
      <c r="H1050" s="18" t="n">
        <v>0.3</v>
      </c>
      <c r="I1050" s="18" t="n">
        <v>1</v>
      </c>
      <c r="J1050" s="19" t="n">
        <v>0.961300122119469</v>
      </c>
      <c r="K1050" s="19" t="n">
        <v>0.407852126857058</v>
      </c>
      <c r="L1050" s="16" t="n">
        <v>11.0770167293023</v>
      </c>
      <c r="M1050" s="19" t="n">
        <v>0.921791001920716</v>
      </c>
      <c r="N1050" s="19" t="n">
        <v>0.571490272230338</v>
      </c>
      <c r="O1050" s="19" t="n">
        <v>0.961300122119469</v>
      </c>
      <c r="P1050" s="19" t="n">
        <v>0.35331972001115</v>
      </c>
      <c r="Q1050" s="17" t="s">
        <v>29</v>
      </c>
      <c r="R1050" s="5" t="str">
        <f aca="false">IF(OR(Q1050="Steel plate",Q1050="Concrete jacket"),"Steel plate or jacket",Q1050)</f>
        <v>Monitor</v>
      </c>
      <c r="S1050" s="5" t="str">
        <f aca="false">IF(O1050&lt;='Tree rules'!$C$4,IF(N1050&lt;='Tree rules'!$C$5,IF(P1050&lt;='Tree rules'!$C$6,"Monitor","Polymer laminate"),IF(P1050&lt;='Tree rules'!$C$7,"Seal cracks","Polymer laminate")),IF(O1050&lt;='Tree rules'!$C$8,IF(M1050&lt;='Tree rules'!$C$9,"Steel plate or jacket","Polymer laminate"),IF(L1050&lt;='Tree rules'!$C$10,"Steel plate or jacket","Polymer laminate")))</f>
        <v>Monitor</v>
      </c>
      <c r="T1050" s="5" t="str">
        <f aca="false">IF(S1050=R1050,"Yes","No")</f>
        <v>Yes</v>
      </c>
    </row>
    <row r="1051" customFormat="false" ht="15" hidden="false" customHeight="false" outlineLevel="0" collapsed="false">
      <c r="A1051" s="15" t="n">
        <v>1494</v>
      </c>
      <c r="B1051" s="16" t="n">
        <v>6.58107798903836</v>
      </c>
      <c r="C1051" s="15" t="n">
        <v>300</v>
      </c>
      <c r="D1051" s="15" t="n">
        <v>625</v>
      </c>
      <c r="E1051" s="15" t="n">
        <v>30</v>
      </c>
      <c r="F1051" s="16" t="n">
        <v>0.578762031749415</v>
      </c>
      <c r="G1051" s="17" t="s">
        <v>89</v>
      </c>
      <c r="H1051" s="18" t="n">
        <v>0.3</v>
      </c>
      <c r="I1051" s="18" t="n">
        <v>1</v>
      </c>
      <c r="J1051" s="19" t="n">
        <v>0.962187381741518</v>
      </c>
      <c r="K1051" s="19" t="n">
        <v>0.604051706180106</v>
      </c>
      <c r="L1051" s="16" t="n">
        <v>11.3662832280455</v>
      </c>
      <c r="M1051" s="19" t="n">
        <v>0.716259481240293</v>
      </c>
      <c r="N1051" s="19" t="n">
        <v>0.598979710258895</v>
      </c>
      <c r="O1051" s="19" t="n">
        <v>0.962187381741518</v>
      </c>
      <c r="P1051" s="19" t="n">
        <v>0.433538166196839</v>
      </c>
      <c r="Q1051" s="17" t="s">
        <v>29</v>
      </c>
      <c r="R1051" s="5" t="str">
        <f aca="false">IF(OR(Q1051="Steel plate",Q1051="Concrete jacket"),"Steel plate or jacket",Q1051)</f>
        <v>Monitor</v>
      </c>
      <c r="S1051" s="5" t="str">
        <f aca="false">IF(O1051&lt;='Tree rules'!$C$4,IF(N1051&lt;='Tree rules'!$C$5,IF(P1051&lt;='Tree rules'!$C$6,"Monitor","Polymer laminate"),IF(P1051&lt;='Tree rules'!$C$7,"Seal cracks","Polymer laminate")),IF(O1051&lt;='Tree rules'!$C$8,IF(M1051&lt;='Tree rules'!$C$9,"Steel plate or jacket","Polymer laminate"),IF(L1051&lt;='Tree rules'!$C$10,"Steel plate or jacket","Polymer laminate")))</f>
        <v>Monitor</v>
      </c>
      <c r="T1051" s="5" t="str">
        <f aca="false">IF(S1051=R1051,"Yes","No")</f>
        <v>Yes</v>
      </c>
    </row>
    <row r="1052" customFormat="false" ht="15" hidden="false" customHeight="false" outlineLevel="0" collapsed="false">
      <c r="A1052" s="15" t="n">
        <v>1495</v>
      </c>
      <c r="B1052" s="16" t="n">
        <v>4.47117542364986</v>
      </c>
      <c r="C1052" s="15" t="n">
        <v>230</v>
      </c>
      <c r="D1052" s="15" t="n">
        <v>400</v>
      </c>
      <c r="E1052" s="15" t="n">
        <v>30</v>
      </c>
      <c r="F1052" s="16" t="n">
        <v>0.740832460684402</v>
      </c>
      <c r="G1052" s="17" t="s">
        <v>91</v>
      </c>
      <c r="H1052" s="18" t="n">
        <v>0.2</v>
      </c>
      <c r="I1052" s="18" t="n">
        <v>1</v>
      </c>
      <c r="J1052" s="19" t="n">
        <v>0.955623297391029</v>
      </c>
      <c r="K1052" s="19" t="n">
        <v>0.585733065775111</v>
      </c>
      <c r="L1052" s="16" t="n">
        <v>12.6304390498584</v>
      </c>
      <c r="M1052" s="19" t="n">
        <v>0.35231073988839</v>
      </c>
      <c r="N1052" s="19" t="n">
        <v>1.09437398032605</v>
      </c>
      <c r="O1052" s="19" t="n">
        <v>0.955623297391029</v>
      </c>
      <c r="P1052" s="19" t="n">
        <v>0.97433908819188</v>
      </c>
      <c r="Q1052" s="17" t="s">
        <v>30</v>
      </c>
      <c r="R1052" s="5" t="str">
        <f aca="false">IF(OR(Q1052="Steel plate",Q1052="Concrete jacket"),"Steel plate or jacket",Q1052)</f>
        <v>Seal cracks</v>
      </c>
      <c r="S1052" s="5" t="str">
        <f aca="false">IF(O1052&lt;='Tree rules'!$C$4,IF(N1052&lt;='Tree rules'!$C$5,IF(P1052&lt;='Tree rules'!$C$6,"Monitor","Polymer laminate"),IF(P1052&lt;='Tree rules'!$C$7,"Seal cracks","Polymer laminate")),IF(O1052&lt;='Tree rules'!$C$8,IF(M1052&lt;='Tree rules'!$C$9,"Steel plate or jacket","Polymer laminate"),IF(L1052&lt;='Tree rules'!$C$10,"Steel plate or jacket","Polymer laminate")))</f>
        <v>Seal cracks</v>
      </c>
      <c r="T1052" s="5" t="str">
        <f aca="false">IF(S1052=R1052,"Yes","No")</f>
        <v>Yes</v>
      </c>
    </row>
    <row r="1053" customFormat="false" ht="15" hidden="false" customHeight="false" outlineLevel="0" collapsed="false">
      <c r="A1053" s="15" t="n">
        <v>1497</v>
      </c>
      <c r="B1053" s="16" t="n">
        <v>7.60846971121115</v>
      </c>
      <c r="C1053" s="15" t="n">
        <v>230</v>
      </c>
      <c r="D1053" s="15" t="n">
        <v>750</v>
      </c>
      <c r="E1053" s="15" t="n">
        <v>20</v>
      </c>
      <c r="F1053" s="16" t="n">
        <v>0.583722157857635</v>
      </c>
      <c r="G1053" s="17" t="s">
        <v>91</v>
      </c>
      <c r="H1053" s="18" t="n">
        <v>0.2</v>
      </c>
      <c r="I1053" s="18" t="n">
        <v>1</v>
      </c>
      <c r="J1053" s="19" t="n">
        <v>0.850552757426195</v>
      </c>
      <c r="K1053" s="19" t="n">
        <v>0.577043894825549</v>
      </c>
      <c r="L1053" s="16" t="n">
        <v>10.8382759418962</v>
      </c>
      <c r="M1053" s="19" t="n">
        <v>0.539042736168658</v>
      </c>
      <c r="N1053" s="19" t="n">
        <v>0.859423361636332</v>
      </c>
      <c r="O1053" s="19" t="n">
        <v>0.850552757426195</v>
      </c>
      <c r="P1053" s="19" t="n">
        <v>0.55271611544974</v>
      </c>
      <c r="Q1053" s="17" t="s">
        <v>29</v>
      </c>
      <c r="R1053" s="5" t="str">
        <f aca="false">IF(OR(Q1053="Steel plate",Q1053="Concrete jacket"),"Steel plate or jacket",Q1053)</f>
        <v>Monitor</v>
      </c>
      <c r="S1053" s="5" t="str">
        <f aca="false">IF(O1053&lt;='Tree rules'!$C$4,IF(N1053&lt;='Tree rules'!$C$5,IF(P1053&lt;='Tree rules'!$C$6,"Monitor","Polymer laminate"),IF(P1053&lt;='Tree rules'!$C$7,"Seal cracks","Polymer laminate")),IF(O1053&lt;='Tree rules'!$C$8,IF(M1053&lt;='Tree rules'!$C$9,"Steel plate or jacket","Polymer laminate"),IF(L1053&lt;='Tree rules'!$C$10,"Steel plate or jacket","Polymer laminate")))</f>
        <v>Monitor</v>
      </c>
      <c r="T1053" s="5" t="str">
        <f aca="false">IF(S1053=R1053,"Yes","No")</f>
        <v>Yes</v>
      </c>
    </row>
    <row r="1054" customFormat="false" ht="15" hidden="false" customHeight="false" outlineLevel="0" collapsed="false">
      <c r="A1054" s="15" t="n">
        <v>1498</v>
      </c>
      <c r="B1054" s="16" t="n">
        <v>4.47525112162488</v>
      </c>
      <c r="C1054" s="15" t="n">
        <v>300</v>
      </c>
      <c r="D1054" s="15" t="n">
        <v>425</v>
      </c>
      <c r="E1054" s="15" t="n">
        <v>20</v>
      </c>
      <c r="F1054" s="16" t="n">
        <v>0.707341881547042</v>
      </c>
      <c r="G1054" s="17" t="s">
        <v>91</v>
      </c>
      <c r="H1054" s="18" t="n">
        <v>0.2</v>
      </c>
      <c r="I1054" s="18" t="n">
        <v>1.5</v>
      </c>
      <c r="J1054" s="19" t="n">
        <v>0.880259848996969</v>
      </c>
      <c r="K1054" s="19" t="n">
        <v>0.647791338091185</v>
      </c>
      <c r="L1054" s="16" t="n">
        <v>11.8080504528361</v>
      </c>
      <c r="M1054" s="19" t="n">
        <v>0.574550762094393</v>
      </c>
      <c r="N1054" s="19" t="n">
        <v>1.10096754146119</v>
      </c>
      <c r="O1054" s="19" t="n">
        <v>1.03527742077061</v>
      </c>
      <c r="P1054" s="19" t="n">
        <v>0.68188232432474</v>
      </c>
      <c r="Q1054" s="17" t="s">
        <v>31</v>
      </c>
      <c r="R1054" s="5" t="str">
        <f aca="false">IF(OR(Q1054="Steel plate",Q1054="Concrete jacket"),"Steel plate or jacket",Q1054)</f>
        <v>Polymer laminate</v>
      </c>
      <c r="S1054" s="5" t="str">
        <f aca="false">IF(O1054&lt;='Tree rules'!$C$4,IF(N1054&lt;='Tree rules'!$C$5,IF(P1054&lt;='Tree rules'!$C$6,"Monitor","Polymer laminate"),IF(P1054&lt;='Tree rules'!$C$7,"Seal cracks","Polymer laminate")),IF(O1054&lt;='Tree rules'!$C$8,IF(M1054&lt;='Tree rules'!$C$9,"Steel plate or jacket","Polymer laminate"),IF(L1054&lt;='Tree rules'!$C$10,"Steel plate or jacket","Polymer laminate")))</f>
        <v>Polymer laminate</v>
      </c>
      <c r="T1054" s="5" t="str">
        <f aca="false">IF(S1054=R1054,"Yes","No")</f>
        <v>Yes</v>
      </c>
    </row>
    <row r="1055" customFormat="false" ht="15" hidden="false" customHeight="false" outlineLevel="0" collapsed="false">
      <c r="A1055" s="15" t="n">
        <v>1499</v>
      </c>
      <c r="B1055" s="16" t="n">
        <v>3.93407999654688</v>
      </c>
      <c r="C1055" s="15" t="n">
        <v>300</v>
      </c>
      <c r="D1055" s="15" t="n">
        <v>300</v>
      </c>
      <c r="E1055" s="15" t="n">
        <v>25</v>
      </c>
      <c r="F1055" s="16" t="n">
        <v>0.841263304726974</v>
      </c>
      <c r="G1055" s="17" t="s">
        <v>90</v>
      </c>
      <c r="H1055" s="18" t="n">
        <v>0.1</v>
      </c>
      <c r="I1055" s="18" t="n">
        <v>1.5</v>
      </c>
      <c r="J1055" s="19" t="n">
        <v>0.861941926800033</v>
      </c>
      <c r="K1055" s="19" t="n">
        <v>0.590217693873859</v>
      </c>
      <c r="L1055" s="16" t="n">
        <v>16.4605857596104</v>
      </c>
      <c r="M1055" s="19" t="n">
        <v>0.437459032382801</v>
      </c>
      <c r="N1055" s="19" t="n">
        <v>3.33839912423338</v>
      </c>
      <c r="O1055" s="19" t="n">
        <v>1.0385462020555</v>
      </c>
      <c r="P1055" s="19" t="n">
        <v>0.910904493390921</v>
      </c>
      <c r="Q1055" s="17" t="s">
        <v>31</v>
      </c>
      <c r="R1055" s="5" t="str">
        <f aca="false">IF(OR(Q1055="Steel plate",Q1055="Concrete jacket"),"Steel plate or jacket",Q1055)</f>
        <v>Polymer laminate</v>
      </c>
      <c r="S1055" s="5" t="str">
        <f aca="false">IF(O1055&lt;='Tree rules'!$C$4,IF(N1055&lt;='Tree rules'!$C$5,IF(P1055&lt;='Tree rules'!$C$6,"Monitor","Polymer laminate"),IF(P1055&lt;='Tree rules'!$C$7,"Seal cracks","Polymer laminate")),IF(O1055&lt;='Tree rules'!$C$8,IF(M1055&lt;='Tree rules'!$C$9,"Steel plate or jacket","Polymer laminate"),IF(L1055&lt;='Tree rules'!$C$10,"Steel plate or jacket","Polymer laminate")))</f>
        <v>Polymer laminate</v>
      </c>
      <c r="T1055" s="5" t="str">
        <f aca="false">IF(S1055=R1055,"Yes","No")</f>
        <v>Yes</v>
      </c>
    </row>
    <row r="1056" customFormat="false" ht="15" hidden="false" customHeight="false" outlineLevel="0" collapsed="false">
      <c r="A1056" s="15" t="n">
        <v>1500</v>
      </c>
      <c r="B1056" s="16" t="n">
        <v>6.17306513160545</v>
      </c>
      <c r="C1056" s="15" t="n">
        <v>300</v>
      </c>
      <c r="D1056" s="15" t="n">
        <v>600</v>
      </c>
      <c r="E1056" s="15" t="n">
        <v>25</v>
      </c>
      <c r="F1056" s="16" t="n">
        <v>0.604879451954714</v>
      </c>
      <c r="G1056" s="17" t="s">
        <v>91</v>
      </c>
      <c r="H1056" s="18" t="n">
        <v>0.2</v>
      </c>
      <c r="I1056" s="18" t="n">
        <v>1</v>
      </c>
      <c r="J1056" s="19" t="n">
        <v>0.879149312176619</v>
      </c>
      <c r="K1056" s="19" t="n">
        <v>0.446597370385507</v>
      </c>
      <c r="L1056" s="16" t="n">
        <v>11.1427168440532</v>
      </c>
      <c r="M1056" s="19" t="n">
        <v>0.322006812754322</v>
      </c>
      <c r="N1056" s="19" t="n">
        <v>0.902779426843178</v>
      </c>
      <c r="O1056" s="19" t="n">
        <v>0.879149312176619</v>
      </c>
      <c r="P1056" s="19" t="n">
        <v>0.786624757392804</v>
      </c>
      <c r="Q1056" s="17" t="s">
        <v>29</v>
      </c>
      <c r="R1056" s="5" t="str">
        <f aca="false">IF(OR(Q1056="Steel plate",Q1056="Concrete jacket"),"Steel plate or jacket",Q1056)</f>
        <v>Monitor</v>
      </c>
      <c r="S1056" s="5" t="str">
        <f aca="false">IF(O1056&lt;='Tree rules'!$C$4,IF(N1056&lt;='Tree rules'!$C$5,IF(P1056&lt;='Tree rules'!$C$6,"Monitor","Polymer laminate"),IF(P1056&lt;='Tree rules'!$C$7,"Seal cracks","Polymer laminate")),IF(O1056&lt;='Tree rules'!$C$8,IF(M1056&lt;='Tree rules'!$C$9,"Steel plate or jacket","Polymer laminate"),IF(L1056&lt;='Tree rules'!$C$10,"Steel plate or jacket","Polymer laminate")))</f>
        <v>Monitor</v>
      </c>
      <c r="T1056" s="5" t="str">
        <f aca="false">IF(S1056=R1056,"Yes","No")</f>
        <v>Yes</v>
      </c>
    </row>
    <row r="1057" customFormat="false" ht="15" hidden="false" customHeight="false" outlineLevel="0" collapsed="false">
      <c r="A1057" s="15" t="n">
        <v>1501</v>
      </c>
      <c r="B1057" s="16" t="n">
        <v>7.46625063780558</v>
      </c>
      <c r="C1057" s="15" t="n">
        <v>300</v>
      </c>
      <c r="D1057" s="15" t="n">
        <v>600</v>
      </c>
      <c r="E1057" s="15" t="n">
        <v>30</v>
      </c>
      <c r="F1057" s="16" t="n">
        <v>0.569129103911194</v>
      </c>
      <c r="G1057" s="17" t="s">
        <v>91</v>
      </c>
      <c r="H1057" s="18" t="n">
        <v>0.2</v>
      </c>
      <c r="I1057" s="18" t="n">
        <v>1.5</v>
      </c>
      <c r="J1057" s="19" t="n">
        <v>0.930735472335598</v>
      </c>
      <c r="K1057" s="19" t="n">
        <v>0.550237475828739</v>
      </c>
      <c r="L1057" s="16" t="n">
        <v>13.5258163728362</v>
      </c>
      <c r="M1057" s="19" t="n">
        <v>0.381312967085354</v>
      </c>
      <c r="N1057" s="19" t="n">
        <v>1.47657449230991</v>
      </c>
      <c r="O1057" s="19" t="n">
        <v>1.14004044002229</v>
      </c>
      <c r="P1057" s="19" t="n">
        <v>0.921134221835676</v>
      </c>
      <c r="Q1057" s="17" t="s">
        <v>31</v>
      </c>
      <c r="R1057" s="5" t="str">
        <f aca="false">IF(OR(Q1057="Steel plate",Q1057="Concrete jacket"),"Steel plate or jacket",Q1057)</f>
        <v>Polymer laminate</v>
      </c>
      <c r="S1057" s="5" t="str">
        <f aca="false">IF(O1057&lt;='Tree rules'!$C$4,IF(N1057&lt;='Tree rules'!$C$5,IF(P1057&lt;='Tree rules'!$C$6,"Monitor","Polymer laminate"),IF(P1057&lt;='Tree rules'!$C$7,"Seal cracks","Polymer laminate")),IF(O1057&lt;='Tree rules'!$C$8,IF(M1057&lt;='Tree rules'!$C$9,"Steel plate or jacket","Polymer laminate"),IF(L1057&lt;='Tree rules'!$C$10,"Steel plate or jacket","Polymer laminate")))</f>
        <v>Polymer laminate</v>
      </c>
      <c r="T1057" s="5" t="str">
        <f aca="false">IF(S1057=R1057,"Yes","No")</f>
        <v>Yes</v>
      </c>
    </row>
    <row r="1058" customFormat="false" ht="15" hidden="false" customHeight="false" outlineLevel="0" collapsed="false">
      <c r="A1058" s="15" t="n">
        <v>1502</v>
      </c>
      <c r="B1058" s="16" t="n">
        <v>5.33155841717322</v>
      </c>
      <c r="C1058" s="15" t="n">
        <v>300</v>
      </c>
      <c r="D1058" s="15" t="n">
        <v>475</v>
      </c>
      <c r="E1058" s="15" t="n">
        <v>20</v>
      </c>
      <c r="F1058" s="16" t="n">
        <v>0.647542447116737</v>
      </c>
      <c r="G1058" s="17" t="s">
        <v>90</v>
      </c>
      <c r="H1058" s="18" t="n">
        <v>0.1</v>
      </c>
      <c r="I1058" s="18" t="n">
        <v>1</v>
      </c>
      <c r="J1058" s="19" t="n">
        <v>0.904538745196572</v>
      </c>
      <c r="K1058" s="19" t="n">
        <v>0.452787083085641</v>
      </c>
      <c r="L1058" s="16" t="n">
        <v>12.8781604279546</v>
      </c>
      <c r="M1058" s="19" t="n">
        <v>0.838982553266585</v>
      </c>
      <c r="N1058" s="19" t="n">
        <v>2.2379148885146</v>
      </c>
      <c r="O1058" s="19" t="n">
        <v>0.904538745196572</v>
      </c>
      <c r="P1058" s="19" t="n">
        <v>0.380167988757611</v>
      </c>
      <c r="Q1058" s="17" t="s">
        <v>30</v>
      </c>
      <c r="R1058" s="5" t="str">
        <f aca="false">IF(OR(Q1058="Steel plate",Q1058="Concrete jacket"),"Steel plate or jacket",Q1058)</f>
        <v>Seal cracks</v>
      </c>
      <c r="S1058" s="5" t="str">
        <f aca="false">IF(O1058&lt;='Tree rules'!$C$4,IF(N1058&lt;='Tree rules'!$C$5,IF(P1058&lt;='Tree rules'!$C$6,"Monitor","Polymer laminate"),IF(P1058&lt;='Tree rules'!$C$7,"Seal cracks","Polymer laminate")),IF(O1058&lt;='Tree rules'!$C$8,IF(M1058&lt;='Tree rules'!$C$9,"Steel plate or jacket","Polymer laminate"),IF(L1058&lt;='Tree rules'!$C$10,"Steel plate or jacket","Polymer laminate")))</f>
        <v>Seal cracks</v>
      </c>
      <c r="T1058" s="5" t="str">
        <f aca="false">IF(S1058=R1058,"Yes","No")</f>
        <v>Yes</v>
      </c>
    </row>
    <row r="1059" customFormat="false" ht="15" hidden="false" customHeight="false" outlineLevel="0" collapsed="false">
      <c r="A1059" s="15" t="n">
        <v>1503</v>
      </c>
      <c r="B1059" s="16" t="n">
        <v>4.71963862306431</v>
      </c>
      <c r="C1059" s="15" t="n">
        <v>300</v>
      </c>
      <c r="D1059" s="15" t="n">
        <v>425</v>
      </c>
      <c r="E1059" s="15" t="n">
        <v>25</v>
      </c>
      <c r="F1059" s="16" t="n">
        <v>0.833313701217452</v>
      </c>
      <c r="G1059" s="17" t="s">
        <v>91</v>
      </c>
      <c r="H1059" s="18" t="n">
        <v>0.2</v>
      </c>
      <c r="I1059" s="18" t="n">
        <v>1</v>
      </c>
      <c r="J1059" s="19" t="n">
        <v>0.907989923001262</v>
      </c>
      <c r="K1059" s="19" t="n">
        <v>0.426233789309922</v>
      </c>
      <c r="L1059" s="16" t="n">
        <v>12.5189353396931</v>
      </c>
      <c r="M1059" s="19" t="n">
        <v>0.415842246348661</v>
      </c>
      <c r="N1059" s="19" t="n">
        <v>1.15524553379482</v>
      </c>
      <c r="O1059" s="19" t="n">
        <v>0.907989923001262</v>
      </c>
      <c r="P1059" s="19" t="n">
        <v>0.814934223033182</v>
      </c>
      <c r="Q1059" s="17" t="s">
        <v>30</v>
      </c>
      <c r="R1059" s="5" t="str">
        <f aca="false">IF(OR(Q1059="Steel plate",Q1059="Concrete jacket"),"Steel plate or jacket",Q1059)</f>
        <v>Seal cracks</v>
      </c>
      <c r="S1059" s="5" t="str">
        <f aca="false">IF(O1059&lt;='Tree rules'!$C$4,IF(N1059&lt;='Tree rules'!$C$5,IF(P1059&lt;='Tree rules'!$C$6,"Monitor","Polymer laminate"),IF(P1059&lt;='Tree rules'!$C$7,"Seal cracks","Polymer laminate")),IF(O1059&lt;='Tree rules'!$C$8,IF(M1059&lt;='Tree rules'!$C$9,"Steel plate or jacket","Polymer laminate"),IF(L1059&lt;='Tree rules'!$C$10,"Steel plate or jacket","Polymer laminate")))</f>
        <v>Seal cracks</v>
      </c>
      <c r="T1059" s="5" t="str">
        <f aca="false">IF(S1059=R1059,"Yes","No")</f>
        <v>Yes</v>
      </c>
    </row>
    <row r="1060" customFormat="false" ht="15" hidden="false" customHeight="false" outlineLevel="0" collapsed="false">
      <c r="A1060" s="15" t="n">
        <v>1504</v>
      </c>
      <c r="B1060" s="16" t="n">
        <v>5.38560124627058</v>
      </c>
      <c r="C1060" s="15" t="n">
        <v>230</v>
      </c>
      <c r="D1060" s="15" t="n">
        <v>475</v>
      </c>
      <c r="E1060" s="15" t="n">
        <v>20</v>
      </c>
      <c r="F1060" s="16" t="n">
        <v>0.611316296229087</v>
      </c>
      <c r="G1060" s="17" t="s">
        <v>89</v>
      </c>
      <c r="H1060" s="18" t="n">
        <v>0.3</v>
      </c>
      <c r="I1060" s="18" t="n">
        <v>1</v>
      </c>
      <c r="J1060" s="19" t="n">
        <v>0.914495158902304</v>
      </c>
      <c r="K1060" s="19" t="n">
        <v>0.53831525294756</v>
      </c>
      <c r="L1060" s="16" t="n">
        <v>12.5538490589058</v>
      </c>
      <c r="M1060" s="19" t="n">
        <v>0.797676753709976</v>
      </c>
      <c r="N1060" s="19" t="n">
        <v>0.60231263002827</v>
      </c>
      <c r="O1060" s="19" t="n">
        <v>0.914495158902304</v>
      </c>
      <c r="P1060" s="19" t="n">
        <v>0.437549020876429</v>
      </c>
      <c r="Q1060" s="17" t="s">
        <v>29</v>
      </c>
      <c r="R1060" s="5" t="str">
        <f aca="false">IF(OR(Q1060="Steel plate",Q1060="Concrete jacket"),"Steel plate or jacket",Q1060)</f>
        <v>Monitor</v>
      </c>
      <c r="S1060" s="5" t="str">
        <f aca="false">IF(O1060&lt;='Tree rules'!$C$4,IF(N1060&lt;='Tree rules'!$C$5,IF(P1060&lt;='Tree rules'!$C$6,"Monitor","Polymer laminate"),IF(P1060&lt;='Tree rules'!$C$7,"Seal cracks","Polymer laminate")),IF(O1060&lt;='Tree rules'!$C$8,IF(M1060&lt;='Tree rules'!$C$9,"Steel plate or jacket","Polymer laminate"),IF(L1060&lt;='Tree rules'!$C$10,"Steel plate or jacket","Polymer laminate")))</f>
        <v>Monitor</v>
      </c>
      <c r="T1060" s="5" t="str">
        <f aca="false">IF(S1060=R1060,"Yes","No")</f>
        <v>Yes</v>
      </c>
    </row>
    <row r="1061" customFormat="false" ht="15" hidden="false" customHeight="false" outlineLevel="0" collapsed="false">
      <c r="A1061" s="15" t="n">
        <v>1507</v>
      </c>
      <c r="B1061" s="16" t="n">
        <v>6.12254520313053</v>
      </c>
      <c r="C1061" s="15" t="n">
        <v>300</v>
      </c>
      <c r="D1061" s="15" t="n">
        <v>575</v>
      </c>
      <c r="E1061" s="15" t="n">
        <v>20</v>
      </c>
      <c r="F1061" s="16" t="n">
        <v>0.596127638252333</v>
      </c>
      <c r="G1061" s="17" t="s">
        <v>89</v>
      </c>
      <c r="H1061" s="18" t="n">
        <v>0.3</v>
      </c>
      <c r="I1061" s="18" t="n">
        <v>1</v>
      </c>
      <c r="J1061" s="19" t="n">
        <v>0.969325703733686</v>
      </c>
      <c r="K1061" s="19" t="n">
        <v>0.635261819976509</v>
      </c>
      <c r="L1061" s="16" t="n">
        <v>11.6177328332648</v>
      </c>
      <c r="M1061" s="19" t="n">
        <v>0.934350567880112</v>
      </c>
      <c r="N1061" s="19" t="n">
        <v>0.702809585149405</v>
      </c>
      <c r="O1061" s="19" t="n">
        <v>0.969325703733686</v>
      </c>
      <c r="P1061" s="19" t="n">
        <v>0.407837056085745</v>
      </c>
      <c r="Q1061" s="17" t="s">
        <v>29</v>
      </c>
      <c r="R1061" s="5" t="str">
        <f aca="false">IF(OR(Q1061="Steel plate",Q1061="Concrete jacket"),"Steel plate or jacket",Q1061)</f>
        <v>Monitor</v>
      </c>
      <c r="S1061" s="5" t="str">
        <f aca="false">IF(O1061&lt;='Tree rules'!$C$4,IF(N1061&lt;='Tree rules'!$C$5,IF(P1061&lt;='Tree rules'!$C$6,"Monitor","Polymer laminate"),IF(P1061&lt;='Tree rules'!$C$7,"Seal cracks","Polymer laminate")),IF(O1061&lt;='Tree rules'!$C$8,IF(M1061&lt;='Tree rules'!$C$9,"Steel plate or jacket","Polymer laminate"),IF(L1061&lt;='Tree rules'!$C$10,"Steel plate or jacket","Polymer laminate")))</f>
        <v>Monitor</v>
      </c>
      <c r="T1061" s="5" t="str">
        <f aca="false">IF(S1061=R1061,"Yes","No")</f>
        <v>Yes</v>
      </c>
    </row>
    <row r="1062" customFormat="false" ht="15" hidden="false" customHeight="false" outlineLevel="0" collapsed="false">
      <c r="A1062" s="15" t="n">
        <v>1508</v>
      </c>
      <c r="B1062" s="16" t="n">
        <v>3.5132488800083</v>
      </c>
      <c r="C1062" s="15" t="n">
        <v>230</v>
      </c>
      <c r="D1062" s="15" t="n">
        <v>325</v>
      </c>
      <c r="E1062" s="15" t="n">
        <v>30</v>
      </c>
      <c r="F1062" s="16" t="n">
        <v>0.98621649775225</v>
      </c>
      <c r="G1062" s="17" t="s">
        <v>89</v>
      </c>
      <c r="H1062" s="18" t="n">
        <v>0.3</v>
      </c>
      <c r="I1062" s="18" t="n">
        <v>1</v>
      </c>
      <c r="J1062" s="19" t="n">
        <v>0.883117503799497</v>
      </c>
      <c r="K1062" s="19" t="n">
        <v>0.534783319114393</v>
      </c>
      <c r="L1062" s="16" t="n">
        <v>12.6832089530986</v>
      </c>
      <c r="M1062" s="19" t="n">
        <v>0.947487708381981</v>
      </c>
      <c r="N1062" s="19" t="n">
        <v>0.769996462965203</v>
      </c>
      <c r="O1062" s="19" t="n">
        <v>0.883117503799497</v>
      </c>
      <c r="P1062" s="19" t="n">
        <v>0.403036270840799</v>
      </c>
      <c r="Q1062" s="17" t="s">
        <v>29</v>
      </c>
      <c r="R1062" s="5" t="str">
        <f aca="false">IF(OR(Q1062="Steel plate",Q1062="Concrete jacket"),"Steel plate or jacket",Q1062)</f>
        <v>Monitor</v>
      </c>
      <c r="S1062" s="5" t="str">
        <f aca="false">IF(O1062&lt;='Tree rules'!$C$4,IF(N1062&lt;='Tree rules'!$C$5,IF(P1062&lt;='Tree rules'!$C$6,"Monitor","Polymer laminate"),IF(P1062&lt;='Tree rules'!$C$7,"Seal cracks","Polymer laminate")),IF(O1062&lt;='Tree rules'!$C$8,IF(M1062&lt;='Tree rules'!$C$9,"Steel plate or jacket","Polymer laminate"),IF(L1062&lt;='Tree rules'!$C$10,"Steel plate or jacket","Polymer laminate")))</f>
        <v>Monitor</v>
      </c>
      <c r="T1062" s="5" t="str">
        <f aca="false">IF(S1062=R1062,"Yes","No")</f>
        <v>Yes</v>
      </c>
    </row>
    <row r="1063" customFormat="false" ht="15" hidden="false" customHeight="false" outlineLevel="0" collapsed="false">
      <c r="A1063" s="15" t="n">
        <v>1509</v>
      </c>
      <c r="B1063" s="16" t="n">
        <v>6.77354527221777</v>
      </c>
      <c r="C1063" s="15" t="n">
        <v>230</v>
      </c>
      <c r="D1063" s="15" t="n">
        <v>650</v>
      </c>
      <c r="E1063" s="15" t="n">
        <v>25</v>
      </c>
      <c r="F1063" s="16" t="n">
        <v>0.680685971455249</v>
      </c>
      <c r="G1063" s="17" t="s">
        <v>89</v>
      </c>
      <c r="H1063" s="18" t="n">
        <v>0.3</v>
      </c>
      <c r="I1063" s="18" t="n">
        <v>1</v>
      </c>
      <c r="J1063" s="19" t="n">
        <v>0.967926963795347</v>
      </c>
      <c r="K1063" s="19" t="n">
        <v>0.503882542262742</v>
      </c>
      <c r="L1063" s="16" t="n">
        <v>11.2517363325877</v>
      </c>
      <c r="M1063" s="19" t="n">
        <v>0.427911096954582</v>
      </c>
      <c r="N1063" s="19" t="n">
        <v>0.692302681821268</v>
      </c>
      <c r="O1063" s="19" t="n">
        <v>0.967926963795347</v>
      </c>
      <c r="P1063" s="19" t="n">
        <v>0.77358526210419</v>
      </c>
      <c r="Q1063" s="17" t="s">
        <v>29</v>
      </c>
      <c r="R1063" s="5" t="str">
        <f aca="false">IF(OR(Q1063="Steel plate",Q1063="Concrete jacket"),"Steel plate or jacket",Q1063)</f>
        <v>Monitor</v>
      </c>
      <c r="S1063" s="5" t="str">
        <f aca="false">IF(O1063&lt;='Tree rules'!$C$4,IF(N1063&lt;='Tree rules'!$C$5,IF(P1063&lt;='Tree rules'!$C$6,"Monitor","Polymer laminate"),IF(P1063&lt;='Tree rules'!$C$7,"Seal cracks","Polymer laminate")),IF(O1063&lt;='Tree rules'!$C$8,IF(M1063&lt;='Tree rules'!$C$9,"Steel plate or jacket","Polymer laminate"),IF(L1063&lt;='Tree rules'!$C$10,"Steel plate or jacket","Polymer laminate")))</f>
        <v>Monitor</v>
      </c>
      <c r="T1063" s="5" t="str">
        <f aca="false">IF(S1063=R1063,"Yes","No")</f>
        <v>Yes</v>
      </c>
    </row>
    <row r="1064" customFormat="false" ht="15" hidden="false" customHeight="false" outlineLevel="0" collapsed="false">
      <c r="A1064" s="15" t="n">
        <v>1510</v>
      </c>
      <c r="B1064" s="16" t="n">
        <v>3.19479066443513</v>
      </c>
      <c r="C1064" s="15" t="n">
        <v>300</v>
      </c>
      <c r="D1064" s="15" t="n">
        <v>300</v>
      </c>
      <c r="E1064" s="15" t="n">
        <v>30</v>
      </c>
      <c r="F1064" s="16" t="n">
        <v>0.589048622548086</v>
      </c>
      <c r="G1064" s="17" t="s">
        <v>91</v>
      </c>
      <c r="H1064" s="18" t="n">
        <v>0.2</v>
      </c>
      <c r="I1064" s="18" t="n">
        <v>2</v>
      </c>
      <c r="J1064" s="19" t="n">
        <v>0.872307981029929</v>
      </c>
      <c r="K1064" s="19" t="n">
        <v>0.531652202924864</v>
      </c>
      <c r="L1064" s="16" t="n">
        <v>12.4796510329497</v>
      </c>
      <c r="M1064" s="19" t="n">
        <v>0.924640605101097</v>
      </c>
      <c r="N1064" s="19" t="n">
        <v>1.33742338581394</v>
      </c>
      <c r="O1064" s="19" t="n">
        <v>1.28085150231636</v>
      </c>
      <c r="P1064" s="19" t="n">
        <v>0.316942506380236</v>
      </c>
      <c r="Q1064" s="17" t="s">
        <v>31</v>
      </c>
      <c r="R1064" s="5" t="str">
        <f aca="false">IF(OR(Q1064="Steel plate",Q1064="Concrete jacket"),"Steel plate or jacket",Q1064)</f>
        <v>Polymer laminate</v>
      </c>
      <c r="S1064" s="5" t="str">
        <f aca="false">IF(O1064&lt;='Tree rules'!$C$4,IF(N1064&lt;='Tree rules'!$C$5,IF(P1064&lt;='Tree rules'!$C$6,"Monitor","Polymer laminate"),IF(P1064&lt;='Tree rules'!$C$7,"Seal cracks","Polymer laminate")),IF(O1064&lt;='Tree rules'!$C$8,IF(M1064&lt;='Tree rules'!$C$9,"Steel plate or jacket","Polymer laminate"),IF(L1064&lt;='Tree rules'!$C$10,"Steel plate or jacket","Polymer laminate")))</f>
        <v>Polymer laminate</v>
      </c>
      <c r="T1064" s="5" t="str">
        <f aca="false">IF(S1064=R1064,"Yes","No")</f>
        <v>Yes</v>
      </c>
    </row>
    <row r="1065" customFormat="false" ht="15" hidden="false" customHeight="false" outlineLevel="0" collapsed="false">
      <c r="A1065" s="15" t="n">
        <v>1511</v>
      </c>
      <c r="B1065" s="16" t="n">
        <v>3.6536710110263</v>
      </c>
      <c r="C1065" s="15" t="n">
        <v>300</v>
      </c>
      <c r="D1065" s="15" t="n">
        <v>300</v>
      </c>
      <c r="E1065" s="15" t="n">
        <v>20</v>
      </c>
      <c r="F1065" s="16" t="n">
        <v>0.589048622548086</v>
      </c>
      <c r="G1065" s="17" t="s">
        <v>89</v>
      </c>
      <c r="H1065" s="18" t="n">
        <v>0.3</v>
      </c>
      <c r="I1065" s="18" t="n">
        <v>1</v>
      </c>
      <c r="J1065" s="19" t="n">
        <v>0.956970114025937</v>
      </c>
      <c r="K1065" s="19" t="n">
        <v>0.509301112698472</v>
      </c>
      <c r="L1065" s="16" t="n">
        <v>14.2721523868215</v>
      </c>
      <c r="M1065" s="19" t="n">
        <v>0.926916176639962</v>
      </c>
      <c r="N1065" s="19" t="n">
        <v>0.61671438164959</v>
      </c>
      <c r="O1065" s="19" t="n">
        <v>0.956970114025937</v>
      </c>
      <c r="P1065" s="19" t="n">
        <v>0.361928572460329</v>
      </c>
      <c r="Q1065" s="17" t="s">
        <v>29</v>
      </c>
      <c r="R1065" s="5" t="str">
        <f aca="false">IF(OR(Q1065="Steel plate",Q1065="Concrete jacket"),"Steel plate or jacket",Q1065)</f>
        <v>Monitor</v>
      </c>
      <c r="S1065" s="5" t="str">
        <f aca="false">IF(O1065&lt;='Tree rules'!$C$4,IF(N1065&lt;='Tree rules'!$C$5,IF(P1065&lt;='Tree rules'!$C$6,"Monitor","Polymer laminate"),IF(P1065&lt;='Tree rules'!$C$7,"Seal cracks","Polymer laminate")),IF(O1065&lt;='Tree rules'!$C$8,IF(M1065&lt;='Tree rules'!$C$9,"Steel plate or jacket","Polymer laminate"),IF(L1065&lt;='Tree rules'!$C$10,"Steel plate or jacket","Polymer laminate")))</f>
        <v>Monitor</v>
      </c>
      <c r="T1065" s="5" t="str">
        <f aca="false">IF(S1065=R1065,"Yes","No")</f>
        <v>Yes</v>
      </c>
    </row>
    <row r="1066" customFormat="false" ht="15" hidden="false" customHeight="false" outlineLevel="0" collapsed="false">
      <c r="A1066" s="15" t="n">
        <v>1512</v>
      </c>
      <c r="B1066" s="16" t="n">
        <v>7.46347850944767</v>
      </c>
      <c r="C1066" s="15" t="n">
        <v>230</v>
      </c>
      <c r="D1066" s="15" t="n">
        <v>700</v>
      </c>
      <c r="E1066" s="15" t="n">
        <v>25</v>
      </c>
      <c r="F1066" s="16" t="n">
        <v>0.628486127018497</v>
      </c>
      <c r="G1066" s="17" t="s">
        <v>91</v>
      </c>
      <c r="H1066" s="18" t="n">
        <v>0.2</v>
      </c>
      <c r="I1066" s="18" t="n">
        <v>1.5</v>
      </c>
      <c r="J1066" s="19" t="n">
        <v>0.853271590141142</v>
      </c>
      <c r="K1066" s="19" t="n">
        <v>0.579762749340775</v>
      </c>
      <c r="L1066" s="16" t="n">
        <v>11.4470529286007</v>
      </c>
      <c r="M1066" s="19" t="n">
        <v>0.425084945572473</v>
      </c>
      <c r="N1066" s="19" t="n">
        <v>1.10602364023513</v>
      </c>
      <c r="O1066" s="19" t="n">
        <v>1.03255984369441</v>
      </c>
      <c r="P1066" s="19" t="n">
        <v>0.785438336692431</v>
      </c>
      <c r="Q1066" s="17" t="s">
        <v>31</v>
      </c>
      <c r="R1066" s="5" t="str">
        <f aca="false">IF(OR(Q1066="Steel plate",Q1066="Concrete jacket"),"Steel plate or jacket",Q1066)</f>
        <v>Polymer laminate</v>
      </c>
      <c r="S1066" s="5" t="str">
        <f aca="false">IF(O1066&lt;='Tree rules'!$C$4,IF(N1066&lt;='Tree rules'!$C$5,IF(P1066&lt;='Tree rules'!$C$6,"Monitor","Polymer laminate"),IF(P1066&lt;='Tree rules'!$C$7,"Seal cracks","Polymer laminate")),IF(O1066&lt;='Tree rules'!$C$8,IF(M1066&lt;='Tree rules'!$C$9,"Steel plate or jacket","Polymer laminate"),IF(L1066&lt;='Tree rules'!$C$10,"Steel plate or jacket","Polymer laminate")))</f>
        <v>Polymer laminate</v>
      </c>
      <c r="T1066" s="5" t="str">
        <f aca="false">IF(S1066=R1066,"Yes","No")</f>
        <v>Yes</v>
      </c>
    </row>
    <row r="1067" customFormat="false" ht="15" hidden="false" customHeight="false" outlineLevel="0" collapsed="false">
      <c r="A1067" s="15" t="n">
        <v>1513</v>
      </c>
      <c r="B1067" s="16" t="n">
        <v>3.07945152245244</v>
      </c>
      <c r="C1067" s="15" t="n">
        <v>230</v>
      </c>
      <c r="D1067" s="15" t="n">
        <v>300</v>
      </c>
      <c r="E1067" s="15" t="n">
        <v>30</v>
      </c>
      <c r="F1067" s="16" t="n">
        <v>0.576243217710084</v>
      </c>
      <c r="G1067" s="17" t="s">
        <v>91</v>
      </c>
      <c r="H1067" s="18" t="n">
        <v>0.2</v>
      </c>
      <c r="I1067" s="18" t="n">
        <v>1</v>
      </c>
      <c r="J1067" s="19" t="n">
        <v>0.899291043318331</v>
      </c>
      <c r="K1067" s="19" t="n">
        <v>0.415785565828181</v>
      </c>
      <c r="L1067" s="16" t="n">
        <v>12.0291075095798</v>
      </c>
      <c r="M1067" s="19" t="n">
        <v>0.565678644183915</v>
      </c>
      <c r="N1067" s="19" t="n">
        <v>0.979036698103882</v>
      </c>
      <c r="O1067" s="19" t="n">
        <v>0.899291043318332</v>
      </c>
      <c r="P1067" s="19" t="n">
        <v>0.34811245374358</v>
      </c>
      <c r="Q1067" s="17" t="s">
        <v>29</v>
      </c>
      <c r="R1067" s="5" t="str">
        <f aca="false">IF(OR(Q1067="Steel plate",Q1067="Concrete jacket"),"Steel plate or jacket",Q1067)</f>
        <v>Monitor</v>
      </c>
      <c r="S1067" s="5" t="str">
        <f aca="false">IF(O1067&lt;='Tree rules'!$C$4,IF(N1067&lt;='Tree rules'!$C$5,IF(P1067&lt;='Tree rules'!$C$6,"Monitor","Polymer laminate"),IF(P1067&lt;='Tree rules'!$C$7,"Seal cracks","Polymer laminate")),IF(O1067&lt;='Tree rules'!$C$8,IF(M1067&lt;='Tree rules'!$C$9,"Steel plate or jacket","Polymer laminate"),IF(L1067&lt;='Tree rules'!$C$10,"Steel plate or jacket","Polymer laminate")))</f>
        <v>Monitor</v>
      </c>
      <c r="T1067" s="5" t="str">
        <f aca="false">IF(S1067=R1067,"Yes","No")</f>
        <v>Yes</v>
      </c>
    </row>
    <row r="1068" customFormat="false" ht="15" hidden="false" customHeight="false" outlineLevel="0" collapsed="false">
      <c r="A1068" s="15" t="n">
        <v>1515</v>
      </c>
      <c r="B1068" s="16" t="n">
        <v>7.65380362664857</v>
      </c>
      <c r="C1068" s="15" t="n">
        <v>230</v>
      </c>
      <c r="D1068" s="15" t="n">
        <v>675</v>
      </c>
      <c r="E1068" s="15" t="n">
        <v>20</v>
      </c>
      <c r="F1068" s="16" t="n">
        <v>0.555918794027087</v>
      </c>
      <c r="G1068" s="17" t="s">
        <v>89</v>
      </c>
      <c r="H1068" s="18" t="n">
        <v>0.3</v>
      </c>
      <c r="I1068" s="18" t="n">
        <v>2</v>
      </c>
      <c r="J1068" s="19" t="n">
        <v>0.876754987658987</v>
      </c>
      <c r="K1068" s="19" t="n">
        <v>0.644721707992091</v>
      </c>
      <c r="L1068" s="16" t="n">
        <v>12.1682092633523</v>
      </c>
      <c r="M1068" s="19" t="n">
        <v>0.28318009755683</v>
      </c>
      <c r="N1068" s="19" t="n">
        <v>0.79098096470103</v>
      </c>
      <c r="O1068" s="19" t="n">
        <v>1.18824700218389</v>
      </c>
      <c r="P1068" s="19" t="n">
        <v>1.37212469495183</v>
      </c>
      <c r="Q1068" s="17" t="s">
        <v>92</v>
      </c>
      <c r="R1068" s="5" t="str">
        <f aca="false">IF(OR(Q1068="Steel plate",Q1068="Concrete jacket"),"Steel plate or jacket",Q1068)</f>
        <v>Steel plate or jacket</v>
      </c>
      <c r="S1068" s="5" t="str">
        <f aca="false">IF(O1068&lt;='Tree rules'!$C$4,IF(N1068&lt;='Tree rules'!$C$5,IF(P1068&lt;='Tree rules'!$C$6,"Monitor","Polymer laminate"),IF(P1068&lt;='Tree rules'!$C$7,"Seal cracks","Polymer laminate")),IF(O1068&lt;='Tree rules'!$C$8,IF(M1068&lt;='Tree rules'!$C$9,"Steel plate or jacket","Polymer laminate"),IF(L1068&lt;='Tree rules'!$C$10,"Steel plate or jacket","Polymer laminate")))</f>
        <v>Steel plate or jacket</v>
      </c>
      <c r="T1068" s="5" t="str">
        <f aca="false">IF(S1068=R1068,"Yes","No")</f>
        <v>Yes</v>
      </c>
    </row>
    <row r="1069" customFormat="false" ht="15" hidden="false" customHeight="false" outlineLevel="0" collapsed="false">
      <c r="A1069" s="15" t="n">
        <v>1517</v>
      </c>
      <c r="B1069" s="16" t="n">
        <v>5.57480490013346</v>
      </c>
      <c r="C1069" s="15" t="n">
        <v>230</v>
      </c>
      <c r="D1069" s="15" t="n">
        <v>550</v>
      </c>
      <c r="E1069" s="15" t="n">
        <v>25</v>
      </c>
      <c r="F1069" s="16" t="n">
        <v>0.520346609290235</v>
      </c>
      <c r="G1069" s="17" t="s">
        <v>91</v>
      </c>
      <c r="H1069" s="18" t="n">
        <v>0.2</v>
      </c>
      <c r="I1069" s="18" t="n">
        <v>1</v>
      </c>
      <c r="J1069" s="19" t="n">
        <v>0.981785261415909</v>
      </c>
      <c r="K1069" s="19" t="n">
        <v>0.465763288606895</v>
      </c>
      <c r="L1069" s="16" t="n">
        <v>11.0611208335981</v>
      </c>
      <c r="M1069" s="19" t="n">
        <v>0.879937253356512</v>
      </c>
      <c r="N1069" s="19" t="n">
        <v>0.936344418054387</v>
      </c>
      <c r="O1069" s="19" t="n">
        <v>0.981785261415909</v>
      </c>
      <c r="P1069" s="19" t="n">
        <v>0.300788975527425</v>
      </c>
      <c r="Q1069" s="17" t="s">
        <v>29</v>
      </c>
      <c r="R1069" s="5" t="str">
        <f aca="false">IF(OR(Q1069="Steel plate",Q1069="Concrete jacket"),"Steel plate or jacket",Q1069)</f>
        <v>Monitor</v>
      </c>
      <c r="S1069" s="5" t="str">
        <f aca="false">IF(O1069&lt;='Tree rules'!$C$4,IF(N1069&lt;='Tree rules'!$C$5,IF(P1069&lt;='Tree rules'!$C$6,"Monitor","Polymer laminate"),IF(P1069&lt;='Tree rules'!$C$7,"Seal cracks","Polymer laminate")),IF(O1069&lt;='Tree rules'!$C$8,IF(M1069&lt;='Tree rules'!$C$9,"Steel plate or jacket","Polymer laminate"),IF(L1069&lt;='Tree rules'!$C$10,"Steel plate or jacket","Polymer laminate")))</f>
        <v>Monitor</v>
      </c>
      <c r="T1069" s="5" t="str">
        <f aca="false">IF(S1069=R1069,"Yes","No")</f>
        <v>Yes</v>
      </c>
    </row>
    <row r="1070" customFormat="false" ht="15" hidden="false" customHeight="false" outlineLevel="0" collapsed="false">
      <c r="A1070" s="15" t="n">
        <v>1518</v>
      </c>
      <c r="B1070" s="16" t="n">
        <v>4.64128479954432</v>
      </c>
      <c r="C1070" s="15" t="n">
        <v>300</v>
      </c>
      <c r="D1070" s="15" t="n">
        <v>375</v>
      </c>
      <c r="E1070" s="15" t="n">
        <v>30</v>
      </c>
      <c r="F1070" s="16" t="n">
        <v>0.683367586279351</v>
      </c>
      <c r="G1070" s="17" t="s">
        <v>89</v>
      </c>
      <c r="H1070" s="18" t="n">
        <v>0.3</v>
      </c>
      <c r="I1070" s="18" t="n">
        <v>1.5</v>
      </c>
      <c r="J1070" s="19" t="n">
        <v>0.963275326924108</v>
      </c>
      <c r="K1070" s="19" t="n">
        <v>0.548154511890667</v>
      </c>
      <c r="L1070" s="16" t="n">
        <v>14.0220084578378</v>
      </c>
      <c r="M1070" s="19" t="n">
        <v>0.606439868690462</v>
      </c>
      <c r="N1070" s="19" t="n">
        <v>0.776164098399561</v>
      </c>
      <c r="O1070" s="19" t="n">
        <v>1.18090113206296</v>
      </c>
      <c r="P1070" s="19" t="n">
        <v>0.658661428285744</v>
      </c>
      <c r="Q1070" s="17" t="s">
        <v>31</v>
      </c>
      <c r="R1070" s="5" t="str">
        <f aca="false">IF(OR(Q1070="Steel plate",Q1070="Concrete jacket"),"Steel plate or jacket",Q1070)</f>
        <v>Polymer laminate</v>
      </c>
      <c r="S1070" s="5" t="str">
        <f aca="false">IF(O1070&lt;='Tree rules'!$C$4,IF(N1070&lt;='Tree rules'!$C$5,IF(P1070&lt;='Tree rules'!$C$6,"Monitor","Polymer laminate"),IF(P1070&lt;='Tree rules'!$C$7,"Seal cracks","Polymer laminate")),IF(O1070&lt;='Tree rules'!$C$8,IF(M1070&lt;='Tree rules'!$C$9,"Steel plate or jacket","Polymer laminate"),IF(L1070&lt;='Tree rules'!$C$10,"Steel plate or jacket","Polymer laminate")))</f>
        <v>Polymer laminate</v>
      </c>
      <c r="T1070" s="5" t="str">
        <f aca="false">IF(S1070=R1070,"Yes","No")</f>
        <v>Yes</v>
      </c>
    </row>
    <row r="1071" customFormat="false" ht="15" hidden="false" customHeight="false" outlineLevel="0" collapsed="false">
      <c r="A1071" s="15" t="n">
        <v>1519</v>
      </c>
      <c r="B1071" s="16" t="n">
        <v>7.08409091672749</v>
      </c>
      <c r="C1071" s="15" t="n">
        <v>300</v>
      </c>
      <c r="D1071" s="15" t="n">
        <v>550</v>
      </c>
      <c r="E1071" s="15" t="n">
        <v>25</v>
      </c>
      <c r="F1071" s="16" t="n">
        <v>0.625815269639401</v>
      </c>
      <c r="G1071" s="17" t="s">
        <v>89</v>
      </c>
      <c r="H1071" s="18" t="n">
        <v>0.3</v>
      </c>
      <c r="I1071" s="18" t="n">
        <v>1.5</v>
      </c>
      <c r="J1071" s="19" t="n">
        <v>0.914754989450965</v>
      </c>
      <c r="K1071" s="19" t="n">
        <v>0.43539088644945</v>
      </c>
      <c r="L1071" s="16" t="n">
        <v>14.1117348938795</v>
      </c>
      <c r="M1071" s="19" t="n">
        <v>0.311071048821879</v>
      </c>
      <c r="N1071" s="19" t="n">
        <v>1.02112101678584</v>
      </c>
      <c r="O1071" s="19" t="n">
        <v>1.17299449130589</v>
      </c>
      <c r="P1071" s="19" t="n">
        <v>1.22105909537786</v>
      </c>
      <c r="Q1071" s="17" t="s">
        <v>31</v>
      </c>
      <c r="R1071" s="5" t="str">
        <f aca="false">IF(OR(Q1071="Steel plate",Q1071="Concrete jacket"),"Steel plate or jacket",Q1071)</f>
        <v>Polymer laminate</v>
      </c>
      <c r="S1071" s="5" t="str">
        <f aca="false">IF(O1071&lt;='Tree rules'!$C$4,IF(N1071&lt;='Tree rules'!$C$5,IF(P1071&lt;='Tree rules'!$C$6,"Monitor","Polymer laminate"),IF(P1071&lt;='Tree rules'!$C$7,"Seal cracks","Polymer laminate")),IF(O1071&lt;='Tree rules'!$C$8,IF(M1071&lt;='Tree rules'!$C$9,"Steel plate or jacket","Polymer laminate"),IF(L1071&lt;='Tree rules'!$C$10,"Steel plate or jacket","Polymer laminate")))</f>
        <v>Polymer laminate</v>
      </c>
      <c r="T1071" s="5" t="str">
        <f aca="false">IF(S1071=R1071,"Yes","No")</f>
        <v>Yes</v>
      </c>
    </row>
    <row r="1072" customFormat="false" ht="15" hidden="false" customHeight="false" outlineLevel="0" collapsed="false">
      <c r="A1072" s="15" t="n">
        <v>1520</v>
      </c>
      <c r="B1072" s="16" t="n">
        <v>7.13575943565475</v>
      </c>
      <c r="C1072" s="15" t="n">
        <v>230</v>
      </c>
      <c r="D1072" s="15" t="n">
        <v>650</v>
      </c>
      <c r="E1072" s="15" t="n">
        <v>30</v>
      </c>
      <c r="F1072" s="16" t="n">
        <v>0.578928677885824</v>
      </c>
      <c r="G1072" s="17" t="s">
        <v>91</v>
      </c>
      <c r="H1072" s="18" t="n">
        <v>0.2</v>
      </c>
      <c r="I1072" s="18" t="n">
        <v>1.5</v>
      </c>
      <c r="J1072" s="19" t="n">
        <v>0.861338460174525</v>
      </c>
      <c r="K1072" s="19" t="n">
        <v>0.63409959273446</v>
      </c>
      <c r="L1072" s="16" t="n">
        <v>11.814171251084</v>
      </c>
      <c r="M1072" s="19" t="n">
        <v>0.755650374884508</v>
      </c>
      <c r="N1072" s="19" t="n">
        <v>0.925402604001616</v>
      </c>
      <c r="O1072" s="19" t="n">
        <v>1.01892050686019</v>
      </c>
      <c r="P1072" s="19" t="n">
        <v>0.431322471054537</v>
      </c>
      <c r="Q1072" s="17" t="s">
        <v>31</v>
      </c>
      <c r="R1072" s="5" t="str">
        <f aca="false">IF(OR(Q1072="Steel plate",Q1072="Concrete jacket"),"Steel plate or jacket",Q1072)</f>
        <v>Polymer laminate</v>
      </c>
      <c r="S1072" s="5" t="str">
        <f aca="false">IF(O1072&lt;='Tree rules'!$C$4,IF(N1072&lt;='Tree rules'!$C$5,IF(P1072&lt;='Tree rules'!$C$6,"Monitor","Polymer laminate"),IF(P1072&lt;='Tree rules'!$C$7,"Seal cracks","Polymer laminate")),IF(O1072&lt;='Tree rules'!$C$8,IF(M1072&lt;='Tree rules'!$C$9,"Steel plate or jacket","Polymer laminate"),IF(L1072&lt;='Tree rules'!$C$10,"Steel plate or jacket","Polymer laminate")))</f>
        <v>Polymer laminate</v>
      </c>
      <c r="T1072" s="5" t="str">
        <f aca="false">IF(S1072=R1072,"Yes","No")</f>
        <v>Yes</v>
      </c>
    </row>
    <row r="1073" customFormat="false" ht="15" hidden="false" customHeight="false" outlineLevel="0" collapsed="false">
      <c r="A1073" s="15" t="n">
        <v>1521</v>
      </c>
      <c r="B1073" s="16" t="n">
        <v>6.83810349699346</v>
      </c>
      <c r="C1073" s="15" t="n">
        <v>230</v>
      </c>
      <c r="D1073" s="15" t="n">
        <v>600</v>
      </c>
      <c r="E1073" s="15" t="n">
        <v>25</v>
      </c>
      <c r="F1073" s="16" t="n">
        <v>0.63117855856144</v>
      </c>
      <c r="G1073" s="17" t="s">
        <v>89</v>
      </c>
      <c r="H1073" s="18" t="n">
        <v>0.3</v>
      </c>
      <c r="I1073" s="18" t="n">
        <v>1</v>
      </c>
      <c r="J1073" s="19" t="n">
        <v>0.860349957255647</v>
      </c>
      <c r="K1073" s="19" t="n">
        <v>0.600257288041557</v>
      </c>
      <c r="L1073" s="16" t="n">
        <v>12.3431471064864</v>
      </c>
      <c r="M1073" s="19" t="n">
        <v>0.917300729598419</v>
      </c>
      <c r="N1073" s="19" t="n">
        <v>0.488862101987601</v>
      </c>
      <c r="O1073" s="19" t="n">
        <v>0.860349957255647</v>
      </c>
      <c r="P1073" s="19" t="n">
        <v>0.383768247130757</v>
      </c>
      <c r="Q1073" s="17" t="s">
        <v>29</v>
      </c>
      <c r="R1073" s="5" t="str">
        <f aca="false">IF(OR(Q1073="Steel plate",Q1073="Concrete jacket"),"Steel plate or jacket",Q1073)</f>
        <v>Monitor</v>
      </c>
      <c r="S1073" s="5" t="str">
        <f aca="false">IF(O1073&lt;='Tree rules'!$C$4,IF(N1073&lt;='Tree rules'!$C$5,IF(P1073&lt;='Tree rules'!$C$6,"Monitor","Polymer laminate"),IF(P1073&lt;='Tree rules'!$C$7,"Seal cracks","Polymer laminate")),IF(O1073&lt;='Tree rules'!$C$8,IF(M1073&lt;='Tree rules'!$C$9,"Steel plate or jacket","Polymer laminate"),IF(L1073&lt;='Tree rules'!$C$10,"Steel plate or jacket","Polymer laminate")))</f>
        <v>Monitor</v>
      </c>
      <c r="T1073" s="5" t="str">
        <f aca="false">IF(S1073=R1073,"Yes","No")</f>
        <v>Yes</v>
      </c>
    </row>
    <row r="1074" customFormat="false" ht="15" hidden="false" customHeight="false" outlineLevel="0" collapsed="false">
      <c r="A1074" s="15" t="n">
        <v>1523</v>
      </c>
      <c r="B1074" s="16" t="n">
        <v>6.9457346425381</v>
      </c>
      <c r="C1074" s="15" t="n">
        <v>300</v>
      </c>
      <c r="D1074" s="15" t="n">
        <v>550</v>
      </c>
      <c r="E1074" s="15" t="n">
        <v>25</v>
      </c>
      <c r="F1074" s="16" t="n">
        <v>0.531909867274462</v>
      </c>
      <c r="G1074" s="17" t="s">
        <v>91</v>
      </c>
      <c r="H1074" s="18" t="n">
        <v>0.2</v>
      </c>
      <c r="I1074" s="18" t="n">
        <v>1</v>
      </c>
      <c r="J1074" s="19" t="n">
        <v>0.975785982425337</v>
      </c>
      <c r="K1074" s="19" t="n">
        <v>0.644937574108023</v>
      </c>
      <c r="L1074" s="16" t="n">
        <v>13.7812195288454</v>
      </c>
      <c r="M1074" s="19" t="n">
        <v>0.894634341471004</v>
      </c>
      <c r="N1074" s="19" t="n">
        <v>0.926878135918968</v>
      </c>
      <c r="O1074" s="19" t="n">
        <v>0.975785982425337</v>
      </c>
      <c r="P1074" s="19" t="n">
        <v>0.431993537439197</v>
      </c>
      <c r="Q1074" s="17" t="s">
        <v>29</v>
      </c>
      <c r="R1074" s="5" t="str">
        <f aca="false">IF(OR(Q1074="Steel plate",Q1074="Concrete jacket"),"Steel plate or jacket",Q1074)</f>
        <v>Monitor</v>
      </c>
      <c r="S1074" s="5" t="str">
        <f aca="false">IF(O1074&lt;='Tree rules'!$C$4,IF(N1074&lt;='Tree rules'!$C$5,IF(P1074&lt;='Tree rules'!$C$6,"Monitor","Polymer laminate"),IF(P1074&lt;='Tree rules'!$C$7,"Seal cracks","Polymer laminate")),IF(O1074&lt;='Tree rules'!$C$8,IF(M1074&lt;='Tree rules'!$C$9,"Steel plate or jacket","Polymer laminate"),IF(L1074&lt;='Tree rules'!$C$10,"Steel plate or jacket","Polymer laminate")))</f>
        <v>Monitor</v>
      </c>
      <c r="T1074" s="5" t="str">
        <f aca="false">IF(S1074=R1074,"Yes","No")</f>
        <v>Yes</v>
      </c>
    </row>
    <row r="1075" customFormat="false" ht="15" hidden="false" customHeight="false" outlineLevel="0" collapsed="false">
      <c r="A1075" s="15" t="n">
        <v>1524</v>
      </c>
      <c r="B1075" s="16" t="n">
        <v>4.55982105689818</v>
      </c>
      <c r="C1075" s="15" t="n">
        <v>230</v>
      </c>
      <c r="D1075" s="15" t="n">
        <v>450</v>
      </c>
      <c r="E1075" s="15" t="n">
        <v>30</v>
      </c>
      <c r="F1075" s="16" t="n">
        <v>0.679557138998441</v>
      </c>
      <c r="G1075" s="17" t="s">
        <v>91</v>
      </c>
      <c r="H1075" s="18" t="n">
        <v>0.2</v>
      </c>
      <c r="I1075" s="18" t="n">
        <v>1.5</v>
      </c>
      <c r="J1075" s="19" t="n">
        <v>0.977942675262103</v>
      </c>
      <c r="K1075" s="19" t="n">
        <v>0.467540662181887</v>
      </c>
      <c r="L1075" s="16" t="n">
        <v>11.3428384499955</v>
      </c>
      <c r="M1075" s="19" t="n">
        <v>0.4935882751949</v>
      </c>
      <c r="N1075" s="19" t="n">
        <v>1.80442753285707</v>
      </c>
      <c r="O1075" s="19" t="n">
        <v>1.23830002990917</v>
      </c>
      <c r="P1075" s="19" t="n">
        <v>0.646582057198897</v>
      </c>
      <c r="Q1075" s="17" t="s">
        <v>31</v>
      </c>
      <c r="R1075" s="5" t="str">
        <f aca="false">IF(OR(Q1075="Steel plate",Q1075="Concrete jacket"),"Steel plate or jacket",Q1075)</f>
        <v>Polymer laminate</v>
      </c>
      <c r="S1075" s="5" t="str">
        <f aca="false">IF(O1075&lt;='Tree rules'!$C$4,IF(N1075&lt;='Tree rules'!$C$5,IF(P1075&lt;='Tree rules'!$C$6,"Monitor","Polymer laminate"),IF(P1075&lt;='Tree rules'!$C$7,"Seal cracks","Polymer laminate")),IF(O1075&lt;='Tree rules'!$C$8,IF(M1075&lt;='Tree rules'!$C$9,"Steel plate or jacket","Polymer laminate"),IF(L1075&lt;='Tree rules'!$C$10,"Steel plate or jacket","Polymer laminate")))</f>
        <v>Polymer laminate</v>
      </c>
      <c r="T1075" s="5" t="str">
        <f aca="false">IF(S1075=R1075,"Yes","No")</f>
        <v>Yes</v>
      </c>
    </row>
    <row r="1076" customFormat="false" ht="15" hidden="false" customHeight="false" outlineLevel="0" collapsed="false">
      <c r="A1076" s="15" t="n">
        <v>1526</v>
      </c>
      <c r="B1076" s="16" t="n">
        <v>3.1591482917873</v>
      </c>
      <c r="C1076" s="15" t="n">
        <v>230</v>
      </c>
      <c r="D1076" s="15" t="n">
        <v>300</v>
      </c>
      <c r="E1076" s="15" t="n">
        <v>30</v>
      </c>
      <c r="F1076" s="16" t="n">
        <v>1.0324987837885</v>
      </c>
      <c r="G1076" s="17" t="s">
        <v>89</v>
      </c>
      <c r="H1076" s="18" t="n">
        <v>0.3</v>
      </c>
      <c r="I1076" s="18" t="n">
        <v>1.5</v>
      </c>
      <c r="J1076" s="19" t="n">
        <v>0.906632248001485</v>
      </c>
      <c r="K1076" s="19" t="n">
        <v>0.415548117395697</v>
      </c>
      <c r="L1076" s="16" t="n">
        <v>12.43759169995</v>
      </c>
      <c r="M1076" s="19" t="n">
        <v>0.33441292582519</v>
      </c>
      <c r="N1076" s="19" t="n">
        <v>0.918896496304087</v>
      </c>
      <c r="O1076" s="19" t="n">
        <v>1.17157371008861</v>
      </c>
      <c r="P1076" s="19" t="n">
        <v>1.11938630920853</v>
      </c>
      <c r="Q1076" s="17" t="s">
        <v>31</v>
      </c>
      <c r="R1076" s="5" t="str">
        <f aca="false">IF(OR(Q1076="Steel plate",Q1076="Concrete jacket"),"Steel plate or jacket",Q1076)</f>
        <v>Polymer laminate</v>
      </c>
      <c r="S1076" s="5" t="str">
        <f aca="false">IF(O1076&lt;='Tree rules'!$C$4,IF(N1076&lt;='Tree rules'!$C$5,IF(P1076&lt;='Tree rules'!$C$6,"Monitor","Polymer laminate"),IF(P1076&lt;='Tree rules'!$C$7,"Seal cracks","Polymer laminate")),IF(O1076&lt;='Tree rules'!$C$8,IF(M1076&lt;='Tree rules'!$C$9,"Steel plate or jacket","Polymer laminate"),IF(L1076&lt;='Tree rules'!$C$10,"Steel plate or jacket","Polymer laminate")))</f>
        <v>Polymer laminate</v>
      </c>
      <c r="T1076" s="5" t="str">
        <f aca="false">IF(S1076=R1076,"Yes","No")</f>
        <v>Yes</v>
      </c>
    </row>
    <row r="1077" customFormat="false" ht="15" hidden="false" customHeight="false" outlineLevel="0" collapsed="false">
      <c r="A1077" s="15" t="n">
        <v>1527</v>
      </c>
      <c r="B1077" s="16" t="n">
        <v>4.39640516416565</v>
      </c>
      <c r="C1077" s="15" t="n">
        <v>300</v>
      </c>
      <c r="D1077" s="15" t="n">
        <v>400</v>
      </c>
      <c r="E1077" s="15" t="n">
        <v>25</v>
      </c>
      <c r="F1077" s="16" t="n">
        <v>0.593103037845861</v>
      </c>
      <c r="G1077" s="17" t="s">
        <v>90</v>
      </c>
      <c r="H1077" s="18" t="n">
        <v>0.1</v>
      </c>
      <c r="I1077" s="18" t="n">
        <v>1.5</v>
      </c>
      <c r="J1077" s="19" t="n">
        <v>0.921057154885248</v>
      </c>
      <c r="K1077" s="19" t="n">
        <v>0.467877540715019</v>
      </c>
      <c r="L1077" s="16" t="n">
        <v>12.9687467969488</v>
      </c>
      <c r="M1077" s="19" t="n">
        <v>0.347479932851609</v>
      </c>
      <c r="N1077" s="19" t="n">
        <v>3.69108730240539</v>
      </c>
      <c r="O1077" s="19" t="n">
        <v>1.16611475408503</v>
      </c>
      <c r="P1077" s="19" t="n">
        <v>0.79859029241609</v>
      </c>
      <c r="Q1077" s="17" t="s">
        <v>31</v>
      </c>
      <c r="R1077" s="5" t="str">
        <f aca="false">IF(OR(Q1077="Steel plate",Q1077="Concrete jacket"),"Steel plate or jacket",Q1077)</f>
        <v>Polymer laminate</v>
      </c>
      <c r="S1077" s="5" t="str">
        <f aca="false">IF(O1077&lt;='Tree rules'!$C$4,IF(N1077&lt;='Tree rules'!$C$5,IF(P1077&lt;='Tree rules'!$C$6,"Monitor","Polymer laminate"),IF(P1077&lt;='Tree rules'!$C$7,"Seal cracks","Polymer laminate")),IF(O1077&lt;='Tree rules'!$C$8,IF(M1077&lt;='Tree rules'!$C$9,"Steel plate or jacket","Polymer laminate"),IF(L1077&lt;='Tree rules'!$C$10,"Steel plate or jacket","Polymer laminate")))</f>
        <v>Polymer laminate</v>
      </c>
      <c r="T1077" s="5" t="str">
        <f aca="false">IF(S1077=R1077,"Yes","No")</f>
        <v>Yes</v>
      </c>
    </row>
    <row r="1078" customFormat="false" ht="15" hidden="false" customHeight="false" outlineLevel="0" collapsed="false">
      <c r="A1078" s="15" t="n">
        <v>1530</v>
      </c>
      <c r="B1078" s="16" t="n">
        <v>7.84754911696128</v>
      </c>
      <c r="C1078" s="15" t="n">
        <v>300</v>
      </c>
      <c r="D1078" s="15" t="n">
        <v>775</v>
      </c>
      <c r="E1078" s="15" t="n">
        <v>25</v>
      </c>
      <c r="F1078" s="16" t="n">
        <v>0.720218398347041</v>
      </c>
      <c r="G1078" s="17" t="s">
        <v>91</v>
      </c>
      <c r="H1078" s="18" t="n">
        <v>0.2</v>
      </c>
      <c r="I1078" s="18" t="n">
        <v>1</v>
      </c>
      <c r="J1078" s="19" t="n">
        <v>0.971309878476781</v>
      </c>
      <c r="K1078" s="19" t="n">
        <v>0.411414577904637</v>
      </c>
      <c r="L1078" s="16" t="n">
        <v>10.7944279463016</v>
      </c>
      <c r="M1078" s="19" t="n">
        <v>0.895208713255852</v>
      </c>
      <c r="N1078" s="19" t="n">
        <v>0.854263569436231</v>
      </c>
      <c r="O1078" s="19" t="n">
        <v>0.971309878476781</v>
      </c>
      <c r="P1078" s="19" t="n">
        <v>0.381128068243145</v>
      </c>
      <c r="Q1078" s="17" t="s">
        <v>29</v>
      </c>
      <c r="R1078" s="5" t="str">
        <f aca="false">IF(OR(Q1078="Steel plate",Q1078="Concrete jacket"),"Steel plate or jacket",Q1078)</f>
        <v>Monitor</v>
      </c>
      <c r="S1078" s="5" t="str">
        <f aca="false">IF(O1078&lt;='Tree rules'!$C$4,IF(N1078&lt;='Tree rules'!$C$5,IF(P1078&lt;='Tree rules'!$C$6,"Monitor","Polymer laminate"),IF(P1078&lt;='Tree rules'!$C$7,"Seal cracks","Polymer laminate")),IF(O1078&lt;='Tree rules'!$C$8,IF(M1078&lt;='Tree rules'!$C$9,"Steel plate or jacket","Polymer laminate"),IF(L1078&lt;='Tree rules'!$C$10,"Steel plate or jacket","Polymer laminate")))</f>
        <v>Monitor</v>
      </c>
      <c r="T1078" s="5" t="str">
        <f aca="false">IF(S1078=R1078,"Yes","No")</f>
        <v>Yes</v>
      </c>
    </row>
    <row r="1079" customFormat="false" ht="15" hidden="false" customHeight="false" outlineLevel="0" collapsed="false">
      <c r="A1079" s="15" t="n">
        <v>1531</v>
      </c>
      <c r="B1079" s="16" t="n">
        <v>4.20822594529217</v>
      </c>
      <c r="C1079" s="15" t="n">
        <v>230</v>
      </c>
      <c r="D1079" s="15" t="n">
        <v>375</v>
      </c>
      <c r="E1079" s="15" t="n">
        <v>30</v>
      </c>
      <c r="F1079" s="16" t="n">
        <v>0.835418868126524</v>
      </c>
      <c r="G1079" s="17" t="s">
        <v>91</v>
      </c>
      <c r="H1079" s="18" t="n">
        <v>0.2</v>
      </c>
      <c r="I1079" s="18" t="n">
        <v>1</v>
      </c>
      <c r="J1079" s="19" t="n">
        <v>0.882321493100541</v>
      </c>
      <c r="K1079" s="19" t="n">
        <v>0.472823782119329</v>
      </c>
      <c r="L1079" s="16" t="n">
        <v>12.8691924932482</v>
      </c>
      <c r="M1079" s="19" t="n">
        <v>0.799685470924657</v>
      </c>
      <c r="N1079" s="19" t="n">
        <v>1.18338548516658</v>
      </c>
      <c r="O1079" s="19" t="n">
        <v>0.882321493100541</v>
      </c>
      <c r="P1079" s="19" t="n">
        <v>0.421362849811247</v>
      </c>
      <c r="Q1079" s="17" t="s">
        <v>30</v>
      </c>
      <c r="R1079" s="5" t="str">
        <f aca="false">IF(OR(Q1079="Steel plate",Q1079="Concrete jacket"),"Steel plate or jacket",Q1079)</f>
        <v>Seal cracks</v>
      </c>
      <c r="S1079" s="5" t="str">
        <f aca="false">IF(O1079&lt;='Tree rules'!$C$4,IF(N1079&lt;='Tree rules'!$C$5,IF(P1079&lt;='Tree rules'!$C$6,"Monitor","Polymer laminate"),IF(P1079&lt;='Tree rules'!$C$7,"Seal cracks","Polymer laminate")),IF(O1079&lt;='Tree rules'!$C$8,IF(M1079&lt;='Tree rules'!$C$9,"Steel plate or jacket","Polymer laminate"),IF(L1079&lt;='Tree rules'!$C$10,"Steel plate or jacket","Polymer laminate")))</f>
        <v>Seal cracks</v>
      </c>
      <c r="T1079" s="5" t="str">
        <f aca="false">IF(S1079=R1079,"Yes","No")</f>
        <v>Yes</v>
      </c>
    </row>
    <row r="1080" customFormat="false" ht="15" hidden="false" customHeight="false" outlineLevel="0" collapsed="false">
      <c r="A1080" s="15" t="n">
        <v>1532</v>
      </c>
      <c r="B1080" s="16" t="n">
        <v>3.5618986995621</v>
      </c>
      <c r="C1080" s="15" t="n">
        <v>300</v>
      </c>
      <c r="D1080" s="15" t="n">
        <v>350</v>
      </c>
      <c r="E1080" s="15" t="n">
        <v>30</v>
      </c>
      <c r="F1080" s="16" t="n">
        <v>0.729754391077768</v>
      </c>
      <c r="G1080" s="17" t="s">
        <v>90</v>
      </c>
      <c r="H1080" s="18" t="n">
        <v>0.1</v>
      </c>
      <c r="I1080" s="18" t="n">
        <v>1</v>
      </c>
      <c r="J1080" s="19" t="n">
        <v>0.906030688979922</v>
      </c>
      <c r="K1080" s="19" t="n">
        <v>0.529378492503217</v>
      </c>
      <c r="L1080" s="16" t="n">
        <v>12.4107968625857</v>
      </c>
      <c r="M1080" s="19" t="n">
        <v>0.447492432626371</v>
      </c>
      <c r="N1080" s="19" t="n">
        <v>3.47048462622178</v>
      </c>
      <c r="O1080" s="19" t="n">
        <v>0.906030688979922</v>
      </c>
      <c r="P1080" s="19" t="n">
        <v>0.558529369520173</v>
      </c>
      <c r="Q1080" s="17" t="s">
        <v>30</v>
      </c>
      <c r="R1080" s="5" t="str">
        <f aca="false">IF(OR(Q1080="Steel plate",Q1080="Concrete jacket"),"Steel plate or jacket",Q1080)</f>
        <v>Seal cracks</v>
      </c>
      <c r="S1080" s="5" t="str">
        <f aca="false">IF(O1080&lt;='Tree rules'!$C$4,IF(N1080&lt;='Tree rules'!$C$5,IF(P1080&lt;='Tree rules'!$C$6,"Monitor","Polymer laminate"),IF(P1080&lt;='Tree rules'!$C$7,"Seal cracks","Polymer laminate")),IF(O1080&lt;='Tree rules'!$C$8,IF(M1080&lt;='Tree rules'!$C$9,"Steel plate or jacket","Polymer laminate"),IF(L1080&lt;='Tree rules'!$C$10,"Steel plate or jacket","Polymer laminate")))</f>
        <v>Seal cracks</v>
      </c>
      <c r="T1080" s="5" t="str">
        <f aca="false">IF(S1080=R1080,"Yes","No")</f>
        <v>Yes</v>
      </c>
    </row>
    <row r="1081" customFormat="false" ht="15" hidden="false" customHeight="false" outlineLevel="0" collapsed="false">
      <c r="A1081" s="15" t="n">
        <v>1534</v>
      </c>
      <c r="B1081" s="16" t="n">
        <v>5.26020181069282</v>
      </c>
      <c r="C1081" s="15" t="n">
        <v>300</v>
      </c>
      <c r="D1081" s="15" t="n">
        <v>525</v>
      </c>
      <c r="E1081" s="15" t="n">
        <v>25</v>
      </c>
      <c r="F1081" s="16" t="n">
        <v>0.839507013902909</v>
      </c>
      <c r="G1081" s="17" t="s">
        <v>91</v>
      </c>
      <c r="H1081" s="18" t="n">
        <v>0.2</v>
      </c>
      <c r="I1081" s="18" t="n">
        <v>1.5</v>
      </c>
      <c r="J1081" s="19" t="n">
        <v>0.870747410795446</v>
      </c>
      <c r="K1081" s="19" t="n">
        <v>0.546962532384768</v>
      </c>
      <c r="L1081" s="16" t="n">
        <v>10.9816321726364</v>
      </c>
      <c r="M1081" s="19" t="n">
        <v>0.496175471590299</v>
      </c>
      <c r="N1081" s="19" t="n">
        <v>1.02030170091903</v>
      </c>
      <c r="O1081" s="19" t="n">
        <v>1.06798801175509</v>
      </c>
      <c r="P1081" s="19" t="n">
        <v>0.773626262450564</v>
      </c>
      <c r="Q1081" s="17" t="s">
        <v>31</v>
      </c>
      <c r="R1081" s="5" t="str">
        <f aca="false">IF(OR(Q1081="Steel plate",Q1081="Concrete jacket"),"Steel plate or jacket",Q1081)</f>
        <v>Polymer laminate</v>
      </c>
      <c r="S1081" s="5" t="str">
        <f aca="false">IF(O1081&lt;='Tree rules'!$C$4,IF(N1081&lt;='Tree rules'!$C$5,IF(P1081&lt;='Tree rules'!$C$6,"Monitor","Polymer laminate"),IF(P1081&lt;='Tree rules'!$C$7,"Seal cracks","Polymer laminate")),IF(O1081&lt;='Tree rules'!$C$8,IF(M1081&lt;='Tree rules'!$C$9,"Steel plate or jacket","Polymer laminate"),IF(L1081&lt;='Tree rules'!$C$10,"Steel plate or jacket","Polymer laminate")))</f>
        <v>Polymer laminate</v>
      </c>
      <c r="T1081" s="5" t="str">
        <f aca="false">IF(S1081=R1081,"Yes","No")</f>
        <v>Yes</v>
      </c>
    </row>
    <row r="1082" customFormat="false" ht="15" hidden="false" customHeight="false" outlineLevel="0" collapsed="false">
      <c r="A1082" s="15" t="n">
        <v>1537</v>
      </c>
      <c r="B1082" s="16" t="n">
        <v>3.30762909019656</v>
      </c>
      <c r="C1082" s="15" t="n">
        <v>300</v>
      </c>
      <c r="D1082" s="15" t="n">
        <v>325</v>
      </c>
      <c r="E1082" s="15" t="n">
        <v>30</v>
      </c>
      <c r="F1082" s="16" t="n">
        <v>0.708629921862359</v>
      </c>
      <c r="G1082" s="17" t="s">
        <v>90</v>
      </c>
      <c r="H1082" s="18" t="n">
        <v>0.1</v>
      </c>
      <c r="I1082" s="18" t="n">
        <v>2</v>
      </c>
      <c r="J1082" s="19" t="n">
        <v>0.941027756363646</v>
      </c>
      <c r="K1082" s="19" t="n">
        <v>0.527908809407589</v>
      </c>
      <c r="L1082" s="16" t="n">
        <v>12.4346958278066</v>
      </c>
      <c r="M1082" s="19" t="n">
        <v>0.823105830476812</v>
      </c>
      <c r="N1082" s="19" t="n">
        <v>3.84296662076718</v>
      </c>
      <c r="O1082" s="19" t="n">
        <v>1.38527867024587</v>
      </c>
      <c r="P1082" s="19" t="n">
        <v>0.395482316203745</v>
      </c>
      <c r="Q1082" s="17" t="s">
        <v>31</v>
      </c>
      <c r="R1082" s="5" t="str">
        <f aca="false">IF(OR(Q1082="Steel plate",Q1082="Concrete jacket"),"Steel plate or jacket",Q1082)</f>
        <v>Polymer laminate</v>
      </c>
      <c r="S1082" s="5" t="str">
        <f aca="false">IF(O1082&lt;='Tree rules'!$C$4,IF(N1082&lt;='Tree rules'!$C$5,IF(P1082&lt;='Tree rules'!$C$6,"Monitor","Polymer laminate"),IF(P1082&lt;='Tree rules'!$C$7,"Seal cracks","Polymer laminate")),IF(O1082&lt;='Tree rules'!$C$8,IF(M1082&lt;='Tree rules'!$C$9,"Steel plate or jacket","Polymer laminate"),IF(L1082&lt;='Tree rules'!$C$10,"Steel plate or jacket","Polymer laminate")))</f>
        <v>Steel plate or jacket</v>
      </c>
      <c r="T1082" s="5" t="str">
        <f aca="false">IF(S1082=R1082,"Yes","No")</f>
        <v>No</v>
      </c>
    </row>
    <row r="1083" customFormat="false" ht="15" hidden="false" customHeight="false" outlineLevel="0" collapsed="false">
      <c r="A1083" s="15" t="n">
        <v>1540</v>
      </c>
      <c r="B1083" s="16" t="n">
        <v>4.14740873142338</v>
      </c>
      <c r="C1083" s="15" t="n">
        <v>230</v>
      </c>
      <c r="D1083" s="15" t="n">
        <v>350</v>
      </c>
      <c r="E1083" s="15" t="n">
        <v>30</v>
      </c>
      <c r="F1083" s="16" t="n">
        <v>0.64278110559382</v>
      </c>
      <c r="G1083" s="17" t="s">
        <v>89</v>
      </c>
      <c r="H1083" s="18" t="n">
        <v>0.3</v>
      </c>
      <c r="I1083" s="18" t="n">
        <v>2</v>
      </c>
      <c r="J1083" s="19" t="n">
        <v>0.951194448930803</v>
      </c>
      <c r="K1083" s="19" t="n">
        <v>0.542841615363383</v>
      </c>
      <c r="L1083" s="16" t="n">
        <v>13.5536233053052</v>
      </c>
      <c r="M1083" s="19" t="n">
        <v>0.282084681901066</v>
      </c>
      <c r="N1083" s="19" t="n">
        <v>0.992038485702919</v>
      </c>
      <c r="O1083" s="19" t="n">
        <v>1.38604096667933</v>
      </c>
      <c r="P1083" s="19" t="n">
        <v>1.30508808041093</v>
      </c>
      <c r="Q1083" s="17" t="s">
        <v>31</v>
      </c>
      <c r="R1083" s="5" t="str">
        <f aca="false">IF(OR(Q1083="Steel plate",Q1083="Concrete jacket"),"Steel plate or jacket",Q1083)</f>
        <v>Polymer laminate</v>
      </c>
      <c r="S1083" s="5" t="str">
        <f aca="false">IF(O1083&lt;='Tree rules'!$C$4,IF(N1083&lt;='Tree rules'!$C$5,IF(P1083&lt;='Tree rules'!$C$6,"Monitor","Polymer laminate"),IF(P1083&lt;='Tree rules'!$C$7,"Seal cracks","Polymer laminate")),IF(O1083&lt;='Tree rules'!$C$8,IF(M1083&lt;='Tree rules'!$C$9,"Steel plate or jacket","Polymer laminate"),IF(L1083&lt;='Tree rules'!$C$10,"Steel plate or jacket","Polymer laminate")))</f>
        <v>Polymer laminate</v>
      </c>
      <c r="T1083" s="5" t="str">
        <f aca="false">IF(S1083=R1083,"Yes","No")</f>
        <v>Yes</v>
      </c>
    </row>
    <row r="1084" customFormat="false" ht="15" hidden="false" customHeight="false" outlineLevel="0" collapsed="false">
      <c r="A1084" s="15" t="n">
        <v>1541</v>
      </c>
      <c r="B1084" s="16" t="n">
        <v>3.83982169262665</v>
      </c>
      <c r="C1084" s="15" t="n">
        <v>300</v>
      </c>
      <c r="D1084" s="15" t="n">
        <v>350</v>
      </c>
      <c r="E1084" s="15" t="n">
        <v>25</v>
      </c>
      <c r="F1084" s="16" t="n">
        <v>0.61599855952741</v>
      </c>
      <c r="G1084" s="17" t="s">
        <v>91</v>
      </c>
      <c r="H1084" s="18" t="n">
        <v>0.2</v>
      </c>
      <c r="I1084" s="18" t="n">
        <v>2</v>
      </c>
      <c r="J1084" s="19" t="n">
        <v>0.939736228454444</v>
      </c>
      <c r="K1084" s="19" t="n">
        <v>0.499632945806706</v>
      </c>
      <c r="L1084" s="16" t="n">
        <v>12.5484369040087</v>
      </c>
      <c r="M1084" s="19" t="n">
        <v>0.944727740210786</v>
      </c>
      <c r="N1084" s="19" t="n">
        <v>1.36788828430246</v>
      </c>
      <c r="O1084" s="19" t="n">
        <v>1.40994927680491</v>
      </c>
      <c r="P1084" s="19" t="n">
        <v>0.395794631920215</v>
      </c>
      <c r="Q1084" s="17" t="s">
        <v>31</v>
      </c>
      <c r="R1084" s="5" t="str">
        <f aca="false">IF(OR(Q1084="Steel plate",Q1084="Concrete jacket"),"Steel plate or jacket",Q1084)</f>
        <v>Polymer laminate</v>
      </c>
      <c r="S1084" s="5" t="str">
        <f aca="false">IF(O1084&lt;='Tree rules'!$C$4,IF(N1084&lt;='Tree rules'!$C$5,IF(P1084&lt;='Tree rules'!$C$6,"Monitor","Polymer laminate"),IF(P1084&lt;='Tree rules'!$C$7,"Seal cracks","Polymer laminate")),IF(O1084&lt;='Tree rules'!$C$8,IF(M1084&lt;='Tree rules'!$C$9,"Steel plate or jacket","Polymer laminate"),IF(L1084&lt;='Tree rules'!$C$10,"Steel plate or jacket","Polymer laminate")))</f>
        <v>Steel plate or jacket</v>
      </c>
      <c r="T1084" s="5" t="str">
        <f aca="false">IF(S1084=R1084,"Yes","No")</f>
        <v>No</v>
      </c>
    </row>
    <row r="1085" customFormat="false" ht="15" hidden="false" customHeight="false" outlineLevel="0" collapsed="false">
      <c r="A1085" s="15" t="n">
        <v>1544</v>
      </c>
      <c r="B1085" s="16" t="n">
        <v>7.84435889109494</v>
      </c>
      <c r="C1085" s="15" t="n">
        <v>300</v>
      </c>
      <c r="D1085" s="15" t="n">
        <v>725</v>
      </c>
      <c r="E1085" s="15" t="n">
        <v>20</v>
      </c>
      <c r="F1085" s="16" t="n">
        <v>0.632747765073473</v>
      </c>
      <c r="G1085" s="17" t="s">
        <v>90</v>
      </c>
      <c r="H1085" s="18" t="n">
        <v>0.1</v>
      </c>
      <c r="I1085" s="18" t="n">
        <v>1</v>
      </c>
      <c r="J1085" s="19" t="n">
        <v>0.908151999037831</v>
      </c>
      <c r="K1085" s="19" t="n">
        <v>0.477501998526619</v>
      </c>
      <c r="L1085" s="16" t="n">
        <v>11.8494847297507</v>
      </c>
      <c r="M1085" s="19" t="n">
        <v>0.861704180807541</v>
      </c>
      <c r="N1085" s="19" t="n">
        <v>2.12688150730126</v>
      </c>
      <c r="O1085" s="19" t="n">
        <v>0.908151999037831</v>
      </c>
      <c r="P1085" s="19" t="n">
        <v>0.38914511247906</v>
      </c>
      <c r="Q1085" s="17" t="s">
        <v>30</v>
      </c>
      <c r="R1085" s="5" t="str">
        <f aca="false">IF(OR(Q1085="Steel plate",Q1085="Concrete jacket"),"Steel plate or jacket",Q1085)</f>
        <v>Seal cracks</v>
      </c>
      <c r="S1085" s="5" t="str">
        <f aca="false">IF(O1085&lt;='Tree rules'!$C$4,IF(N1085&lt;='Tree rules'!$C$5,IF(P1085&lt;='Tree rules'!$C$6,"Monitor","Polymer laminate"),IF(P1085&lt;='Tree rules'!$C$7,"Seal cracks","Polymer laminate")),IF(O1085&lt;='Tree rules'!$C$8,IF(M1085&lt;='Tree rules'!$C$9,"Steel plate or jacket","Polymer laminate"),IF(L1085&lt;='Tree rules'!$C$10,"Steel plate or jacket","Polymer laminate")))</f>
        <v>Seal cracks</v>
      </c>
      <c r="T1085" s="5" t="str">
        <f aca="false">IF(S1085=R1085,"Yes","No")</f>
        <v>Yes</v>
      </c>
    </row>
    <row r="1086" customFormat="false" ht="15" hidden="false" customHeight="false" outlineLevel="0" collapsed="false">
      <c r="A1086" s="15" t="n">
        <v>1545</v>
      </c>
      <c r="B1086" s="16" t="n">
        <v>3.29637077668294</v>
      </c>
      <c r="C1086" s="15" t="n">
        <v>300</v>
      </c>
      <c r="D1086" s="15" t="n">
        <v>325</v>
      </c>
      <c r="E1086" s="15" t="n">
        <v>25</v>
      </c>
      <c r="F1086" s="16" t="n">
        <v>0.72065207824282</v>
      </c>
      <c r="G1086" s="17" t="s">
        <v>89</v>
      </c>
      <c r="H1086" s="18" t="n">
        <v>0.3</v>
      </c>
      <c r="I1086" s="18" t="n">
        <v>1</v>
      </c>
      <c r="J1086" s="19" t="n">
        <v>0.853099231531851</v>
      </c>
      <c r="K1086" s="19" t="n">
        <v>0.536933288109158</v>
      </c>
      <c r="L1086" s="16" t="n">
        <v>11.814949020369</v>
      </c>
      <c r="M1086" s="19" t="n">
        <v>0.944200168106753</v>
      </c>
      <c r="N1086" s="19" t="n">
        <v>0.635584450988433</v>
      </c>
      <c r="O1086" s="19" t="n">
        <v>0.85309923153185</v>
      </c>
      <c r="P1086" s="19" t="n">
        <v>0.308108493211189</v>
      </c>
      <c r="Q1086" s="17" t="s">
        <v>29</v>
      </c>
      <c r="R1086" s="5" t="str">
        <f aca="false">IF(OR(Q1086="Steel plate",Q1086="Concrete jacket"),"Steel plate or jacket",Q1086)</f>
        <v>Monitor</v>
      </c>
      <c r="S1086" s="5" t="str">
        <f aca="false">IF(O1086&lt;='Tree rules'!$C$4,IF(N1086&lt;='Tree rules'!$C$5,IF(P1086&lt;='Tree rules'!$C$6,"Monitor","Polymer laminate"),IF(P1086&lt;='Tree rules'!$C$7,"Seal cracks","Polymer laminate")),IF(O1086&lt;='Tree rules'!$C$8,IF(M1086&lt;='Tree rules'!$C$9,"Steel plate or jacket","Polymer laminate"),IF(L1086&lt;='Tree rules'!$C$10,"Steel plate or jacket","Polymer laminate")))</f>
        <v>Monitor</v>
      </c>
      <c r="T1086" s="5" t="str">
        <f aca="false">IF(S1086=R1086,"Yes","No")</f>
        <v>Yes</v>
      </c>
    </row>
    <row r="1087" customFormat="false" ht="15" hidden="false" customHeight="false" outlineLevel="0" collapsed="false">
      <c r="A1087" s="15" t="n">
        <v>1547</v>
      </c>
      <c r="B1087" s="16" t="n">
        <v>5.60914062973818</v>
      </c>
      <c r="C1087" s="15" t="n">
        <v>230</v>
      </c>
      <c r="D1087" s="15" t="n">
        <v>525</v>
      </c>
      <c r="E1087" s="15" t="n">
        <v>30</v>
      </c>
      <c r="F1087" s="16" t="n">
        <v>0.57270853223768</v>
      </c>
      <c r="G1087" s="17" t="s">
        <v>89</v>
      </c>
      <c r="H1087" s="18" t="n">
        <v>0.3</v>
      </c>
      <c r="I1087" s="18" t="n">
        <v>2</v>
      </c>
      <c r="J1087" s="19" t="n">
        <v>0.874572565437673</v>
      </c>
      <c r="K1087" s="19" t="n">
        <v>0.469720972588207</v>
      </c>
      <c r="L1087" s="16" t="n">
        <v>11.7592046745035</v>
      </c>
      <c r="M1087" s="19" t="n">
        <v>0.435646717896469</v>
      </c>
      <c r="N1087" s="19" t="n">
        <v>1.31941716016236</v>
      </c>
      <c r="O1087" s="19" t="n">
        <v>1.338340054839</v>
      </c>
      <c r="P1087" s="19" t="n">
        <v>0.692835751010895</v>
      </c>
      <c r="Q1087" s="17" t="s">
        <v>31</v>
      </c>
      <c r="R1087" s="5" t="str">
        <f aca="false">IF(OR(Q1087="Steel plate",Q1087="Concrete jacket"),"Steel plate or jacket",Q1087)</f>
        <v>Polymer laminate</v>
      </c>
      <c r="S1087" s="5" t="str">
        <f aca="false">IF(O1087&lt;='Tree rules'!$C$4,IF(N1087&lt;='Tree rules'!$C$5,IF(P1087&lt;='Tree rules'!$C$6,"Monitor","Polymer laminate"),IF(P1087&lt;='Tree rules'!$C$7,"Seal cracks","Polymer laminate")),IF(O1087&lt;='Tree rules'!$C$8,IF(M1087&lt;='Tree rules'!$C$9,"Steel plate or jacket","Polymer laminate"),IF(L1087&lt;='Tree rules'!$C$10,"Steel plate or jacket","Polymer laminate")))</f>
        <v>Steel plate or jacket</v>
      </c>
      <c r="T1087" s="5" t="str">
        <f aca="false">IF(S1087=R1087,"Yes","No")</f>
        <v>No</v>
      </c>
    </row>
    <row r="1088" customFormat="false" ht="15" hidden="false" customHeight="false" outlineLevel="0" collapsed="false">
      <c r="A1088" s="15" t="n">
        <v>1549</v>
      </c>
      <c r="B1088" s="16" t="n">
        <v>3.78635738994557</v>
      </c>
      <c r="C1088" s="15" t="n">
        <v>300</v>
      </c>
      <c r="D1088" s="15" t="n">
        <v>325</v>
      </c>
      <c r="E1088" s="15" t="n">
        <v>25</v>
      </c>
      <c r="F1088" s="16" t="n">
        <v>0.756099314943392</v>
      </c>
      <c r="G1088" s="17" t="s">
        <v>91</v>
      </c>
      <c r="H1088" s="18" t="n">
        <v>0.2</v>
      </c>
      <c r="I1088" s="18" t="n">
        <v>1</v>
      </c>
      <c r="J1088" s="19" t="n">
        <v>0.90889391425706</v>
      </c>
      <c r="K1088" s="19" t="n">
        <v>0.498862419011656</v>
      </c>
      <c r="L1088" s="16" t="n">
        <v>13.6691602525111</v>
      </c>
      <c r="M1088" s="19" t="n">
        <v>0.495005715305293</v>
      </c>
      <c r="N1088" s="19" t="n">
        <v>1.51472782438619</v>
      </c>
      <c r="O1088" s="19" t="n">
        <v>0.90889391425706</v>
      </c>
      <c r="P1088" s="19" t="n">
        <v>0.666787192975797</v>
      </c>
      <c r="Q1088" s="17" t="s">
        <v>30</v>
      </c>
      <c r="R1088" s="5" t="str">
        <f aca="false">IF(OR(Q1088="Steel plate",Q1088="Concrete jacket"),"Steel plate or jacket",Q1088)</f>
        <v>Seal cracks</v>
      </c>
      <c r="S1088" s="5" t="str">
        <f aca="false">IF(O1088&lt;='Tree rules'!$C$4,IF(N1088&lt;='Tree rules'!$C$5,IF(P1088&lt;='Tree rules'!$C$6,"Monitor","Polymer laminate"),IF(P1088&lt;='Tree rules'!$C$7,"Seal cracks","Polymer laminate")),IF(O1088&lt;='Tree rules'!$C$8,IF(M1088&lt;='Tree rules'!$C$9,"Steel plate or jacket","Polymer laminate"),IF(L1088&lt;='Tree rules'!$C$10,"Steel plate or jacket","Polymer laminate")))</f>
        <v>Seal cracks</v>
      </c>
      <c r="T1088" s="5" t="str">
        <f aca="false">IF(S1088=R1088,"Yes","No")</f>
        <v>Yes</v>
      </c>
    </row>
    <row r="1089" customFormat="false" ht="15" hidden="false" customHeight="false" outlineLevel="0" collapsed="false">
      <c r="A1089" s="15" t="n">
        <v>1550</v>
      </c>
      <c r="B1089" s="16" t="n">
        <v>3.00612447363124</v>
      </c>
      <c r="C1089" s="15" t="n">
        <v>230</v>
      </c>
      <c r="D1089" s="15" t="n">
        <v>300</v>
      </c>
      <c r="E1089" s="15" t="n">
        <v>30</v>
      </c>
      <c r="F1089" s="16" t="n">
        <v>1.08405543602132</v>
      </c>
      <c r="G1089" s="17" t="s">
        <v>89</v>
      </c>
      <c r="H1089" s="18" t="n">
        <v>0.3</v>
      </c>
      <c r="I1089" s="18" t="n">
        <v>1</v>
      </c>
      <c r="J1089" s="19" t="n">
        <v>0.885140588607515</v>
      </c>
      <c r="K1089" s="19" t="n">
        <v>0.590140316315363</v>
      </c>
      <c r="L1089" s="16" t="n">
        <v>11.9290653715525</v>
      </c>
      <c r="M1089" s="19" t="n">
        <v>0.403939781836151</v>
      </c>
      <c r="N1089" s="19" t="n">
        <v>0.85047519573693</v>
      </c>
      <c r="O1089" s="19" t="n">
        <v>0.885140588607515</v>
      </c>
      <c r="P1089" s="19" t="n">
        <v>0.888868515560333</v>
      </c>
      <c r="Q1089" s="17" t="s">
        <v>29</v>
      </c>
      <c r="R1089" s="5" t="str">
        <f aca="false">IF(OR(Q1089="Steel plate",Q1089="Concrete jacket"),"Steel plate or jacket",Q1089)</f>
        <v>Monitor</v>
      </c>
      <c r="S1089" s="5" t="str">
        <f aca="false">IF(O1089&lt;='Tree rules'!$C$4,IF(N1089&lt;='Tree rules'!$C$5,IF(P1089&lt;='Tree rules'!$C$6,"Monitor","Polymer laminate"),IF(P1089&lt;='Tree rules'!$C$7,"Seal cracks","Polymer laminate")),IF(O1089&lt;='Tree rules'!$C$8,IF(M1089&lt;='Tree rules'!$C$9,"Steel plate or jacket","Polymer laminate"),IF(L1089&lt;='Tree rules'!$C$10,"Steel plate or jacket","Polymer laminate")))</f>
        <v>Monitor</v>
      </c>
      <c r="T1089" s="5" t="str">
        <f aca="false">IF(S1089=R1089,"Yes","No")</f>
        <v>Yes</v>
      </c>
    </row>
    <row r="1090" customFormat="false" ht="15" hidden="false" customHeight="false" outlineLevel="0" collapsed="false">
      <c r="A1090" s="15" t="n">
        <v>1551</v>
      </c>
      <c r="B1090" s="16" t="n">
        <v>4.40319118358864</v>
      </c>
      <c r="C1090" s="15" t="n">
        <v>300</v>
      </c>
      <c r="D1090" s="15" t="n">
        <v>350</v>
      </c>
      <c r="E1090" s="15" t="n">
        <v>30</v>
      </c>
      <c r="F1090" s="16" t="n">
        <v>0.61599855952741</v>
      </c>
      <c r="G1090" s="17" t="s">
        <v>89</v>
      </c>
      <c r="H1090" s="18" t="n">
        <v>0.3</v>
      </c>
      <c r="I1090" s="18" t="n">
        <v>1.5</v>
      </c>
      <c r="J1090" s="19" t="n">
        <v>0.851493944727433</v>
      </c>
      <c r="K1090" s="19" t="n">
        <v>0.623249155981798</v>
      </c>
      <c r="L1090" s="16" t="n">
        <v>14.3895136718583</v>
      </c>
      <c r="M1090" s="19" t="n">
        <v>0.389959173931989</v>
      </c>
      <c r="N1090" s="19" t="n">
        <v>0.718158618021319</v>
      </c>
      <c r="O1090" s="19" t="n">
        <v>1.01189447590366</v>
      </c>
      <c r="P1090" s="19" t="n">
        <v>0.837320013730503</v>
      </c>
      <c r="Q1090" s="17" t="s">
        <v>31</v>
      </c>
      <c r="R1090" s="5" t="str">
        <f aca="false">IF(OR(Q1090="Steel plate",Q1090="Concrete jacket"),"Steel plate or jacket",Q1090)</f>
        <v>Polymer laminate</v>
      </c>
      <c r="S1090" s="5" t="str">
        <f aca="false">IF(O1090&lt;='Tree rules'!$C$4,IF(N1090&lt;='Tree rules'!$C$5,IF(P1090&lt;='Tree rules'!$C$6,"Monitor","Polymer laminate"),IF(P1090&lt;='Tree rules'!$C$7,"Seal cracks","Polymer laminate")),IF(O1090&lt;='Tree rules'!$C$8,IF(M1090&lt;='Tree rules'!$C$9,"Steel plate or jacket","Polymer laminate"),IF(L1090&lt;='Tree rules'!$C$10,"Steel plate or jacket","Polymer laminate")))</f>
        <v>Polymer laminate</v>
      </c>
      <c r="T1090" s="5" t="str">
        <f aca="false">IF(S1090=R1090,"Yes","No")</f>
        <v>Yes</v>
      </c>
    </row>
    <row r="1091" customFormat="false" ht="15" hidden="false" customHeight="false" outlineLevel="0" collapsed="false">
      <c r="A1091" s="15" t="n">
        <v>1552</v>
      </c>
      <c r="B1091" s="16" t="n">
        <v>6.79879142744326</v>
      </c>
      <c r="C1091" s="15" t="n">
        <v>230</v>
      </c>
      <c r="D1091" s="15" t="n">
        <v>575</v>
      </c>
      <c r="E1091" s="15" t="n">
        <v>30</v>
      </c>
      <c r="F1091" s="16" t="n">
        <v>0.661007412935799</v>
      </c>
      <c r="G1091" s="17" t="s">
        <v>89</v>
      </c>
      <c r="H1091" s="18" t="n">
        <v>0.3</v>
      </c>
      <c r="I1091" s="18" t="n">
        <v>1</v>
      </c>
      <c r="J1091" s="19" t="n">
        <v>0.879218932518847</v>
      </c>
      <c r="K1091" s="19" t="n">
        <v>0.621109446909903</v>
      </c>
      <c r="L1091" s="16" t="n">
        <v>12.8521577078323</v>
      </c>
      <c r="M1091" s="19" t="n">
        <v>0.472116214557217</v>
      </c>
      <c r="N1091" s="19" t="n">
        <v>0.574810442496715</v>
      </c>
      <c r="O1091" s="19" t="n">
        <v>0.879218932518847</v>
      </c>
      <c r="P1091" s="19" t="n">
        <v>0.729317316129875</v>
      </c>
      <c r="Q1091" s="17" t="s">
        <v>29</v>
      </c>
      <c r="R1091" s="5" t="str">
        <f aca="false">IF(OR(Q1091="Steel plate",Q1091="Concrete jacket"),"Steel plate or jacket",Q1091)</f>
        <v>Monitor</v>
      </c>
      <c r="S1091" s="5" t="str">
        <f aca="false">IF(O1091&lt;='Tree rules'!$C$4,IF(N1091&lt;='Tree rules'!$C$5,IF(P1091&lt;='Tree rules'!$C$6,"Monitor","Polymer laminate"),IF(P1091&lt;='Tree rules'!$C$7,"Seal cracks","Polymer laminate")),IF(O1091&lt;='Tree rules'!$C$8,IF(M1091&lt;='Tree rules'!$C$9,"Steel plate or jacket","Polymer laminate"),IF(L1091&lt;='Tree rules'!$C$10,"Steel plate or jacket","Polymer laminate")))</f>
        <v>Monitor</v>
      </c>
      <c r="T1091" s="5" t="str">
        <f aca="false">IF(S1091=R1091,"Yes","No")</f>
        <v>Yes</v>
      </c>
    </row>
    <row r="1092" customFormat="false" ht="15" hidden="false" customHeight="false" outlineLevel="0" collapsed="false">
      <c r="A1092" s="15" t="n">
        <v>1553</v>
      </c>
      <c r="B1092" s="16" t="n">
        <v>3.15430749713156</v>
      </c>
      <c r="C1092" s="15" t="n">
        <v>230</v>
      </c>
      <c r="D1092" s="15" t="n">
        <v>300</v>
      </c>
      <c r="E1092" s="15" t="n">
        <v>25</v>
      </c>
      <c r="F1092" s="16" t="n">
        <v>0.688332522525665</v>
      </c>
      <c r="G1092" s="17" t="s">
        <v>89</v>
      </c>
      <c r="H1092" s="18" t="n">
        <v>0.3</v>
      </c>
      <c r="I1092" s="18" t="n">
        <v>1</v>
      </c>
      <c r="J1092" s="19" t="n">
        <v>0.995101383810973</v>
      </c>
      <c r="K1092" s="19" t="n">
        <v>0.407332276714027</v>
      </c>
      <c r="L1092" s="16" t="n">
        <v>12.4185334532738</v>
      </c>
      <c r="M1092" s="19" t="n">
        <v>0.738901950913786</v>
      </c>
      <c r="N1092" s="19" t="n">
        <v>0.887016140386934</v>
      </c>
      <c r="O1092" s="19" t="n">
        <v>0.995101383810973</v>
      </c>
      <c r="P1092" s="19" t="n">
        <v>0.375521823980539</v>
      </c>
      <c r="Q1092" s="17" t="s">
        <v>29</v>
      </c>
      <c r="R1092" s="5" t="str">
        <f aca="false">IF(OR(Q1092="Steel plate",Q1092="Concrete jacket"),"Steel plate or jacket",Q1092)</f>
        <v>Monitor</v>
      </c>
      <c r="S1092" s="5" t="str">
        <f aca="false">IF(O1092&lt;='Tree rules'!$C$4,IF(N1092&lt;='Tree rules'!$C$5,IF(P1092&lt;='Tree rules'!$C$6,"Monitor","Polymer laminate"),IF(P1092&lt;='Tree rules'!$C$7,"Seal cracks","Polymer laminate")),IF(O1092&lt;='Tree rules'!$C$8,IF(M1092&lt;='Tree rules'!$C$9,"Steel plate or jacket","Polymer laminate"),IF(L1092&lt;='Tree rules'!$C$10,"Steel plate or jacket","Polymer laminate")))</f>
        <v>Monitor</v>
      </c>
      <c r="T1092" s="5" t="str">
        <f aca="false">IF(S1092=R1092,"Yes","No")</f>
        <v>Yes</v>
      </c>
    </row>
    <row r="1093" customFormat="false" ht="15" hidden="false" customHeight="false" outlineLevel="0" collapsed="false">
      <c r="A1093" s="15" t="n">
        <v>1555</v>
      </c>
      <c r="B1093" s="16" t="n">
        <v>6.64235342207038</v>
      </c>
      <c r="C1093" s="15" t="n">
        <v>230</v>
      </c>
      <c r="D1093" s="15" t="n">
        <v>575</v>
      </c>
      <c r="E1093" s="15" t="n">
        <v>30</v>
      </c>
      <c r="F1093" s="16" t="n">
        <v>0.777557789024782</v>
      </c>
      <c r="G1093" s="17" t="s">
        <v>91</v>
      </c>
      <c r="H1093" s="18" t="n">
        <v>0.2</v>
      </c>
      <c r="I1093" s="18" t="n">
        <v>1.5</v>
      </c>
      <c r="J1093" s="19" t="n">
        <v>0.860439624553538</v>
      </c>
      <c r="K1093" s="19" t="n">
        <v>0.552023489083089</v>
      </c>
      <c r="L1093" s="16" t="n">
        <v>12.6040861898869</v>
      </c>
      <c r="M1093" s="19" t="n">
        <v>0.599071709701605</v>
      </c>
      <c r="N1093" s="19" t="n">
        <v>1.11833750581348</v>
      </c>
      <c r="O1093" s="19" t="n">
        <v>1.05316799498461</v>
      </c>
      <c r="P1093" s="19" t="n">
        <v>0.669076191030062</v>
      </c>
      <c r="Q1093" s="17" t="s">
        <v>31</v>
      </c>
      <c r="R1093" s="5" t="str">
        <f aca="false">IF(OR(Q1093="Steel plate",Q1093="Concrete jacket"),"Steel plate or jacket",Q1093)</f>
        <v>Polymer laminate</v>
      </c>
      <c r="S1093" s="5" t="str">
        <f aca="false">IF(O1093&lt;='Tree rules'!$C$4,IF(N1093&lt;='Tree rules'!$C$5,IF(P1093&lt;='Tree rules'!$C$6,"Monitor","Polymer laminate"),IF(P1093&lt;='Tree rules'!$C$7,"Seal cracks","Polymer laminate")),IF(O1093&lt;='Tree rules'!$C$8,IF(M1093&lt;='Tree rules'!$C$9,"Steel plate or jacket","Polymer laminate"),IF(L1093&lt;='Tree rules'!$C$10,"Steel plate or jacket","Polymer laminate")))</f>
        <v>Polymer laminate</v>
      </c>
      <c r="T1093" s="5" t="str">
        <f aca="false">IF(S1093=R1093,"Yes","No")</f>
        <v>Yes</v>
      </c>
    </row>
    <row r="1094" customFormat="false" ht="15" hidden="false" customHeight="false" outlineLevel="0" collapsed="false">
      <c r="A1094" s="15" t="n">
        <v>1556</v>
      </c>
      <c r="B1094" s="16" t="n">
        <v>6.19011974286148</v>
      </c>
      <c r="C1094" s="15" t="n">
        <v>300</v>
      </c>
      <c r="D1094" s="15" t="n">
        <v>600</v>
      </c>
      <c r="E1094" s="15" t="n">
        <v>30</v>
      </c>
      <c r="F1094" s="16" t="n">
        <v>0.725855342345656</v>
      </c>
      <c r="G1094" s="17" t="s">
        <v>89</v>
      </c>
      <c r="H1094" s="18" t="n">
        <v>0.3</v>
      </c>
      <c r="I1094" s="18" t="n">
        <v>1</v>
      </c>
      <c r="J1094" s="19" t="n">
        <v>0.902925038777666</v>
      </c>
      <c r="K1094" s="19" t="n">
        <v>0.633756147974099</v>
      </c>
      <c r="L1094" s="16" t="n">
        <v>11.1735013409052</v>
      </c>
      <c r="M1094" s="19" t="n">
        <v>0.950547609732018</v>
      </c>
      <c r="N1094" s="19" t="n">
        <v>0.51607328481518</v>
      </c>
      <c r="O1094" s="19" t="n">
        <v>0.902925038777666</v>
      </c>
      <c r="P1094" s="19" t="n">
        <v>0.381559728153849</v>
      </c>
      <c r="Q1094" s="17" t="s">
        <v>29</v>
      </c>
      <c r="R1094" s="5" t="str">
        <f aca="false">IF(OR(Q1094="Steel plate",Q1094="Concrete jacket"),"Steel plate or jacket",Q1094)</f>
        <v>Monitor</v>
      </c>
      <c r="S1094" s="5" t="str">
        <f aca="false">IF(O1094&lt;='Tree rules'!$C$4,IF(N1094&lt;='Tree rules'!$C$5,IF(P1094&lt;='Tree rules'!$C$6,"Monitor","Polymer laminate"),IF(P1094&lt;='Tree rules'!$C$7,"Seal cracks","Polymer laminate")),IF(O1094&lt;='Tree rules'!$C$8,IF(M1094&lt;='Tree rules'!$C$9,"Steel plate or jacket","Polymer laminate"),IF(L1094&lt;='Tree rules'!$C$10,"Steel plate or jacket","Polymer laminate")))</f>
        <v>Monitor</v>
      </c>
      <c r="T1094" s="5" t="str">
        <f aca="false">IF(S1094=R1094,"Yes","No")</f>
        <v>Yes</v>
      </c>
    </row>
    <row r="1095" customFormat="false" ht="15" hidden="false" customHeight="false" outlineLevel="0" collapsed="false">
      <c r="A1095" s="15" t="n">
        <v>1558</v>
      </c>
      <c r="B1095" s="16" t="n">
        <v>4.98796409811271</v>
      </c>
      <c r="C1095" s="15" t="n">
        <v>300</v>
      </c>
      <c r="D1095" s="15" t="n">
        <v>400</v>
      </c>
      <c r="E1095" s="15" t="n">
        <v>30</v>
      </c>
      <c r="F1095" s="16" t="n">
        <v>0.790804050461148</v>
      </c>
      <c r="G1095" s="17" t="s">
        <v>90</v>
      </c>
      <c r="H1095" s="18" t="n">
        <v>0.1</v>
      </c>
      <c r="I1095" s="18" t="n">
        <v>1</v>
      </c>
      <c r="J1095" s="19" t="n">
        <v>0.880783853268181</v>
      </c>
      <c r="K1095" s="19" t="n">
        <v>0.626256180703199</v>
      </c>
      <c r="L1095" s="16" t="n">
        <v>14.7137584015124</v>
      </c>
      <c r="M1095" s="19" t="n">
        <v>0.668475939756066</v>
      </c>
      <c r="N1095" s="19" t="n">
        <v>2.42794745558265</v>
      </c>
      <c r="O1095" s="19" t="n">
        <v>0.880783853268181</v>
      </c>
      <c r="P1095" s="19" t="n">
        <v>0.566133020216304</v>
      </c>
      <c r="Q1095" s="17" t="s">
        <v>30</v>
      </c>
      <c r="R1095" s="5" t="str">
        <f aca="false">IF(OR(Q1095="Steel plate",Q1095="Concrete jacket"),"Steel plate or jacket",Q1095)</f>
        <v>Seal cracks</v>
      </c>
      <c r="S1095" s="5" t="str">
        <f aca="false">IF(O1095&lt;='Tree rules'!$C$4,IF(N1095&lt;='Tree rules'!$C$5,IF(P1095&lt;='Tree rules'!$C$6,"Monitor","Polymer laminate"),IF(P1095&lt;='Tree rules'!$C$7,"Seal cracks","Polymer laminate")),IF(O1095&lt;='Tree rules'!$C$8,IF(M1095&lt;='Tree rules'!$C$9,"Steel plate or jacket","Polymer laminate"),IF(L1095&lt;='Tree rules'!$C$10,"Steel plate or jacket","Polymer laminate")))</f>
        <v>Seal cracks</v>
      </c>
      <c r="T1095" s="5" t="str">
        <f aca="false">IF(S1095=R1095,"Yes","No")</f>
        <v>Yes</v>
      </c>
    </row>
    <row r="1096" customFormat="false" ht="15" hidden="false" customHeight="false" outlineLevel="0" collapsed="false">
      <c r="A1096" s="15" t="n">
        <v>1562</v>
      </c>
      <c r="B1096" s="16" t="n">
        <v>6.1438134273379</v>
      </c>
      <c r="C1096" s="15" t="n">
        <v>230</v>
      </c>
      <c r="D1096" s="15" t="n">
        <v>525</v>
      </c>
      <c r="E1096" s="15" t="n">
        <v>30</v>
      </c>
      <c r="F1096" s="16" t="n">
        <v>0.57270853223768</v>
      </c>
      <c r="G1096" s="17" t="s">
        <v>89</v>
      </c>
      <c r="H1096" s="18" t="n">
        <v>0.3</v>
      </c>
      <c r="I1096" s="18" t="n">
        <v>1</v>
      </c>
      <c r="J1096" s="19" t="n">
        <v>0.880921122513272</v>
      </c>
      <c r="K1096" s="19" t="n">
        <v>0.592858626024297</v>
      </c>
      <c r="L1096" s="16" t="n">
        <v>12.8801120069977</v>
      </c>
      <c r="M1096" s="19" t="n">
        <v>0.245362399237539</v>
      </c>
      <c r="N1096" s="19" t="n">
        <v>0.897271683067549</v>
      </c>
      <c r="O1096" s="19" t="n">
        <v>0.880921122513272</v>
      </c>
      <c r="P1096" s="19" t="n">
        <v>1.135333868866</v>
      </c>
      <c r="Q1096" s="17" t="s">
        <v>31</v>
      </c>
      <c r="R1096" s="5" t="str">
        <f aca="false">IF(OR(Q1096="Steel plate",Q1096="Concrete jacket"),"Steel plate or jacket",Q1096)</f>
        <v>Polymer laminate</v>
      </c>
      <c r="S1096" s="5" t="str">
        <f aca="false">IF(O1096&lt;='Tree rules'!$C$4,IF(N1096&lt;='Tree rules'!$C$5,IF(P1096&lt;='Tree rules'!$C$6,"Monitor","Polymer laminate"),IF(P1096&lt;='Tree rules'!$C$7,"Seal cracks","Polymer laminate")),IF(O1096&lt;='Tree rules'!$C$8,IF(M1096&lt;='Tree rules'!$C$9,"Steel plate or jacket","Polymer laminate"),IF(L1096&lt;='Tree rules'!$C$10,"Steel plate or jacket","Polymer laminate")))</f>
        <v>Polymer laminate</v>
      </c>
      <c r="T1096" s="5" t="str">
        <f aca="false">IF(S1096=R1096,"Yes","No")</f>
        <v>Yes</v>
      </c>
    </row>
    <row r="1097" customFormat="false" ht="15" hidden="false" customHeight="false" outlineLevel="0" collapsed="false">
      <c r="A1097" s="15" t="n">
        <v>1563</v>
      </c>
      <c r="B1097" s="16" t="n">
        <v>7.26003894076069</v>
      </c>
      <c r="C1097" s="15" t="n">
        <v>300</v>
      </c>
      <c r="D1097" s="15" t="n">
        <v>675</v>
      </c>
      <c r="E1097" s="15" t="n">
        <v>20</v>
      </c>
      <c r="F1097" s="16" t="n">
        <v>0.684442843919345</v>
      </c>
      <c r="G1097" s="17" t="s">
        <v>90</v>
      </c>
      <c r="H1097" s="18" t="n">
        <v>0.1</v>
      </c>
      <c r="I1097" s="18" t="n">
        <v>1</v>
      </c>
      <c r="J1097" s="19" t="n">
        <v>0.890711767185414</v>
      </c>
      <c r="K1097" s="19" t="n">
        <v>0.633956005920291</v>
      </c>
      <c r="L1097" s="16" t="n">
        <v>11.8628087267332</v>
      </c>
      <c r="M1097" s="19" t="n">
        <v>0.369337242863337</v>
      </c>
      <c r="N1097" s="19" t="n">
        <v>2.39836269750028</v>
      </c>
      <c r="O1097" s="19" t="n">
        <v>0.890711767185414</v>
      </c>
      <c r="P1097" s="19" t="n">
        <v>0.97473076128117</v>
      </c>
      <c r="Q1097" s="17" t="s">
        <v>30</v>
      </c>
      <c r="R1097" s="5" t="str">
        <f aca="false">IF(OR(Q1097="Steel plate",Q1097="Concrete jacket"),"Steel plate or jacket",Q1097)</f>
        <v>Seal cracks</v>
      </c>
      <c r="S1097" s="5" t="str">
        <f aca="false">IF(O1097&lt;='Tree rules'!$C$4,IF(N1097&lt;='Tree rules'!$C$5,IF(P1097&lt;='Tree rules'!$C$6,"Monitor","Polymer laminate"),IF(P1097&lt;='Tree rules'!$C$7,"Seal cracks","Polymer laminate")),IF(O1097&lt;='Tree rules'!$C$8,IF(M1097&lt;='Tree rules'!$C$9,"Steel plate or jacket","Polymer laminate"),IF(L1097&lt;='Tree rules'!$C$10,"Steel plate or jacket","Polymer laminate")))</f>
        <v>Seal cracks</v>
      </c>
      <c r="T1097" s="5" t="str">
        <f aca="false">IF(S1097=R1097,"Yes","No")</f>
        <v>Yes</v>
      </c>
    </row>
    <row r="1098" customFormat="false" ht="15" hidden="false" customHeight="false" outlineLevel="0" collapsed="false">
      <c r="A1098" s="15" t="n">
        <v>1564</v>
      </c>
      <c r="B1098" s="16" t="n">
        <v>3.46185917820062</v>
      </c>
      <c r="C1098" s="15" t="n">
        <v>300</v>
      </c>
      <c r="D1098" s="15" t="n">
        <v>300</v>
      </c>
      <c r="E1098" s="15" t="n">
        <v>20</v>
      </c>
      <c r="F1098" s="16" t="n">
        <v>0.589048622548086</v>
      </c>
      <c r="G1098" s="17" t="s">
        <v>89</v>
      </c>
      <c r="H1098" s="18" t="n">
        <v>0.3</v>
      </c>
      <c r="I1098" s="18" t="n">
        <v>1</v>
      </c>
      <c r="J1098" s="19" t="n">
        <v>0.867776678876034</v>
      </c>
      <c r="K1098" s="19" t="n">
        <v>0.457737610032412</v>
      </c>
      <c r="L1098" s="16" t="n">
        <v>13.5228874148462</v>
      </c>
      <c r="M1098" s="19" t="n">
        <v>0.949138073508254</v>
      </c>
      <c r="N1098" s="19" t="n">
        <v>0.542275398592998</v>
      </c>
      <c r="O1098" s="19" t="n">
        <v>0.867776678876034</v>
      </c>
      <c r="P1098" s="19" t="n">
        <v>0.295916744346916</v>
      </c>
      <c r="Q1098" s="17" t="s">
        <v>29</v>
      </c>
      <c r="R1098" s="5" t="str">
        <f aca="false">IF(OR(Q1098="Steel plate",Q1098="Concrete jacket"),"Steel plate or jacket",Q1098)</f>
        <v>Monitor</v>
      </c>
      <c r="S1098" s="5" t="str">
        <f aca="false">IF(O1098&lt;='Tree rules'!$C$4,IF(N1098&lt;='Tree rules'!$C$5,IF(P1098&lt;='Tree rules'!$C$6,"Monitor","Polymer laminate"),IF(P1098&lt;='Tree rules'!$C$7,"Seal cracks","Polymer laminate")),IF(O1098&lt;='Tree rules'!$C$8,IF(M1098&lt;='Tree rules'!$C$9,"Steel plate or jacket","Polymer laminate"),IF(L1098&lt;='Tree rules'!$C$10,"Steel plate or jacket","Polymer laminate")))</f>
        <v>Monitor</v>
      </c>
      <c r="T1098" s="5" t="str">
        <f aca="false">IF(S1098=R1098,"Yes","No")</f>
        <v>Yes</v>
      </c>
    </row>
    <row r="1099" customFormat="false" ht="15" hidden="false" customHeight="false" outlineLevel="0" collapsed="false">
      <c r="A1099" s="15" t="n">
        <v>1566</v>
      </c>
      <c r="B1099" s="16" t="n">
        <v>7.4574589363512</v>
      </c>
      <c r="C1099" s="15" t="n">
        <v>300</v>
      </c>
      <c r="D1099" s="15" t="n">
        <v>700</v>
      </c>
      <c r="E1099" s="15" t="n">
        <v>20</v>
      </c>
      <c r="F1099" s="16" t="n">
        <v>0.614868286941122</v>
      </c>
      <c r="G1099" s="17" t="s">
        <v>91</v>
      </c>
      <c r="H1099" s="18" t="n">
        <v>0.2</v>
      </c>
      <c r="I1099" s="18" t="n">
        <v>2</v>
      </c>
      <c r="J1099" s="19" t="n">
        <v>0.974163145186073</v>
      </c>
      <c r="K1099" s="19" t="n">
        <v>0.46543065446393</v>
      </c>
      <c r="L1099" s="16" t="n">
        <v>11.4028424103229</v>
      </c>
      <c r="M1099" s="19" t="n">
        <v>0.911540368412516</v>
      </c>
      <c r="N1099" s="19" t="n">
        <v>1.29959151695378</v>
      </c>
      <c r="O1099" s="19" t="n">
        <v>1.49492090015355</v>
      </c>
      <c r="P1099" s="19" t="n">
        <v>0.492505346526958</v>
      </c>
      <c r="Q1099" s="17" t="s">
        <v>92</v>
      </c>
      <c r="R1099" s="5" t="str">
        <f aca="false">IF(OR(Q1099="Steel plate",Q1099="Concrete jacket"),"Steel plate or jacket",Q1099)</f>
        <v>Steel plate or jacket</v>
      </c>
      <c r="S1099" s="5" t="str">
        <f aca="false">IF(O1099&lt;='Tree rules'!$C$4,IF(N1099&lt;='Tree rules'!$C$5,IF(P1099&lt;='Tree rules'!$C$6,"Monitor","Polymer laminate"),IF(P1099&lt;='Tree rules'!$C$7,"Seal cracks","Polymer laminate")),IF(O1099&lt;='Tree rules'!$C$8,IF(M1099&lt;='Tree rules'!$C$9,"Steel plate or jacket","Polymer laminate"),IF(L1099&lt;='Tree rules'!$C$10,"Steel plate or jacket","Polymer laminate")))</f>
        <v>Steel plate or jacket</v>
      </c>
      <c r="T1099" s="5" t="str">
        <f aca="false">IF(S1099=R1099,"Yes","No")</f>
        <v>Yes</v>
      </c>
    </row>
    <row r="1100" customFormat="false" ht="15" hidden="false" customHeight="false" outlineLevel="0" collapsed="false">
      <c r="A1100" s="15" t="n">
        <v>1567</v>
      </c>
      <c r="B1100" s="16" t="n">
        <v>6.3781905806735</v>
      </c>
      <c r="C1100" s="15" t="n">
        <v>300</v>
      </c>
      <c r="D1100" s="15" t="n">
        <v>550</v>
      </c>
      <c r="E1100" s="15" t="n">
        <v>25</v>
      </c>
      <c r="F1100" s="16" t="n">
        <v>0.625815269639401</v>
      </c>
      <c r="G1100" s="17" t="s">
        <v>89</v>
      </c>
      <c r="H1100" s="18" t="n">
        <v>0.3</v>
      </c>
      <c r="I1100" s="18" t="n">
        <v>1.5</v>
      </c>
      <c r="J1100" s="19" t="n">
        <v>0.920337180593985</v>
      </c>
      <c r="K1100" s="19" t="n">
        <v>0.434999055803721</v>
      </c>
      <c r="L1100" s="16" t="n">
        <v>12.7055589256444</v>
      </c>
      <c r="M1100" s="19" t="n">
        <v>0.564264285287771</v>
      </c>
      <c r="N1100" s="19" t="n">
        <v>0.978343466155638</v>
      </c>
      <c r="O1100" s="19" t="n">
        <v>1.18033286860126</v>
      </c>
      <c r="P1100" s="19" t="n">
        <v>0.632629597396409</v>
      </c>
      <c r="Q1100" s="17" t="s">
        <v>31</v>
      </c>
      <c r="R1100" s="5" t="str">
        <f aca="false">IF(OR(Q1100="Steel plate",Q1100="Concrete jacket"),"Steel plate or jacket",Q1100)</f>
        <v>Polymer laminate</v>
      </c>
      <c r="S1100" s="5" t="str">
        <f aca="false">IF(O1100&lt;='Tree rules'!$C$4,IF(N1100&lt;='Tree rules'!$C$5,IF(P1100&lt;='Tree rules'!$C$6,"Monitor","Polymer laminate"),IF(P1100&lt;='Tree rules'!$C$7,"Seal cracks","Polymer laminate")),IF(O1100&lt;='Tree rules'!$C$8,IF(M1100&lt;='Tree rules'!$C$9,"Steel plate or jacket","Polymer laminate"),IF(L1100&lt;='Tree rules'!$C$10,"Steel plate or jacket","Polymer laminate")))</f>
        <v>Polymer laminate</v>
      </c>
      <c r="T1100" s="5" t="str">
        <f aca="false">IF(S1100=R1100,"Yes","No")</f>
        <v>Yes</v>
      </c>
    </row>
    <row r="1101" customFormat="false" ht="15" hidden="false" customHeight="false" outlineLevel="0" collapsed="false">
      <c r="A1101" s="15" t="n">
        <v>1568</v>
      </c>
      <c r="B1101" s="16" t="n">
        <v>6.0861463334825</v>
      </c>
      <c r="C1101" s="15" t="n">
        <v>300</v>
      </c>
      <c r="D1101" s="15" t="n">
        <v>525</v>
      </c>
      <c r="E1101" s="15" t="n">
        <v>30</v>
      </c>
      <c r="F1101" s="16" t="n">
        <v>0.699589178252424</v>
      </c>
      <c r="G1101" s="17" t="s">
        <v>91</v>
      </c>
      <c r="H1101" s="18" t="n">
        <v>0.2</v>
      </c>
      <c r="I1101" s="18" t="n">
        <v>1</v>
      </c>
      <c r="J1101" s="19" t="n">
        <v>0.959068270616945</v>
      </c>
      <c r="K1101" s="19" t="n">
        <v>0.500065818046752</v>
      </c>
      <c r="L1101" s="16" t="n">
        <v>12.7059422410908</v>
      </c>
      <c r="M1101" s="19" t="n">
        <v>0.927179976626984</v>
      </c>
      <c r="N1101" s="19" t="n">
        <v>0.877800303732293</v>
      </c>
      <c r="O1101" s="19" t="n">
        <v>0.959068270616945</v>
      </c>
      <c r="P1101" s="19" t="n">
        <v>0.398793198513665</v>
      </c>
      <c r="Q1101" s="17" t="s">
        <v>29</v>
      </c>
      <c r="R1101" s="5" t="str">
        <f aca="false">IF(OR(Q1101="Steel plate",Q1101="Concrete jacket"),"Steel plate or jacket",Q1101)</f>
        <v>Monitor</v>
      </c>
      <c r="S1101" s="5" t="str">
        <f aca="false">IF(O1101&lt;='Tree rules'!$C$4,IF(N1101&lt;='Tree rules'!$C$5,IF(P1101&lt;='Tree rules'!$C$6,"Monitor","Polymer laminate"),IF(P1101&lt;='Tree rules'!$C$7,"Seal cracks","Polymer laminate")),IF(O1101&lt;='Tree rules'!$C$8,IF(M1101&lt;='Tree rules'!$C$9,"Steel plate or jacket","Polymer laminate"),IF(L1101&lt;='Tree rules'!$C$10,"Steel plate or jacket","Polymer laminate")))</f>
        <v>Monitor</v>
      </c>
      <c r="T1101" s="5" t="str">
        <f aca="false">IF(S1101=R1101,"Yes","No")</f>
        <v>Yes</v>
      </c>
    </row>
    <row r="1102" customFormat="false" ht="15" hidden="false" customHeight="false" outlineLevel="0" collapsed="false">
      <c r="A1102" s="15" t="n">
        <v>1569</v>
      </c>
      <c r="B1102" s="16" t="n">
        <v>4.76287566541264</v>
      </c>
      <c r="C1102" s="15" t="n">
        <v>230</v>
      </c>
      <c r="D1102" s="15" t="n">
        <v>375</v>
      </c>
      <c r="E1102" s="15" t="n">
        <v>30</v>
      </c>
      <c r="F1102" s="16" t="n">
        <v>0.594232683721175</v>
      </c>
      <c r="G1102" s="17" t="s">
        <v>91</v>
      </c>
      <c r="H1102" s="18" t="n">
        <v>0.2</v>
      </c>
      <c r="I1102" s="18" t="n">
        <v>1</v>
      </c>
      <c r="J1102" s="19" t="n">
        <v>0.895155453342279</v>
      </c>
      <c r="K1102" s="19" t="n">
        <v>0.446437704831409</v>
      </c>
      <c r="L1102" s="16" t="n">
        <v>14.3893524634823</v>
      </c>
      <c r="M1102" s="19" t="n">
        <v>0.717080959096137</v>
      </c>
      <c r="N1102" s="19" t="n">
        <v>0.840186773779007</v>
      </c>
      <c r="O1102" s="19" t="n">
        <v>0.895155453342279</v>
      </c>
      <c r="P1102" s="19" t="n">
        <v>0.394747724575292</v>
      </c>
      <c r="Q1102" s="17" t="s">
        <v>29</v>
      </c>
      <c r="R1102" s="5" t="str">
        <f aca="false">IF(OR(Q1102="Steel plate",Q1102="Concrete jacket"),"Steel plate or jacket",Q1102)</f>
        <v>Monitor</v>
      </c>
      <c r="S1102" s="5" t="str">
        <f aca="false">IF(O1102&lt;='Tree rules'!$C$4,IF(N1102&lt;='Tree rules'!$C$5,IF(P1102&lt;='Tree rules'!$C$6,"Monitor","Polymer laminate"),IF(P1102&lt;='Tree rules'!$C$7,"Seal cracks","Polymer laminate")),IF(O1102&lt;='Tree rules'!$C$8,IF(M1102&lt;='Tree rules'!$C$9,"Steel plate or jacket","Polymer laminate"),IF(L1102&lt;='Tree rules'!$C$10,"Steel plate or jacket","Polymer laminate")))</f>
        <v>Monitor</v>
      </c>
      <c r="T1102" s="5" t="str">
        <f aca="false">IF(S1102=R1102,"Yes","No")</f>
        <v>Yes</v>
      </c>
    </row>
    <row r="1103" customFormat="false" ht="15" hidden="false" customHeight="false" outlineLevel="0" collapsed="false">
      <c r="A1103" s="15" t="n">
        <v>1570</v>
      </c>
      <c r="B1103" s="16" t="n">
        <v>6.58527253705806</v>
      </c>
      <c r="C1103" s="15" t="n">
        <v>230</v>
      </c>
      <c r="D1103" s="15" t="n">
        <v>600</v>
      </c>
      <c r="E1103" s="15" t="n">
        <v>25</v>
      </c>
      <c r="F1103" s="16" t="n">
        <v>0.742342309449384</v>
      </c>
      <c r="G1103" s="17" t="s">
        <v>89</v>
      </c>
      <c r="H1103" s="18" t="n">
        <v>0.3</v>
      </c>
      <c r="I1103" s="18" t="n">
        <v>2</v>
      </c>
      <c r="J1103" s="19" t="n">
        <v>0.851354011865536</v>
      </c>
      <c r="K1103" s="19" t="n">
        <v>0.46461416813577</v>
      </c>
      <c r="L1103" s="16" t="n">
        <v>11.9298415526414</v>
      </c>
      <c r="M1103" s="19" t="n">
        <v>0.421268639857688</v>
      </c>
      <c r="N1103" s="19" t="n">
        <v>0.945361844254302</v>
      </c>
      <c r="O1103" s="19" t="n">
        <v>1.30715688771912</v>
      </c>
      <c r="P1103" s="19" t="n">
        <v>0.965099572653795</v>
      </c>
      <c r="Q1103" s="17" t="s">
        <v>31</v>
      </c>
      <c r="R1103" s="5" t="str">
        <f aca="false">IF(OR(Q1103="Steel plate",Q1103="Concrete jacket"),"Steel plate or jacket",Q1103)</f>
        <v>Polymer laminate</v>
      </c>
      <c r="S1103" s="5" t="str">
        <f aca="false">IF(O1103&lt;='Tree rules'!$C$4,IF(N1103&lt;='Tree rules'!$C$5,IF(P1103&lt;='Tree rules'!$C$6,"Monitor","Polymer laminate"),IF(P1103&lt;='Tree rules'!$C$7,"Seal cracks","Polymer laminate")),IF(O1103&lt;='Tree rules'!$C$8,IF(M1103&lt;='Tree rules'!$C$9,"Steel plate or jacket","Polymer laminate"),IF(L1103&lt;='Tree rules'!$C$10,"Steel plate or jacket","Polymer laminate")))</f>
        <v>Steel plate or jacket</v>
      </c>
      <c r="T1103" s="5" t="str">
        <f aca="false">IF(S1103=R1103,"Yes","No")</f>
        <v>No</v>
      </c>
    </row>
    <row r="1104" customFormat="false" ht="15" hidden="false" customHeight="false" outlineLevel="0" collapsed="false">
      <c r="A1104" s="15" t="n">
        <v>1571</v>
      </c>
      <c r="B1104" s="16" t="n">
        <v>3.73891419948265</v>
      </c>
      <c r="C1104" s="15" t="n">
        <v>300</v>
      </c>
      <c r="D1104" s="15" t="n">
        <v>350</v>
      </c>
      <c r="E1104" s="15" t="n">
        <v>30</v>
      </c>
      <c r="F1104" s="16" t="n">
        <v>0.695716020172134</v>
      </c>
      <c r="G1104" s="17" t="s">
        <v>90</v>
      </c>
      <c r="H1104" s="18" t="n">
        <v>0.1</v>
      </c>
      <c r="I1104" s="18" t="n">
        <v>1.5</v>
      </c>
      <c r="J1104" s="19" t="n">
        <v>0.934194589268903</v>
      </c>
      <c r="K1104" s="19" t="n">
        <v>0.595022780307143</v>
      </c>
      <c r="L1104" s="16" t="n">
        <v>12.9374193753725</v>
      </c>
      <c r="M1104" s="19" t="n">
        <v>0.636433295446539</v>
      </c>
      <c r="N1104" s="19" t="n">
        <v>3.4486398683591</v>
      </c>
      <c r="O1104" s="19" t="n">
        <v>1.12335835297602</v>
      </c>
      <c r="P1104" s="19" t="n">
        <v>0.488459135993016</v>
      </c>
      <c r="Q1104" s="17" t="s">
        <v>31</v>
      </c>
      <c r="R1104" s="5" t="str">
        <f aca="false">IF(OR(Q1104="Steel plate",Q1104="Concrete jacket"),"Steel plate or jacket",Q1104)</f>
        <v>Polymer laminate</v>
      </c>
      <c r="S1104" s="5" t="str">
        <f aca="false">IF(O1104&lt;='Tree rules'!$C$4,IF(N1104&lt;='Tree rules'!$C$5,IF(P1104&lt;='Tree rules'!$C$6,"Monitor","Polymer laminate"),IF(P1104&lt;='Tree rules'!$C$7,"Seal cracks","Polymer laminate")),IF(O1104&lt;='Tree rules'!$C$8,IF(M1104&lt;='Tree rules'!$C$9,"Steel plate or jacket","Polymer laminate"),IF(L1104&lt;='Tree rules'!$C$10,"Steel plate or jacket","Polymer laminate")))</f>
        <v>Polymer laminate</v>
      </c>
      <c r="T1104" s="5" t="str">
        <f aca="false">IF(S1104=R1104,"Yes","No")</f>
        <v>Yes</v>
      </c>
    </row>
    <row r="1105" customFormat="false" ht="15" hidden="false" customHeight="false" outlineLevel="0" collapsed="false">
      <c r="A1105" s="15" t="n">
        <v>1572</v>
      </c>
      <c r="B1105" s="16" t="n">
        <v>4.63337693395269</v>
      </c>
      <c r="C1105" s="15" t="n">
        <v>230</v>
      </c>
      <c r="D1105" s="15" t="n">
        <v>425</v>
      </c>
      <c r="E1105" s="15" t="n">
        <v>20</v>
      </c>
      <c r="F1105" s="16" t="n">
        <v>0.754646325628103</v>
      </c>
      <c r="G1105" s="17" t="s">
        <v>90</v>
      </c>
      <c r="H1105" s="18" t="n">
        <v>0.1</v>
      </c>
      <c r="I1105" s="18" t="n">
        <v>1.5</v>
      </c>
      <c r="J1105" s="19" t="n">
        <v>0.936322046142996</v>
      </c>
      <c r="K1105" s="19" t="n">
        <v>0.500620574939102</v>
      </c>
      <c r="L1105" s="16" t="n">
        <v>12.7993837954494</v>
      </c>
      <c r="M1105" s="19" t="n">
        <v>0.732965935831407</v>
      </c>
      <c r="N1105" s="19" t="n">
        <v>3.55382510743376</v>
      </c>
      <c r="O1105" s="19" t="n">
        <v>1.17011202868036</v>
      </c>
      <c r="P1105" s="19" t="n">
        <v>0.540149532390484</v>
      </c>
      <c r="Q1105" s="17" t="s">
        <v>31</v>
      </c>
      <c r="R1105" s="5" t="str">
        <f aca="false">IF(OR(Q1105="Steel plate",Q1105="Concrete jacket"),"Steel plate or jacket",Q1105)</f>
        <v>Polymer laminate</v>
      </c>
      <c r="S1105" s="5" t="str">
        <f aca="false">IF(O1105&lt;='Tree rules'!$C$4,IF(N1105&lt;='Tree rules'!$C$5,IF(P1105&lt;='Tree rules'!$C$6,"Monitor","Polymer laminate"),IF(P1105&lt;='Tree rules'!$C$7,"Seal cracks","Polymer laminate")),IF(O1105&lt;='Tree rules'!$C$8,IF(M1105&lt;='Tree rules'!$C$9,"Steel plate or jacket","Polymer laminate"),IF(L1105&lt;='Tree rules'!$C$10,"Steel plate or jacket","Polymer laminate")))</f>
        <v>Polymer laminate</v>
      </c>
      <c r="T1105" s="5" t="str">
        <f aca="false">IF(S1105=R1105,"Yes","No")</f>
        <v>Yes</v>
      </c>
    </row>
    <row r="1106" customFormat="false" ht="15" hidden="false" customHeight="false" outlineLevel="0" collapsed="false">
      <c r="A1106" s="15" t="n">
        <v>1573</v>
      </c>
      <c r="B1106" s="16" t="n">
        <v>5.61547702558984</v>
      </c>
      <c r="C1106" s="15" t="n">
        <v>300</v>
      </c>
      <c r="D1106" s="15" t="n">
        <v>450</v>
      </c>
      <c r="E1106" s="15" t="n">
        <v>30</v>
      </c>
      <c r="F1106" s="16" t="n">
        <v>0.829463406888394</v>
      </c>
      <c r="G1106" s="17" t="s">
        <v>89</v>
      </c>
      <c r="H1106" s="18" t="n">
        <v>0.3</v>
      </c>
      <c r="I1106" s="18" t="n">
        <v>1</v>
      </c>
      <c r="J1106" s="19" t="n">
        <v>0.850299854055886</v>
      </c>
      <c r="K1106" s="19" t="n">
        <v>0.491003902454956</v>
      </c>
      <c r="L1106" s="16" t="n">
        <v>13.8996956078956</v>
      </c>
      <c r="M1106" s="19" t="n">
        <v>0.534486035698869</v>
      </c>
      <c r="N1106" s="19" t="n">
        <v>0.573919810268266</v>
      </c>
      <c r="O1106" s="19" t="n">
        <v>0.850299854055886</v>
      </c>
      <c r="P1106" s="19" t="n">
        <v>0.695075459122121</v>
      </c>
      <c r="Q1106" s="17" t="s">
        <v>29</v>
      </c>
      <c r="R1106" s="5" t="str">
        <f aca="false">IF(OR(Q1106="Steel plate",Q1106="Concrete jacket"),"Steel plate or jacket",Q1106)</f>
        <v>Monitor</v>
      </c>
      <c r="S1106" s="5" t="str">
        <f aca="false">IF(O1106&lt;='Tree rules'!$C$4,IF(N1106&lt;='Tree rules'!$C$5,IF(P1106&lt;='Tree rules'!$C$6,"Monitor","Polymer laminate"),IF(P1106&lt;='Tree rules'!$C$7,"Seal cracks","Polymer laminate")),IF(O1106&lt;='Tree rules'!$C$8,IF(M1106&lt;='Tree rules'!$C$9,"Steel plate or jacket","Polymer laminate"),IF(L1106&lt;='Tree rules'!$C$10,"Steel plate or jacket","Polymer laminate")))</f>
        <v>Monitor</v>
      </c>
      <c r="T1106" s="5" t="str">
        <f aca="false">IF(S1106=R1106,"Yes","No")</f>
        <v>Yes</v>
      </c>
    </row>
    <row r="1107" customFormat="false" ht="15" hidden="false" customHeight="false" outlineLevel="0" collapsed="false">
      <c r="A1107" s="15" t="n">
        <v>1574</v>
      </c>
      <c r="B1107" s="16" t="n">
        <v>4.49664175838292</v>
      </c>
      <c r="C1107" s="15" t="n">
        <v>230</v>
      </c>
      <c r="D1107" s="15" t="n">
        <v>425</v>
      </c>
      <c r="E1107" s="15" t="n">
        <v>25</v>
      </c>
      <c r="F1107" s="16" t="n">
        <v>0.724620609754306</v>
      </c>
      <c r="G1107" s="17" t="s">
        <v>89</v>
      </c>
      <c r="H1107" s="18" t="n">
        <v>0.3</v>
      </c>
      <c r="I1107" s="18" t="n">
        <v>1</v>
      </c>
      <c r="J1107" s="19" t="n">
        <v>0.901595177252028</v>
      </c>
      <c r="K1107" s="19" t="n">
        <v>0.530683704396275</v>
      </c>
      <c r="L1107" s="16" t="n">
        <v>11.9274317198486</v>
      </c>
      <c r="M1107" s="19" t="n">
        <v>0.695036407876247</v>
      </c>
      <c r="N1107" s="19" t="n">
        <v>0.816451123050889</v>
      </c>
      <c r="O1107" s="19" t="n">
        <v>0.901595177252028</v>
      </c>
      <c r="P1107" s="19" t="n">
        <v>0.468770168110559</v>
      </c>
      <c r="Q1107" s="17" t="s">
        <v>29</v>
      </c>
      <c r="R1107" s="5" t="str">
        <f aca="false">IF(OR(Q1107="Steel plate",Q1107="Concrete jacket"),"Steel plate or jacket",Q1107)</f>
        <v>Monitor</v>
      </c>
      <c r="S1107" s="5" t="str">
        <f aca="false">IF(O1107&lt;='Tree rules'!$C$4,IF(N1107&lt;='Tree rules'!$C$5,IF(P1107&lt;='Tree rules'!$C$6,"Monitor","Polymer laminate"),IF(P1107&lt;='Tree rules'!$C$7,"Seal cracks","Polymer laminate")),IF(O1107&lt;='Tree rules'!$C$8,IF(M1107&lt;='Tree rules'!$C$9,"Steel plate or jacket","Polymer laminate"),IF(L1107&lt;='Tree rules'!$C$10,"Steel plate or jacket","Polymer laminate")))</f>
        <v>Monitor</v>
      </c>
      <c r="T1107" s="5" t="str">
        <f aca="false">IF(S1107=R1107,"Yes","No")</f>
        <v>Yes</v>
      </c>
    </row>
    <row r="1108" customFormat="false" ht="15" hidden="false" customHeight="false" outlineLevel="0" collapsed="false">
      <c r="A1108" s="15" t="n">
        <v>1576</v>
      </c>
      <c r="B1108" s="16" t="n">
        <v>4.55370384012672</v>
      </c>
      <c r="C1108" s="15" t="n">
        <v>230</v>
      </c>
      <c r="D1108" s="15" t="n">
        <v>400</v>
      </c>
      <c r="E1108" s="15" t="n">
        <v>30</v>
      </c>
      <c r="F1108" s="16" t="n">
        <v>0.776085141697083</v>
      </c>
      <c r="G1108" s="17" t="s">
        <v>89</v>
      </c>
      <c r="H1108" s="18" t="n">
        <v>0.3</v>
      </c>
      <c r="I1108" s="18" t="n">
        <v>1.5</v>
      </c>
      <c r="J1108" s="19" t="n">
        <v>0.923697912279098</v>
      </c>
      <c r="K1108" s="19" t="n">
        <v>0.604460078196458</v>
      </c>
      <c r="L1108" s="16" t="n">
        <v>12.9366586367237</v>
      </c>
      <c r="M1108" s="19" t="n">
        <v>0.458837160924179</v>
      </c>
      <c r="N1108" s="19" t="n">
        <v>1.07397388557514</v>
      </c>
      <c r="O1108" s="19" t="n">
        <v>1.10637761227558</v>
      </c>
      <c r="P1108" s="19" t="n">
        <v>0.857055251752258</v>
      </c>
      <c r="Q1108" s="17" t="s">
        <v>31</v>
      </c>
      <c r="R1108" s="5" t="str">
        <f aca="false">IF(OR(Q1108="Steel plate",Q1108="Concrete jacket"),"Steel plate or jacket",Q1108)</f>
        <v>Polymer laminate</v>
      </c>
      <c r="S1108" s="5" t="str">
        <f aca="false">IF(O1108&lt;='Tree rules'!$C$4,IF(N1108&lt;='Tree rules'!$C$5,IF(P1108&lt;='Tree rules'!$C$6,"Monitor","Polymer laminate"),IF(P1108&lt;='Tree rules'!$C$7,"Seal cracks","Polymer laminate")),IF(O1108&lt;='Tree rules'!$C$8,IF(M1108&lt;='Tree rules'!$C$9,"Steel plate or jacket","Polymer laminate"),IF(L1108&lt;='Tree rules'!$C$10,"Steel plate or jacket","Polymer laminate")))</f>
        <v>Polymer laminate</v>
      </c>
      <c r="T1108" s="5" t="str">
        <f aca="false">IF(S1108=R1108,"Yes","No")</f>
        <v>Yes</v>
      </c>
    </row>
    <row r="1109" customFormat="false" ht="15" hidden="false" customHeight="false" outlineLevel="0" collapsed="false">
      <c r="A1109" s="15" t="n">
        <v>1578</v>
      </c>
      <c r="B1109" s="16" t="n">
        <v>4.5507847239431</v>
      </c>
      <c r="C1109" s="15" t="n">
        <v>300</v>
      </c>
      <c r="D1109" s="15" t="n">
        <v>375</v>
      </c>
      <c r="E1109" s="15" t="n">
        <v>25</v>
      </c>
      <c r="F1109" s="16" t="n">
        <v>0.611130485804701</v>
      </c>
      <c r="G1109" s="17" t="s">
        <v>91</v>
      </c>
      <c r="H1109" s="18" t="n">
        <v>0.2</v>
      </c>
      <c r="I1109" s="18" t="n">
        <v>1.5</v>
      </c>
      <c r="J1109" s="19" t="n">
        <v>0.88782387365404</v>
      </c>
      <c r="K1109" s="19" t="n">
        <v>0.603339653105288</v>
      </c>
      <c r="L1109" s="16" t="n">
        <v>13.8321724132009</v>
      </c>
      <c r="M1109" s="19" t="n">
        <v>0.471031402591436</v>
      </c>
      <c r="N1109" s="19" t="n">
        <v>1.35747377203536</v>
      </c>
      <c r="O1109" s="19" t="n">
        <v>1.06390613650655</v>
      </c>
      <c r="P1109" s="19" t="n">
        <v>0.746325492388097</v>
      </c>
      <c r="Q1109" s="17" t="s">
        <v>31</v>
      </c>
      <c r="R1109" s="5" t="str">
        <f aca="false">IF(OR(Q1109="Steel plate",Q1109="Concrete jacket"),"Steel plate or jacket",Q1109)</f>
        <v>Polymer laminate</v>
      </c>
      <c r="S1109" s="5" t="str">
        <f aca="false">IF(O1109&lt;='Tree rules'!$C$4,IF(N1109&lt;='Tree rules'!$C$5,IF(P1109&lt;='Tree rules'!$C$6,"Monitor","Polymer laminate"),IF(P1109&lt;='Tree rules'!$C$7,"Seal cracks","Polymer laminate")),IF(O1109&lt;='Tree rules'!$C$8,IF(M1109&lt;='Tree rules'!$C$9,"Steel plate or jacket","Polymer laminate"),IF(L1109&lt;='Tree rules'!$C$10,"Steel plate or jacket","Polymer laminate")))</f>
        <v>Polymer laminate</v>
      </c>
      <c r="T1109" s="5" t="str">
        <f aca="false">IF(S1109=R1109,"Yes","No")</f>
        <v>Yes</v>
      </c>
    </row>
    <row r="1110" customFormat="false" ht="15" hidden="false" customHeight="false" outlineLevel="0" collapsed="false">
      <c r="A1110" s="15" t="n">
        <v>1580</v>
      </c>
      <c r="B1110" s="16" t="n">
        <v>3.28366312599364</v>
      </c>
      <c r="C1110" s="15" t="n">
        <v>300</v>
      </c>
      <c r="D1110" s="15" t="n">
        <v>300</v>
      </c>
      <c r="E1110" s="15" t="n">
        <v>30</v>
      </c>
      <c r="F1110" s="16" t="n">
        <v>0.736310778185108</v>
      </c>
      <c r="G1110" s="17" t="s">
        <v>89</v>
      </c>
      <c r="H1110" s="18" t="n">
        <v>0.3</v>
      </c>
      <c r="I1110" s="18" t="n">
        <v>1.5</v>
      </c>
      <c r="J1110" s="19" t="n">
        <v>0.92366201955986</v>
      </c>
      <c r="K1110" s="19" t="n">
        <v>0.487949116264534</v>
      </c>
      <c r="L1110" s="16" t="n">
        <v>12.8268090859127</v>
      </c>
      <c r="M1110" s="19" t="n">
        <v>0.3046779881606</v>
      </c>
      <c r="N1110" s="19" t="n">
        <v>0.857572614808596</v>
      </c>
      <c r="O1110" s="19" t="n">
        <v>1.16014299625412</v>
      </c>
      <c r="P1110" s="19" t="n">
        <v>1.0339811286381</v>
      </c>
      <c r="Q1110" s="17" t="s">
        <v>31</v>
      </c>
      <c r="R1110" s="5" t="str">
        <f aca="false">IF(OR(Q1110="Steel plate",Q1110="Concrete jacket"),"Steel plate or jacket",Q1110)</f>
        <v>Polymer laminate</v>
      </c>
      <c r="S1110" s="5" t="str">
        <f aca="false">IF(O1110&lt;='Tree rules'!$C$4,IF(N1110&lt;='Tree rules'!$C$5,IF(P1110&lt;='Tree rules'!$C$6,"Monitor","Polymer laminate"),IF(P1110&lt;='Tree rules'!$C$7,"Seal cracks","Polymer laminate")),IF(O1110&lt;='Tree rules'!$C$8,IF(M1110&lt;='Tree rules'!$C$9,"Steel plate or jacket","Polymer laminate"),IF(L1110&lt;='Tree rules'!$C$10,"Steel plate or jacket","Polymer laminate")))</f>
        <v>Polymer laminate</v>
      </c>
      <c r="T1110" s="5" t="str">
        <f aca="false">IF(S1110=R1110,"Yes","No")</f>
        <v>Yes</v>
      </c>
    </row>
    <row r="1111" customFormat="false" ht="15" hidden="false" customHeight="false" outlineLevel="0" collapsed="false">
      <c r="A1111" s="15" t="n">
        <v>1581</v>
      </c>
      <c r="B1111" s="16" t="n">
        <v>3.78412581395792</v>
      </c>
      <c r="C1111" s="15" t="n">
        <v>300</v>
      </c>
      <c r="D1111" s="15" t="n">
        <v>325</v>
      </c>
      <c r="E1111" s="15" t="n">
        <v>25</v>
      </c>
      <c r="F1111" s="16" t="n">
        <v>0.756099314943392</v>
      </c>
      <c r="G1111" s="17" t="s">
        <v>91</v>
      </c>
      <c r="H1111" s="18" t="n">
        <v>0.2</v>
      </c>
      <c r="I1111" s="18" t="n">
        <v>1</v>
      </c>
      <c r="J1111" s="19" t="n">
        <v>0.851895124501349</v>
      </c>
      <c r="K1111" s="19" t="n">
        <v>0.511987926767978</v>
      </c>
      <c r="L1111" s="16" t="n">
        <v>13.6611040215088</v>
      </c>
      <c r="M1111" s="19" t="n">
        <v>0.415911685381091</v>
      </c>
      <c r="N1111" s="19" t="n">
        <v>1.44188334952763</v>
      </c>
      <c r="O1111" s="19" t="n">
        <v>0.851895124501349</v>
      </c>
      <c r="P1111" s="19" t="n">
        <v>0.745476622791108</v>
      </c>
      <c r="Q1111" s="17" t="s">
        <v>30</v>
      </c>
      <c r="R1111" s="5" t="str">
        <f aca="false">IF(OR(Q1111="Steel plate",Q1111="Concrete jacket"),"Steel plate or jacket",Q1111)</f>
        <v>Seal cracks</v>
      </c>
      <c r="S1111" s="5" t="str">
        <f aca="false">IF(O1111&lt;='Tree rules'!$C$4,IF(N1111&lt;='Tree rules'!$C$5,IF(P1111&lt;='Tree rules'!$C$6,"Monitor","Polymer laminate"),IF(P1111&lt;='Tree rules'!$C$7,"Seal cracks","Polymer laminate")),IF(O1111&lt;='Tree rules'!$C$8,IF(M1111&lt;='Tree rules'!$C$9,"Steel plate or jacket","Polymer laminate"),IF(L1111&lt;='Tree rules'!$C$10,"Steel plate or jacket","Polymer laminate")))</f>
        <v>Seal cracks</v>
      </c>
      <c r="T1111" s="5" t="str">
        <f aca="false">IF(S1111=R1111,"Yes","No")</f>
        <v>Yes</v>
      </c>
    </row>
    <row r="1112" customFormat="false" ht="15" hidden="false" customHeight="false" outlineLevel="0" collapsed="false">
      <c r="A1112" s="15" t="n">
        <v>1582</v>
      </c>
      <c r="B1112" s="16" t="n">
        <v>7.03239329600452</v>
      </c>
      <c r="C1112" s="15" t="n">
        <v>300</v>
      </c>
      <c r="D1112" s="15" t="n">
        <v>625</v>
      </c>
      <c r="E1112" s="15" t="n">
        <v>20</v>
      </c>
      <c r="F1112" s="16" t="n">
        <v>0.594154638976793</v>
      </c>
      <c r="G1112" s="17" t="s">
        <v>90</v>
      </c>
      <c r="H1112" s="18" t="n">
        <v>0.1</v>
      </c>
      <c r="I1112" s="18" t="n">
        <v>2</v>
      </c>
      <c r="J1112" s="19" t="n">
        <v>0.850686871692916</v>
      </c>
      <c r="K1112" s="19" t="n">
        <v>0.495703044297925</v>
      </c>
      <c r="L1112" s="16" t="n">
        <v>12.4687824397243</v>
      </c>
      <c r="M1112" s="19" t="n">
        <v>0.948162694481014</v>
      </c>
      <c r="N1112" s="19" t="n">
        <v>3.02131445833522</v>
      </c>
      <c r="O1112" s="19" t="n">
        <v>1.27968567134338</v>
      </c>
      <c r="P1112" s="19" t="n">
        <v>0.414490499333397</v>
      </c>
      <c r="Q1112" s="17" t="s">
        <v>31</v>
      </c>
      <c r="R1112" s="5" t="str">
        <f aca="false">IF(OR(Q1112="Steel plate",Q1112="Concrete jacket"),"Steel plate or jacket",Q1112)</f>
        <v>Polymer laminate</v>
      </c>
      <c r="S1112" s="5" t="str">
        <f aca="false">IF(O1112&lt;='Tree rules'!$C$4,IF(N1112&lt;='Tree rules'!$C$5,IF(P1112&lt;='Tree rules'!$C$6,"Monitor","Polymer laminate"),IF(P1112&lt;='Tree rules'!$C$7,"Seal cracks","Polymer laminate")),IF(O1112&lt;='Tree rules'!$C$8,IF(M1112&lt;='Tree rules'!$C$9,"Steel plate or jacket","Polymer laminate"),IF(L1112&lt;='Tree rules'!$C$10,"Steel plate or jacket","Polymer laminate")))</f>
        <v>Polymer laminate</v>
      </c>
      <c r="T1112" s="5" t="str">
        <f aca="false">IF(S1112=R1112,"Yes","No")</f>
        <v>Yes</v>
      </c>
    </row>
    <row r="1113" customFormat="false" ht="15" hidden="false" customHeight="false" outlineLevel="0" collapsed="false">
      <c r="A1113" s="15" t="n">
        <v>1583</v>
      </c>
      <c r="B1113" s="16" t="n">
        <v>4.85597167620834</v>
      </c>
      <c r="C1113" s="15" t="n">
        <v>230</v>
      </c>
      <c r="D1113" s="15" t="n">
        <v>475</v>
      </c>
      <c r="E1113" s="15" t="n">
        <v>30</v>
      </c>
      <c r="F1113" s="16" t="n">
        <v>0.633465437396808</v>
      </c>
      <c r="G1113" s="17" t="s">
        <v>90</v>
      </c>
      <c r="H1113" s="18" t="n">
        <v>0.1</v>
      </c>
      <c r="I1113" s="18" t="n">
        <v>2</v>
      </c>
      <c r="J1113" s="19" t="n">
        <v>0.952245975132273</v>
      </c>
      <c r="K1113" s="19" t="n">
        <v>0.632131105227204</v>
      </c>
      <c r="L1113" s="16" t="n">
        <v>11.7294001840781</v>
      </c>
      <c r="M1113" s="19" t="n">
        <v>0.303420901629878</v>
      </c>
      <c r="N1113" s="19" t="n">
        <v>3.77431354189566</v>
      </c>
      <c r="O1113" s="19" t="n">
        <v>1.30254764955603</v>
      </c>
      <c r="P1113" s="19" t="n">
        <v>1.06380563628987</v>
      </c>
      <c r="Q1113" s="17" t="s">
        <v>31</v>
      </c>
      <c r="R1113" s="5" t="str">
        <f aca="false">IF(OR(Q1113="Steel plate",Q1113="Concrete jacket"),"Steel plate or jacket",Q1113)</f>
        <v>Polymer laminate</v>
      </c>
      <c r="S1113" s="5" t="str">
        <f aca="false">IF(O1113&lt;='Tree rules'!$C$4,IF(N1113&lt;='Tree rules'!$C$5,IF(P1113&lt;='Tree rules'!$C$6,"Monitor","Polymer laminate"),IF(P1113&lt;='Tree rules'!$C$7,"Seal cracks","Polymer laminate")),IF(O1113&lt;='Tree rules'!$C$8,IF(M1113&lt;='Tree rules'!$C$9,"Steel plate or jacket","Polymer laminate"),IF(L1113&lt;='Tree rules'!$C$10,"Steel plate or jacket","Polymer laminate")))</f>
        <v>Steel plate or jacket</v>
      </c>
      <c r="T1113" s="5" t="str">
        <f aca="false">IF(S1113=R1113,"Yes","No")</f>
        <v>No</v>
      </c>
    </row>
    <row r="1114" customFormat="false" ht="15" hidden="false" customHeight="false" outlineLevel="0" collapsed="false">
      <c r="A1114" s="15" t="n">
        <v>1585</v>
      </c>
      <c r="B1114" s="16" t="n">
        <v>4.47388319303967</v>
      </c>
      <c r="C1114" s="15" t="n">
        <v>230</v>
      </c>
      <c r="D1114" s="15" t="n">
        <v>425</v>
      </c>
      <c r="E1114" s="15" t="n">
        <v>20</v>
      </c>
      <c r="F1114" s="16" t="n">
        <v>0.72047992055571</v>
      </c>
      <c r="G1114" s="17" t="s">
        <v>90</v>
      </c>
      <c r="H1114" s="18" t="n">
        <v>0.1</v>
      </c>
      <c r="I1114" s="18" t="n">
        <v>1.5</v>
      </c>
      <c r="J1114" s="19" t="n">
        <v>0.967420083110774</v>
      </c>
      <c r="K1114" s="19" t="n">
        <v>0.498671046892865</v>
      </c>
      <c r="L1114" s="16" t="n">
        <v>12.2908878929661</v>
      </c>
      <c r="M1114" s="19" t="n">
        <v>0.950800814358988</v>
      </c>
      <c r="N1114" s="19" t="n">
        <v>3.09718922908011</v>
      </c>
      <c r="O1114" s="19" t="n">
        <v>1.20991793185115</v>
      </c>
      <c r="P1114" s="19" t="n">
        <v>0.412320103363558</v>
      </c>
      <c r="Q1114" s="17" t="s">
        <v>31</v>
      </c>
      <c r="R1114" s="5" t="str">
        <f aca="false">IF(OR(Q1114="Steel plate",Q1114="Concrete jacket"),"Steel plate or jacket",Q1114)</f>
        <v>Polymer laminate</v>
      </c>
      <c r="S1114" s="5" t="str">
        <f aca="false">IF(O1114&lt;='Tree rules'!$C$4,IF(N1114&lt;='Tree rules'!$C$5,IF(P1114&lt;='Tree rules'!$C$6,"Monitor","Polymer laminate"),IF(P1114&lt;='Tree rules'!$C$7,"Seal cracks","Polymer laminate")),IF(O1114&lt;='Tree rules'!$C$8,IF(M1114&lt;='Tree rules'!$C$9,"Steel plate or jacket","Polymer laminate"),IF(L1114&lt;='Tree rules'!$C$10,"Steel plate or jacket","Polymer laminate")))</f>
        <v>Polymer laminate</v>
      </c>
      <c r="T1114" s="5" t="str">
        <f aca="false">IF(S1114=R1114,"Yes","No")</f>
        <v>Yes</v>
      </c>
    </row>
    <row r="1115" customFormat="false" ht="15" hidden="false" customHeight="false" outlineLevel="0" collapsed="false">
      <c r="A1115" s="15" t="n">
        <v>1588</v>
      </c>
      <c r="B1115" s="16" t="n">
        <v>3.12074309255212</v>
      </c>
      <c r="C1115" s="15" t="n">
        <v>230</v>
      </c>
      <c r="D1115" s="15" t="n">
        <v>300</v>
      </c>
      <c r="E1115" s="15" t="n">
        <v>30</v>
      </c>
      <c r="F1115" s="16" t="n">
        <v>0.576243217710084</v>
      </c>
      <c r="G1115" s="17" t="s">
        <v>89</v>
      </c>
      <c r="H1115" s="18" t="n">
        <v>0.3</v>
      </c>
      <c r="I1115" s="18" t="n">
        <v>1</v>
      </c>
      <c r="J1115" s="19" t="n">
        <v>0.969164713571259</v>
      </c>
      <c r="K1115" s="19" t="n">
        <v>0.585552871259641</v>
      </c>
      <c r="L1115" s="16" t="n">
        <v>12.1904027052817</v>
      </c>
      <c r="M1115" s="19" t="n">
        <v>0.734241109747081</v>
      </c>
      <c r="N1115" s="19" t="n">
        <v>0.676190295920302</v>
      </c>
      <c r="O1115" s="19" t="n">
        <v>0.969164713571259</v>
      </c>
      <c r="P1115" s="19" t="n">
        <v>0.341667943342082</v>
      </c>
      <c r="Q1115" s="17" t="s">
        <v>29</v>
      </c>
      <c r="R1115" s="5" t="str">
        <f aca="false">IF(OR(Q1115="Steel plate",Q1115="Concrete jacket"),"Steel plate or jacket",Q1115)</f>
        <v>Monitor</v>
      </c>
      <c r="S1115" s="5" t="str">
        <f aca="false">IF(O1115&lt;='Tree rules'!$C$4,IF(N1115&lt;='Tree rules'!$C$5,IF(P1115&lt;='Tree rules'!$C$6,"Monitor","Polymer laminate"),IF(P1115&lt;='Tree rules'!$C$7,"Seal cracks","Polymer laminate")),IF(O1115&lt;='Tree rules'!$C$8,IF(M1115&lt;='Tree rules'!$C$9,"Steel plate or jacket","Polymer laminate"),IF(L1115&lt;='Tree rules'!$C$10,"Steel plate or jacket","Polymer laminate")))</f>
        <v>Monitor</v>
      </c>
      <c r="T1115" s="5" t="str">
        <f aca="false">IF(S1115=R1115,"Yes","No")</f>
        <v>Yes</v>
      </c>
    </row>
    <row r="1116" customFormat="false" ht="15" hidden="false" customHeight="false" outlineLevel="0" collapsed="false">
      <c r="A1116" s="15" t="n">
        <v>1590</v>
      </c>
      <c r="B1116" s="16" t="n">
        <v>4.77550585752832</v>
      </c>
      <c r="C1116" s="15" t="n">
        <v>300</v>
      </c>
      <c r="D1116" s="15" t="n">
        <v>425</v>
      </c>
      <c r="E1116" s="15" t="n">
        <v>30</v>
      </c>
      <c r="F1116" s="16" t="n">
        <v>0.593686800678386</v>
      </c>
      <c r="G1116" s="17" t="s">
        <v>91</v>
      </c>
      <c r="H1116" s="18" t="n">
        <v>0.2</v>
      </c>
      <c r="I1116" s="18" t="n">
        <v>1</v>
      </c>
      <c r="J1116" s="19" t="n">
        <v>0.895264874776731</v>
      </c>
      <c r="K1116" s="19" t="n">
        <v>0.464496916510111</v>
      </c>
      <c r="L1116" s="16" t="n">
        <v>12.5341361089982</v>
      </c>
      <c r="M1116" s="19" t="n">
        <v>0.526034060743262</v>
      </c>
      <c r="N1116" s="19" t="n">
        <v>0.861663298773635</v>
      </c>
      <c r="O1116" s="19" t="n">
        <v>0.895264874776731</v>
      </c>
      <c r="P1116" s="19" t="n">
        <v>0.490686944217841</v>
      </c>
      <c r="Q1116" s="17" t="s">
        <v>29</v>
      </c>
      <c r="R1116" s="5" t="str">
        <f aca="false">IF(OR(Q1116="Steel plate",Q1116="Concrete jacket"),"Steel plate or jacket",Q1116)</f>
        <v>Monitor</v>
      </c>
      <c r="S1116" s="5" t="str">
        <f aca="false">IF(O1116&lt;='Tree rules'!$C$4,IF(N1116&lt;='Tree rules'!$C$5,IF(P1116&lt;='Tree rules'!$C$6,"Monitor","Polymer laminate"),IF(P1116&lt;='Tree rules'!$C$7,"Seal cracks","Polymer laminate")),IF(O1116&lt;='Tree rules'!$C$8,IF(M1116&lt;='Tree rules'!$C$9,"Steel plate or jacket","Polymer laminate"),IF(L1116&lt;='Tree rules'!$C$10,"Steel plate or jacket","Polymer laminate")))</f>
        <v>Monitor</v>
      </c>
      <c r="T1116" s="5" t="str">
        <f aca="false">IF(S1116=R1116,"Yes","No")</f>
        <v>Yes</v>
      </c>
    </row>
    <row r="1117" customFormat="false" ht="15" hidden="false" customHeight="false" outlineLevel="0" collapsed="false">
      <c r="A1117" s="15" t="n">
        <v>1591</v>
      </c>
      <c r="B1117" s="16" t="n">
        <v>4.40090691021579</v>
      </c>
      <c r="C1117" s="15" t="n">
        <v>300</v>
      </c>
      <c r="D1117" s="15" t="n">
        <v>425</v>
      </c>
      <c r="E1117" s="15" t="n">
        <v>25</v>
      </c>
      <c r="F1117" s="16" t="n">
        <v>0.530506411160282</v>
      </c>
      <c r="G1117" s="17" t="s">
        <v>89</v>
      </c>
      <c r="H1117" s="18" t="n">
        <v>0.3</v>
      </c>
      <c r="I1117" s="18" t="n">
        <v>1.5</v>
      </c>
      <c r="J1117" s="19" t="n">
        <v>0.977294884469442</v>
      </c>
      <c r="K1117" s="19" t="n">
        <v>0.482514456366846</v>
      </c>
      <c r="L1117" s="16" t="n">
        <v>11.6118915836828</v>
      </c>
      <c r="M1117" s="19" t="n">
        <v>0.619279559670159</v>
      </c>
      <c r="N1117" s="19" t="n">
        <v>1.01427401894396</v>
      </c>
      <c r="O1117" s="19" t="n">
        <v>1.23016287175923</v>
      </c>
      <c r="P1117" s="19" t="n">
        <v>0.466070783564771</v>
      </c>
      <c r="Q1117" s="17" t="s">
        <v>31</v>
      </c>
      <c r="R1117" s="5" t="str">
        <f aca="false">IF(OR(Q1117="Steel plate",Q1117="Concrete jacket"),"Steel plate or jacket",Q1117)</f>
        <v>Polymer laminate</v>
      </c>
      <c r="S1117" s="5" t="str">
        <f aca="false">IF(O1117&lt;='Tree rules'!$C$4,IF(N1117&lt;='Tree rules'!$C$5,IF(P1117&lt;='Tree rules'!$C$6,"Monitor","Polymer laminate"),IF(P1117&lt;='Tree rules'!$C$7,"Seal cracks","Polymer laminate")),IF(O1117&lt;='Tree rules'!$C$8,IF(M1117&lt;='Tree rules'!$C$9,"Steel plate or jacket","Polymer laminate"),IF(L1117&lt;='Tree rules'!$C$10,"Steel plate or jacket","Polymer laminate")))</f>
        <v>Polymer laminate</v>
      </c>
      <c r="T1117" s="5" t="str">
        <f aca="false">IF(S1117=R1117,"Yes","No")</f>
        <v>Yes</v>
      </c>
    </row>
    <row r="1118" customFormat="false" ht="15" hidden="false" customHeight="false" outlineLevel="0" collapsed="false">
      <c r="A1118" s="15" t="n">
        <v>1592</v>
      </c>
      <c r="B1118" s="16" t="n">
        <v>6.91584454040647</v>
      </c>
      <c r="C1118" s="15" t="n">
        <v>300</v>
      </c>
      <c r="D1118" s="15" t="n">
        <v>550</v>
      </c>
      <c r="E1118" s="15" t="n">
        <v>20</v>
      </c>
      <c r="F1118" s="16" t="n">
        <v>0.531909867274462</v>
      </c>
      <c r="G1118" s="17" t="s">
        <v>89</v>
      </c>
      <c r="H1118" s="18" t="n">
        <v>0.3</v>
      </c>
      <c r="I1118" s="18" t="n">
        <v>1</v>
      </c>
      <c r="J1118" s="19" t="n">
        <v>0.901656810145457</v>
      </c>
      <c r="K1118" s="19" t="n">
        <v>0.566500229196455</v>
      </c>
      <c r="L1118" s="16" t="n">
        <v>13.7219137706478</v>
      </c>
      <c r="M1118" s="19" t="n">
        <v>0.531937487072714</v>
      </c>
      <c r="N1118" s="19" t="n">
        <v>0.625284556173043</v>
      </c>
      <c r="O1118" s="19" t="n">
        <v>0.901656810145457</v>
      </c>
      <c r="P1118" s="19" t="n">
        <v>0.6524988597905</v>
      </c>
      <c r="Q1118" s="17" t="s">
        <v>29</v>
      </c>
      <c r="R1118" s="5" t="str">
        <f aca="false">IF(OR(Q1118="Steel plate",Q1118="Concrete jacket"),"Steel plate or jacket",Q1118)</f>
        <v>Monitor</v>
      </c>
      <c r="S1118" s="5" t="str">
        <f aca="false">IF(O1118&lt;='Tree rules'!$C$4,IF(N1118&lt;='Tree rules'!$C$5,IF(P1118&lt;='Tree rules'!$C$6,"Monitor","Polymer laminate"),IF(P1118&lt;='Tree rules'!$C$7,"Seal cracks","Polymer laminate")),IF(O1118&lt;='Tree rules'!$C$8,IF(M1118&lt;='Tree rules'!$C$9,"Steel plate or jacket","Polymer laminate"),IF(L1118&lt;='Tree rules'!$C$10,"Steel plate or jacket","Polymer laminate")))</f>
        <v>Monitor</v>
      </c>
      <c r="T1118" s="5" t="str">
        <f aca="false">IF(S1118=R1118,"Yes","No")</f>
        <v>Yes</v>
      </c>
    </row>
    <row r="1119" customFormat="false" ht="15" hidden="false" customHeight="false" outlineLevel="0" collapsed="false">
      <c r="A1119" s="15" t="n">
        <v>1593</v>
      </c>
      <c r="B1119" s="16" t="n">
        <v>6.64055750772956</v>
      </c>
      <c r="C1119" s="15" t="n">
        <v>230</v>
      </c>
      <c r="D1119" s="15" t="n">
        <v>650</v>
      </c>
      <c r="E1119" s="15" t="n">
        <v>30</v>
      </c>
      <c r="F1119" s="16" t="n">
        <v>0.578928677885824</v>
      </c>
      <c r="G1119" s="17" t="s">
        <v>89</v>
      </c>
      <c r="H1119" s="18" t="n">
        <v>0.3</v>
      </c>
      <c r="I1119" s="18" t="n">
        <v>1</v>
      </c>
      <c r="J1119" s="19" t="n">
        <v>0.863038798446283</v>
      </c>
      <c r="K1119" s="19" t="n">
        <v>0.58495469374491</v>
      </c>
      <c r="L1119" s="16" t="n">
        <v>10.994300509486</v>
      </c>
      <c r="M1119" s="19" t="n">
        <v>0.94244930600751</v>
      </c>
      <c r="N1119" s="19" t="n">
        <v>0.48143323646789</v>
      </c>
      <c r="O1119" s="19" t="n">
        <v>0.863038798446283</v>
      </c>
      <c r="P1119" s="19" t="n">
        <v>0.296421683949469</v>
      </c>
      <c r="Q1119" s="17" t="s">
        <v>29</v>
      </c>
      <c r="R1119" s="5" t="str">
        <f aca="false">IF(OR(Q1119="Steel plate",Q1119="Concrete jacket"),"Steel plate or jacket",Q1119)</f>
        <v>Monitor</v>
      </c>
      <c r="S1119" s="5" t="str">
        <f aca="false">IF(O1119&lt;='Tree rules'!$C$4,IF(N1119&lt;='Tree rules'!$C$5,IF(P1119&lt;='Tree rules'!$C$6,"Monitor","Polymer laminate"),IF(P1119&lt;='Tree rules'!$C$7,"Seal cracks","Polymer laminate")),IF(O1119&lt;='Tree rules'!$C$8,IF(M1119&lt;='Tree rules'!$C$9,"Steel plate or jacket","Polymer laminate"),IF(L1119&lt;='Tree rules'!$C$10,"Steel plate or jacket","Polymer laminate")))</f>
        <v>Monitor</v>
      </c>
      <c r="T1119" s="5" t="str">
        <f aca="false">IF(S1119=R1119,"Yes","No")</f>
        <v>Yes</v>
      </c>
    </row>
    <row r="1120" customFormat="false" ht="15" hidden="false" customHeight="false" outlineLevel="0" collapsed="false">
      <c r="A1120" s="15" t="n">
        <v>1594</v>
      </c>
      <c r="B1120" s="16" t="n">
        <v>7.00389422243183</v>
      </c>
      <c r="C1120" s="15" t="n">
        <v>230</v>
      </c>
      <c r="D1120" s="15" t="n">
        <v>625</v>
      </c>
      <c r="E1120" s="15" t="n">
        <v>30</v>
      </c>
      <c r="F1120" s="16" t="n">
        <v>0.603925598347216</v>
      </c>
      <c r="G1120" s="17" t="s">
        <v>89</v>
      </c>
      <c r="H1120" s="18" t="n">
        <v>0.3</v>
      </c>
      <c r="I1120" s="18" t="n">
        <v>1</v>
      </c>
      <c r="J1120" s="19" t="n">
        <v>0.972704498688594</v>
      </c>
      <c r="K1120" s="19" t="n">
        <v>0.516018391892235</v>
      </c>
      <c r="L1120" s="16" t="n">
        <v>12.0965357900377</v>
      </c>
      <c r="M1120" s="19" t="n">
        <v>0.367966688255618</v>
      </c>
      <c r="N1120" s="19" t="n">
        <v>0.648315377313691</v>
      </c>
      <c r="O1120" s="19" t="n">
        <v>0.972704498688594</v>
      </c>
      <c r="P1120" s="19" t="n">
        <v>0.829847512879258</v>
      </c>
      <c r="Q1120" s="17" t="s">
        <v>29</v>
      </c>
      <c r="R1120" s="5" t="str">
        <f aca="false">IF(OR(Q1120="Steel plate",Q1120="Concrete jacket"),"Steel plate or jacket",Q1120)</f>
        <v>Monitor</v>
      </c>
      <c r="S1120" s="5" t="str">
        <f aca="false">IF(O1120&lt;='Tree rules'!$C$4,IF(N1120&lt;='Tree rules'!$C$5,IF(P1120&lt;='Tree rules'!$C$6,"Monitor","Polymer laminate"),IF(P1120&lt;='Tree rules'!$C$7,"Seal cracks","Polymer laminate")),IF(O1120&lt;='Tree rules'!$C$8,IF(M1120&lt;='Tree rules'!$C$9,"Steel plate or jacket","Polymer laminate"),IF(L1120&lt;='Tree rules'!$C$10,"Steel plate or jacket","Polymer laminate")))</f>
        <v>Monitor</v>
      </c>
      <c r="T1120" s="5" t="str">
        <f aca="false">IF(S1120=R1120,"Yes","No")</f>
        <v>Yes</v>
      </c>
    </row>
    <row r="1121" customFormat="false" ht="15" hidden="false" customHeight="false" outlineLevel="0" collapsed="false">
      <c r="A1121" s="15" t="n">
        <v>1595</v>
      </c>
      <c r="B1121" s="16" t="n">
        <v>5.19978322031297</v>
      </c>
      <c r="C1121" s="15" t="n">
        <v>300</v>
      </c>
      <c r="D1121" s="15" t="n">
        <v>425</v>
      </c>
      <c r="E1121" s="15" t="n">
        <v>30</v>
      </c>
      <c r="F1121" s="16" t="n">
        <v>0.530506411160282</v>
      </c>
      <c r="G1121" s="17" t="s">
        <v>89</v>
      </c>
      <c r="H1121" s="18" t="n">
        <v>0.3</v>
      </c>
      <c r="I1121" s="18" t="n">
        <v>1.5</v>
      </c>
      <c r="J1121" s="19" t="n">
        <v>0.91844590604392</v>
      </c>
      <c r="K1121" s="19" t="n">
        <v>0.501812801849558</v>
      </c>
      <c r="L1121" s="16" t="n">
        <v>13.7197446446253</v>
      </c>
      <c r="M1121" s="19" t="n">
        <v>0.52081055631708</v>
      </c>
      <c r="N1121" s="19" t="n">
        <v>0.967768196181657</v>
      </c>
      <c r="O1121" s="19" t="n">
        <v>1.1472249023363</v>
      </c>
      <c r="P1121" s="19" t="n">
        <v>0.575983981260095</v>
      </c>
      <c r="Q1121" s="17" t="s">
        <v>31</v>
      </c>
      <c r="R1121" s="5" t="str">
        <f aca="false">IF(OR(Q1121="Steel plate",Q1121="Concrete jacket"),"Steel plate or jacket",Q1121)</f>
        <v>Polymer laminate</v>
      </c>
      <c r="S1121" s="5" t="str">
        <f aca="false">IF(O1121&lt;='Tree rules'!$C$4,IF(N1121&lt;='Tree rules'!$C$5,IF(P1121&lt;='Tree rules'!$C$6,"Monitor","Polymer laminate"),IF(P1121&lt;='Tree rules'!$C$7,"Seal cracks","Polymer laminate")),IF(O1121&lt;='Tree rules'!$C$8,IF(M1121&lt;='Tree rules'!$C$9,"Steel plate or jacket","Polymer laminate"),IF(L1121&lt;='Tree rules'!$C$10,"Steel plate or jacket","Polymer laminate")))</f>
        <v>Polymer laminate</v>
      </c>
      <c r="T1121" s="5" t="str">
        <f aca="false">IF(S1121=R1121,"Yes","No")</f>
        <v>Yes</v>
      </c>
    </row>
    <row r="1122" customFormat="false" ht="15" hidden="false" customHeight="false" outlineLevel="0" collapsed="false">
      <c r="A1122" s="15" t="n">
        <v>1596</v>
      </c>
      <c r="B1122" s="16" t="n">
        <v>4.95629490208744</v>
      </c>
      <c r="C1122" s="15" t="n">
        <v>300</v>
      </c>
      <c r="D1122" s="15" t="n">
        <v>475</v>
      </c>
      <c r="E1122" s="15" t="n">
        <v>25</v>
      </c>
      <c r="F1122" s="16" t="n">
        <v>0.624901102811956</v>
      </c>
      <c r="G1122" s="17" t="s">
        <v>89</v>
      </c>
      <c r="H1122" s="18" t="n">
        <v>0.3</v>
      </c>
      <c r="I1122" s="18" t="n">
        <v>1</v>
      </c>
      <c r="J1122" s="19" t="n">
        <v>0.977430200974726</v>
      </c>
      <c r="K1122" s="19" t="n">
        <v>0.45085175160087</v>
      </c>
      <c r="L1122" s="16" t="n">
        <v>11.5531349699008</v>
      </c>
      <c r="M1122" s="19" t="n">
        <v>0.832434271497877</v>
      </c>
      <c r="N1122" s="19" t="n">
        <v>0.649559052758682</v>
      </c>
      <c r="O1122" s="19" t="n">
        <v>0.977430200974726</v>
      </c>
      <c r="P1122" s="19" t="n">
        <v>0.365757684965135</v>
      </c>
      <c r="Q1122" s="17" t="s">
        <v>29</v>
      </c>
      <c r="R1122" s="5" t="str">
        <f aca="false">IF(OR(Q1122="Steel plate",Q1122="Concrete jacket"),"Steel plate or jacket",Q1122)</f>
        <v>Monitor</v>
      </c>
      <c r="S1122" s="5" t="str">
        <f aca="false">IF(O1122&lt;='Tree rules'!$C$4,IF(N1122&lt;='Tree rules'!$C$5,IF(P1122&lt;='Tree rules'!$C$6,"Monitor","Polymer laminate"),IF(P1122&lt;='Tree rules'!$C$7,"Seal cracks","Polymer laminate")),IF(O1122&lt;='Tree rules'!$C$8,IF(M1122&lt;='Tree rules'!$C$9,"Steel plate or jacket","Polymer laminate"),IF(L1122&lt;='Tree rules'!$C$10,"Steel plate or jacket","Polymer laminate")))</f>
        <v>Monitor</v>
      </c>
      <c r="T1122" s="5" t="str">
        <f aca="false">IF(S1122=R1122,"Yes","No")</f>
        <v>Yes</v>
      </c>
    </row>
    <row r="1123" customFormat="false" ht="15" hidden="false" customHeight="false" outlineLevel="0" collapsed="false">
      <c r="A1123" s="15" t="n">
        <v>1598</v>
      </c>
      <c r="B1123" s="16" t="n">
        <v>3.91572576316071</v>
      </c>
      <c r="C1123" s="15" t="n">
        <v>300</v>
      </c>
      <c r="D1123" s="15" t="n">
        <v>325</v>
      </c>
      <c r="E1123" s="15" t="n">
        <v>20</v>
      </c>
      <c r="F1123" s="16" t="n">
        <v>0.756099314943392</v>
      </c>
      <c r="G1123" s="17" t="s">
        <v>89</v>
      </c>
      <c r="H1123" s="18" t="n">
        <v>0.3</v>
      </c>
      <c r="I1123" s="18" t="n">
        <v>1</v>
      </c>
      <c r="J1123" s="19" t="n">
        <v>0.891304827263357</v>
      </c>
      <c r="K1123" s="19" t="n">
        <v>0.462029272258769</v>
      </c>
      <c r="L1123" s="16" t="n">
        <v>14.1361940908329</v>
      </c>
      <c r="M1123" s="19" t="n">
        <v>0.680049631788075</v>
      </c>
      <c r="N1123" s="19" t="n">
        <v>0.929992138976266</v>
      </c>
      <c r="O1123" s="19" t="n">
        <v>0.891304827263357</v>
      </c>
      <c r="P1123" s="19" t="n">
        <v>0.528352858749448</v>
      </c>
      <c r="Q1123" s="17" t="s">
        <v>29</v>
      </c>
      <c r="R1123" s="5" t="str">
        <f aca="false">IF(OR(Q1123="Steel plate",Q1123="Concrete jacket"),"Steel plate or jacket",Q1123)</f>
        <v>Monitor</v>
      </c>
      <c r="S1123" s="5" t="str">
        <f aca="false">IF(O1123&lt;='Tree rules'!$C$4,IF(N1123&lt;='Tree rules'!$C$5,IF(P1123&lt;='Tree rules'!$C$6,"Monitor","Polymer laminate"),IF(P1123&lt;='Tree rules'!$C$7,"Seal cracks","Polymer laminate")),IF(O1123&lt;='Tree rules'!$C$8,IF(M1123&lt;='Tree rules'!$C$9,"Steel plate or jacket","Polymer laminate"),IF(L1123&lt;='Tree rules'!$C$10,"Steel plate or jacket","Polymer laminate")))</f>
        <v>Monitor</v>
      </c>
      <c r="T1123" s="5" t="str">
        <f aca="false">IF(S1123=R1123,"Yes","No")</f>
        <v>Yes</v>
      </c>
    </row>
    <row r="1124" customFormat="false" ht="15" hidden="false" customHeight="false" outlineLevel="0" collapsed="false">
      <c r="A1124" s="15" t="n">
        <v>1599</v>
      </c>
      <c r="B1124" s="16" t="n">
        <v>3.94736544470066</v>
      </c>
      <c r="C1124" s="15" t="n">
        <v>300</v>
      </c>
      <c r="D1124" s="15" t="n">
        <v>350</v>
      </c>
      <c r="E1124" s="15" t="n">
        <v>30</v>
      </c>
      <c r="F1124" s="16" t="n">
        <v>0.693508312050727</v>
      </c>
      <c r="G1124" s="17" t="s">
        <v>89</v>
      </c>
      <c r="H1124" s="18" t="n">
        <v>0.3</v>
      </c>
      <c r="I1124" s="18" t="n">
        <v>1</v>
      </c>
      <c r="J1124" s="19" t="n">
        <v>0.898769943589602</v>
      </c>
      <c r="K1124" s="19" t="n">
        <v>0.556205486025178</v>
      </c>
      <c r="L1124" s="16" t="n">
        <v>13.0707465056313</v>
      </c>
      <c r="M1124" s="19" t="n">
        <v>0.871129077013974</v>
      </c>
      <c r="N1124" s="19" t="n">
        <v>0.926734731899184</v>
      </c>
      <c r="O1124" s="19" t="n">
        <v>0.898769943589602</v>
      </c>
      <c r="P1124" s="19" t="n">
        <v>0.360651438429932</v>
      </c>
      <c r="Q1124" s="17" t="s">
        <v>29</v>
      </c>
      <c r="R1124" s="5" t="str">
        <f aca="false">IF(OR(Q1124="Steel plate",Q1124="Concrete jacket"),"Steel plate or jacket",Q1124)</f>
        <v>Monitor</v>
      </c>
      <c r="S1124" s="5" t="str">
        <f aca="false">IF(O1124&lt;='Tree rules'!$C$4,IF(N1124&lt;='Tree rules'!$C$5,IF(P1124&lt;='Tree rules'!$C$6,"Monitor","Polymer laminate"),IF(P1124&lt;='Tree rules'!$C$7,"Seal cracks","Polymer laminate")),IF(O1124&lt;='Tree rules'!$C$8,IF(M1124&lt;='Tree rules'!$C$9,"Steel plate or jacket","Polymer laminate"),IF(L1124&lt;='Tree rules'!$C$10,"Steel plate or jacket","Polymer laminate")))</f>
        <v>Monitor</v>
      </c>
      <c r="T1124" s="5" t="str">
        <f aca="false">IF(S1124=R1124,"Yes","No")</f>
        <v>Yes</v>
      </c>
    </row>
    <row r="1125" customFormat="false" ht="15" hidden="false" customHeight="false" outlineLevel="0" collapsed="false">
      <c r="A1125" s="15" t="n">
        <v>1600</v>
      </c>
      <c r="B1125" s="16" t="n">
        <v>3.73483149879078</v>
      </c>
      <c r="C1125" s="15" t="n">
        <v>300</v>
      </c>
      <c r="D1125" s="15" t="n">
        <v>350</v>
      </c>
      <c r="E1125" s="15" t="n">
        <v>20</v>
      </c>
      <c r="F1125" s="16" t="n">
        <v>0.693508312050727</v>
      </c>
      <c r="G1125" s="17" t="s">
        <v>89</v>
      </c>
      <c r="H1125" s="18" t="n">
        <v>0.3</v>
      </c>
      <c r="I1125" s="18" t="n">
        <v>2</v>
      </c>
      <c r="J1125" s="19" t="n">
        <v>0.927359019238247</v>
      </c>
      <c r="K1125" s="19" t="n">
        <v>0.593332666131319</v>
      </c>
      <c r="L1125" s="16" t="n">
        <v>12.3669917178503</v>
      </c>
      <c r="M1125" s="19" t="n">
        <v>0.51633825989914</v>
      </c>
      <c r="N1125" s="19" t="n">
        <v>1.46405743195088</v>
      </c>
      <c r="O1125" s="19" t="n">
        <v>1.30448563913094</v>
      </c>
      <c r="P1125" s="19" t="n">
        <v>0.791214434965698</v>
      </c>
      <c r="Q1125" s="17" t="s">
        <v>31</v>
      </c>
      <c r="R1125" s="5" t="str">
        <f aca="false">IF(OR(Q1125="Steel plate",Q1125="Concrete jacket"),"Steel plate or jacket",Q1125)</f>
        <v>Polymer laminate</v>
      </c>
      <c r="S1125" s="5" t="str">
        <f aca="false">IF(O1125&lt;='Tree rules'!$C$4,IF(N1125&lt;='Tree rules'!$C$5,IF(P1125&lt;='Tree rules'!$C$6,"Monitor","Polymer laminate"),IF(P1125&lt;='Tree rules'!$C$7,"Seal cracks","Polymer laminate")),IF(O1125&lt;='Tree rules'!$C$8,IF(M1125&lt;='Tree rules'!$C$9,"Steel plate or jacket","Polymer laminate"),IF(L1125&lt;='Tree rules'!$C$10,"Steel plate or jacket","Polymer laminate")))</f>
        <v>Steel plate or jacket</v>
      </c>
      <c r="T1125" s="5" t="str">
        <f aca="false">IF(S1125=R1125,"Yes","No")</f>
        <v>No</v>
      </c>
    </row>
    <row r="1126" customFormat="false" ht="15" hidden="false" customHeight="false" outlineLevel="0" collapsed="false">
      <c r="A1126" s="15" t="n">
        <v>1602</v>
      </c>
      <c r="B1126" s="16" t="n">
        <v>3.3795525128007</v>
      </c>
      <c r="C1126" s="15" t="n">
        <v>300</v>
      </c>
      <c r="D1126" s="15" t="n">
        <v>300</v>
      </c>
      <c r="E1126" s="15" t="n">
        <v>25</v>
      </c>
      <c r="F1126" s="16" t="n">
        <v>0.736310778185108</v>
      </c>
      <c r="G1126" s="17" t="s">
        <v>89</v>
      </c>
      <c r="H1126" s="18" t="n">
        <v>0.3</v>
      </c>
      <c r="I1126" s="18" t="n">
        <v>1</v>
      </c>
      <c r="J1126" s="19" t="n">
        <v>0.922853309157487</v>
      </c>
      <c r="K1126" s="19" t="n">
        <v>0.437076117135522</v>
      </c>
      <c r="L1126" s="16" t="n">
        <v>13.2013770031278</v>
      </c>
      <c r="M1126" s="19" t="n">
        <v>0.590326037364477</v>
      </c>
      <c r="N1126" s="19" t="n">
        <v>0.632457912201214</v>
      </c>
      <c r="O1126" s="19" t="n">
        <v>0.922853309157487</v>
      </c>
      <c r="P1126" s="19" t="n">
        <v>0.514867735392416</v>
      </c>
      <c r="Q1126" s="17" t="s">
        <v>29</v>
      </c>
      <c r="R1126" s="5" t="str">
        <f aca="false">IF(OR(Q1126="Steel plate",Q1126="Concrete jacket"),"Steel plate or jacket",Q1126)</f>
        <v>Monitor</v>
      </c>
      <c r="S1126" s="5" t="str">
        <f aca="false">IF(O1126&lt;='Tree rules'!$C$4,IF(N1126&lt;='Tree rules'!$C$5,IF(P1126&lt;='Tree rules'!$C$6,"Monitor","Polymer laminate"),IF(P1126&lt;='Tree rules'!$C$7,"Seal cracks","Polymer laminate")),IF(O1126&lt;='Tree rules'!$C$8,IF(M1126&lt;='Tree rules'!$C$9,"Steel plate or jacket","Polymer laminate"),IF(L1126&lt;='Tree rules'!$C$10,"Steel plate or jacket","Polymer laminate")))</f>
        <v>Monitor</v>
      </c>
      <c r="T1126" s="5" t="str">
        <f aca="false">IF(S1126=R1126,"Yes","No")</f>
        <v>Yes</v>
      </c>
    </row>
    <row r="1127" customFormat="false" ht="15" hidden="false" customHeight="false" outlineLevel="0" collapsed="false">
      <c r="A1127" s="15" t="n">
        <v>1603</v>
      </c>
      <c r="B1127" s="16" t="n">
        <v>3.21558946952366</v>
      </c>
      <c r="C1127" s="15" t="n">
        <v>230</v>
      </c>
      <c r="D1127" s="15" t="n">
        <v>300</v>
      </c>
      <c r="E1127" s="15" t="n">
        <v>25</v>
      </c>
      <c r="F1127" s="16" t="n">
        <v>0.612108978148471</v>
      </c>
      <c r="G1127" s="17" t="s">
        <v>90</v>
      </c>
      <c r="H1127" s="18" t="n">
        <v>0.1</v>
      </c>
      <c r="I1127" s="18" t="n">
        <v>1</v>
      </c>
      <c r="J1127" s="19" t="n">
        <v>0.959489294365441</v>
      </c>
      <c r="K1127" s="19" t="n">
        <v>0.487496598971574</v>
      </c>
      <c r="L1127" s="16" t="n">
        <v>13.342694894289</v>
      </c>
      <c r="M1127" s="19" t="n">
        <v>0.942937790753048</v>
      </c>
      <c r="N1127" s="19" t="n">
        <v>2.44110308234112</v>
      </c>
      <c r="O1127" s="19" t="n">
        <v>0.959489294365441</v>
      </c>
      <c r="P1127" s="19" t="n">
        <v>0.261314575944067</v>
      </c>
      <c r="Q1127" s="17" t="s">
        <v>30</v>
      </c>
      <c r="R1127" s="5" t="str">
        <f aca="false">IF(OR(Q1127="Steel plate",Q1127="Concrete jacket"),"Steel plate or jacket",Q1127)</f>
        <v>Seal cracks</v>
      </c>
      <c r="S1127" s="5" t="str">
        <f aca="false">IF(O1127&lt;='Tree rules'!$C$4,IF(N1127&lt;='Tree rules'!$C$5,IF(P1127&lt;='Tree rules'!$C$6,"Monitor","Polymer laminate"),IF(P1127&lt;='Tree rules'!$C$7,"Seal cracks","Polymer laminate")),IF(O1127&lt;='Tree rules'!$C$8,IF(M1127&lt;='Tree rules'!$C$9,"Steel plate or jacket","Polymer laminate"),IF(L1127&lt;='Tree rules'!$C$10,"Steel plate or jacket","Polymer laminate")))</f>
        <v>Seal cracks</v>
      </c>
      <c r="T1127" s="5" t="str">
        <f aca="false">IF(S1127=R1127,"Yes","No")</f>
        <v>Yes</v>
      </c>
    </row>
    <row r="1128" customFormat="false" ht="15" hidden="false" customHeight="false" outlineLevel="0" collapsed="false">
      <c r="A1128" s="15" t="n">
        <v>1604</v>
      </c>
      <c r="B1128" s="16" t="n">
        <v>3.28662991597894</v>
      </c>
      <c r="C1128" s="15" t="n">
        <v>300</v>
      </c>
      <c r="D1128" s="15" t="n">
        <v>300</v>
      </c>
      <c r="E1128" s="15" t="n">
        <v>30</v>
      </c>
      <c r="F1128" s="16" t="n">
        <v>0.831109167616348</v>
      </c>
      <c r="G1128" s="17" t="s">
        <v>91</v>
      </c>
      <c r="H1128" s="18" t="n">
        <v>0.2</v>
      </c>
      <c r="I1128" s="18" t="n">
        <v>1</v>
      </c>
      <c r="J1128" s="19" t="n">
        <v>0.915782329174128</v>
      </c>
      <c r="K1128" s="19" t="n">
        <v>0.546079399272819</v>
      </c>
      <c r="L1128" s="16" t="n">
        <v>13.0421822062656</v>
      </c>
      <c r="M1128" s="19" t="n">
        <v>0.472933830065566</v>
      </c>
      <c r="N1128" s="19" t="n">
        <v>1.53380895021204</v>
      </c>
      <c r="O1128" s="19" t="n">
        <v>0.915782329174128</v>
      </c>
      <c r="P1128" s="19" t="n">
        <v>0.677293182230627</v>
      </c>
      <c r="Q1128" s="17" t="s">
        <v>30</v>
      </c>
      <c r="R1128" s="5" t="str">
        <f aca="false">IF(OR(Q1128="Steel plate",Q1128="Concrete jacket"),"Steel plate or jacket",Q1128)</f>
        <v>Seal cracks</v>
      </c>
      <c r="S1128" s="5" t="str">
        <f aca="false">IF(O1128&lt;='Tree rules'!$C$4,IF(N1128&lt;='Tree rules'!$C$5,IF(P1128&lt;='Tree rules'!$C$6,"Monitor","Polymer laminate"),IF(P1128&lt;='Tree rules'!$C$7,"Seal cracks","Polymer laminate")),IF(O1128&lt;='Tree rules'!$C$8,IF(M1128&lt;='Tree rules'!$C$9,"Steel plate or jacket","Polymer laminate"),IF(L1128&lt;='Tree rules'!$C$10,"Steel plate or jacket","Polymer laminate")))</f>
        <v>Seal cracks</v>
      </c>
      <c r="T1128" s="5" t="str">
        <f aca="false">IF(S1128=R1128,"Yes","No")</f>
        <v>Yes</v>
      </c>
    </row>
    <row r="1129" customFormat="false" ht="15" hidden="false" customHeight="false" outlineLevel="0" collapsed="false">
      <c r="A1129" s="15" t="n">
        <v>1605</v>
      </c>
      <c r="B1129" s="16" t="n">
        <v>4.52542268933894</v>
      </c>
      <c r="C1129" s="15" t="n">
        <v>300</v>
      </c>
      <c r="D1129" s="15" t="n">
        <v>375</v>
      </c>
      <c r="E1129" s="15" t="n">
        <v>20</v>
      </c>
      <c r="F1129" s="16" t="n">
        <v>0.640487798897002</v>
      </c>
      <c r="G1129" s="17" t="s">
        <v>89</v>
      </c>
      <c r="H1129" s="18" t="n">
        <v>0.3</v>
      </c>
      <c r="I1129" s="18" t="n">
        <v>2</v>
      </c>
      <c r="J1129" s="19" t="n">
        <v>0.909209149954885</v>
      </c>
      <c r="K1129" s="19" t="n">
        <v>0.41539363284575</v>
      </c>
      <c r="L1129" s="16" t="n">
        <v>13.8392131172445</v>
      </c>
      <c r="M1129" s="19" t="n">
        <v>0.565849414966754</v>
      </c>
      <c r="N1129" s="19" t="n">
        <v>1.63099869688775</v>
      </c>
      <c r="O1129" s="19" t="n">
        <v>1.44073860809341</v>
      </c>
      <c r="P1129" s="19" t="n">
        <v>0.738098605933488</v>
      </c>
      <c r="Q1129" s="17" t="s">
        <v>31</v>
      </c>
      <c r="R1129" s="5" t="str">
        <f aca="false">IF(OR(Q1129="Steel plate",Q1129="Concrete jacket"),"Steel plate or jacket",Q1129)</f>
        <v>Polymer laminate</v>
      </c>
      <c r="S1129" s="5" t="str">
        <f aca="false">IF(O1129&lt;='Tree rules'!$C$4,IF(N1129&lt;='Tree rules'!$C$5,IF(P1129&lt;='Tree rules'!$C$6,"Monitor","Polymer laminate"),IF(P1129&lt;='Tree rules'!$C$7,"Seal cracks","Polymer laminate")),IF(O1129&lt;='Tree rules'!$C$8,IF(M1129&lt;='Tree rules'!$C$9,"Steel plate or jacket","Polymer laminate"),IF(L1129&lt;='Tree rules'!$C$10,"Steel plate or jacket","Polymer laminate")))</f>
        <v>Polymer laminate</v>
      </c>
      <c r="T1129" s="5" t="str">
        <f aca="false">IF(S1129=R1129,"Yes","No")</f>
        <v>Yes</v>
      </c>
    </row>
    <row r="1130" customFormat="false" ht="15" hidden="false" customHeight="false" outlineLevel="0" collapsed="false">
      <c r="A1130" s="15" t="n">
        <v>1607</v>
      </c>
      <c r="B1130" s="16" t="n">
        <v>4.18466667755039</v>
      </c>
      <c r="C1130" s="15" t="n">
        <v>230</v>
      </c>
      <c r="D1130" s="15" t="n">
        <v>325</v>
      </c>
      <c r="E1130" s="15" t="n">
        <v>20</v>
      </c>
      <c r="F1130" s="16" t="n">
        <v>0.524976027522354</v>
      </c>
      <c r="G1130" s="17" t="s">
        <v>91</v>
      </c>
      <c r="H1130" s="18" t="n">
        <v>0.2</v>
      </c>
      <c r="I1130" s="18" t="n">
        <v>1.5</v>
      </c>
      <c r="J1130" s="19" t="n">
        <v>0.858884753048186</v>
      </c>
      <c r="K1130" s="19" t="n">
        <v>0.521120138873381</v>
      </c>
      <c r="L1130" s="16" t="n">
        <v>14.8920522332754</v>
      </c>
      <c r="M1130" s="19" t="n">
        <v>0.479091186747938</v>
      </c>
      <c r="N1130" s="19" t="n">
        <v>1.17426944564897</v>
      </c>
      <c r="O1130" s="19" t="n">
        <v>1.06453605867993</v>
      </c>
      <c r="P1130" s="19" t="n">
        <v>0.657428998007408</v>
      </c>
      <c r="Q1130" s="17" t="s">
        <v>31</v>
      </c>
      <c r="R1130" s="5" t="str">
        <f aca="false">IF(OR(Q1130="Steel plate",Q1130="Concrete jacket"),"Steel plate or jacket",Q1130)</f>
        <v>Polymer laminate</v>
      </c>
      <c r="S1130" s="5" t="str">
        <f aca="false">IF(O1130&lt;='Tree rules'!$C$4,IF(N1130&lt;='Tree rules'!$C$5,IF(P1130&lt;='Tree rules'!$C$6,"Monitor","Polymer laminate"),IF(P1130&lt;='Tree rules'!$C$7,"Seal cracks","Polymer laminate")),IF(O1130&lt;='Tree rules'!$C$8,IF(M1130&lt;='Tree rules'!$C$9,"Steel plate or jacket","Polymer laminate"),IF(L1130&lt;='Tree rules'!$C$10,"Steel plate or jacket","Polymer laminate")))</f>
        <v>Polymer laminate</v>
      </c>
      <c r="T1130" s="5" t="str">
        <f aca="false">IF(S1130=R1130,"Yes","No")</f>
        <v>Yes</v>
      </c>
    </row>
    <row r="1131" customFormat="false" ht="15" hidden="false" customHeight="false" outlineLevel="0" collapsed="false">
      <c r="A1131" s="15" t="n">
        <v>1608</v>
      </c>
      <c r="B1131" s="16" t="n">
        <v>3.11852857737558</v>
      </c>
      <c r="C1131" s="15" t="n">
        <v>300</v>
      </c>
      <c r="D1131" s="15" t="n">
        <v>300</v>
      </c>
      <c r="E1131" s="15" t="n">
        <v>30</v>
      </c>
      <c r="F1131" s="16" t="n">
        <v>0.841263304726974</v>
      </c>
      <c r="G1131" s="17" t="s">
        <v>90</v>
      </c>
      <c r="H1131" s="18" t="n">
        <v>0.1</v>
      </c>
      <c r="I1131" s="18" t="n">
        <v>1</v>
      </c>
      <c r="J1131" s="19" t="n">
        <v>0.978905788316725</v>
      </c>
      <c r="K1131" s="19" t="n">
        <v>0.466962457092769</v>
      </c>
      <c r="L1131" s="16" t="n">
        <v>13.0482367254208</v>
      </c>
      <c r="M1131" s="19" t="n">
        <v>0.27395507376471</v>
      </c>
      <c r="N1131" s="19" t="n">
        <v>3.2901653189955</v>
      </c>
      <c r="O1131" s="19" t="n">
        <v>0.978905788316725</v>
      </c>
      <c r="P1131" s="19" t="n">
        <v>0.983247257212888</v>
      </c>
      <c r="Q1131" s="17" t="s">
        <v>31</v>
      </c>
      <c r="R1131" s="5" t="str">
        <f aca="false">IF(OR(Q1131="Steel plate",Q1131="Concrete jacket"),"Steel plate or jacket",Q1131)</f>
        <v>Polymer laminate</v>
      </c>
      <c r="S1131" s="5" t="str">
        <f aca="false">IF(O1131&lt;='Tree rules'!$C$4,IF(N1131&lt;='Tree rules'!$C$5,IF(P1131&lt;='Tree rules'!$C$6,"Monitor","Polymer laminate"),IF(P1131&lt;='Tree rules'!$C$7,"Seal cracks","Polymer laminate")),IF(O1131&lt;='Tree rules'!$C$8,IF(M1131&lt;='Tree rules'!$C$9,"Steel plate or jacket","Polymer laminate"),IF(L1131&lt;='Tree rules'!$C$10,"Steel plate or jacket","Polymer laminate")))</f>
        <v>Seal cracks</v>
      </c>
      <c r="T1131" s="5" t="str">
        <f aca="false">IF(S1131=R1131,"Yes","No")</f>
        <v>No</v>
      </c>
    </row>
    <row r="1132" customFormat="false" ht="15" hidden="false" customHeight="false" outlineLevel="0" collapsed="false">
      <c r="A1132" s="15" t="n">
        <v>1609</v>
      </c>
      <c r="B1132" s="16" t="n">
        <v>4.80229036079606</v>
      </c>
      <c r="C1132" s="15" t="n">
        <v>300</v>
      </c>
      <c r="D1132" s="15" t="n">
        <v>475</v>
      </c>
      <c r="E1132" s="15" t="n">
        <v>25</v>
      </c>
      <c r="F1132" s="16" t="n">
        <v>0.735735984447258</v>
      </c>
      <c r="G1132" s="17" t="s">
        <v>89</v>
      </c>
      <c r="H1132" s="18" t="n">
        <v>0.3</v>
      </c>
      <c r="I1132" s="18" t="n">
        <v>1</v>
      </c>
      <c r="J1132" s="19" t="n">
        <v>0.990316026684193</v>
      </c>
      <c r="K1132" s="19" t="n">
        <v>0.411601438751874</v>
      </c>
      <c r="L1132" s="16" t="n">
        <v>11.2465816412086</v>
      </c>
      <c r="M1132" s="19" t="n">
        <v>0.472989417579807</v>
      </c>
      <c r="N1132" s="19" t="n">
        <v>0.832298740949022</v>
      </c>
      <c r="O1132" s="19" t="n">
        <v>0.990316026684193</v>
      </c>
      <c r="P1132" s="19" t="n">
        <v>0.653956864360524</v>
      </c>
      <c r="Q1132" s="17" t="s">
        <v>29</v>
      </c>
      <c r="R1132" s="5" t="str">
        <f aca="false">IF(OR(Q1132="Steel plate",Q1132="Concrete jacket"),"Steel plate or jacket",Q1132)</f>
        <v>Monitor</v>
      </c>
      <c r="S1132" s="5" t="str">
        <f aca="false">IF(O1132&lt;='Tree rules'!$C$4,IF(N1132&lt;='Tree rules'!$C$5,IF(P1132&lt;='Tree rules'!$C$6,"Monitor","Polymer laminate"),IF(P1132&lt;='Tree rules'!$C$7,"Seal cracks","Polymer laminate")),IF(O1132&lt;='Tree rules'!$C$8,IF(M1132&lt;='Tree rules'!$C$9,"Steel plate or jacket","Polymer laminate"),IF(L1132&lt;='Tree rules'!$C$10,"Steel plate or jacket","Polymer laminate")))</f>
        <v>Monitor</v>
      </c>
      <c r="T1132" s="5" t="str">
        <f aca="false">IF(S1132=R1132,"Yes","No")</f>
        <v>Yes</v>
      </c>
    </row>
    <row r="1133" customFormat="false" ht="15" hidden="false" customHeight="false" outlineLevel="0" collapsed="false">
      <c r="A1133" s="15" t="n">
        <v>1610</v>
      </c>
      <c r="B1133" s="16" t="n">
        <v>4.49403532067105</v>
      </c>
      <c r="C1133" s="15" t="n">
        <v>230</v>
      </c>
      <c r="D1133" s="15" t="n">
        <v>375</v>
      </c>
      <c r="E1133" s="15" t="n">
        <v>20</v>
      </c>
      <c r="F1133" s="16" t="n">
        <v>0.594232683721175</v>
      </c>
      <c r="G1133" s="17" t="s">
        <v>89</v>
      </c>
      <c r="H1133" s="18" t="n">
        <v>0.3</v>
      </c>
      <c r="I1133" s="18" t="n">
        <v>2</v>
      </c>
      <c r="J1133" s="19" t="n">
        <v>0.966781036551598</v>
      </c>
      <c r="K1133" s="19" t="n">
        <v>0.492374287684782</v>
      </c>
      <c r="L1133" s="16" t="n">
        <v>13.5771459839005</v>
      </c>
      <c r="M1133" s="19" t="n">
        <v>0.892167930744479</v>
      </c>
      <c r="N1133" s="19" t="n">
        <v>0.921607023788029</v>
      </c>
      <c r="O1133" s="19" t="n">
        <v>1.45754394888395</v>
      </c>
      <c r="P1133" s="19" t="n">
        <v>0.492257412664527</v>
      </c>
      <c r="Q1133" s="17" t="s">
        <v>31</v>
      </c>
      <c r="R1133" s="5" t="str">
        <f aca="false">IF(OR(Q1133="Steel plate",Q1133="Concrete jacket"),"Steel plate or jacket",Q1133)</f>
        <v>Polymer laminate</v>
      </c>
      <c r="S1133" s="5" t="str">
        <f aca="false">IF(O1133&lt;='Tree rules'!$C$4,IF(N1133&lt;='Tree rules'!$C$5,IF(P1133&lt;='Tree rules'!$C$6,"Monitor","Polymer laminate"),IF(P1133&lt;='Tree rules'!$C$7,"Seal cracks","Polymer laminate")),IF(O1133&lt;='Tree rules'!$C$8,IF(M1133&lt;='Tree rules'!$C$9,"Steel plate or jacket","Polymer laminate"),IF(L1133&lt;='Tree rules'!$C$10,"Steel plate or jacket","Polymer laminate")))</f>
        <v>Polymer laminate</v>
      </c>
      <c r="T1133" s="5" t="str">
        <f aca="false">IF(S1133=R1133,"Yes","No")</f>
        <v>Yes</v>
      </c>
    </row>
    <row r="1134" customFormat="false" ht="15" hidden="false" customHeight="false" outlineLevel="0" collapsed="false">
      <c r="A1134" s="15" t="n">
        <v>1612</v>
      </c>
      <c r="B1134" s="16" t="n">
        <v>3.09474470606629</v>
      </c>
      <c r="C1134" s="15" t="n">
        <v>300</v>
      </c>
      <c r="D1134" s="15" t="n">
        <v>300</v>
      </c>
      <c r="E1134" s="15" t="n">
        <v>25</v>
      </c>
      <c r="F1134" s="16" t="n">
        <v>0.831109167616348</v>
      </c>
      <c r="G1134" s="17" t="s">
        <v>91</v>
      </c>
      <c r="H1134" s="18" t="n">
        <v>0.2</v>
      </c>
      <c r="I1134" s="18" t="n">
        <v>1.5</v>
      </c>
      <c r="J1134" s="19" t="n">
        <v>0.856791871646691</v>
      </c>
      <c r="K1134" s="19" t="n">
        <v>0.560035727824301</v>
      </c>
      <c r="L1134" s="16" t="n">
        <v>12.2807329605805</v>
      </c>
      <c r="M1134" s="19" t="n">
        <v>0.523442147986795</v>
      </c>
      <c r="N1134" s="19" t="n">
        <v>1.72043270230206</v>
      </c>
      <c r="O1134" s="19" t="n">
        <v>1.04527077775424</v>
      </c>
      <c r="P1134" s="19" t="n">
        <v>0.648619972396075</v>
      </c>
      <c r="Q1134" s="17" t="s">
        <v>31</v>
      </c>
      <c r="R1134" s="5" t="str">
        <f aca="false">IF(OR(Q1134="Steel plate",Q1134="Concrete jacket"),"Steel plate or jacket",Q1134)</f>
        <v>Polymer laminate</v>
      </c>
      <c r="S1134" s="5" t="str">
        <f aca="false">IF(O1134&lt;='Tree rules'!$C$4,IF(N1134&lt;='Tree rules'!$C$5,IF(P1134&lt;='Tree rules'!$C$6,"Monitor","Polymer laminate"),IF(P1134&lt;='Tree rules'!$C$7,"Seal cracks","Polymer laminate")),IF(O1134&lt;='Tree rules'!$C$8,IF(M1134&lt;='Tree rules'!$C$9,"Steel plate or jacket","Polymer laminate"),IF(L1134&lt;='Tree rules'!$C$10,"Steel plate or jacket","Polymer laminate")))</f>
        <v>Polymer laminate</v>
      </c>
      <c r="T1134" s="5" t="str">
        <f aca="false">IF(S1134=R1134,"Yes","No")</f>
        <v>Yes</v>
      </c>
    </row>
    <row r="1135" customFormat="false" ht="15" hidden="false" customHeight="false" outlineLevel="0" collapsed="false">
      <c r="A1135" s="15" t="n">
        <v>1613</v>
      </c>
      <c r="B1135" s="16" t="n">
        <v>6.63806237580539</v>
      </c>
      <c r="C1135" s="15" t="n">
        <v>300</v>
      </c>
      <c r="D1135" s="15" t="n">
        <v>525</v>
      </c>
      <c r="E1135" s="15" t="n">
        <v>20</v>
      </c>
      <c r="F1135" s="16" t="n">
        <v>0.699589178252424</v>
      </c>
      <c r="G1135" s="17" t="s">
        <v>89</v>
      </c>
      <c r="H1135" s="18" t="n">
        <v>0.3</v>
      </c>
      <c r="I1135" s="18" t="n">
        <v>1</v>
      </c>
      <c r="J1135" s="19" t="n">
        <v>0.88229944489612</v>
      </c>
      <c r="K1135" s="19" t="n">
        <v>0.412003657126165</v>
      </c>
      <c r="L1135" s="16" t="n">
        <v>13.8581677991762</v>
      </c>
      <c r="M1135" s="19" t="n">
        <v>0.932401652083406</v>
      </c>
      <c r="N1135" s="19" t="n">
        <v>0.510797770271979</v>
      </c>
      <c r="O1135" s="19" t="n">
        <v>0.88229944489612</v>
      </c>
      <c r="P1135" s="19" t="n">
        <v>0.421598744259606</v>
      </c>
      <c r="Q1135" s="17" t="s">
        <v>29</v>
      </c>
      <c r="R1135" s="5" t="str">
        <f aca="false">IF(OR(Q1135="Steel plate",Q1135="Concrete jacket"),"Steel plate or jacket",Q1135)</f>
        <v>Monitor</v>
      </c>
      <c r="S1135" s="5" t="str">
        <f aca="false">IF(O1135&lt;='Tree rules'!$C$4,IF(N1135&lt;='Tree rules'!$C$5,IF(P1135&lt;='Tree rules'!$C$6,"Monitor","Polymer laminate"),IF(P1135&lt;='Tree rules'!$C$7,"Seal cracks","Polymer laminate")),IF(O1135&lt;='Tree rules'!$C$8,IF(M1135&lt;='Tree rules'!$C$9,"Steel plate or jacket","Polymer laminate"),IF(L1135&lt;='Tree rules'!$C$10,"Steel plate or jacket","Polymer laminate")))</f>
        <v>Monitor</v>
      </c>
      <c r="T1135" s="5" t="str">
        <f aca="false">IF(S1135=R1135,"Yes","No")</f>
        <v>Yes</v>
      </c>
    </row>
    <row r="1136" customFormat="false" ht="15" hidden="false" customHeight="false" outlineLevel="0" collapsed="false">
      <c r="A1136" s="15" t="n">
        <v>1614</v>
      </c>
      <c r="B1136" s="16" t="n">
        <v>5.02660682722591</v>
      </c>
      <c r="C1136" s="15" t="n">
        <v>230</v>
      </c>
      <c r="D1136" s="15" t="n">
        <v>475</v>
      </c>
      <c r="E1136" s="15" t="n">
        <v>30</v>
      </c>
      <c r="F1136" s="16" t="n">
        <v>0.639770421258486</v>
      </c>
      <c r="G1136" s="17" t="s">
        <v>89</v>
      </c>
      <c r="H1136" s="18" t="n">
        <v>0.3</v>
      </c>
      <c r="I1136" s="18" t="n">
        <v>1</v>
      </c>
      <c r="J1136" s="19" t="n">
        <v>0.907724967711927</v>
      </c>
      <c r="K1136" s="19" t="n">
        <v>0.55202349559896</v>
      </c>
      <c r="L1136" s="16" t="n">
        <v>11.771912944323</v>
      </c>
      <c r="M1136" s="19" t="n">
        <v>0.742759393593227</v>
      </c>
      <c r="N1136" s="19" t="n">
        <v>0.814008935785666</v>
      </c>
      <c r="O1136" s="19" t="n">
        <v>0.907724967711927</v>
      </c>
      <c r="P1136" s="19" t="n">
        <v>0.392628073952717</v>
      </c>
      <c r="Q1136" s="17" t="s">
        <v>29</v>
      </c>
      <c r="R1136" s="5" t="str">
        <f aca="false">IF(OR(Q1136="Steel plate",Q1136="Concrete jacket"),"Steel plate or jacket",Q1136)</f>
        <v>Monitor</v>
      </c>
      <c r="S1136" s="5" t="str">
        <f aca="false">IF(O1136&lt;='Tree rules'!$C$4,IF(N1136&lt;='Tree rules'!$C$5,IF(P1136&lt;='Tree rules'!$C$6,"Monitor","Polymer laminate"),IF(P1136&lt;='Tree rules'!$C$7,"Seal cracks","Polymer laminate")),IF(O1136&lt;='Tree rules'!$C$8,IF(M1136&lt;='Tree rules'!$C$9,"Steel plate or jacket","Polymer laminate"),IF(L1136&lt;='Tree rules'!$C$10,"Steel plate or jacket","Polymer laminate")))</f>
        <v>Monitor</v>
      </c>
      <c r="T1136" s="5" t="str">
        <f aca="false">IF(S1136=R1136,"Yes","No")</f>
        <v>Yes</v>
      </c>
    </row>
    <row r="1137" customFormat="false" ht="15" hidden="false" customHeight="false" outlineLevel="0" collapsed="false">
      <c r="A1137" s="15" t="n">
        <v>1615</v>
      </c>
      <c r="B1137" s="16" t="n">
        <v>5.51305321907005</v>
      </c>
      <c r="C1137" s="15" t="n">
        <v>300</v>
      </c>
      <c r="D1137" s="15" t="n">
        <v>525</v>
      </c>
      <c r="E1137" s="15" t="n">
        <v>25</v>
      </c>
      <c r="F1137" s="16" t="n">
        <v>0.878153082764443</v>
      </c>
      <c r="G1137" s="17" t="s">
        <v>89</v>
      </c>
      <c r="H1137" s="18" t="n">
        <v>0.3</v>
      </c>
      <c r="I1137" s="18" t="n">
        <v>1.5</v>
      </c>
      <c r="J1137" s="19" t="n">
        <v>0.862650245852047</v>
      </c>
      <c r="K1137" s="19" t="n">
        <v>0.486999454098877</v>
      </c>
      <c r="L1137" s="16" t="n">
        <v>11.5577635619917</v>
      </c>
      <c r="M1137" s="19" t="n">
        <v>0.678683495942924</v>
      </c>
      <c r="N1137" s="19" t="n">
        <v>0.747242643244006</v>
      </c>
      <c r="O1137" s="19" t="n">
        <v>1.08392026937397</v>
      </c>
      <c r="P1137" s="19" t="n">
        <v>0.601532910487038</v>
      </c>
      <c r="Q1137" s="17" t="s">
        <v>31</v>
      </c>
      <c r="R1137" s="5" t="str">
        <f aca="false">IF(OR(Q1137="Steel plate",Q1137="Concrete jacket"),"Steel plate or jacket",Q1137)</f>
        <v>Polymer laminate</v>
      </c>
      <c r="S1137" s="5" t="str">
        <f aca="false">IF(O1137&lt;='Tree rules'!$C$4,IF(N1137&lt;='Tree rules'!$C$5,IF(P1137&lt;='Tree rules'!$C$6,"Monitor","Polymer laminate"),IF(P1137&lt;='Tree rules'!$C$7,"Seal cracks","Polymer laminate")),IF(O1137&lt;='Tree rules'!$C$8,IF(M1137&lt;='Tree rules'!$C$9,"Steel plate or jacket","Polymer laminate"),IF(L1137&lt;='Tree rules'!$C$10,"Steel plate or jacket","Polymer laminate")))</f>
        <v>Polymer laminate</v>
      </c>
      <c r="T1137" s="5" t="str">
        <f aca="false">IF(S1137=R1137,"Yes","No")</f>
        <v>Yes</v>
      </c>
    </row>
    <row r="1138" customFormat="false" ht="15" hidden="false" customHeight="false" outlineLevel="0" collapsed="false">
      <c r="A1138" s="15" t="n">
        <v>1616</v>
      </c>
      <c r="B1138" s="16" t="n">
        <v>3.27628634308004</v>
      </c>
      <c r="C1138" s="15" t="n">
        <v>300</v>
      </c>
      <c r="D1138" s="15" t="n">
        <v>300</v>
      </c>
      <c r="E1138" s="15" t="n">
        <v>30</v>
      </c>
      <c r="F1138" s="16" t="n">
        <v>0.831109167616348</v>
      </c>
      <c r="G1138" s="17" t="s">
        <v>91</v>
      </c>
      <c r="H1138" s="18" t="n">
        <v>0.2</v>
      </c>
      <c r="I1138" s="18" t="n">
        <v>1</v>
      </c>
      <c r="J1138" s="19" t="n">
        <v>0.986410838693162</v>
      </c>
      <c r="K1138" s="19" t="n">
        <v>0.491449552725515</v>
      </c>
      <c r="L1138" s="16" t="n">
        <v>13.0011362820636</v>
      </c>
      <c r="M1138" s="19" t="n">
        <v>0.648111839194463</v>
      </c>
      <c r="N1138" s="19" t="n">
        <v>1.60265981849936</v>
      </c>
      <c r="O1138" s="19" t="n">
        <v>0.986410838693162</v>
      </c>
      <c r="P1138" s="19" t="n">
        <v>0.518548638329003</v>
      </c>
      <c r="Q1138" s="17" t="s">
        <v>30</v>
      </c>
      <c r="R1138" s="5" t="str">
        <f aca="false">IF(OR(Q1138="Steel plate",Q1138="Concrete jacket"),"Steel plate or jacket",Q1138)</f>
        <v>Seal cracks</v>
      </c>
      <c r="S1138" s="5" t="str">
        <f aca="false">IF(O1138&lt;='Tree rules'!$C$4,IF(N1138&lt;='Tree rules'!$C$5,IF(P1138&lt;='Tree rules'!$C$6,"Monitor","Polymer laminate"),IF(P1138&lt;='Tree rules'!$C$7,"Seal cracks","Polymer laminate")),IF(O1138&lt;='Tree rules'!$C$8,IF(M1138&lt;='Tree rules'!$C$9,"Steel plate or jacket","Polymer laminate"),IF(L1138&lt;='Tree rules'!$C$10,"Steel plate or jacket","Polymer laminate")))</f>
        <v>Seal cracks</v>
      </c>
      <c r="T1138" s="5" t="str">
        <f aca="false">IF(S1138=R1138,"Yes","No")</f>
        <v>Yes</v>
      </c>
    </row>
    <row r="1139" customFormat="false" ht="15" hidden="false" customHeight="false" outlineLevel="0" collapsed="false">
      <c r="A1139" s="15" t="n">
        <v>1617</v>
      </c>
      <c r="B1139" s="16" t="n">
        <v>3.01201912027403</v>
      </c>
      <c r="C1139" s="15" t="n">
        <v>230</v>
      </c>
      <c r="D1139" s="15" t="n">
        <v>300</v>
      </c>
      <c r="E1139" s="15" t="n">
        <v>30</v>
      </c>
      <c r="F1139" s="16" t="n">
        <v>0.768324290280112</v>
      </c>
      <c r="G1139" s="17" t="s">
        <v>91</v>
      </c>
      <c r="H1139" s="18" t="n">
        <v>0.2</v>
      </c>
      <c r="I1139" s="18" t="n">
        <v>1.5</v>
      </c>
      <c r="J1139" s="19" t="n">
        <v>0.960877652212517</v>
      </c>
      <c r="K1139" s="19" t="n">
        <v>0.576216615974383</v>
      </c>
      <c r="L1139" s="16" t="n">
        <v>11.7656996885704</v>
      </c>
      <c r="M1139" s="19" t="n">
        <v>0.693332046184812</v>
      </c>
      <c r="N1139" s="19" t="n">
        <v>1.18753942631342</v>
      </c>
      <c r="O1139" s="19" t="n">
        <v>1.16447964375712</v>
      </c>
      <c r="P1139" s="19" t="n">
        <v>0.487395382873277</v>
      </c>
      <c r="Q1139" s="17" t="s">
        <v>31</v>
      </c>
      <c r="R1139" s="5" t="str">
        <f aca="false">IF(OR(Q1139="Steel plate",Q1139="Concrete jacket"),"Steel plate or jacket",Q1139)</f>
        <v>Polymer laminate</v>
      </c>
      <c r="S1139" s="5" t="str">
        <f aca="false">IF(O1139&lt;='Tree rules'!$C$4,IF(N1139&lt;='Tree rules'!$C$5,IF(P1139&lt;='Tree rules'!$C$6,"Monitor","Polymer laminate"),IF(P1139&lt;='Tree rules'!$C$7,"Seal cracks","Polymer laminate")),IF(O1139&lt;='Tree rules'!$C$8,IF(M1139&lt;='Tree rules'!$C$9,"Steel plate or jacket","Polymer laminate"),IF(L1139&lt;='Tree rules'!$C$10,"Steel plate or jacket","Polymer laminate")))</f>
        <v>Polymer laminate</v>
      </c>
      <c r="T1139" s="5" t="str">
        <f aca="false">IF(S1139=R1139,"Yes","No")</f>
        <v>Yes</v>
      </c>
    </row>
    <row r="1140" customFormat="false" ht="15" hidden="false" customHeight="false" outlineLevel="0" collapsed="false">
      <c r="A1140" s="15" t="n">
        <v>1618</v>
      </c>
      <c r="B1140" s="16" t="n">
        <v>5.12644573874814</v>
      </c>
      <c r="C1140" s="15" t="n">
        <v>300</v>
      </c>
      <c r="D1140" s="15" t="n">
        <v>475</v>
      </c>
      <c r="E1140" s="15" t="n">
        <v>30</v>
      </c>
      <c r="F1140" s="16" t="n">
        <v>0.624901102811956</v>
      </c>
      <c r="G1140" s="17" t="s">
        <v>91</v>
      </c>
      <c r="H1140" s="18" t="n">
        <v>0.2</v>
      </c>
      <c r="I1140" s="18" t="n">
        <v>1.5</v>
      </c>
      <c r="J1140" s="19" t="n">
        <v>0.891425658291306</v>
      </c>
      <c r="K1140" s="19" t="n">
        <v>0.557577797979268</v>
      </c>
      <c r="L1140" s="16" t="n">
        <v>11.9497569667789</v>
      </c>
      <c r="M1140" s="19" t="n">
        <v>0.867931399994258</v>
      </c>
      <c r="N1140" s="19" t="n">
        <v>1.10186191443129</v>
      </c>
      <c r="O1140" s="19" t="n">
        <v>1.08861890963082</v>
      </c>
      <c r="P1140" s="19" t="n">
        <v>0.378935540928508</v>
      </c>
      <c r="Q1140" s="17" t="s">
        <v>31</v>
      </c>
      <c r="R1140" s="5" t="str">
        <f aca="false">IF(OR(Q1140="Steel plate",Q1140="Concrete jacket"),"Steel plate or jacket",Q1140)</f>
        <v>Polymer laminate</v>
      </c>
      <c r="S1140" s="5" t="str">
        <f aca="false">IF(O1140&lt;='Tree rules'!$C$4,IF(N1140&lt;='Tree rules'!$C$5,IF(P1140&lt;='Tree rules'!$C$6,"Monitor","Polymer laminate"),IF(P1140&lt;='Tree rules'!$C$7,"Seal cracks","Polymer laminate")),IF(O1140&lt;='Tree rules'!$C$8,IF(M1140&lt;='Tree rules'!$C$9,"Steel plate or jacket","Polymer laminate"),IF(L1140&lt;='Tree rules'!$C$10,"Steel plate or jacket","Polymer laminate")))</f>
        <v>Polymer laminate</v>
      </c>
      <c r="T1140" s="5" t="str">
        <f aca="false">IF(S1140=R1140,"Yes","No")</f>
        <v>Yes</v>
      </c>
    </row>
    <row r="1141" customFormat="false" ht="15" hidden="false" customHeight="false" outlineLevel="0" collapsed="false">
      <c r="A1141" s="15" t="n">
        <v>1619</v>
      </c>
      <c r="B1141" s="16" t="n">
        <v>5.19783898481706</v>
      </c>
      <c r="C1141" s="15" t="n">
        <v>300</v>
      </c>
      <c r="D1141" s="15" t="n">
        <v>450</v>
      </c>
      <c r="E1141" s="15" t="n">
        <v>30</v>
      </c>
      <c r="F1141" s="16" t="n">
        <v>0.811781047439223</v>
      </c>
      <c r="G1141" s="17" t="s">
        <v>90</v>
      </c>
      <c r="H1141" s="18" t="n">
        <v>0.1</v>
      </c>
      <c r="I1141" s="18" t="n">
        <v>1</v>
      </c>
      <c r="J1141" s="19" t="n">
        <v>0.881002764715474</v>
      </c>
      <c r="K1141" s="19" t="n">
        <v>0.598699139065954</v>
      </c>
      <c r="L1141" s="16" t="n">
        <v>13.4311084878994</v>
      </c>
      <c r="M1141" s="19" t="n">
        <v>0.309835176422729</v>
      </c>
      <c r="N1141" s="19" t="n">
        <v>2.79162999234381</v>
      </c>
      <c r="O1141" s="19" t="n">
        <v>0.881002764715474</v>
      </c>
      <c r="P1141" s="19" t="n">
        <v>1.09809928227155</v>
      </c>
      <c r="Q1141" s="17" t="s">
        <v>31</v>
      </c>
      <c r="R1141" s="5" t="str">
        <f aca="false">IF(OR(Q1141="Steel plate",Q1141="Concrete jacket"),"Steel plate or jacket",Q1141)</f>
        <v>Polymer laminate</v>
      </c>
      <c r="S1141" s="5" t="str">
        <f aca="false">IF(O1141&lt;='Tree rules'!$C$4,IF(N1141&lt;='Tree rules'!$C$5,IF(P1141&lt;='Tree rules'!$C$6,"Monitor","Polymer laminate"),IF(P1141&lt;='Tree rules'!$C$7,"Seal cracks","Polymer laminate")),IF(O1141&lt;='Tree rules'!$C$8,IF(M1141&lt;='Tree rules'!$C$9,"Steel plate or jacket","Polymer laminate"),IF(L1141&lt;='Tree rules'!$C$10,"Steel plate or jacket","Polymer laminate")))</f>
        <v>Polymer laminate</v>
      </c>
      <c r="T1141" s="5" t="str">
        <f aca="false">IF(S1141=R1141,"Yes","No")</f>
        <v>Yes</v>
      </c>
    </row>
    <row r="1142" customFormat="false" ht="15" hidden="false" customHeight="false" outlineLevel="0" collapsed="false">
      <c r="A1142" s="15" t="n">
        <v>1621</v>
      </c>
      <c r="B1142" s="16" t="n">
        <v>4.01255746865175</v>
      </c>
      <c r="C1142" s="15" t="n">
        <v>300</v>
      </c>
      <c r="D1142" s="15" t="n">
        <v>325</v>
      </c>
      <c r="E1142" s="15" t="n">
        <v>30</v>
      </c>
      <c r="F1142" s="16" t="n">
        <v>0.804963242200943</v>
      </c>
      <c r="G1142" s="17" t="s">
        <v>89</v>
      </c>
      <c r="H1142" s="18" t="n">
        <v>0.3</v>
      </c>
      <c r="I1142" s="18" t="n">
        <v>2</v>
      </c>
      <c r="J1142" s="19" t="n">
        <v>0.883453353452332</v>
      </c>
      <c r="K1142" s="19" t="n">
        <v>0.584021077393916</v>
      </c>
      <c r="L1142" s="16" t="n">
        <v>14.2795639453799</v>
      </c>
      <c r="M1142" s="19" t="n">
        <v>0.447356630671687</v>
      </c>
      <c r="N1142" s="19" t="n">
        <v>0.865012290752172</v>
      </c>
      <c r="O1142" s="19" t="n">
        <v>1.25095132759417</v>
      </c>
      <c r="P1142" s="19" t="n">
        <v>0.984058644772769</v>
      </c>
      <c r="Q1142" s="17" t="s">
        <v>31</v>
      </c>
      <c r="R1142" s="5" t="str">
        <f aca="false">IF(OR(Q1142="Steel plate",Q1142="Concrete jacket"),"Steel plate or jacket",Q1142)</f>
        <v>Polymer laminate</v>
      </c>
      <c r="S1142" s="5" t="str">
        <f aca="false">IF(O1142&lt;='Tree rules'!$C$4,IF(N1142&lt;='Tree rules'!$C$5,IF(P1142&lt;='Tree rules'!$C$6,"Monitor","Polymer laminate"),IF(P1142&lt;='Tree rules'!$C$7,"Seal cracks","Polymer laminate")),IF(O1142&lt;='Tree rules'!$C$8,IF(M1142&lt;='Tree rules'!$C$9,"Steel plate or jacket","Polymer laminate"),IF(L1142&lt;='Tree rules'!$C$10,"Steel plate or jacket","Polymer laminate")))</f>
        <v>Polymer laminate</v>
      </c>
      <c r="T1142" s="5" t="str">
        <f aca="false">IF(S1142=R1142,"Yes","No")</f>
        <v>Yes</v>
      </c>
    </row>
    <row r="1143" customFormat="false" ht="15" hidden="false" customHeight="false" outlineLevel="0" collapsed="false">
      <c r="A1143" s="15" t="n">
        <v>1622</v>
      </c>
      <c r="B1143" s="16" t="n">
        <v>3.05687577306606</v>
      </c>
      <c r="C1143" s="15" t="n">
        <v>300</v>
      </c>
      <c r="D1143" s="15" t="n">
        <v>300</v>
      </c>
      <c r="E1143" s="15" t="n">
        <v>20</v>
      </c>
      <c r="F1143" s="16" t="n">
        <v>0.736310778185108</v>
      </c>
      <c r="G1143" s="17" t="s">
        <v>89</v>
      </c>
      <c r="H1143" s="18" t="n">
        <v>0.3</v>
      </c>
      <c r="I1143" s="18" t="n">
        <v>1</v>
      </c>
      <c r="J1143" s="19" t="n">
        <v>0.86232996107544</v>
      </c>
      <c r="K1143" s="19" t="n">
        <v>0.501969266566087</v>
      </c>
      <c r="L1143" s="16" t="n">
        <v>11.9409209885393</v>
      </c>
      <c r="M1143" s="19" t="n">
        <v>0.915425802729426</v>
      </c>
      <c r="N1143" s="19" t="n">
        <v>0.531405241888897</v>
      </c>
      <c r="O1143" s="19" t="n">
        <v>0.86232996107544</v>
      </c>
      <c r="P1143" s="19" t="n">
        <v>0.335394227598817</v>
      </c>
      <c r="Q1143" s="17" t="s">
        <v>29</v>
      </c>
      <c r="R1143" s="5" t="str">
        <f aca="false">IF(OR(Q1143="Steel plate",Q1143="Concrete jacket"),"Steel plate or jacket",Q1143)</f>
        <v>Monitor</v>
      </c>
      <c r="S1143" s="5" t="str">
        <f aca="false">IF(O1143&lt;='Tree rules'!$C$4,IF(N1143&lt;='Tree rules'!$C$5,IF(P1143&lt;='Tree rules'!$C$6,"Monitor","Polymer laminate"),IF(P1143&lt;='Tree rules'!$C$7,"Seal cracks","Polymer laminate")),IF(O1143&lt;='Tree rules'!$C$8,IF(M1143&lt;='Tree rules'!$C$9,"Steel plate or jacket","Polymer laminate"),IF(L1143&lt;='Tree rules'!$C$10,"Steel plate or jacket","Polymer laminate")))</f>
        <v>Monitor</v>
      </c>
      <c r="T1143" s="5" t="str">
        <f aca="false">IF(S1143=R1143,"Yes","No")</f>
        <v>Yes</v>
      </c>
    </row>
    <row r="1144" customFormat="false" ht="15" hidden="false" customHeight="false" outlineLevel="0" collapsed="false">
      <c r="A1144" s="15" t="n">
        <v>1626</v>
      </c>
      <c r="B1144" s="16" t="n">
        <v>7.06721074529358</v>
      </c>
      <c r="C1144" s="15" t="n">
        <v>300</v>
      </c>
      <c r="D1144" s="15" t="n">
        <v>700</v>
      </c>
      <c r="E1144" s="15" t="n">
        <v>25</v>
      </c>
      <c r="F1144" s="16" t="n">
        <v>0.614868286941122</v>
      </c>
      <c r="G1144" s="17" t="s">
        <v>89</v>
      </c>
      <c r="H1144" s="18" t="n">
        <v>0.3</v>
      </c>
      <c r="I1144" s="18" t="n">
        <v>1.5</v>
      </c>
      <c r="J1144" s="19" t="n">
        <v>0.891484457105549</v>
      </c>
      <c r="K1144" s="19" t="n">
        <v>0.411077494092192</v>
      </c>
      <c r="L1144" s="16" t="n">
        <v>10.8061326380636</v>
      </c>
      <c r="M1144" s="19" t="n">
        <v>0.348829442720048</v>
      </c>
      <c r="N1144" s="19" t="n">
        <v>0.744405584730618</v>
      </c>
      <c r="O1144" s="19" t="n">
        <v>1.15399208733378</v>
      </c>
      <c r="P1144" s="19" t="n">
        <v>0.846341395078003</v>
      </c>
      <c r="Q1144" s="17" t="s">
        <v>31</v>
      </c>
      <c r="R1144" s="5" t="str">
        <f aca="false">IF(OR(Q1144="Steel plate",Q1144="Concrete jacket"),"Steel plate or jacket",Q1144)</f>
        <v>Polymer laminate</v>
      </c>
      <c r="S1144" s="5" t="str">
        <f aca="false">IF(O1144&lt;='Tree rules'!$C$4,IF(N1144&lt;='Tree rules'!$C$5,IF(P1144&lt;='Tree rules'!$C$6,"Monitor","Polymer laminate"),IF(P1144&lt;='Tree rules'!$C$7,"Seal cracks","Polymer laminate")),IF(O1144&lt;='Tree rules'!$C$8,IF(M1144&lt;='Tree rules'!$C$9,"Steel plate or jacket","Polymer laminate"),IF(L1144&lt;='Tree rules'!$C$10,"Steel plate or jacket","Polymer laminate")))</f>
        <v>Polymer laminate</v>
      </c>
      <c r="T1144" s="5" t="str">
        <f aca="false">IF(S1144=R1144,"Yes","No")</f>
        <v>Yes</v>
      </c>
    </row>
    <row r="1145" customFormat="false" ht="15" hidden="false" customHeight="false" outlineLevel="0" collapsed="false">
      <c r="A1145" s="15" t="n">
        <v>1627</v>
      </c>
      <c r="B1145" s="16" t="n">
        <v>7.48528808844964</v>
      </c>
      <c r="C1145" s="15" t="n">
        <v>300</v>
      </c>
      <c r="D1145" s="15" t="n">
        <v>650</v>
      </c>
      <c r="E1145" s="15" t="n">
        <v>30</v>
      </c>
      <c r="F1145" s="16" t="n">
        <v>0.695812326376477</v>
      </c>
      <c r="G1145" s="17" t="s">
        <v>89</v>
      </c>
      <c r="H1145" s="18" t="n">
        <v>0.3</v>
      </c>
      <c r="I1145" s="18" t="n">
        <v>1</v>
      </c>
      <c r="J1145" s="19" t="n">
        <v>0.874249418779367</v>
      </c>
      <c r="K1145" s="19" t="n">
        <v>0.4368059883428</v>
      </c>
      <c r="L1145" s="16" t="n">
        <v>12.4340333695177</v>
      </c>
      <c r="M1145" s="19" t="n">
        <v>0.547234122190183</v>
      </c>
      <c r="N1145" s="19" t="n">
        <v>0.612077731352827</v>
      </c>
      <c r="O1145" s="19" t="n">
        <v>0.874249418779367</v>
      </c>
      <c r="P1145" s="19" t="n">
        <v>0.564179690669879</v>
      </c>
      <c r="Q1145" s="17" t="s">
        <v>29</v>
      </c>
      <c r="R1145" s="5" t="str">
        <f aca="false">IF(OR(Q1145="Steel plate",Q1145="Concrete jacket"),"Steel plate or jacket",Q1145)</f>
        <v>Monitor</v>
      </c>
      <c r="S1145" s="5" t="str">
        <f aca="false">IF(O1145&lt;='Tree rules'!$C$4,IF(N1145&lt;='Tree rules'!$C$5,IF(P1145&lt;='Tree rules'!$C$6,"Monitor","Polymer laminate"),IF(P1145&lt;='Tree rules'!$C$7,"Seal cracks","Polymer laminate")),IF(O1145&lt;='Tree rules'!$C$8,IF(M1145&lt;='Tree rules'!$C$9,"Steel plate or jacket","Polymer laminate"),IF(L1145&lt;='Tree rules'!$C$10,"Steel plate or jacket","Polymer laminate")))</f>
        <v>Monitor</v>
      </c>
      <c r="T1145" s="5" t="str">
        <f aca="false">IF(S1145=R1145,"Yes","No")</f>
        <v>Yes</v>
      </c>
    </row>
    <row r="1146" customFormat="false" ht="15" hidden="false" customHeight="false" outlineLevel="0" collapsed="false">
      <c r="A1146" s="15" t="n">
        <v>1628</v>
      </c>
      <c r="B1146" s="16" t="n">
        <v>6.30250774341297</v>
      </c>
      <c r="C1146" s="15" t="n">
        <v>300</v>
      </c>
      <c r="D1146" s="15" t="n">
        <v>575</v>
      </c>
      <c r="E1146" s="15" t="n">
        <v>25</v>
      </c>
      <c r="F1146" s="16" t="n">
        <v>0.633465437396808</v>
      </c>
      <c r="G1146" s="17" t="s">
        <v>91</v>
      </c>
      <c r="H1146" s="18" t="n">
        <v>0.2</v>
      </c>
      <c r="I1146" s="18" t="n">
        <v>2</v>
      </c>
      <c r="J1146" s="19" t="n">
        <v>0.948930812453834</v>
      </c>
      <c r="K1146" s="19" t="n">
        <v>0.615156088941067</v>
      </c>
      <c r="L1146" s="16" t="n">
        <v>11.9140032956767</v>
      </c>
      <c r="M1146" s="19" t="n">
        <v>0.929462011970521</v>
      </c>
      <c r="N1146" s="19" t="n">
        <v>1.2197811250634</v>
      </c>
      <c r="O1146" s="19" t="n">
        <v>1.3141210576429</v>
      </c>
      <c r="P1146" s="19" t="n">
        <v>0.470657606708733</v>
      </c>
      <c r="Q1146" s="17" t="s">
        <v>31</v>
      </c>
      <c r="R1146" s="5" t="str">
        <f aca="false">IF(OR(Q1146="Steel plate",Q1146="Concrete jacket"),"Steel plate or jacket",Q1146)</f>
        <v>Polymer laminate</v>
      </c>
      <c r="S1146" s="5" t="str">
        <f aca="false">IF(O1146&lt;='Tree rules'!$C$4,IF(N1146&lt;='Tree rules'!$C$5,IF(P1146&lt;='Tree rules'!$C$6,"Monitor","Polymer laminate"),IF(P1146&lt;='Tree rules'!$C$7,"Seal cracks","Polymer laminate")),IF(O1146&lt;='Tree rules'!$C$8,IF(M1146&lt;='Tree rules'!$C$9,"Steel plate or jacket","Polymer laminate"),IF(L1146&lt;='Tree rules'!$C$10,"Steel plate or jacket","Polymer laminate")))</f>
        <v>Steel plate or jacket</v>
      </c>
      <c r="T1146" s="5" t="str">
        <f aca="false">IF(S1146=R1146,"Yes","No")</f>
        <v>No</v>
      </c>
    </row>
    <row r="1147" customFormat="false" ht="15" hidden="false" customHeight="false" outlineLevel="0" collapsed="false">
      <c r="A1147" s="15" t="n">
        <v>1630</v>
      </c>
      <c r="B1147" s="16" t="n">
        <v>7.70488808178407</v>
      </c>
      <c r="C1147" s="15" t="n">
        <v>230</v>
      </c>
      <c r="D1147" s="15" t="n">
        <v>750</v>
      </c>
      <c r="E1147" s="15" t="n">
        <v>25</v>
      </c>
      <c r="F1147" s="16" t="n">
        <v>0.583722157857635</v>
      </c>
      <c r="G1147" s="17" t="s">
        <v>91</v>
      </c>
      <c r="H1147" s="18" t="n">
        <v>0.2</v>
      </c>
      <c r="I1147" s="18" t="n">
        <v>1</v>
      </c>
      <c r="J1147" s="19" t="n">
        <v>0.971164347606279</v>
      </c>
      <c r="K1147" s="19" t="n">
        <v>0.435904196872763</v>
      </c>
      <c r="L1147" s="16" t="n">
        <v>10.9756240481255</v>
      </c>
      <c r="M1147" s="19" t="n">
        <v>0.450937261488668</v>
      </c>
      <c r="N1147" s="19" t="n">
        <v>1.02694311860234</v>
      </c>
      <c r="O1147" s="19" t="n">
        <v>0.971164347606279</v>
      </c>
      <c r="P1147" s="19" t="n">
        <v>0.619164003205004</v>
      </c>
      <c r="Q1147" s="17" t="s">
        <v>30</v>
      </c>
      <c r="R1147" s="5" t="str">
        <f aca="false">IF(OR(Q1147="Steel plate",Q1147="Concrete jacket"),"Steel plate or jacket",Q1147)</f>
        <v>Seal cracks</v>
      </c>
      <c r="S1147" s="5" t="str">
        <f aca="false">IF(O1147&lt;='Tree rules'!$C$4,IF(N1147&lt;='Tree rules'!$C$5,IF(P1147&lt;='Tree rules'!$C$6,"Monitor","Polymer laminate"),IF(P1147&lt;='Tree rules'!$C$7,"Seal cracks","Polymer laminate")),IF(O1147&lt;='Tree rules'!$C$8,IF(M1147&lt;='Tree rules'!$C$9,"Steel plate or jacket","Polymer laminate"),IF(L1147&lt;='Tree rules'!$C$10,"Steel plate or jacket","Polymer laminate")))</f>
        <v>Seal cracks</v>
      </c>
      <c r="T1147" s="5" t="str">
        <f aca="false">IF(S1147=R1147,"Yes","No")</f>
        <v>Yes</v>
      </c>
    </row>
    <row r="1148" customFormat="false" ht="15" hidden="false" customHeight="false" outlineLevel="0" collapsed="false">
      <c r="A1148" s="15" t="n">
        <v>1631</v>
      </c>
      <c r="B1148" s="16" t="n">
        <v>5.255217392478</v>
      </c>
      <c r="C1148" s="15" t="n">
        <v>230</v>
      </c>
      <c r="D1148" s="15" t="n">
        <v>450</v>
      </c>
      <c r="E1148" s="15" t="n">
        <v>20</v>
      </c>
      <c r="F1148" s="16" t="n">
        <v>0.649145274956135</v>
      </c>
      <c r="G1148" s="17" t="s">
        <v>89</v>
      </c>
      <c r="H1148" s="18" t="n">
        <v>0.3</v>
      </c>
      <c r="I1148" s="18" t="n">
        <v>2</v>
      </c>
      <c r="J1148" s="19" t="n">
        <v>0.923972277926105</v>
      </c>
      <c r="K1148" s="19" t="n">
        <v>0.558341932539002</v>
      </c>
      <c r="L1148" s="16" t="n">
        <v>13.0079638427673</v>
      </c>
      <c r="M1148" s="19" t="n">
        <v>0.531300756044507</v>
      </c>
      <c r="N1148" s="19" t="n">
        <v>0.969717954239738</v>
      </c>
      <c r="O1148" s="19" t="n">
        <v>1.33205208858248</v>
      </c>
      <c r="P1148" s="19" t="n">
        <v>0.847566905025731</v>
      </c>
      <c r="Q1148" s="17" t="s">
        <v>31</v>
      </c>
      <c r="R1148" s="5" t="str">
        <f aca="false">IF(OR(Q1148="Steel plate",Q1148="Concrete jacket"),"Steel plate or jacket",Q1148)</f>
        <v>Polymer laminate</v>
      </c>
      <c r="S1148" s="5" t="str">
        <f aca="false">IF(O1148&lt;='Tree rules'!$C$4,IF(N1148&lt;='Tree rules'!$C$5,IF(P1148&lt;='Tree rules'!$C$6,"Monitor","Polymer laminate"),IF(P1148&lt;='Tree rules'!$C$7,"Seal cracks","Polymer laminate")),IF(O1148&lt;='Tree rules'!$C$8,IF(M1148&lt;='Tree rules'!$C$9,"Steel plate or jacket","Polymer laminate"),IF(L1148&lt;='Tree rules'!$C$10,"Steel plate or jacket","Polymer laminate")))</f>
        <v>Polymer laminate</v>
      </c>
      <c r="T1148" s="5" t="str">
        <f aca="false">IF(S1148=R1148,"Yes","No")</f>
        <v>Yes</v>
      </c>
    </row>
    <row r="1149" customFormat="false" ht="15" hidden="false" customHeight="false" outlineLevel="0" collapsed="false">
      <c r="A1149" s="15" t="n">
        <v>1632</v>
      </c>
      <c r="B1149" s="16" t="n">
        <v>5.40518731479248</v>
      </c>
      <c r="C1149" s="15" t="n">
        <v>300</v>
      </c>
      <c r="D1149" s="15" t="n">
        <v>475</v>
      </c>
      <c r="E1149" s="15" t="n">
        <v>25</v>
      </c>
      <c r="F1149" s="16" t="n">
        <v>0.624901102811956</v>
      </c>
      <c r="G1149" s="17" t="s">
        <v>91</v>
      </c>
      <c r="H1149" s="18" t="n">
        <v>0.2</v>
      </c>
      <c r="I1149" s="18" t="n">
        <v>1</v>
      </c>
      <c r="J1149" s="19" t="n">
        <v>0.910723564887307</v>
      </c>
      <c r="K1149" s="19" t="n">
        <v>0.540425902177717</v>
      </c>
      <c r="L1149" s="16" t="n">
        <v>12.5995042302855</v>
      </c>
      <c r="M1149" s="19" t="n">
        <v>0.510820621721368</v>
      </c>
      <c r="N1149" s="19" t="n">
        <v>0.979912111705126</v>
      </c>
      <c r="O1149" s="19" t="n">
        <v>0.910723564887307</v>
      </c>
      <c r="P1149" s="19" t="n">
        <v>0.624582107687724</v>
      </c>
      <c r="Q1149" s="17" t="s">
        <v>29</v>
      </c>
      <c r="R1149" s="5" t="str">
        <f aca="false">IF(OR(Q1149="Steel plate",Q1149="Concrete jacket"),"Steel plate or jacket",Q1149)</f>
        <v>Monitor</v>
      </c>
      <c r="S1149" s="5" t="str">
        <f aca="false">IF(O1149&lt;='Tree rules'!$C$4,IF(N1149&lt;='Tree rules'!$C$5,IF(P1149&lt;='Tree rules'!$C$6,"Monitor","Polymer laminate"),IF(P1149&lt;='Tree rules'!$C$7,"Seal cracks","Polymer laminate")),IF(O1149&lt;='Tree rules'!$C$8,IF(M1149&lt;='Tree rules'!$C$9,"Steel plate or jacket","Polymer laminate"),IF(L1149&lt;='Tree rules'!$C$10,"Steel plate or jacket","Polymer laminate")))</f>
        <v>Monitor</v>
      </c>
      <c r="T1149" s="5" t="str">
        <f aca="false">IF(S1149=R1149,"Yes","No")</f>
        <v>Yes</v>
      </c>
    </row>
    <row r="1150" customFormat="false" ht="15" hidden="false" customHeight="false" outlineLevel="0" collapsed="false">
      <c r="A1150" s="15" t="n">
        <v>1634</v>
      </c>
      <c r="B1150" s="16" t="n">
        <v>7.35095025661288</v>
      </c>
      <c r="C1150" s="15" t="n">
        <v>230</v>
      </c>
      <c r="D1150" s="15" t="n">
        <v>600</v>
      </c>
      <c r="E1150" s="15" t="n">
        <v>30</v>
      </c>
      <c r="F1150" s="16" t="n">
        <v>0.63117855856144</v>
      </c>
      <c r="G1150" s="17" t="s">
        <v>89</v>
      </c>
      <c r="H1150" s="18" t="n">
        <v>0.3</v>
      </c>
      <c r="I1150" s="18" t="n">
        <v>1</v>
      </c>
      <c r="J1150" s="19" t="n">
        <v>0.889773761267999</v>
      </c>
      <c r="K1150" s="19" t="n">
        <v>0.637367473543065</v>
      </c>
      <c r="L1150" s="16" t="n">
        <v>13.2688632790846</v>
      </c>
      <c r="M1150" s="19" t="n">
        <v>0.946802171890311</v>
      </c>
      <c r="N1150" s="19" t="n">
        <v>0.50967987578719</v>
      </c>
      <c r="O1150" s="19" t="n">
        <v>0.889773761267999</v>
      </c>
      <c r="P1150" s="19" t="n">
        <v>0.400103826433689</v>
      </c>
      <c r="Q1150" s="17" t="s">
        <v>29</v>
      </c>
      <c r="R1150" s="5" t="str">
        <f aca="false">IF(OR(Q1150="Steel plate",Q1150="Concrete jacket"),"Steel plate or jacket",Q1150)</f>
        <v>Monitor</v>
      </c>
      <c r="S1150" s="5" t="str">
        <f aca="false">IF(O1150&lt;='Tree rules'!$C$4,IF(N1150&lt;='Tree rules'!$C$5,IF(P1150&lt;='Tree rules'!$C$6,"Monitor","Polymer laminate"),IF(P1150&lt;='Tree rules'!$C$7,"Seal cracks","Polymer laminate")),IF(O1150&lt;='Tree rules'!$C$8,IF(M1150&lt;='Tree rules'!$C$9,"Steel plate or jacket","Polymer laminate"),IF(L1150&lt;='Tree rules'!$C$10,"Steel plate or jacket","Polymer laminate")))</f>
        <v>Monitor</v>
      </c>
      <c r="T1150" s="5" t="str">
        <f aca="false">IF(S1150=R1150,"Yes","No")</f>
        <v>Yes</v>
      </c>
    </row>
    <row r="1151" customFormat="false" ht="15" hidden="false" customHeight="false" outlineLevel="0" collapsed="false">
      <c r="A1151" s="15" t="n">
        <v>1635</v>
      </c>
      <c r="B1151" s="16" t="n">
        <v>3.64205495769827</v>
      </c>
      <c r="C1151" s="15" t="n">
        <v>300</v>
      </c>
      <c r="D1151" s="15" t="n">
        <v>350</v>
      </c>
      <c r="E1151" s="15" t="n">
        <v>30</v>
      </c>
      <c r="F1151" s="16" t="n">
        <v>0.661387927071535</v>
      </c>
      <c r="G1151" s="17" t="s">
        <v>91</v>
      </c>
      <c r="H1151" s="18" t="n">
        <v>0.2</v>
      </c>
      <c r="I1151" s="18" t="n">
        <v>1</v>
      </c>
      <c r="J1151" s="19" t="n">
        <v>0.955035733422642</v>
      </c>
      <c r="K1151" s="19" t="n">
        <v>0.423078200833922</v>
      </c>
      <c r="L1151" s="16" t="n">
        <v>11.9804439397969</v>
      </c>
      <c r="M1151" s="19" t="n">
        <v>0.642402587302658</v>
      </c>
      <c r="N1151" s="19" t="n">
        <v>1.1753711919991</v>
      </c>
      <c r="O1151" s="19" t="n">
        <v>0.955035733422642</v>
      </c>
      <c r="P1151" s="19" t="n">
        <v>0.400859097201101</v>
      </c>
      <c r="Q1151" s="17" t="s">
        <v>30</v>
      </c>
      <c r="R1151" s="5" t="str">
        <f aca="false">IF(OR(Q1151="Steel plate",Q1151="Concrete jacket"),"Steel plate or jacket",Q1151)</f>
        <v>Seal cracks</v>
      </c>
      <c r="S1151" s="5" t="str">
        <f aca="false">IF(O1151&lt;='Tree rules'!$C$4,IF(N1151&lt;='Tree rules'!$C$5,IF(P1151&lt;='Tree rules'!$C$6,"Monitor","Polymer laminate"),IF(P1151&lt;='Tree rules'!$C$7,"Seal cracks","Polymer laminate")),IF(O1151&lt;='Tree rules'!$C$8,IF(M1151&lt;='Tree rules'!$C$9,"Steel plate or jacket","Polymer laminate"),IF(L1151&lt;='Tree rules'!$C$10,"Steel plate or jacket","Polymer laminate")))</f>
        <v>Seal cracks</v>
      </c>
      <c r="T1151" s="5" t="str">
        <f aca="false">IF(S1151=R1151,"Yes","No")</f>
        <v>Yes</v>
      </c>
    </row>
    <row r="1152" customFormat="false" ht="15" hidden="false" customHeight="false" outlineLevel="0" collapsed="false">
      <c r="A1152" s="15" t="n">
        <v>1639</v>
      </c>
      <c r="B1152" s="16" t="n">
        <v>3.8688251105866</v>
      </c>
      <c r="C1152" s="15" t="n">
        <v>300</v>
      </c>
      <c r="D1152" s="15" t="n">
        <v>300</v>
      </c>
      <c r="E1152" s="15" t="n">
        <v>30</v>
      </c>
      <c r="F1152" s="16" t="n">
        <v>0.791582400904515</v>
      </c>
      <c r="G1152" s="17" t="s">
        <v>91</v>
      </c>
      <c r="H1152" s="18" t="n">
        <v>0.2</v>
      </c>
      <c r="I1152" s="18" t="n">
        <v>1</v>
      </c>
      <c r="J1152" s="19" t="n">
        <v>0.868054061667582</v>
      </c>
      <c r="K1152" s="19" t="n">
        <v>0.445434137071649</v>
      </c>
      <c r="L1152" s="16" t="n">
        <v>15.2315949235693</v>
      </c>
      <c r="M1152" s="19" t="n">
        <v>0.4563573406659</v>
      </c>
      <c r="N1152" s="19" t="n">
        <v>1.12051498128859</v>
      </c>
      <c r="O1152" s="19" t="n">
        <v>0.868054061667582</v>
      </c>
      <c r="P1152" s="19" t="n">
        <v>0.701741456834416</v>
      </c>
      <c r="Q1152" s="17" t="s">
        <v>30</v>
      </c>
      <c r="R1152" s="5" t="str">
        <f aca="false">IF(OR(Q1152="Steel plate",Q1152="Concrete jacket"),"Steel plate or jacket",Q1152)</f>
        <v>Seal cracks</v>
      </c>
      <c r="S1152" s="5" t="str">
        <f aca="false">IF(O1152&lt;='Tree rules'!$C$4,IF(N1152&lt;='Tree rules'!$C$5,IF(P1152&lt;='Tree rules'!$C$6,"Monitor","Polymer laminate"),IF(P1152&lt;='Tree rules'!$C$7,"Seal cracks","Polymer laminate")),IF(O1152&lt;='Tree rules'!$C$8,IF(M1152&lt;='Tree rules'!$C$9,"Steel plate or jacket","Polymer laminate"),IF(L1152&lt;='Tree rules'!$C$10,"Steel plate or jacket","Polymer laminate")))</f>
        <v>Seal cracks</v>
      </c>
      <c r="T1152" s="5" t="str">
        <f aca="false">IF(S1152=R1152,"Yes","No")</f>
        <v>Yes</v>
      </c>
    </row>
    <row r="1153" customFormat="false" ht="15" hidden="false" customHeight="false" outlineLevel="0" collapsed="false">
      <c r="A1153" s="15" t="n">
        <v>1641</v>
      </c>
      <c r="B1153" s="16" t="n">
        <v>5.57114150876232</v>
      </c>
      <c r="C1153" s="15" t="n">
        <v>300</v>
      </c>
      <c r="D1153" s="15" t="n">
        <v>550</v>
      </c>
      <c r="E1153" s="15" t="n">
        <v>25</v>
      </c>
      <c r="F1153" s="16" t="n">
        <v>0.834420359519201</v>
      </c>
      <c r="G1153" s="17" t="s">
        <v>89</v>
      </c>
      <c r="H1153" s="18" t="n">
        <v>0.3</v>
      </c>
      <c r="I1153" s="18" t="n">
        <v>1.5</v>
      </c>
      <c r="J1153" s="19" t="n">
        <v>0.889318654008784</v>
      </c>
      <c r="K1153" s="19" t="n">
        <v>0.62206986305661</v>
      </c>
      <c r="L1153" s="16" t="n">
        <v>11.0978914517178</v>
      </c>
      <c r="M1153" s="19" t="n">
        <v>0.788993034405986</v>
      </c>
      <c r="N1153" s="19" t="n">
        <v>0.711889787415599</v>
      </c>
      <c r="O1153" s="19" t="n">
        <v>1.05736881435671</v>
      </c>
      <c r="P1153" s="19" t="n">
        <v>0.538286889245874</v>
      </c>
      <c r="Q1153" s="17" t="s">
        <v>31</v>
      </c>
      <c r="R1153" s="5" t="str">
        <f aca="false">IF(OR(Q1153="Steel plate",Q1153="Concrete jacket"),"Steel plate or jacket",Q1153)</f>
        <v>Polymer laminate</v>
      </c>
      <c r="S1153" s="5" t="str">
        <f aca="false">IF(O1153&lt;='Tree rules'!$C$4,IF(N1153&lt;='Tree rules'!$C$5,IF(P1153&lt;='Tree rules'!$C$6,"Monitor","Polymer laminate"),IF(P1153&lt;='Tree rules'!$C$7,"Seal cracks","Polymer laminate")),IF(O1153&lt;='Tree rules'!$C$8,IF(M1153&lt;='Tree rules'!$C$9,"Steel plate or jacket","Polymer laminate"),IF(L1153&lt;='Tree rules'!$C$10,"Steel plate or jacket","Polymer laminate")))</f>
        <v>Polymer laminate</v>
      </c>
      <c r="T1153" s="5" t="str">
        <f aca="false">IF(S1153=R1153,"Yes","No")</f>
        <v>Yes</v>
      </c>
    </row>
    <row r="1154" customFormat="false" ht="15" hidden="false" customHeight="false" outlineLevel="0" collapsed="false">
      <c r="A1154" s="15" t="n">
        <v>1642</v>
      </c>
      <c r="B1154" s="16" t="n">
        <v>6.85125615578183</v>
      </c>
      <c r="C1154" s="15" t="n">
        <v>300</v>
      </c>
      <c r="D1154" s="15" t="n">
        <v>675</v>
      </c>
      <c r="E1154" s="15" t="n">
        <v>30</v>
      </c>
      <c r="F1154" s="16" t="n">
        <v>0.668068613203571</v>
      </c>
      <c r="G1154" s="17" t="s">
        <v>91</v>
      </c>
      <c r="H1154" s="18" t="n">
        <v>0.2</v>
      </c>
      <c r="I1154" s="18" t="n">
        <v>2</v>
      </c>
      <c r="J1154" s="19" t="n">
        <v>0.861431002324518</v>
      </c>
      <c r="K1154" s="19" t="n">
        <v>0.501794677653223</v>
      </c>
      <c r="L1154" s="16" t="n">
        <v>10.9270433106568</v>
      </c>
      <c r="M1154" s="19" t="n">
        <v>0.455675626407539</v>
      </c>
      <c r="N1154" s="19" t="n">
        <v>1.40052251614912</v>
      </c>
      <c r="O1154" s="19" t="n">
        <v>1.29060051251711</v>
      </c>
      <c r="P1154" s="19" t="n">
        <v>0.745811244056849</v>
      </c>
      <c r="Q1154" s="17" t="s">
        <v>31</v>
      </c>
      <c r="R1154" s="5" t="str">
        <f aca="false">IF(OR(Q1154="Steel plate",Q1154="Concrete jacket"),"Steel plate or jacket",Q1154)</f>
        <v>Polymer laminate</v>
      </c>
      <c r="S1154" s="5" t="str">
        <f aca="false">IF(O1154&lt;='Tree rules'!$C$4,IF(N1154&lt;='Tree rules'!$C$5,IF(P1154&lt;='Tree rules'!$C$6,"Monitor","Polymer laminate"),IF(P1154&lt;='Tree rules'!$C$7,"Seal cracks","Polymer laminate")),IF(O1154&lt;='Tree rules'!$C$8,IF(M1154&lt;='Tree rules'!$C$9,"Steel plate or jacket","Polymer laminate"),IF(L1154&lt;='Tree rules'!$C$10,"Steel plate or jacket","Polymer laminate")))</f>
        <v>Polymer laminate</v>
      </c>
      <c r="T1154" s="5" t="str">
        <f aca="false">IF(S1154=R1154,"Yes","No")</f>
        <v>Yes</v>
      </c>
    </row>
    <row r="1155" customFormat="false" ht="15" hidden="false" customHeight="false" outlineLevel="0" collapsed="false">
      <c r="A1155" s="15" t="n">
        <v>1643</v>
      </c>
      <c r="B1155" s="16" t="n">
        <v>4.72066048037654</v>
      </c>
      <c r="C1155" s="15" t="n">
        <v>230</v>
      </c>
      <c r="D1155" s="15" t="n">
        <v>450</v>
      </c>
      <c r="E1155" s="15" t="n">
        <v>25</v>
      </c>
      <c r="F1155" s="16" t="n">
        <v>0.649145274956135</v>
      </c>
      <c r="G1155" s="17" t="s">
        <v>91</v>
      </c>
      <c r="H1155" s="18" t="n">
        <v>0.2</v>
      </c>
      <c r="I1155" s="18" t="n">
        <v>1</v>
      </c>
      <c r="J1155" s="19" t="n">
        <v>0.877441403539197</v>
      </c>
      <c r="K1155" s="19" t="n">
        <v>0.45354424011741</v>
      </c>
      <c r="L1155" s="16" t="n">
        <v>11.6848031692489</v>
      </c>
      <c r="M1155" s="19" t="n">
        <v>0.908113212898156</v>
      </c>
      <c r="N1155" s="19" t="n">
        <v>0.850813248256335</v>
      </c>
      <c r="O1155" s="19" t="n">
        <v>0.877441403539197</v>
      </c>
      <c r="P1155" s="19" t="n">
        <v>0.314041440588727</v>
      </c>
      <c r="Q1155" s="17" t="s">
        <v>29</v>
      </c>
      <c r="R1155" s="5" t="str">
        <f aca="false">IF(OR(Q1155="Steel plate",Q1155="Concrete jacket"),"Steel plate or jacket",Q1155)</f>
        <v>Monitor</v>
      </c>
      <c r="S1155" s="5" t="str">
        <f aca="false">IF(O1155&lt;='Tree rules'!$C$4,IF(N1155&lt;='Tree rules'!$C$5,IF(P1155&lt;='Tree rules'!$C$6,"Monitor","Polymer laminate"),IF(P1155&lt;='Tree rules'!$C$7,"Seal cracks","Polymer laminate")),IF(O1155&lt;='Tree rules'!$C$8,IF(M1155&lt;='Tree rules'!$C$9,"Steel plate or jacket","Polymer laminate"),IF(L1155&lt;='Tree rules'!$C$10,"Steel plate or jacket","Polymer laminate")))</f>
        <v>Monitor</v>
      </c>
      <c r="T1155" s="5" t="str">
        <f aca="false">IF(S1155=R1155,"Yes","No")</f>
        <v>Yes</v>
      </c>
    </row>
    <row r="1156" customFormat="false" ht="15" hidden="false" customHeight="false" outlineLevel="0" collapsed="false">
      <c r="A1156" s="15" t="n">
        <v>1644</v>
      </c>
      <c r="B1156" s="16" t="n">
        <v>4.48943338781396</v>
      </c>
      <c r="C1156" s="15" t="n">
        <v>230</v>
      </c>
      <c r="D1156" s="15" t="n">
        <v>425</v>
      </c>
      <c r="E1156" s="15" t="n">
        <v>25</v>
      </c>
      <c r="F1156" s="16" t="n">
        <v>0.922619845496142</v>
      </c>
      <c r="G1156" s="17" t="s">
        <v>89</v>
      </c>
      <c r="H1156" s="18" t="n">
        <v>0.3</v>
      </c>
      <c r="I1156" s="18" t="n">
        <v>1.5</v>
      </c>
      <c r="J1156" s="19" t="n">
        <v>0.912360813814756</v>
      </c>
      <c r="K1156" s="19" t="n">
        <v>0.412719792820025</v>
      </c>
      <c r="L1156" s="16" t="n">
        <v>11.8454706802479</v>
      </c>
      <c r="M1156" s="19" t="n">
        <v>0.946236929306315</v>
      </c>
      <c r="N1156" s="19" t="n">
        <v>0.738938388057018</v>
      </c>
      <c r="O1156" s="19" t="n">
        <v>1.18026653769477</v>
      </c>
      <c r="P1156" s="19" t="n">
        <v>0.459251688165552</v>
      </c>
      <c r="Q1156" s="17" t="s">
        <v>31</v>
      </c>
      <c r="R1156" s="5" t="str">
        <f aca="false">IF(OR(Q1156="Steel plate",Q1156="Concrete jacket"),"Steel plate or jacket",Q1156)</f>
        <v>Polymer laminate</v>
      </c>
      <c r="S1156" s="5" t="str">
        <f aca="false">IF(O1156&lt;='Tree rules'!$C$4,IF(N1156&lt;='Tree rules'!$C$5,IF(P1156&lt;='Tree rules'!$C$6,"Monitor","Polymer laminate"),IF(P1156&lt;='Tree rules'!$C$7,"Seal cracks","Polymer laminate")),IF(O1156&lt;='Tree rules'!$C$8,IF(M1156&lt;='Tree rules'!$C$9,"Steel plate or jacket","Polymer laminate"),IF(L1156&lt;='Tree rules'!$C$10,"Steel plate or jacket","Polymer laminate")))</f>
        <v>Polymer laminate</v>
      </c>
      <c r="T1156" s="5" t="str">
        <f aca="false">IF(S1156=R1156,"Yes","No")</f>
        <v>Yes</v>
      </c>
    </row>
    <row r="1157" customFormat="false" ht="15" hidden="false" customHeight="false" outlineLevel="0" collapsed="false">
      <c r="A1157" s="15" t="n">
        <v>1646</v>
      </c>
      <c r="B1157" s="16" t="n">
        <v>3.46985152076911</v>
      </c>
      <c r="C1157" s="15" t="n">
        <v>300</v>
      </c>
      <c r="D1157" s="15" t="n">
        <v>300</v>
      </c>
      <c r="E1157" s="15" t="n">
        <v>30</v>
      </c>
      <c r="F1157" s="16" t="n">
        <v>0.736310778185108</v>
      </c>
      <c r="G1157" s="17" t="s">
        <v>91</v>
      </c>
      <c r="H1157" s="18" t="n">
        <v>0.2</v>
      </c>
      <c r="I1157" s="18" t="n">
        <v>1.5</v>
      </c>
      <c r="J1157" s="19" t="n">
        <v>0.87002344011867</v>
      </c>
      <c r="K1157" s="19" t="n">
        <v>0.598788649584414</v>
      </c>
      <c r="L1157" s="16" t="n">
        <v>13.5541075030043</v>
      </c>
      <c r="M1157" s="19" t="n">
        <v>0.899641280072294</v>
      </c>
      <c r="N1157" s="19" t="n">
        <v>1.02583470488546</v>
      </c>
      <c r="O1157" s="19" t="n">
        <v>1.04455507977028</v>
      </c>
      <c r="P1157" s="19" t="n">
        <v>0.401430958165184</v>
      </c>
      <c r="Q1157" s="17" t="s">
        <v>31</v>
      </c>
      <c r="R1157" s="5" t="str">
        <f aca="false">IF(OR(Q1157="Steel plate",Q1157="Concrete jacket"),"Steel plate or jacket",Q1157)</f>
        <v>Polymer laminate</v>
      </c>
      <c r="S1157" s="5" t="str">
        <f aca="false">IF(O1157&lt;='Tree rules'!$C$4,IF(N1157&lt;='Tree rules'!$C$5,IF(P1157&lt;='Tree rules'!$C$6,"Monitor","Polymer laminate"),IF(P1157&lt;='Tree rules'!$C$7,"Seal cracks","Polymer laminate")),IF(O1157&lt;='Tree rules'!$C$8,IF(M1157&lt;='Tree rules'!$C$9,"Steel plate or jacket","Polymer laminate"),IF(L1157&lt;='Tree rules'!$C$10,"Steel plate or jacket","Polymer laminate")))</f>
        <v>Polymer laminate</v>
      </c>
      <c r="T1157" s="5" t="str">
        <f aca="false">IF(S1157=R1157,"Yes","No")</f>
        <v>Yes</v>
      </c>
    </row>
    <row r="1158" customFormat="false" ht="15" hidden="false" customHeight="false" outlineLevel="0" collapsed="false">
      <c r="A1158" s="15" t="n">
        <v>1647</v>
      </c>
      <c r="B1158" s="16" t="n">
        <v>4.33383433712557</v>
      </c>
      <c r="C1158" s="15" t="n">
        <v>300</v>
      </c>
      <c r="D1158" s="15" t="n">
        <v>400</v>
      </c>
      <c r="E1158" s="15" t="n">
        <v>20</v>
      </c>
      <c r="F1158" s="16" t="n">
        <v>0.567971553191375</v>
      </c>
      <c r="G1158" s="17" t="s">
        <v>91</v>
      </c>
      <c r="H1158" s="18" t="n">
        <v>0.2</v>
      </c>
      <c r="I1158" s="18" t="n">
        <v>1</v>
      </c>
      <c r="J1158" s="19" t="n">
        <v>0.877194793101046</v>
      </c>
      <c r="K1158" s="19" t="n">
        <v>0.489836715721572</v>
      </c>
      <c r="L1158" s="16" t="n">
        <v>12.2424698788858</v>
      </c>
      <c r="M1158" s="19" t="n">
        <v>0.528725913160436</v>
      </c>
      <c r="N1158" s="19" t="n">
        <v>1.07449216004646</v>
      </c>
      <c r="O1158" s="19" t="n">
        <v>0.877194793101046</v>
      </c>
      <c r="P1158" s="19" t="n">
        <v>0.511886011752105</v>
      </c>
      <c r="Q1158" s="17" t="s">
        <v>30</v>
      </c>
      <c r="R1158" s="5" t="str">
        <f aca="false">IF(OR(Q1158="Steel plate",Q1158="Concrete jacket"),"Steel plate or jacket",Q1158)</f>
        <v>Seal cracks</v>
      </c>
      <c r="S1158" s="5" t="str">
        <f aca="false">IF(O1158&lt;='Tree rules'!$C$4,IF(N1158&lt;='Tree rules'!$C$5,IF(P1158&lt;='Tree rules'!$C$6,"Monitor","Polymer laminate"),IF(P1158&lt;='Tree rules'!$C$7,"Seal cracks","Polymer laminate")),IF(O1158&lt;='Tree rules'!$C$8,IF(M1158&lt;='Tree rules'!$C$9,"Steel plate or jacket","Polymer laminate"),IF(L1158&lt;='Tree rules'!$C$10,"Steel plate or jacket","Polymer laminate")))</f>
        <v>Seal cracks</v>
      </c>
      <c r="T1158" s="5" t="str">
        <f aca="false">IF(S1158=R1158,"Yes","No")</f>
        <v>Yes</v>
      </c>
    </row>
    <row r="1159" customFormat="false" ht="15" hidden="false" customHeight="false" outlineLevel="0" collapsed="false">
      <c r="A1159" s="15" t="n">
        <v>1648</v>
      </c>
      <c r="B1159" s="16" t="n">
        <v>5.19500517112517</v>
      </c>
      <c r="C1159" s="15" t="n">
        <v>300</v>
      </c>
      <c r="D1159" s="15" t="n">
        <v>425</v>
      </c>
      <c r="E1159" s="15" t="n">
        <v>20</v>
      </c>
      <c r="F1159" s="16" t="n">
        <v>0.707341881547042</v>
      </c>
      <c r="G1159" s="17" t="s">
        <v>91</v>
      </c>
      <c r="H1159" s="18" t="n">
        <v>0.2</v>
      </c>
      <c r="I1159" s="18" t="n">
        <v>2</v>
      </c>
      <c r="J1159" s="19" t="n">
        <v>0.866009320366724</v>
      </c>
      <c r="K1159" s="19" t="n">
        <v>0.507368616381387</v>
      </c>
      <c r="L1159" s="16" t="n">
        <v>13.7071376546838</v>
      </c>
      <c r="M1159" s="19" t="n">
        <v>0.374454195614229</v>
      </c>
      <c r="N1159" s="19" t="n">
        <v>1.43836295196958</v>
      </c>
      <c r="O1159" s="19" t="n">
        <v>1.2926326900856</v>
      </c>
      <c r="P1159" s="19" t="n">
        <v>1.21251801434988</v>
      </c>
      <c r="Q1159" s="17" t="s">
        <v>31</v>
      </c>
      <c r="R1159" s="5" t="str">
        <f aca="false">IF(OR(Q1159="Steel plate",Q1159="Concrete jacket"),"Steel plate or jacket",Q1159)</f>
        <v>Polymer laminate</v>
      </c>
      <c r="S1159" s="5" t="str">
        <f aca="false">IF(O1159&lt;='Tree rules'!$C$4,IF(N1159&lt;='Tree rules'!$C$5,IF(P1159&lt;='Tree rules'!$C$6,"Monitor","Polymer laminate"),IF(P1159&lt;='Tree rules'!$C$7,"Seal cracks","Polymer laminate")),IF(O1159&lt;='Tree rules'!$C$8,IF(M1159&lt;='Tree rules'!$C$9,"Steel plate or jacket","Polymer laminate"),IF(L1159&lt;='Tree rules'!$C$10,"Steel plate or jacket","Polymer laminate")))</f>
        <v>Polymer laminate</v>
      </c>
      <c r="T1159" s="5" t="str">
        <f aca="false">IF(S1159=R1159,"Yes","No")</f>
        <v>Yes</v>
      </c>
    </row>
    <row r="1160" customFormat="false" ht="15" hidden="false" customHeight="false" outlineLevel="0" collapsed="false">
      <c r="A1160" s="15" t="n">
        <v>1649</v>
      </c>
      <c r="B1160" s="16" t="n">
        <v>4.09243619366141</v>
      </c>
      <c r="C1160" s="15" t="n">
        <v>230</v>
      </c>
      <c r="D1160" s="15" t="n">
        <v>400</v>
      </c>
      <c r="E1160" s="15" t="n">
        <v>30</v>
      </c>
      <c r="F1160" s="16" t="n">
        <v>0.776085141697083</v>
      </c>
      <c r="G1160" s="17" t="s">
        <v>91</v>
      </c>
      <c r="H1160" s="18" t="n">
        <v>0.2</v>
      </c>
      <c r="I1160" s="18" t="n">
        <v>2</v>
      </c>
      <c r="J1160" s="19" t="n">
        <v>0.996612691502907</v>
      </c>
      <c r="K1160" s="19" t="n">
        <v>0.54895577636614</v>
      </c>
      <c r="L1160" s="16" t="n">
        <v>11.6262391865381</v>
      </c>
      <c r="M1160" s="19" t="n">
        <v>0.724215159154519</v>
      </c>
      <c r="N1160" s="19" t="n">
        <v>2.04844055901839</v>
      </c>
      <c r="O1160" s="19" t="n">
        <v>1.44612908920549</v>
      </c>
      <c r="P1160" s="19" t="n">
        <v>0.578586164720577</v>
      </c>
      <c r="Q1160" s="17" t="s">
        <v>31</v>
      </c>
      <c r="R1160" s="5" t="str">
        <f aca="false">IF(OR(Q1160="Steel plate",Q1160="Concrete jacket"),"Steel plate or jacket",Q1160)</f>
        <v>Polymer laminate</v>
      </c>
      <c r="S1160" s="5" t="str">
        <f aca="false">IF(O1160&lt;='Tree rules'!$C$4,IF(N1160&lt;='Tree rules'!$C$5,IF(P1160&lt;='Tree rules'!$C$6,"Monitor","Polymer laminate"),IF(P1160&lt;='Tree rules'!$C$7,"Seal cracks","Polymer laminate")),IF(O1160&lt;='Tree rules'!$C$8,IF(M1160&lt;='Tree rules'!$C$9,"Steel plate or jacket","Polymer laminate"),IF(L1160&lt;='Tree rules'!$C$10,"Steel plate or jacket","Polymer laminate")))</f>
        <v>Steel plate or jacket</v>
      </c>
      <c r="T1160" s="5" t="str">
        <f aca="false">IF(S1160=R1160,"Yes","No")</f>
        <v>No</v>
      </c>
    </row>
    <row r="1161" customFormat="false" ht="15" hidden="false" customHeight="false" outlineLevel="0" collapsed="false">
      <c r="A1161" s="15" t="n">
        <v>1650</v>
      </c>
      <c r="B1161" s="16" t="n">
        <v>5.56529508679823</v>
      </c>
      <c r="C1161" s="15" t="n">
        <v>230</v>
      </c>
      <c r="D1161" s="15" t="n">
        <v>425</v>
      </c>
      <c r="E1161" s="15" t="n">
        <v>25</v>
      </c>
      <c r="F1161" s="16" t="n">
        <v>0.691964884122107</v>
      </c>
      <c r="G1161" s="17" t="s">
        <v>91</v>
      </c>
      <c r="H1161" s="18" t="n">
        <v>0.2</v>
      </c>
      <c r="I1161" s="18" t="n">
        <v>2</v>
      </c>
      <c r="J1161" s="19" t="n">
        <v>0.85456689108324</v>
      </c>
      <c r="K1161" s="19" t="n">
        <v>0.409871749514594</v>
      </c>
      <c r="L1161" s="16" t="n">
        <v>14.6841559018423</v>
      </c>
      <c r="M1161" s="19" t="n">
        <v>0.699536879153212</v>
      </c>
      <c r="N1161" s="19" t="n">
        <v>1.46625410272118</v>
      </c>
      <c r="O1161" s="19" t="n">
        <v>1.35887095544095</v>
      </c>
      <c r="P1161" s="19" t="n">
        <v>0.635907878942328</v>
      </c>
      <c r="Q1161" s="17" t="s">
        <v>31</v>
      </c>
      <c r="R1161" s="5" t="str">
        <f aca="false">IF(OR(Q1161="Steel plate",Q1161="Concrete jacket"),"Steel plate or jacket",Q1161)</f>
        <v>Polymer laminate</v>
      </c>
      <c r="S1161" s="5" t="str">
        <f aca="false">IF(O1161&lt;='Tree rules'!$C$4,IF(N1161&lt;='Tree rules'!$C$5,IF(P1161&lt;='Tree rules'!$C$6,"Monitor","Polymer laminate"),IF(P1161&lt;='Tree rules'!$C$7,"Seal cracks","Polymer laminate")),IF(O1161&lt;='Tree rules'!$C$8,IF(M1161&lt;='Tree rules'!$C$9,"Steel plate or jacket","Polymer laminate"),IF(L1161&lt;='Tree rules'!$C$10,"Steel plate or jacket","Polymer laminate")))</f>
        <v>Polymer laminate</v>
      </c>
      <c r="T1161" s="5" t="str">
        <f aca="false">IF(S1161=R1161,"Yes","No")</f>
        <v>Yes</v>
      </c>
    </row>
    <row r="1162" customFormat="false" ht="15" hidden="false" customHeight="false" outlineLevel="0" collapsed="false">
      <c r="A1162" s="15" t="n">
        <v>1651</v>
      </c>
      <c r="B1162" s="16" t="n">
        <v>3.84338356285235</v>
      </c>
      <c r="C1162" s="15" t="n">
        <v>230</v>
      </c>
      <c r="D1162" s="15" t="n">
        <v>350</v>
      </c>
      <c r="E1162" s="15" t="n">
        <v>25</v>
      </c>
      <c r="F1162" s="16" t="n">
        <v>0.575119936583944</v>
      </c>
      <c r="G1162" s="17" t="s">
        <v>89</v>
      </c>
      <c r="H1162" s="18" t="n">
        <v>0.3</v>
      </c>
      <c r="I1162" s="18" t="n">
        <v>1</v>
      </c>
      <c r="J1162" s="19" t="n">
        <v>0.985988525440352</v>
      </c>
      <c r="K1162" s="19" t="n">
        <v>0.637731415424492</v>
      </c>
      <c r="L1162" s="16" t="n">
        <v>12.6427090883301</v>
      </c>
      <c r="M1162" s="19" t="n">
        <v>0.80580679190379</v>
      </c>
      <c r="N1162" s="19" t="n">
        <v>0.85472101857049</v>
      </c>
      <c r="O1162" s="19" t="n">
        <v>0.985988525440352</v>
      </c>
      <c r="P1162" s="19" t="n">
        <v>0.389655930688243</v>
      </c>
      <c r="Q1162" s="17" t="s">
        <v>29</v>
      </c>
      <c r="R1162" s="5" t="str">
        <f aca="false">IF(OR(Q1162="Steel plate",Q1162="Concrete jacket"),"Steel plate or jacket",Q1162)</f>
        <v>Monitor</v>
      </c>
      <c r="S1162" s="5" t="str">
        <f aca="false">IF(O1162&lt;='Tree rules'!$C$4,IF(N1162&lt;='Tree rules'!$C$5,IF(P1162&lt;='Tree rules'!$C$6,"Monitor","Polymer laminate"),IF(P1162&lt;='Tree rules'!$C$7,"Seal cracks","Polymer laminate")),IF(O1162&lt;='Tree rules'!$C$8,IF(M1162&lt;='Tree rules'!$C$9,"Steel plate or jacket","Polymer laminate"),IF(L1162&lt;='Tree rules'!$C$10,"Steel plate or jacket","Polymer laminate")))</f>
        <v>Monitor</v>
      </c>
      <c r="T1162" s="5" t="str">
        <f aca="false">IF(S1162=R1162,"Yes","No")</f>
        <v>Yes</v>
      </c>
    </row>
    <row r="1163" customFormat="false" ht="15" hidden="false" customHeight="false" outlineLevel="0" collapsed="false">
      <c r="A1163" s="15" t="n">
        <v>1652</v>
      </c>
      <c r="B1163" s="16" t="n">
        <v>6.0700107515368</v>
      </c>
      <c r="C1163" s="15" t="n">
        <v>300</v>
      </c>
      <c r="D1163" s="15" t="n">
        <v>575</v>
      </c>
      <c r="E1163" s="15" t="n">
        <v>25</v>
      </c>
      <c r="F1163" s="16" t="n">
        <v>0.633465437396808</v>
      </c>
      <c r="G1163" s="17" t="s">
        <v>89</v>
      </c>
      <c r="H1163" s="18" t="n">
        <v>0.3</v>
      </c>
      <c r="I1163" s="18" t="n">
        <v>1.5</v>
      </c>
      <c r="J1163" s="19" t="n">
        <v>0.882308584634293</v>
      </c>
      <c r="K1163" s="19" t="n">
        <v>0.429185798080697</v>
      </c>
      <c r="L1163" s="16" t="n">
        <v>11.4745004754949</v>
      </c>
      <c r="M1163" s="19" t="n">
        <v>0.457619765771141</v>
      </c>
      <c r="N1163" s="19" t="n">
        <v>0.760012429346904</v>
      </c>
      <c r="O1163" s="19" t="n">
        <v>1.13412571992658</v>
      </c>
      <c r="P1163" s="19" t="n">
        <v>0.685220402897363</v>
      </c>
      <c r="Q1163" s="17" t="s">
        <v>31</v>
      </c>
      <c r="R1163" s="5" t="str">
        <f aca="false">IF(OR(Q1163="Steel plate",Q1163="Concrete jacket"),"Steel plate or jacket",Q1163)</f>
        <v>Polymer laminate</v>
      </c>
      <c r="S1163" s="5" t="str">
        <f aca="false">IF(O1163&lt;='Tree rules'!$C$4,IF(N1163&lt;='Tree rules'!$C$5,IF(P1163&lt;='Tree rules'!$C$6,"Monitor","Polymer laminate"),IF(P1163&lt;='Tree rules'!$C$7,"Seal cracks","Polymer laminate")),IF(O1163&lt;='Tree rules'!$C$8,IF(M1163&lt;='Tree rules'!$C$9,"Steel plate or jacket","Polymer laminate"),IF(L1163&lt;='Tree rules'!$C$10,"Steel plate or jacket","Polymer laminate")))</f>
        <v>Polymer laminate</v>
      </c>
      <c r="T1163" s="5" t="str">
        <f aca="false">IF(S1163=R1163,"Yes","No")</f>
        <v>Yes</v>
      </c>
    </row>
    <row r="1164" customFormat="false" ht="15" hidden="false" customHeight="false" outlineLevel="0" collapsed="false">
      <c r="A1164" s="15" t="n">
        <v>1653</v>
      </c>
      <c r="B1164" s="16" t="n">
        <v>7.50387256103614</v>
      </c>
      <c r="C1164" s="15" t="n">
        <v>300</v>
      </c>
      <c r="D1164" s="15" t="n">
        <v>625</v>
      </c>
      <c r="E1164" s="15" t="n">
        <v>30</v>
      </c>
      <c r="F1164" s="16" t="n">
        <v>0.544470130604817</v>
      </c>
      <c r="G1164" s="17" t="s">
        <v>89</v>
      </c>
      <c r="H1164" s="18" t="n">
        <v>0.3</v>
      </c>
      <c r="I1164" s="18" t="n">
        <v>2</v>
      </c>
      <c r="J1164" s="19" t="n">
        <v>0.981510138564195</v>
      </c>
      <c r="K1164" s="19" t="n">
        <v>0.430830072149118</v>
      </c>
      <c r="L1164" s="16" t="n">
        <v>13.0049784420037</v>
      </c>
      <c r="M1164" s="19" t="n">
        <v>0.949886270960462</v>
      </c>
      <c r="N1164" s="19" t="n">
        <v>1.2167299091308</v>
      </c>
      <c r="O1164" s="19" t="n">
        <v>1.54015619331569</v>
      </c>
      <c r="P1164" s="19" t="n">
        <v>0.41841893252877</v>
      </c>
      <c r="Q1164" s="17" t="s">
        <v>92</v>
      </c>
      <c r="R1164" s="5" t="str">
        <f aca="false">IF(OR(Q1164="Steel plate",Q1164="Concrete jacket"),"Steel plate or jacket",Q1164)</f>
        <v>Steel plate or jacket</v>
      </c>
      <c r="S1164" s="5" t="str">
        <f aca="false">IF(O1164&lt;='Tree rules'!$C$4,IF(N1164&lt;='Tree rules'!$C$5,IF(P1164&lt;='Tree rules'!$C$6,"Monitor","Polymer laminate"),IF(P1164&lt;='Tree rules'!$C$7,"Seal cracks","Polymer laminate")),IF(O1164&lt;='Tree rules'!$C$8,IF(M1164&lt;='Tree rules'!$C$9,"Steel plate or jacket","Polymer laminate"),IF(L1164&lt;='Tree rules'!$C$10,"Steel plate or jacket","Polymer laminate")))</f>
        <v>Steel plate or jacket</v>
      </c>
      <c r="T1164" s="5" t="str">
        <f aca="false">IF(S1164=R1164,"Yes","No")</f>
        <v>Yes</v>
      </c>
    </row>
    <row r="1165" customFormat="false" ht="15" hidden="false" customHeight="false" outlineLevel="0" collapsed="false">
      <c r="A1165" s="15" t="n">
        <v>1654</v>
      </c>
      <c r="B1165" s="16" t="n">
        <v>3.75621981361799</v>
      </c>
      <c r="C1165" s="15" t="n">
        <v>230</v>
      </c>
      <c r="D1165" s="15" t="n">
        <v>325</v>
      </c>
      <c r="E1165" s="15" t="n">
        <v>30</v>
      </c>
      <c r="F1165" s="16" t="n">
        <v>0.626653981080713</v>
      </c>
      <c r="G1165" s="17" t="s">
        <v>89</v>
      </c>
      <c r="H1165" s="18" t="n">
        <v>0.3</v>
      </c>
      <c r="I1165" s="18" t="n">
        <v>2</v>
      </c>
      <c r="J1165" s="19" t="n">
        <v>0.993447918524193</v>
      </c>
      <c r="K1165" s="19" t="n">
        <v>0.505022613014425</v>
      </c>
      <c r="L1165" s="16" t="n">
        <v>13.4631534538279</v>
      </c>
      <c r="M1165" s="19" t="n">
        <v>0.294246688601074</v>
      </c>
      <c r="N1165" s="19" t="n">
        <v>1.4909556348567</v>
      </c>
      <c r="O1165" s="19" t="n">
        <v>1.48518217334156</v>
      </c>
      <c r="P1165" s="19" t="n">
        <v>1.19145533757925</v>
      </c>
      <c r="Q1165" s="17" t="s">
        <v>31</v>
      </c>
      <c r="R1165" s="5" t="str">
        <f aca="false">IF(OR(Q1165="Steel plate",Q1165="Concrete jacket"),"Steel plate or jacket",Q1165)</f>
        <v>Polymer laminate</v>
      </c>
      <c r="S1165" s="5" t="str">
        <f aca="false">IF(O1165&lt;='Tree rules'!$C$4,IF(N1165&lt;='Tree rules'!$C$5,IF(P1165&lt;='Tree rules'!$C$6,"Monitor","Polymer laminate"),IF(P1165&lt;='Tree rules'!$C$7,"Seal cracks","Polymer laminate")),IF(O1165&lt;='Tree rules'!$C$8,IF(M1165&lt;='Tree rules'!$C$9,"Steel plate or jacket","Polymer laminate"),IF(L1165&lt;='Tree rules'!$C$10,"Steel plate or jacket","Polymer laminate")))</f>
        <v>Polymer laminate</v>
      </c>
      <c r="T1165" s="5" t="str">
        <f aca="false">IF(S1165=R1165,"Yes","No")</f>
        <v>Yes</v>
      </c>
    </row>
    <row r="1166" customFormat="false" ht="15" hidden="false" customHeight="false" outlineLevel="0" collapsed="false">
      <c r="A1166" s="15" t="n">
        <v>1655</v>
      </c>
      <c r="B1166" s="16" t="n">
        <v>4.93877796475</v>
      </c>
      <c r="C1166" s="15" t="n">
        <v>300</v>
      </c>
      <c r="D1166" s="15" t="n">
        <v>450</v>
      </c>
      <c r="E1166" s="15" t="n">
        <v>25</v>
      </c>
      <c r="F1166" s="16" t="n">
        <v>0.781490709848207</v>
      </c>
      <c r="G1166" s="17" t="s">
        <v>89</v>
      </c>
      <c r="H1166" s="18" t="n">
        <v>0.3</v>
      </c>
      <c r="I1166" s="18" t="n">
        <v>1</v>
      </c>
      <c r="J1166" s="19" t="n">
        <v>0.89321868259252</v>
      </c>
      <c r="K1166" s="19" t="n">
        <v>0.613950910042169</v>
      </c>
      <c r="L1166" s="16" t="n">
        <v>12.2855173252488</v>
      </c>
      <c r="M1166" s="19" t="n">
        <v>0.911252386320288</v>
      </c>
      <c r="N1166" s="19" t="n">
        <v>0.67650251658657</v>
      </c>
      <c r="O1166" s="19" t="n">
        <v>0.89321868259252</v>
      </c>
      <c r="P1166" s="19" t="n">
        <v>0.436041582971496</v>
      </c>
      <c r="Q1166" s="17" t="s">
        <v>29</v>
      </c>
      <c r="R1166" s="5" t="str">
        <f aca="false">IF(OR(Q1166="Steel plate",Q1166="Concrete jacket"),"Steel plate or jacket",Q1166)</f>
        <v>Monitor</v>
      </c>
      <c r="S1166" s="5" t="str">
        <f aca="false">IF(O1166&lt;='Tree rules'!$C$4,IF(N1166&lt;='Tree rules'!$C$5,IF(P1166&lt;='Tree rules'!$C$6,"Monitor","Polymer laminate"),IF(P1166&lt;='Tree rules'!$C$7,"Seal cracks","Polymer laminate")),IF(O1166&lt;='Tree rules'!$C$8,IF(M1166&lt;='Tree rules'!$C$9,"Steel plate or jacket","Polymer laminate"),IF(L1166&lt;='Tree rules'!$C$10,"Steel plate or jacket","Polymer laminate")))</f>
        <v>Monitor</v>
      </c>
      <c r="T1166" s="5" t="str">
        <f aca="false">IF(S1166=R1166,"Yes","No")</f>
        <v>Yes</v>
      </c>
    </row>
    <row r="1167" customFormat="false" ht="15" hidden="false" customHeight="false" outlineLevel="0" collapsed="false">
      <c r="A1167" s="15" t="n">
        <v>1656</v>
      </c>
      <c r="B1167" s="16" t="n">
        <v>5.45101448702773</v>
      </c>
      <c r="C1167" s="15" t="n">
        <v>300</v>
      </c>
      <c r="D1167" s="15" t="n">
        <v>525</v>
      </c>
      <c r="E1167" s="15" t="n">
        <v>30</v>
      </c>
      <c r="F1167" s="16" t="n">
        <v>0.878153082764443</v>
      </c>
      <c r="G1167" s="17" t="s">
        <v>91</v>
      </c>
      <c r="H1167" s="18" t="n">
        <v>0.2</v>
      </c>
      <c r="I1167" s="18" t="n">
        <v>1</v>
      </c>
      <c r="J1167" s="19" t="n">
        <v>0.859384857307336</v>
      </c>
      <c r="K1167" s="19" t="n">
        <v>0.598366352801879</v>
      </c>
      <c r="L1167" s="16" t="n">
        <v>11.4277033271022</v>
      </c>
      <c r="M1167" s="19" t="n">
        <v>0.917966704967976</v>
      </c>
      <c r="N1167" s="19" t="n">
        <v>0.847879070359048</v>
      </c>
      <c r="O1167" s="19" t="n">
        <v>0.859384857307336</v>
      </c>
      <c r="P1167" s="19" t="n">
        <v>0.417744936543664</v>
      </c>
      <c r="Q1167" s="17" t="s">
        <v>29</v>
      </c>
      <c r="R1167" s="5" t="str">
        <f aca="false">IF(OR(Q1167="Steel plate",Q1167="Concrete jacket"),"Steel plate or jacket",Q1167)</f>
        <v>Monitor</v>
      </c>
      <c r="S1167" s="5" t="str">
        <f aca="false">IF(O1167&lt;='Tree rules'!$C$4,IF(N1167&lt;='Tree rules'!$C$5,IF(P1167&lt;='Tree rules'!$C$6,"Monitor","Polymer laminate"),IF(P1167&lt;='Tree rules'!$C$7,"Seal cracks","Polymer laminate")),IF(O1167&lt;='Tree rules'!$C$8,IF(M1167&lt;='Tree rules'!$C$9,"Steel plate or jacket","Polymer laminate"),IF(L1167&lt;='Tree rules'!$C$10,"Steel plate or jacket","Polymer laminate")))</f>
        <v>Monitor</v>
      </c>
      <c r="T1167" s="5" t="str">
        <f aca="false">IF(S1167=R1167,"Yes","No")</f>
        <v>Yes</v>
      </c>
    </row>
    <row r="1168" customFormat="false" ht="15" hidden="false" customHeight="false" outlineLevel="0" collapsed="false">
      <c r="A1168" s="15" t="n">
        <v>1657</v>
      </c>
      <c r="B1168" s="16" t="n">
        <v>4.09366990773693</v>
      </c>
      <c r="C1168" s="15" t="n">
        <v>300</v>
      </c>
      <c r="D1168" s="15" t="n">
        <v>350</v>
      </c>
      <c r="E1168" s="15" t="n">
        <v>25</v>
      </c>
      <c r="F1168" s="16" t="n">
        <v>0.661387927071535</v>
      </c>
      <c r="G1168" s="17" t="s">
        <v>91</v>
      </c>
      <c r="H1168" s="18" t="n">
        <v>0.2</v>
      </c>
      <c r="I1168" s="18" t="n">
        <v>1</v>
      </c>
      <c r="J1168" s="19" t="n">
        <v>0.860081774254358</v>
      </c>
      <c r="K1168" s="19" t="n">
        <v>0.561222539210565</v>
      </c>
      <c r="L1168" s="16" t="n">
        <v>13.4660194333452</v>
      </c>
      <c r="M1168" s="19" t="n">
        <v>0.528423882269748</v>
      </c>
      <c r="N1168" s="19" t="n">
        <v>1.07116541727461</v>
      </c>
      <c r="O1168" s="19" t="n">
        <v>0.860081774254358</v>
      </c>
      <c r="P1168" s="19" t="n">
        <v>0.582654117896806</v>
      </c>
      <c r="Q1168" s="17" t="s">
        <v>30</v>
      </c>
      <c r="R1168" s="5" t="str">
        <f aca="false">IF(OR(Q1168="Steel plate",Q1168="Concrete jacket"),"Steel plate or jacket",Q1168)</f>
        <v>Seal cracks</v>
      </c>
      <c r="S1168" s="5" t="str">
        <f aca="false">IF(O1168&lt;='Tree rules'!$C$4,IF(N1168&lt;='Tree rules'!$C$5,IF(P1168&lt;='Tree rules'!$C$6,"Monitor","Polymer laminate"),IF(P1168&lt;='Tree rules'!$C$7,"Seal cracks","Polymer laminate")),IF(O1168&lt;='Tree rules'!$C$8,IF(M1168&lt;='Tree rules'!$C$9,"Steel plate or jacket","Polymer laminate"),IF(L1168&lt;='Tree rules'!$C$10,"Steel plate or jacket","Polymer laminate")))</f>
        <v>Seal cracks</v>
      </c>
      <c r="T1168" s="5" t="str">
        <f aca="false">IF(S1168=R1168,"Yes","No")</f>
        <v>Yes</v>
      </c>
    </row>
    <row r="1169" customFormat="false" ht="15" hidden="false" customHeight="false" outlineLevel="0" collapsed="false">
      <c r="A1169" s="15" t="n">
        <v>1659</v>
      </c>
      <c r="B1169" s="16" t="n">
        <v>6.08237517141245</v>
      </c>
      <c r="C1169" s="15" t="n">
        <v>230</v>
      </c>
      <c r="D1169" s="15" t="n">
        <v>600</v>
      </c>
      <c r="E1169" s="15" t="n">
        <v>20</v>
      </c>
      <c r="F1169" s="16" t="n">
        <v>0.742342309449384</v>
      </c>
      <c r="G1169" s="17" t="s">
        <v>89</v>
      </c>
      <c r="H1169" s="18" t="n">
        <v>0.3</v>
      </c>
      <c r="I1169" s="18" t="n">
        <v>2</v>
      </c>
      <c r="J1169" s="19" t="n">
        <v>0.897004559550872</v>
      </c>
      <c r="K1169" s="19" t="n">
        <v>0.553085437627396</v>
      </c>
      <c r="L1169" s="16" t="n">
        <v>11.0187956003849</v>
      </c>
      <c r="M1169" s="19" t="n">
        <v>0.55157656388238</v>
      </c>
      <c r="N1169" s="19" t="n">
        <v>0.900163082608328</v>
      </c>
      <c r="O1169" s="19" t="n">
        <v>1.29788895972878</v>
      </c>
      <c r="P1169" s="19" t="n">
        <v>0.791812901657407</v>
      </c>
      <c r="Q1169" s="17" t="s">
        <v>92</v>
      </c>
      <c r="R1169" s="5" t="str">
        <f aca="false">IF(OR(Q1169="Steel plate",Q1169="Concrete jacket"),"Steel plate or jacket",Q1169)</f>
        <v>Steel plate or jacket</v>
      </c>
      <c r="S1169" s="5" t="str">
        <f aca="false">IF(O1169&lt;='Tree rules'!$C$4,IF(N1169&lt;='Tree rules'!$C$5,IF(P1169&lt;='Tree rules'!$C$6,"Monitor","Polymer laminate"),IF(P1169&lt;='Tree rules'!$C$7,"Seal cracks","Polymer laminate")),IF(O1169&lt;='Tree rules'!$C$8,IF(M1169&lt;='Tree rules'!$C$9,"Steel plate or jacket","Polymer laminate"),IF(L1169&lt;='Tree rules'!$C$10,"Steel plate or jacket","Polymer laminate")))</f>
        <v>Steel plate or jacket</v>
      </c>
      <c r="T1169" s="5" t="str">
        <f aca="false">IF(S1169=R1169,"Yes","No")</f>
        <v>Yes</v>
      </c>
    </row>
    <row r="1170" customFormat="false" ht="15" hidden="false" customHeight="false" outlineLevel="0" collapsed="false">
      <c r="A1170" s="15" t="n">
        <v>1660</v>
      </c>
      <c r="B1170" s="16" t="n">
        <v>5.54397901236152</v>
      </c>
      <c r="C1170" s="15" t="n">
        <v>300</v>
      </c>
      <c r="D1170" s="15" t="n">
        <v>450</v>
      </c>
      <c r="E1170" s="15" t="n">
        <v>25</v>
      </c>
      <c r="F1170" s="16" t="n">
        <v>0.663570725510715</v>
      </c>
      <c r="G1170" s="17" t="s">
        <v>91</v>
      </c>
      <c r="H1170" s="18" t="n">
        <v>0.2</v>
      </c>
      <c r="I1170" s="18" t="n">
        <v>1</v>
      </c>
      <c r="J1170" s="19" t="n">
        <v>0.868969765653854</v>
      </c>
      <c r="K1170" s="19" t="n">
        <v>0.523825778778103</v>
      </c>
      <c r="L1170" s="16" t="n">
        <v>13.7227203276275</v>
      </c>
      <c r="M1170" s="19" t="n">
        <v>0.756646919295976</v>
      </c>
      <c r="N1170" s="19" t="n">
        <v>0.877663876536216</v>
      </c>
      <c r="O1170" s="19" t="n">
        <v>0.868969765653854</v>
      </c>
      <c r="P1170" s="19" t="n">
        <v>0.465976175031811</v>
      </c>
      <c r="Q1170" s="17" t="s">
        <v>29</v>
      </c>
      <c r="R1170" s="5" t="str">
        <f aca="false">IF(OR(Q1170="Steel plate",Q1170="Concrete jacket"),"Steel plate or jacket",Q1170)</f>
        <v>Monitor</v>
      </c>
      <c r="S1170" s="5" t="str">
        <f aca="false">IF(O1170&lt;='Tree rules'!$C$4,IF(N1170&lt;='Tree rules'!$C$5,IF(P1170&lt;='Tree rules'!$C$6,"Monitor","Polymer laminate"),IF(P1170&lt;='Tree rules'!$C$7,"Seal cracks","Polymer laminate")),IF(O1170&lt;='Tree rules'!$C$8,IF(M1170&lt;='Tree rules'!$C$9,"Steel plate or jacket","Polymer laminate"),IF(L1170&lt;='Tree rules'!$C$10,"Steel plate or jacket","Polymer laminate")))</f>
        <v>Monitor</v>
      </c>
      <c r="T1170" s="5" t="str">
        <f aca="false">IF(S1170=R1170,"Yes","No")</f>
        <v>Yes</v>
      </c>
    </row>
    <row r="1171" customFormat="false" ht="15" hidden="false" customHeight="false" outlineLevel="0" collapsed="false">
      <c r="A1171" s="15" t="n">
        <v>1661</v>
      </c>
      <c r="B1171" s="16" t="n">
        <v>3.20706344340554</v>
      </c>
      <c r="C1171" s="15" t="n">
        <v>300</v>
      </c>
      <c r="D1171" s="15" t="n">
        <v>300</v>
      </c>
      <c r="E1171" s="15" t="n">
        <v>30</v>
      </c>
      <c r="F1171" s="16" t="n">
        <v>0.78213924985638</v>
      </c>
      <c r="G1171" s="17" t="s">
        <v>90</v>
      </c>
      <c r="H1171" s="18" t="n">
        <v>0.1</v>
      </c>
      <c r="I1171" s="18" t="n">
        <v>1</v>
      </c>
      <c r="J1171" s="19" t="n">
        <v>0.868014528728577</v>
      </c>
      <c r="K1171" s="19" t="n">
        <v>0.551839560234764</v>
      </c>
      <c r="L1171" s="16" t="n">
        <v>13.3073171925541</v>
      </c>
      <c r="M1171" s="19" t="n">
        <v>0.820692264569509</v>
      </c>
      <c r="N1171" s="19" t="n">
        <v>2.32837453713345</v>
      </c>
      <c r="O1171" s="19" t="n">
        <v>0.868014528728577</v>
      </c>
      <c r="P1171" s="19" t="n">
        <v>0.339305494447718</v>
      </c>
      <c r="Q1171" s="17" t="s">
        <v>30</v>
      </c>
      <c r="R1171" s="5" t="str">
        <f aca="false">IF(OR(Q1171="Steel plate",Q1171="Concrete jacket"),"Steel plate or jacket",Q1171)</f>
        <v>Seal cracks</v>
      </c>
      <c r="S1171" s="5" t="str">
        <f aca="false">IF(O1171&lt;='Tree rules'!$C$4,IF(N1171&lt;='Tree rules'!$C$5,IF(P1171&lt;='Tree rules'!$C$6,"Monitor","Polymer laminate"),IF(P1171&lt;='Tree rules'!$C$7,"Seal cracks","Polymer laminate")),IF(O1171&lt;='Tree rules'!$C$8,IF(M1171&lt;='Tree rules'!$C$9,"Steel plate or jacket","Polymer laminate"),IF(L1171&lt;='Tree rules'!$C$10,"Steel plate or jacket","Polymer laminate")))</f>
        <v>Seal cracks</v>
      </c>
      <c r="T1171" s="5" t="str">
        <f aca="false">IF(S1171=R1171,"Yes","No")</f>
        <v>Yes</v>
      </c>
    </row>
    <row r="1172" customFormat="false" ht="15" hidden="false" customHeight="false" outlineLevel="0" collapsed="false">
      <c r="A1172" s="15" t="n">
        <v>1663</v>
      </c>
      <c r="B1172" s="16" t="n">
        <v>3.60741484890838</v>
      </c>
      <c r="C1172" s="15" t="n">
        <v>230</v>
      </c>
      <c r="D1172" s="15" t="n">
        <v>300</v>
      </c>
      <c r="E1172" s="15" t="n">
        <v>30</v>
      </c>
      <c r="F1172" s="16" t="n">
        <v>0.688332522525665</v>
      </c>
      <c r="G1172" s="17" t="s">
        <v>91</v>
      </c>
      <c r="H1172" s="18" t="n">
        <v>0.2</v>
      </c>
      <c r="I1172" s="18" t="n">
        <v>1</v>
      </c>
      <c r="J1172" s="19" t="n">
        <v>0.933853651582859</v>
      </c>
      <c r="K1172" s="19" t="n">
        <v>0.488998653454947</v>
      </c>
      <c r="L1172" s="16" t="n">
        <v>14.2024206649936</v>
      </c>
      <c r="M1172" s="19" t="n">
        <v>0.419855469214911</v>
      </c>
      <c r="N1172" s="19" t="n">
        <v>1.35152842493545</v>
      </c>
      <c r="O1172" s="19" t="n">
        <v>0.933853651582859</v>
      </c>
      <c r="P1172" s="19" t="n">
        <v>0.687341626187148</v>
      </c>
      <c r="Q1172" s="17" t="s">
        <v>30</v>
      </c>
      <c r="R1172" s="5" t="str">
        <f aca="false">IF(OR(Q1172="Steel plate",Q1172="Concrete jacket"),"Steel plate or jacket",Q1172)</f>
        <v>Seal cracks</v>
      </c>
      <c r="S1172" s="5" t="str">
        <f aca="false">IF(O1172&lt;='Tree rules'!$C$4,IF(N1172&lt;='Tree rules'!$C$5,IF(P1172&lt;='Tree rules'!$C$6,"Monitor","Polymer laminate"),IF(P1172&lt;='Tree rules'!$C$7,"Seal cracks","Polymer laminate")),IF(O1172&lt;='Tree rules'!$C$8,IF(M1172&lt;='Tree rules'!$C$9,"Steel plate or jacket","Polymer laminate"),IF(L1172&lt;='Tree rules'!$C$10,"Steel plate or jacket","Polymer laminate")))</f>
        <v>Seal cracks</v>
      </c>
      <c r="T1172" s="5" t="str">
        <f aca="false">IF(S1172=R1172,"Yes","No")</f>
        <v>Yes</v>
      </c>
    </row>
    <row r="1173" customFormat="false" ht="15" hidden="false" customHeight="false" outlineLevel="0" collapsed="false">
      <c r="A1173" s="15" t="n">
        <v>1664</v>
      </c>
      <c r="B1173" s="16" t="n">
        <v>3.6853634131939</v>
      </c>
      <c r="C1173" s="15" t="n">
        <v>230</v>
      </c>
      <c r="D1173" s="15" t="n">
        <v>350</v>
      </c>
      <c r="E1173" s="15" t="n">
        <v>30</v>
      </c>
      <c r="F1173" s="16" t="n">
        <v>0.862679904875916</v>
      </c>
      <c r="G1173" s="17" t="s">
        <v>91</v>
      </c>
      <c r="H1173" s="18" t="n">
        <v>0.2</v>
      </c>
      <c r="I1173" s="18" t="n">
        <v>1</v>
      </c>
      <c r="J1173" s="19" t="n">
        <v>0.894476161072859</v>
      </c>
      <c r="K1173" s="19" t="n">
        <v>0.64480389497831</v>
      </c>
      <c r="L1173" s="16" t="n">
        <v>12.1229059644536</v>
      </c>
      <c r="M1173" s="19" t="n">
        <v>0.932802204810582</v>
      </c>
      <c r="N1173" s="19" t="n">
        <v>0.918690887295731</v>
      </c>
      <c r="O1173" s="19" t="n">
        <v>0.894476161072859</v>
      </c>
      <c r="P1173" s="19" t="n">
        <v>0.403445061082612</v>
      </c>
      <c r="Q1173" s="17" t="s">
        <v>29</v>
      </c>
      <c r="R1173" s="5" t="str">
        <f aca="false">IF(OR(Q1173="Steel plate",Q1173="Concrete jacket"),"Steel plate or jacket",Q1173)</f>
        <v>Monitor</v>
      </c>
      <c r="S1173" s="5" t="str">
        <f aca="false">IF(O1173&lt;='Tree rules'!$C$4,IF(N1173&lt;='Tree rules'!$C$5,IF(P1173&lt;='Tree rules'!$C$6,"Monitor","Polymer laminate"),IF(P1173&lt;='Tree rules'!$C$7,"Seal cracks","Polymer laminate")),IF(O1173&lt;='Tree rules'!$C$8,IF(M1173&lt;='Tree rules'!$C$9,"Steel plate or jacket","Polymer laminate"),IF(L1173&lt;='Tree rules'!$C$10,"Steel plate or jacket","Polymer laminate")))</f>
        <v>Monitor</v>
      </c>
      <c r="T1173" s="5" t="str">
        <f aca="false">IF(S1173=R1173,"Yes","No")</f>
        <v>Yes</v>
      </c>
    </row>
    <row r="1174" customFormat="false" ht="15" hidden="false" customHeight="false" outlineLevel="0" collapsed="false">
      <c r="A1174" s="15" t="n">
        <v>1665</v>
      </c>
      <c r="B1174" s="16" t="n">
        <v>6.28111054213342</v>
      </c>
      <c r="C1174" s="15" t="n">
        <v>300</v>
      </c>
      <c r="D1174" s="15" t="n">
        <v>600</v>
      </c>
      <c r="E1174" s="15" t="n">
        <v>30</v>
      </c>
      <c r="F1174" s="16" t="n">
        <v>0.604879451954714</v>
      </c>
      <c r="G1174" s="17" t="s">
        <v>89</v>
      </c>
      <c r="H1174" s="18" t="n">
        <v>0.3</v>
      </c>
      <c r="I1174" s="18" t="n">
        <v>1.5</v>
      </c>
      <c r="J1174" s="19" t="n">
        <v>0.919412158172037</v>
      </c>
      <c r="K1174" s="19" t="n">
        <v>0.405776104306725</v>
      </c>
      <c r="L1174" s="16" t="n">
        <v>11.3377446608907</v>
      </c>
      <c r="M1174" s="19" t="n">
        <v>0.937292261388595</v>
      </c>
      <c r="N1174" s="19" t="n">
        <v>0.730694666095279</v>
      </c>
      <c r="O1174" s="19" t="n">
        <v>1.19258049536041</v>
      </c>
      <c r="P1174" s="19" t="n">
        <v>0.33402958771137</v>
      </c>
      <c r="Q1174" s="17" t="s">
        <v>31</v>
      </c>
      <c r="R1174" s="5" t="str">
        <f aca="false">IF(OR(Q1174="Steel plate",Q1174="Concrete jacket"),"Steel plate or jacket",Q1174)</f>
        <v>Polymer laminate</v>
      </c>
      <c r="S1174" s="5" t="str">
        <f aca="false">IF(O1174&lt;='Tree rules'!$C$4,IF(N1174&lt;='Tree rules'!$C$5,IF(P1174&lt;='Tree rules'!$C$6,"Monitor","Polymer laminate"),IF(P1174&lt;='Tree rules'!$C$7,"Seal cracks","Polymer laminate")),IF(O1174&lt;='Tree rules'!$C$8,IF(M1174&lt;='Tree rules'!$C$9,"Steel plate or jacket","Polymer laminate"),IF(L1174&lt;='Tree rules'!$C$10,"Steel plate or jacket","Polymer laminate")))</f>
        <v>Polymer laminate</v>
      </c>
      <c r="T1174" s="5" t="str">
        <f aca="false">IF(S1174=R1174,"Yes","No")</f>
        <v>Yes</v>
      </c>
    </row>
    <row r="1175" customFormat="false" ht="15" hidden="false" customHeight="false" outlineLevel="0" collapsed="false">
      <c r="A1175" s="15" t="n">
        <v>1666</v>
      </c>
      <c r="B1175" s="16" t="n">
        <v>4.67587630771342</v>
      </c>
      <c r="C1175" s="15" t="n">
        <v>230</v>
      </c>
      <c r="D1175" s="15" t="n">
        <v>450</v>
      </c>
      <c r="E1175" s="15" t="n">
        <v>30</v>
      </c>
      <c r="F1175" s="16" t="n">
        <v>0.679557138998441</v>
      </c>
      <c r="G1175" s="17" t="s">
        <v>89</v>
      </c>
      <c r="H1175" s="18" t="n">
        <v>0.3</v>
      </c>
      <c r="I1175" s="18" t="n">
        <v>1.5</v>
      </c>
      <c r="J1175" s="19" t="n">
        <v>0.929784917975493</v>
      </c>
      <c r="K1175" s="19" t="n">
        <v>0.542381284415024</v>
      </c>
      <c r="L1175" s="16" t="n">
        <v>11.6315331037647</v>
      </c>
      <c r="M1175" s="19" t="n">
        <v>0.459420226849009</v>
      </c>
      <c r="N1175" s="19" t="n">
        <v>1.11312021378576</v>
      </c>
      <c r="O1175" s="19" t="n">
        <v>1.14252840794261</v>
      </c>
      <c r="P1175" s="19" t="n">
        <v>0.702210375480911</v>
      </c>
      <c r="Q1175" s="17" t="s">
        <v>31</v>
      </c>
      <c r="R1175" s="5" t="str">
        <f aca="false">IF(OR(Q1175="Steel plate",Q1175="Concrete jacket"),"Steel plate or jacket",Q1175)</f>
        <v>Polymer laminate</v>
      </c>
      <c r="S1175" s="5" t="str">
        <f aca="false">IF(O1175&lt;='Tree rules'!$C$4,IF(N1175&lt;='Tree rules'!$C$5,IF(P1175&lt;='Tree rules'!$C$6,"Monitor","Polymer laminate"),IF(P1175&lt;='Tree rules'!$C$7,"Seal cracks","Polymer laminate")),IF(O1175&lt;='Tree rules'!$C$8,IF(M1175&lt;='Tree rules'!$C$9,"Steel plate or jacket","Polymer laminate"),IF(L1175&lt;='Tree rules'!$C$10,"Steel plate or jacket","Polymer laminate")))</f>
        <v>Polymer laminate</v>
      </c>
      <c r="T1175" s="5" t="str">
        <f aca="false">IF(S1175=R1175,"Yes","No")</f>
        <v>Yes</v>
      </c>
    </row>
    <row r="1176" customFormat="false" ht="15" hidden="false" customHeight="false" outlineLevel="0" collapsed="false">
      <c r="A1176" s="15" t="n">
        <v>1668</v>
      </c>
      <c r="B1176" s="16" t="n">
        <v>3.28747302199776</v>
      </c>
      <c r="C1176" s="15" t="n">
        <v>300</v>
      </c>
      <c r="D1176" s="15" t="n">
        <v>300</v>
      </c>
      <c r="E1176" s="15" t="n">
        <v>25</v>
      </c>
      <c r="F1176" s="16" t="n">
        <v>0.791582400904515</v>
      </c>
      <c r="G1176" s="17" t="s">
        <v>89</v>
      </c>
      <c r="H1176" s="18" t="n">
        <v>0.3</v>
      </c>
      <c r="I1176" s="18" t="n">
        <v>2</v>
      </c>
      <c r="J1176" s="19" t="n">
        <v>0.932121432204923</v>
      </c>
      <c r="K1176" s="19" t="n">
        <v>0.448192577112507</v>
      </c>
      <c r="L1176" s="16" t="n">
        <v>12.9428071732195</v>
      </c>
      <c r="M1176" s="19" t="n">
        <v>0.940822967765151</v>
      </c>
      <c r="N1176" s="19" t="n">
        <v>1.17190250638256</v>
      </c>
      <c r="O1176" s="19" t="n">
        <v>1.44647295752812</v>
      </c>
      <c r="P1176" s="19" t="n">
        <v>0.452129143075497</v>
      </c>
      <c r="Q1176" s="17" t="s">
        <v>31</v>
      </c>
      <c r="R1176" s="5" t="str">
        <f aca="false">IF(OR(Q1176="Steel plate",Q1176="Concrete jacket"),"Steel plate or jacket",Q1176)</f>
        <v>Polymer laminate</v>
      </c>
      <c r="S1176" s="5" t="str">
        <f aca="false">IF(O1176&lt;='Tree rules'!$C$4,IF(N1176&lt;='Tree rules'!$C$5,IF(P1176&lt;='Tree rules'!$C$6,"Monitor","Polymer laminate"),IF(P1176&lt;='Tree rules'!$C$7,"Seal cracks","Polymer laminate")),IF(O1176&lt;='Tree rules'!$C$8,IF(M1176&lt;='Tree rules'!$C$9,"Steel plate or jacket","Polymer laminate"),IF(L1176&lt;='Tree rules'!$C$10,"Steel plate or jacket","Polymer laminate")))</f>
        <v>Steel plate or jacket</v>
      </c>
      <c r="T1176" s="5" t="str">
        <f aca="false">IF(S1176=R1176,"Yes","No")</f>
        <v>No</v>
      </c>
    </row>
    <row r="1177" customFormat="false" ht="15" hidden="false" customHeight="false" outlineLevel="0" collapsed="false">
      <c r="A1177" s="15" t="n">
        <v>1669</v>
      </c>
      <c r="B1177" s="16" t="n">
        <v>3.42324460205726</v>
      </c>
      <c r="C1177" s="15" t="n">
        <v>230</v>
      </c>
      <c r="D1177" s="15" t="n">
        <v>300</v>
      </c>
      <c r="E1177" s="15" t="n">
        <v>20</v>
      </c>
      <c r="F1177" s="16" t="n">
        <v>0.576243217710084</v>
      </c>
      <c r="G1177" s="17" t="s">
        <v>91</v>
      </c>
      <c r="H1177" s="18" t="n">
        <v>0.2</v>
      </c>
      <c r="I1177" s="18" t="n">
        <v>1</v>
      </c>
      <c r="J1177" s="19" t="n">
        <v>0.99608673319796</v>
      </c>
      <c r="K1177" s="19" t="n">
        <v>0.623104110303423</v>
      </c>
      <c r="L1177" s="16" t="n">
        <v>13.3720492267862</v>
      </c>
      <c r="M1177" s="19" t="n">
        <v>0.94598933515131</v>
      </c>
      <c r="N1177" s="19" t="n">
        <v>0.965564883006723</v>
      </c>
      <c r="O1177" s="19" t="n">
        <v>0.99608673319796</v>
      </c>
      <c r="P1177" s="19" t="n">
        <v>0.361134287548713</v>
      </c>
      <c r="Q1177" s="17" t="s">
        <v>29</v>
      </c>
      <c r="R1177" s="5" t="str">
        <f aca="false">IF(OR(Q1177="Steel plate",Q1177="Concrete jacket"),"Steel plate or jacket",Q1177)</f>
        <v>Monitor</v>
      </c>
      <c r="S1177" s="5" t="str">
        <f aca="false">IF(O1177&lt;='Tree rules'!$C$4,IF(N1177&lt;='Tree rules'!$C$5,IF(P1177&lt;='Tree rules'!$C$6,"Monitor","Polymer laminate"),IF(P1177&lt;='Tree rules'!$C$7,"Seal cracks","Polymer laminate")),IF(O1177&lt;='Tree rules'!$C$8,IF(M1177&lt;='Tree rules'!$C$9,"Steel plate or jacket","Polymer laminate"),IF(L1177&lt;='Tree rules'!$C$10,"Steel plate or jacket","Polymer laminate")))</f>
        <v>Monitor</v>
      </c>
      <c r="T1177" s="5" t="str">
        <f aca="false">IF(S1177=R1177,"Yes","No")</f>
        <v>Yes</v>
      </c>
    </row>
    <row r="1178" customFormat="false" ht="15" hidden="false" customHeight="false" outlineLevel="0" collapsed="false">
      <c r="A1178" s="15" t="n">
        <v>1670</v>
      </c>
      <c r="B1178" s="16" t="n">
        <v>4.6828999428742</v>
      </c>
      <c r="C1178" s="15" t="n">
        <v>230</v>
      </c>
      <c r="D1178" s="15" t="n">
        <v>475</v>
      </c>
      <c r="E1178" s="15" t="n">
        <v>20</v>
      </c>
      <c r="F1178" s="16" t="n">
        <v>0.611316296229087</v>
      </c>
      <c r="G1178" s="17" t="s">
        <v>89</v>
      </c>
      <c r="H1178" s="18" t="n">
        <v>0.3</v>
      </c>
      <c r="I1178" s="18" t="n">
        <v>1</v>
      </c>
      <c r="J1178" s="19" t="n">
        <v>0.979544341515182</v>
      </c>
      <c r="K1178" s="19" t="n">
        <v>0.576269467303932</v>
      </c>
      <c r="L1178" s="16" t="n">
        <v>10.9158506826905</v>
      </c>
      <c r="M1178" s="19" t="n">
        <v>0.830492981983584</v>
      </c>
      <c r="N1178" s="19" t="n">
        <v>0.645877023072285</v>
      </c>
      <c r="O1178" s="19" t="n">
        <v>0.979544341515182</v>
      </c>
      <c r="P1178" s="19" t="n">
        <v>0.401788477737554</v>
      </c>
      <c r="Q1178" s="17" t="s">
        <v>29</v>
      </c>
      <c r="R1178" s="5" t="str">
        <f aca="false">IF(OR(Q1178="Steel plate",Q1178="Concrete jacket"),"Steel plate or jacket",Q1178)</f>
        <v>Monitor</v>
      </c>
      <c r="S1178" s="5" t="str">
        <f aca="false">IF(O1178&lt;='Tree rules'!$C$4,IF(N1178&lt;='Tree rules'!$C$5,IF(P1178&lt;='Tree rules'!$C$6,"Monitor","Polymer laminate"),IF(P1178&lt;='Tree rules'!$C$7,"Seal cracks","Polymer laminate")),IF(O1178&lt;='Tree rules'!$C$8,IF(M1178&lt;='Tree rules'!$C$9,"Steel plate or jacket","Polymer laminate"),IF(L1178&lt;='Tree rules'!$C$10,"Steel plate or jacket","Polymer laminate")))</f>
        <v>Monitor</v>
      </c>
      <c r="T1178" s="5" t="str">
        <f aca="false">IF(S1178=R1178,"Yes","No")</f>
        <v>Yes</v>
      </c>
    </row>
    <row r="1179" customFormat="false" ht="15" hidden="false" customHeight="false" outlineLevel="0" collapsed="false">
      <c r="A1179" s="15" t="n">
        <v>1672</v>
      </c>
      <c r="B1179" s="16" t="n">
        <v>6.07032341190473</v>
      </c>
      <c r="C1179" s="15" t="n">
        <v>300</v>
      </c>
      <c r="D1179" s="15" t="n">
        <v>525</v>
      </c>
      <c r="E1179" s="15" t="n">
        <v>30</v>
      </c>
      <c r="F1179" s="16" t="n">
        <v>0.699589178252424</v>
      </c>
      <c r="G1179" s="17" t="s">
        <v>89</v>
      </c>
      <c r="H1179" s="18" t="n">
        <v>0.3</v>
      </c>
      <c r="I1179" s="18" t="n">
        <v>1</v>
      </c>
      <c r="J1179" s="19" t="n">
        <v>0.89923538867356</v>
      </c>
      <c r="K1179" s="19" t="n">
        <v>0.54052840370171</v>
      </c>
      <c r="L1179" s="16" t="n">
        <v>12.6729090018888</v>
      </c>
      <c r="M1179" s="19" t="n">
        <v>0.795242146482722</v>
      </c>
      <c r="N1179" s="19" t="n">
        <v>0.561407126327431</v>
      </c>
      <c r="O1179" s="19" t="n">
        <v>0.89923538867356</v>
      </c>
      <c r="P1179" s="19" t="n">
        <v>0.443156817007924</v>
      </c>
      <c r="Q1179" s="17" t="s">
        <v>29</v>
      </c>
      <c r="R1179" s="5" t="str">
        <f aca="false">IF(OR(Q1179="Steel plate",Q1179="Concrete jacket"),"Steel plate or jacket",Q1179)</f>
        <v>Monitor</v>
      </c>
      <c r="S1179" s="5" t="str">
        <f aca="false">IF(O1179&lt;='Tree rules'!$C$4,IF(N1179&lt;='Tree rules'!$C$5,IF(P1179&lt;='Tree rules'!$C$6,"Monitor","Polymer laminate"),IF(P1179&lt;='Tree rules'!$C$7,"Seal cracks","Polymer laminate")),IF(O1179&lt;='Tree rules'!$C$8,IF(M1179&lt;='Tree rules'!$C$9,"Steel plate or jacket","Polymer laminate"),IF(L1179&lt;='Tree rules'!$C$10,"Steel plate or jacket","Polymer laminate")))</f>
        <v>Monitor</v>
      </c>
      <c r="T1179" s="5" t="str">
        <f aca="false">IF(S1179=R1179,"Yes","No")</f>
        <v>Yes</v>
      </c>
    </row>
    <row r="1180" customFormat="false" ht="15" hidden="false" customHeight="false" outlineLevel="0" collapsed="false">
      <c r="A1180" s="15" t="n">
        <v>1675</v>
      </c>
      <c r="B1180" s="16" t="n">
        <v>4.71305200586539</v>
      </c>
      <c r="C1180" s="15" t="n">
        <v>300</v>
      </c>
      <c r="D1180" s="15" t="n">
        <v>375</v>
      </c>
      <c r="E1180" s="15" t="n">
        <v>25</v>
      </c>
      <c r="F1180" s="16" t="n">
        <v>0.671280481536281</v>
      </c>
      <c r="G1180" s="17" t="s">
        <v>90</v>
      </c>
      <c r="H1180" s="18" t="n">
        <v>0.1</v>
      </c>
      <c r="I1180" s="18" t="n">
        <v>1</v>
      </c>
      <c r="J1180" s="19" t="n">
        <v>0.967518363978104</v>
      </c>
      <c r="K1180" s="19" t="n">
        <v>0.439326266345088</v>
      </c>
      <c r="L1180" s="16" t="n">
        <v>15.1059359162352</v>
      </c>
      <c r="M1180" s="19" t="n">
        <v>0.914609919517013</v>
      </c>
      <c r="N1180" s="19" t="n">
        <v>3.25967638726567</v>
      </c>
      <c r="O1180" s="19" t="n">
        <v>0.967518363978104</v>
      </c>
      <c r="P1180" s="19" t="n">
        <v>0.365287317841816</v>
      </c>
      <c r="Q1180" s="17" t="s">
        <v>30</v>
      </c>
      <c r="R1180" s="5" t="str">
        <f aca="false">IF(OR(Q1180="Steel plate",Q1180="Concrete jacket"),"Steel plate or jacket",Q1180)</f>
        <v>Seal cracks</v>
      </c>
      <c r="S1180" s="5" t="str">
        <f aca="false">IF(O1180&lt;='Tree rules'!$C$4,IF(N1180&lt;='Tree rules'!$C$5,IF(P1180&lt;='Tree rules'!$C$6,"Monitor","Polymer laminate"),IF(P1180&lt;='Tree rules'!$C$7,"Seal cracks","Polymer laminate")),IF(O1180&lt;='Tree rules'!$C$8,IF(M1180&lt;='Tree rules'!$C$9,"Steel plate or jacket","Polymer laminate"),IF(L1180&lt;='Tree rules'!$C$10,"Steel plate or jacket","Polymer laminate")))</f>
        <v>Seal cracks</v>
      </c>
      <c r="T1180" s="5" t="str">
        <f aca="false">IF(S1180=R1180,"Yes","No")</f>
        <v>Yes</v>
      </c>
    </row>
    <row r="1181" customFormat="false" ht="15" hidden="false" customHeight="false" outlineLevel="0" collapsed="false">
      <c r="A1181" s="15" t="n">
        <v>1676</v>
      </c>
      <c r="B1181" s="16" t="n">
        <v>7.94852382587315</v>
      </c>
      <c r="C1181" s="15" t="n">
        <v>300</v>
      </c>
      <c r="D1181" s="15" t="n">
        <v>750</v>
      </c>
      <c r="E1181" s="15" t="n">
        <v>25</v>
      </c>
      <c r="F1181" s="16" t="n">
        <v>0.745867201706978</v>
      </c>
      <c r="G1181" s="17" t="s">
        <v>91</v>
      </c>
      <c r="H1181" s="18" t="n">
        <v>0.2</v>
      </c>
      <c r="I1181" s="18" t="n">
        <v>1</v>
      </c>
      <c r="J1181" s="19" t="n">
        <v>0.857601544829936</v>
      </c>
      <c r="K1181" s="19" t="n">
        <v>0.622513918995784</v>
      </c>
      <c r="L1181" s="16" t="n">
        <v>11.3226835126398</v>
      </c>
      <c r="M1181" s="19" t="n">
        <v>0.604883783000855</v>
      </c>
      <c r="N1181" s="19" t="n">
        <v>0.800598602768193</v>
      </c>
      <c r="O1181" s="19" t="n">
        <v>0.857601544829936</v>
      </c>
      <c r="P1181" s="19" t="n">
        <v>0.609807343811331</v>
      </c>
      <c r="Q1181" s="17" t="s">
        <v>29</v>
      </c>
      <c r="R1181" s="5" t="str">
        <f aca="false">IF(OR(Q1181="Steel plate",Q1181="Concrete jacket"),"Steel plate or jacket",Q1181)</f>
        <v>Monitor</v>
      </c>
      <c r="S1181" s="5" t="str">
        <f aca="false">IF(O1181&lt;='Tree rules'!$C$4,IF(N1181&lt;='Tree rules'!$C$5,IF(P1181&lt;='Tree rules'!$C$6,"Monitor","Polymer laminate"),IF(P1181&lt;='Tree rules'!$C$7,"Seal cracks","Polymer laminate")),IF(O1181&lt;='Tree rules'!$C$8,IF(M1181&lt;='Tree rules'!$C$9,"Steel plate or jacket","Polymer laminate"),IF(L1181&lt;='Tree rules'!$C$10,"Steel plate or jacket","Polymer laminate")))</f>
        <v>Monitor</v>
      </c>
      <c r="T1181" s="5" t="str">
        <f aca="false">IF(S1181=R1181,"Yes","No")</f>
        <v>Yes</v>
      </c>
    </row>
    <row r="1182" customFormat="false" ht="15" hidden="false" customHeight="false" outlineLevel="0" collapsed="false">
      <c r="A1182" s="15" t="n">
        <v>1678</v>
      </c>
      <c r="B1182" s="16" t="n">
        <v>4.22566348226233</v>
      </c>
      <c r="C1182" s="15" t="n">
        <v>300</v>
      </c>
      <c r="D1182" s="15" t="n">
        <v>425</v>
      </c>
      <c r="E1182" s="15" t="n">
        <v>25</v>
      </c>
      <c r="F1182" s="16" t="n">
        <v>0.736490585456948</v>
      </c>
      <c r="G1182" s="17" t="s">
        <v>90</v>
      </c>
      <c r="H1182" s="18" t="n">
        <v>0.1</v>
      </c>
      <c r="I1182" s="18" t="n">
        <v>2</v>
      </c>
      <c r="J1182" s="19" t="n">
        <v>0.909390654851311</v>
      </c>
      <c r="K1182" s="19" t="n">
        <v>0.608890558719711</v>
      </c>
      <c r="L1182" s="16" t="n">
        <v>11.6089656106108</v>
      </c>
      <c r="M1182" s="19" t="n">
        <v>0.43266003291962</v>
      </c>
      <c r="N1182" s="19" t="n">
        <v>3.6493099814826</v>
      </c>
      <c r="O1182" s="19" t="n">
        <v>1.26506192577572</v>
      </c>
      <c r="P1182" s="19" t="n">
        <v>0.826122700114783</v>
      </c>
      <c r="Q1182" s="17" t="s">
        <v>31</v>
      </c>
      <c r="R1182" s="5" t="str">
        <f aca="false">IF(OR(Q1182="Steel plate",Q1182="Concrete jacket"),"Steel plate or jacket",Q1182)</f>
        <v>Polymer laminate</v>
      </c>
      <c r="S1182" s="5" t="str">
        <f aca="false">IF(O1182&lt;='Tree rules'!$C$4,IF(N1182&lt;='Tree rules'!$C$5,IF(P1182&lt;='Tree rules'!$C$6,"Monitor","Polymer laminate"),IF(P1182&lt;='Tree rules'!$C$7,"Seal cracks","Polymer laminate")),IF(O1182&lt;='Tree rules'!$C$8,IF(M1182&lt;='Tree rules'!$C$9,"Steel plate or jacket","Polymer laminate"),IF(L1182&lt;='Tree rules'!$C$10,"Steel plate or jacket","Polymer laminate")))</f>
        <v>Polymer laminate</v>
      </c>
      <c r="T1182" s="5" t="str">
        <f aca="false">IF(S1182=R1182,"Yes","No")</f>
        <v>Yes</v>
      </c>
    </row>
    <row r="1183" customFormat="false" ht="15" hidden="false" customHeight="false" outlineLevel="0" collapsed="false">
      <c r="A1183" s="15" t="n">
        <v>1679</v>
      </c>
      <c r="B1183" s="16" t="n">
        <v>6.27105859113667</v>
      </c>
      <c r="C1183" s="15" t="n">
        <v>300</v>
      </c>
      <c r="D1183" s="15" t="n">
        <v>625</v>
      </c>
      <c r="E1183" s="15" t="n">
        <v>25</v>
      </c>
      <c r="F1183" s="16" t="n">
        <v>0.907450217674695</v>
      </c>
      <c r="G1183" s="17" t="s">
        <v>89</v>
      </c>
      <c r="H1183" s="18" t="n">
        <v>0.3</v>
      </c>
      <c r="I1183" s="18" t="n">
        <v>1.5</v>
      </c>
      <c r="J1183" s="19" t="n">
        <v>0.863103279192664</v>
      </c>
      <c r="K1183" s="19" t="n">
        <v>0.452444455293219</v>
      </c>
      <c r="L1183" s="16" t="n">
        <v>10.8683857732005</v>
      </c>
      <c r="M1183" s="19" t="n">
        <v>0.534581291007024</v>
      </c>
      <c r="N1183" s="19" t="n">
        <v>0.706349962171465</v>
      </c>
      <c r="O1183" s="19" t="n">
        <v>1.09940177228094</v>
      </c>
      <c r="P1183" s="19" t="n">
        <v>0.734598001295578</v>
      </c>
      <c r="Q1183" s="17" t="s">
        <v>31</v>
      </c>
      <c r="R1183" s="5" t="str">
        <f aca="false">IF(OR(Q1183="Steel plate",Q1183="Concrete jacket"),"Steel plate or jacket",Q1183)</f>
        <v>Polymer laminate</v>
      </c>
      <c r="S1183" s="5" t="str">
        <f aca="false">IF(O1183&lt;='Tree rules'!$C$4,IF(N1183&lt;='Tree rules'!$C$5,IF(P1183&lt;='Tree rules'!$C$6,"Monitor","Polymer laminate"),IF(P1183&lt;='Tree rules'!$C$7,"Seal cracks","Polymer laminate")),IF(O1183&lt;='Tree rules'!$C$8,IF(M1183&lt;='Tree rules'!$C$9,"Steel plate or jacket","Polymer laminate"),IF(L1183&lt;='Tree rules'!$C$10,"Steel plate or jacket","Polymer laminate")))</f>
        <v>Polymer laminate</v>
      </c>
      <c r="T1183" s="5" t="str">
        <f aca="false">IF(S1183=R1183,"Yes","No")</f>
        <v>Yes</v>
      </c>
    </row>
    <row r="1184" customFormat="false" ht="15" hidden="false" customHeight="false" outlineLevel="0" collapsed="false">
      <c r="A1184" s="15" t="n">
        <v>1680</v>
      </c>
      <c r="B1184" s="16" t="n">
        <v>4.63246502328619</v>
      </c>
      <c r="C1184" s="15" t="n">
        <v>300</v>
      </c>
      <c r="D1184" s="15" t="n">
        <v>425</v>
      </c>
      <c r="E1184" s="15" t="n">
        <v>25</v>
      </c>
      <c r="F1184" s="16" t="n">
        <v>0.555542467478301</v>
      </c>
      <c r="G1184" s="17" t="s">
        <v>89</v>
      </c>
      <c r="H1184" s="18" t="n">
        <v>0.3</v>
      </c>
      <c r="I1184" s="18" t="n">
        <v>1</v>
      </c>
      <c r="J1184" s="19" t="n">
        <v>0.993548524300902</v>
      </c>
      <c r="K1184" s="19" t="n">
        <v>0.510639518133325</v>
      </c>
      <c r="L1184" s="16" t="n">
        <v>12.2877056320589</v>
      </c>
      <c r="M1184" s="19" t="n">
        <v>0.466388548405622</v>
      </c>
      <c r="N1184" s="19" t="n">
        <v>1.15822223284747</v>
      </c>
      <c r="O1184" s="19" t="n">
        <v>0.993548524300902</v>
      </c>
      <c r="P1184" s="19" t="n">
        <v>0.602940365849584</v>
      </c>
      <c r="Q1184" s="17" t="s">
        <v>30</v>
      </c>
      <c r="R1184" s="5" t="str">
        <f aca="false">IF(OR(Q1184="Steel plate",Q1184="Concrete jacket"),"Steel plate or jacket",Q1184)</f>
        <v>Seal cracks</v>
      </c>
      <c r="S1184" s="5" t="str">
        <f aca="false">IF(O1184&lt;='Tree rules'!$C$4,IF(N1184&lt;='Tree rules'!$C$5,IF(P1184&lt;='Tree rules'!$C$6,"Monitor","Polymer laminate"),IF(P1184&lt;='Tree rules'!$C$7,"Seal cracks","Polymer laminate")),IF(O1184&lt;='Tree rules'!$C$8,IF(M1184&lt;='Tree rules'!$C$9,"Steel plate or jacket","Polymer laminate"),IF(L1184&lt;='Tree rules'!$C$10,"Steel plate or jacket","Polymer laminate")))</f>
        <v>Seal cracks</v>
      </c>
      <c r="T1184" s="5" t="str">
        <f aca="false">IF(S1184=R1184,"Yes","No")</f>
        <v>Yes</v>
      </c>
    </row>
    <row r="1185" customFormat="false" ht="15" hidden="false" customHeight="false" outlineLevel="0" collapsed="false">
      <c r="A1185" s="15" t="n">
        <v>1681</v>
      </c>
      <c r="B1185" s="16" t="n">
        <v>5.12989516705407</v>
      </c>
      <c r="C1185" s="15" t="n">
        <v>300</v>
      </c>
      <c r="D1185" s="15" t="n">
        <v>425</v>
      </c>
      <c r="E1185" s="15" t="n">
        <v>25</v>
      </c>
      <c r="F1185" s="16" t="n">
        <v>0.707341881547042</v>
      </c>
      <c r="G1185" s="17" t="s">
        <v>91</v>
      </c>
      <c r="H1185" s="18" t="n">
        <v>0.2</v>
      </c>
      <c r="I1185" s="18" t="n">
        <v>1</v>
      </c>
      <c r="J1185" s="19" t="n">
        <v>0.883530638854454</v>
      </c>
      <c r="K1185" s="19" t="n">
        <v>0.573414292813419</v>
      </c>
      <c r="L1185" s="16" t="n">
        <v>13.5353434486915</v>
      </c>
      <c r="M1185" s="19" t="n">
        <v>0.937729200042192</v>
      </c>
      <c r="N1185" s="19" t="n">
        <v>0.860439501383583</v>
      </c>
      <c r="O1185" s="19" t="n">
        <v>0.883530638854454</v>
      </c>
      <c r="P1185" s="19" t="n">
        <v>0.414295327472541</v>
      </c>
      <c r="Q1185" s="17" t="s">
        <v>29</v>
      </c>
      <c r="R1185" s="5" t="str">
        <f aca="false">IF(OR(Q1185="Steel plate",Q1185="Concrete jacket"),"Steel plate or jacket",Q1185)</f>
        <v>Monitor</v>
      </c>
      <c r="S1185" s="5" t="str">
        <f aca="false">IF(O1185&lt;='Tree rules'!$C$4,IF(N1185&lt;='Tree rules'!$C$5,IF(P1185&lt;='Tree rules'!$C$6,"Monitor","Polymer laminate"),IF(P1185&lt;='Tree rules'!$C$7,"Seal cracks","Polymer laminate")),IF(O1185&lt;='Tree rules'!$C$8,IF(M1185&lt;='Tree rules'!$C$9,"Steel plate or jacket","Polymer laminate"),IF(L1185&lt;='Tree rules'!$C$10,"Steel plate or jacket","Polymer laminate")))</f>
        <v>Monitor</v>
      </c>
      <c r="T1185" s="5" t="str">
        <f aca="false">IF(S1185=R1185,"Yes","No")</f>
        <v>Yes</v>
      </c>
    </row>
    <row r="1186" customFormat="false" ht="15" hidden="false" customHeight="false" outlineLevel="0" collapsed="false">
      <c r="A1186" s="15" t="n">
        <v>1682</v>
      </c>
      <c r="B1186" s="16" t="n">
        <v>6.64294713058428</v>
      </c>
      <c r="C1186" s="15" t="n">
        <v>230</v>
      </c>
      <c r="D1186" s="15" t="n">
        <v>600</v>
      </c>
      <c r="E1186" s="15" t="n">
        <v>30</v>
      </c>
      <c r="F1186" s="16" t="n">
        <v>0.63117855856144</v>
      </c>
      <c r="G1186" s="17" t="s">
        <v>89</v>
      </c>
      <c r="H1186" s="18" t="n">
        <v>0.3</v>
      </c>
      <c r="I1186" s="18" t="n">
        <v>1.5</v>
      </c>
      <c r="J1186" s="19" t="n">
        <v>0.912147929268479</v>
      </c>
      <c r="K1186" s="19" t="n">
        <v>0.419195119519265</v>
      </c>
      <c r="L1186" s="16" t="n">
        <v>11.9908792970835</v>
      </c>
      <c r="M1186" s="19" t="n">
        <v>0.515794219607457</v>
      </c>
      <c r="N1186" s="19" t="n">
        <v>0.769374224780588</v>
      </c>
      <c r="O1186" s="19" t="n">
        <v>1.17703791378824</v>
      </c>
      <c r="P1186" s="19" t="n">
        <v>0.621109190195328</v>
      </c>
      <c r="Q1186" s="17" t="s">
        <v>31</v>
      </c>
      <c r="R1186" s="5" t="str">
        <f aca="false">IF(OR(Q1186="Steel plate",Q1186="Concrete jacket"),"Steel plate or jacket",Q1186)</f>
        <v>Polymer laminate</v>
      </c>
      <c r="S1186" s="5" t="str">
        <f aca="false">IF(O1186&lt;='Tree rules'!$C$4,IF(N1186&lt;='Tree rules'!$C$5,IF(P1186&lt;='Tree rules'!$C$6,"Monitor","Polymer laminate"),IF(P1186&lt;='Tree rules'!$C$7,"Seal cracks","Polymer laminate")),IF(O1186&lt;='Tree rules'!$C$8,IF(M1186&lt;='Tree rules'!$C$9,"Steel plate or jacket","Polymer laminate"),IF(L1186&lt;='Tree rules'!$C$10,"Steel plate or jacket","Polymer laminate")))</f>
        <v>Polymer laminate</v>
      </c>
      <c r="T1186" s="5" t="str">
        <f aca="false">IF(S1186=R1186,"Yes","No")</f>
        <v>Yes</v>
      </c>
    </row>
    <row r="1187" customFormat="false" ht="15" hidden="false" customHeight="false" outlineLevel="0" collapsed="false">
      <c r="A1187" s="15" t="n">
        <v>1687</v>
      </c>
      <c r="B1187" s="16" t="n">
        <v>6.07591227213022</v>
      </c>
      <c r="C1187" s="15" t="n">
        <v>300</v>
      </c>
      <c r="D1187" s="15" t="n">
        <v>475</v>
      </c>
      <c r="E1187" s="15" t="n">
        <v>30</v>
      </c>
      <c r="F1187" s="16" t="n">
        <v>0.624901102811956</v>
      </c>
      <c r="G1187" s="17" t="s">
        <v>89</v>
      </c>
      <c r="H1187" s="18" t="n">
        <v>0.3</v>
      </c>
      <c r="I1187" s="18" t="n">
        <v>2</v>
      </c>
      <c r="J1187" s="19" t="n">
        <v>0.870042577156195</v>
      </c>
      <c r="K1187" s="19" t="n">
        <v>0.437563892904622</v>
      </c>
      <c r="L1187" s="16" t="n">
        <v>14.1629656693012</v>
      </c>
      <c r="M1187" s="19" t="n">
        <v>0.709202881630164</v>
      </c>
      <c r="N1187" s="19" t="n">
        <v>0.969879939752936</v>
      </c>
      <c r="O1187" s="19" t="n">
        <v>1.35938593725916</v>
      </c>
      <c r="P1187" s="19" t="n">
        <v>0.559013924678269</v>
      </c>
      <c r="Q1187" s="17" t="s">
        <v>31</v>
      </c>
      <c r="R1187" s="5" t="str">
        <f aca="false">IF(OR(Q1187="Steel plate",Q1187="Concrete jacket"),"Steel plate or jacket",Q1187)</f>
        <v>Polymer laminate</v>
      </c>
      <c r="S1187" s="5" t="str">
        <f aca="false">IF(O1187&lt;='Tree rules'!$C$4,IF(N1187&lt;='Tree rules'!$C$5,IF(P1187&lt;='Tree rules'!$C$6,"Monitor","Polymer laminate"),IF(P1187&lt;='Tree rules'!$C$7,"Seal cracks","Polymer laminate")),IF(O1187&lt;='Tree rules'!$C$8,IF(M1187&lt;='Tree rules'!$C$9,"Steel plate or jacket","Polymer laminate"),IF(L1187&lt;='Tree rules'!$C$10,"Steel plate or jacket","Polymer laminate")))</f>
        <v>Polymer laminate</v>
      </c>
      <c r="T1187" s="5" t="str">
        <f aca="false">IF(S1187=R1187,"Yes","No")</f>
        <v>Yes</v>
      </c>
    </row>
    <row r="1188" customFormat="false" ht="15" hidden="false" customHeight="false" outlineLevel="0" collapsed="false">
      <c r="A1188" s="15" t="n">
        <v>1688</v>
      </c>
      <c r="B1188" s="16" t="n">
        <v>3.46408042771149</v>
      </c>
      <c r="C1188" s="15" t="n">
        <v>300</v>
      </c>
      <c r="D1188" s="15" t="n">
        <v>325</v>
      </c>
      <c r="E1188" s="15" t="n">
        <v>30</v>
      </c>
      <c r="F1188" s="16" t="n">
        <v>0.756099314943392</v>
      </c>
      <c r="G1188" s="17" t="s">
        <v>91</v>
      </c>
      <c r="H1188" s="18" t="n">
        <v>0.2</v>
      </c>
      <c r="I1188" s="18" t="n">
        <v>2</v>
      </c>
      <c r="J1188" s="19" t="n">
        <v>0.946198553645651</v>
      </c>
      <c r="K1188" s="19" t="n">
        <v>0.628181047817641</v>
      </c>
      <c r="L1188" s="16" t="n">
        <v>12.5057055152039</v>
      </c>
      <c r="M1188" s="19" t="n">
        <v>0.256998607746586</v>
      </c>
      <c r="N1188" s="19" t="n">
        <v>2.30721490155063</v>
      </c>
      <c r="O1188" s="19" t="n">
        <v>1.29801310841864</v>
      </c>
      <c r="P1188" s="19" t="n">
        <v>1.44317451351916</v>
      </c>
      <c r="Q1188" s="17" t="s">
        <v>31</v>
      </c>
      <c r="R1188" s="5" t="str">
        <f aca="false">IF(OR(Q1188="Steel plate",Q1188="Concrete jacket"),"Steel plate or jacket",Q1188)</f>
        <v>Polymer laminate</v>
      </c>
      <c r="S1188" s="5" t="str">
        <f aca="false">IF(O1188&lt;='Tree rules'!$C$4,IF(N1188&lt;='Tree rules'!$C$5,IF(P1188&lt;='Tree rules'!$C$6,"Monitor","Polymer laminate"),IF(P1188&lt;='Tree rules'!$C$7,"Seal cracks","Polymer laminate")),IF(O1188&lt;='Tree rules'!$C$8,IF(M1188&lt;='Tree rules'!$C$9,"Steel plate or jacket","Polymer laminate"),IF(L1188&lt;='Tree rules'!$C$10,"Steel plate or jacket","Polymer laminate")))</f>
        <v>Steel plate or jacket</v>
      </c>
      <c r="T1188" s="5" t="str">
        <f aca="false">IF(S1188=R1188,"Yes","No")</f>
        <v>No</v>
      </c>
    </row>
    <row r="1189" customFormat="false" ht="15" hidden="false" customHeight="false" outlineLevel="0" collapsed="false">
      <c r="A1189" s="15" t="n">
        <v>1690</v>
      </c>
      <c r="B1189" s="16" t="n">
        <v>6.05547176279729</v>
      </c>
      <c r="C1189" s="15" t="n">
        <v>230</v>
      </c>
      <c r="D1189" s="15" t="n">
        <v>600</v>
      </c>
      <c r="E1189" s="15" t="n">
        <v>20</v>
      </c>
      <c r="F1189" s="16" t="n">
        <v>0.63117855856144</v>
      </c>
      <c r="G1189" s="17" t="s">
        <v>91</v>
      </c>
      <c r="H1189" s="18" t="n">
        <v>0.2</v>
      </c>
      <c r="I1189" s="18" t="n">
        <v>2</v>
      </c>
      <c r="J1189" s="19" t="n">
        <v>0.914509427466068</v>
      </c>
      <c r="K1189" s="19" t="n">
        <v>0.559382472668412</v>
      </c>
      <c r="L1189" s="16" t="n">
        <v>10.9304544454825</v>
      </c>
      <c r="M1189" s="19" t="n">
        <v>0.357688220124893</v>
      </c>
      <c r="N1189" s="19" t="n">
        <v>1.3041781624306</v>
      </c>
      <c r="O1189" s="19" t="n">
        <v>1.31745831011759</v>
      </c>
      <c r="P1189" s="19" t="n">
        <v>1.08220910233836</v>
      </c>
      <c r="Q1189" s="17" t="s">
        <v>31</v>
      </c>
      <c r="R1189" s="5" t="str">
        <f aca="false">IF(OR(Q1189="Steel plate",Q1189="Concrete jacket"),"Steel plate or jacket",Q1189)</f>
        <v>Polymer laminate</v>
      </c>
      <c r="S1189" s="5" t="str">
        <f aca="false">IF(O1189&lt;='Tree rules'!$C$4,IF(N1189&lt;='Tree rules'!$C$5,IF(P1189&lt;='Tree rules'!$C$6,"Monitor","Polymer laminate"),IF(P1189&lt;='Tree rules'!$C$7,"Seal cracks","Polymer laminate")),IF(O1189&lt;='Tree rules'!$C$8,IF(M1189&lt;='Tree rules'!$C$9,"Steel plate or jacket","Polymer laminate"),IF(L1189&lt;='Tree rules'!$C$10,"Steel plate or jacket","Polymer laminate")))</f>
        <v>Steel plate or jacket</v>
      </c>
      <c r="T1189" s="5" t="str">
        <f aca="false">IF(S1189=R1189,"Yes","No")</f>
        <v>No</v>
      </c>
    </row>
    <row r="1190" customFormat="false" ht="15" hidden="false" customHeight="false" outlineLevel="0" collapsed="false">
      <c r="A1190" s="15" t="n">
        <v>1691</v>
      </c>
      <c r="B1190" s="16" t="n">
        <v>4.89019432538148</v>
      </c>
      <c r="C1190" s="15" t="n">
        <v>300</v>
      </c>
      <c r="D1190" s="15" t="n">
        <v>475</v>
      </c>
      <c r="E1190" s="15" t="n">
        <v>25</v>
      </c>
      <c r="F1190" s="16" t="n">
        <v>0.762522488735387</v>
      </c>
      <c r="G1190" s="17" t="s">
        <v>90</v>
      </c>
      <c r="H1190" s="18" t="n">
        <v>0.1</v>
      </c>
      <c r="I1190" s="18" t="n">
        <v>1</v>
      </c>
      <c r="J1190" s="19" t="n">
        <v>0.959349537954327</v>
      </c>
      <c r="K1190" s="19" t="n">
        <v>0.45929490254264</v>
      </c>
      <c r="L1190" s="16" t="n">
        <v>11.8694037023822</v>
      </c>
      <c r="M1190" s="19" t="n">
        <v>0.701517698989034</v>
      </c>
      <c r="N1190" s="19" t="n">
        <v>2.75619294558131</v>
      </c>
      <c r="O1190" s="19" t="n">
        <v>0.959349537954327</v>
      </c>
      <c r="P1190" s="19" t="n">
        <v>0.456637569365939</v>
      </c>
      <c r="Q1190" s="17" t="s">
        <v>30</v>
      </c>
      <c r="R1190" s="5" t="str">
        <f aca="false">IF(OR(Q1190="Steel plate",Q1190="Concrete jacket"),"Steel plate or jacket",Q1190)</f>
        <v>Seal cracks</v>
      </c>
      <c r="S1190" s="5" t="str">
        <f aca="false">IF(O1190&lt;='Tree rules'!$C$4,IF(N1190&lt;='Tree rules'!$C$5,IF(P1190&lt;='Tree rules'!$C$6,"Monitor","Polymer laminate"),IF(P1190&lt;='Tree rules'!$C$7,"Seal cracks","Polymer laminate")),IF(O1190&lt;='Tree rules'!$C$8,IF(M1190&lt;='Tree rules'!$C$9,"Steel plate or jacket","Polymer laminate"),IF(L1190&lt;='Tree rules'!$C$10,"Steel plate or jacket","Polymer laminate")))</f>
        <v>Seal cracks</v>
      </c>
      <c r="T1190" s="5" t="str">
        <f aca="false">IF(S1190=R1190,"Yes","No")</f>
        <v>Yes</v>
      </c>
    </row>
    <row r="1191" customFormat="false" ht="15" hidden="false" customHeight="false" outlineLevel="0" collapsed="false">
      <c r="A1191" s="15" t="n">
        <v>1693</v>
      </c>
      <c r="B1191" s="16" t="n">
        <v>5.15452267142573</v>
      </c>
      <c r="C1191" s="15" t="n">
        <v>230</v>
      </c>
      <c r="D1191" s="15" t="n">
        <v>525</v>
      </c>
      <c r="E1191" s="15" t="n">
        <v>20</v>
      </c>
      <c r="F1191" s="16" t="n">
        <v>0.547504574284506</v>
      </c>
      <c r="G1191" s="17" t="s">
        <v>89</v>
      </c>
      <c r="H1191" s="18" t="n">
        <v>0.3</v>
      </c>
      <c r="I1191" s="18" t="n">
        <v>1</v>
      </c>
      <c r="J1191" s="19" t="n">
        <v>0.955452857067327</v>
      </c>
      <c r="K1191" s="19" t="n">
        <v>0.416481313649585</v>
      </c>
      <c r="L1191" s="16" t="n">
        <v>10.7610076647719</v>
      </c>
      <c r="M1191" s="19" t="n">
        <v>0.768540729018193</v>
      </c>
      <c r="N1191" s="19" t="n">
        <v>0.627571109645209</v>
      </c>
      <c r="O1191" s="19" t="n">
        <v>0.955452857067327</v>
      </c>
      <c r="P1191" s="19" t="n">
        <v>0.343919710098918</v>
      </c>
      <c r="Q1191" s="17" t="s">
        <v>29</v>
      </c>
      <c r="R1191" s="5" t="str">
        <f aca="false">IF(OR(Q1191="Steel plate",Q1191="Concrete jacket"),"Steel plate or jacket",Q1191)</f>
        <v>Monitor</v>
      </c>
      <c r="S1191" s="5" t="str">
        <f aca="false">IF(O1191&lt;='Tree rules'!$C$4,IF(N1191&lt;='Tree rules'!$C$5,IF(P1191&lt;='Tree rules'!$C$6,"Monitor","Polymer laminate"),IF(P1191&lt;='Tree rules'!$C$7,"Seal cracks","Polymer laminate")),IF(O1191&lt;='Tree rules'!$C$8,IF(M1191&lt;='Tree rules'!$C$9,"Steel plate or jacket","Polymer laminate"),IF(L1191&lt;='Tree rules'!$C$10,"Steel plate or jacket","Polymer laminate")))</f>
        <v>Monitor</v>
      </c>
      <c r="T1191" s="5" t="str">
        <f aca="false">IF(S1191=R1191,"Yes","No")</f>
        <v>Yes</v>
      </c>
    </row>
    <row r="1192" customFormat="false" ht="15" hidden="false" customHeight="false" outlineLevel="0" collapsed="false">
      <c r="A1192" s="15" t="n">
        <v>1694</v>
      </c>
      <c r="B1192" s="16" t="n">
        <v>5.40045721453179</v>
      </c>
      <c r="C1192" s="15" t="n">
        <v>300</v>
      </c>
      <c r="D1192" s="15" t="n">
        <v>425</v>
      </c>
      <c r="E1192" s="15" t="n">
        <v>25</v>
      </c>
      <c r="F1192" s="16" t="n">
        <v>0.593686800678386</v>
      </c>
      <c r="G1192" s="17" t="s">
        <v>91</v>
      </c>
      <c r="H1192" s="18" t="n">
        <v>0.2</v>
      </c>
      <c r="I1192" s="18" t="n">
        <v>1.5</v>
      </c>
      <c r="J1192" s="19" t="n">
        <v>0.889406565314701</v>
      </c>
      <c r="K1192" s="19" t="n">
        <v>0.410275388168312</v>
      </c>
      <c r="L1192" s="16" t="n">
        <v>14.1744283845979</v>
      </c>
      <c r="M1192" s="19" t="n">
        <v>0.854076426748663</v>
      </c>
      <c r="N1192" s="19" t="n">
        <v>1.04316699868351</v>
      </c>
      <c r="O1192" s="19" t="n">
        <v>1.15165903606008</v>
      </c>
      <c r="P1192" s="19" t="n">
        <v>0.421365412240794</v>
      </c>
      <c r="Q1192" s="17" t="s">
        <v>31</v>
      </c>
      <c r="R1192" s="5" t="str">
        <f aca="false">IF(OR(Q1192="Steel plate",Q1192="Concrete jacket"),"Steel plate or jacket",Q1192)</f>
        <v>Polymer laminate</v>
      </c>
      <c r="S1192" s="5" t="str">
        <f aca="false">IF(O1192&lt;='Tree rules'!$C$4,IF(N1192&lt;='Tree rules'!$C$5,IF(P1192&lt;='Tree rules'!$C$6,"Monitor","Polymer laminate"),IF(P1192&lt;='Tree rules'!$C$7,"Seal cracks","Polymer laminate")),IF(O1192&lt;='Tree rules'!$C$8,IF(M1192&lt;='Tree rules'!$C$9,"Steel plate or jacket","Polymer laminate"),IF(L1192&lt;='Tree rules'!$C$10,"Steel plate or jacket","Polymer laminate")))</f>
        <v>Polymer laminate</v>
      </c>
      <c r="T1192" s="5" t="str">
        <f aca="false">IF(S1192=R1192,"Yes","No")</f>
        <v>Yes</v>
      </c>
    </row>
    <row r="1193" customFormat="false" ht="15" hidden="false" customHeight="false" outlineLevel="0" collapsed="false">
      <c r="A1193" s="15" t="n">
        <v>1695</v>
      </c>
      <c r="B1193" s="16" t="n">
        <v>3.51393538960014</v>
      </c>
      <c r="C1193" s="15" t="n">
        <v>230</v>
      </c>
      <c r="D1193" s="15" t="n">
        <v>300</v>
      </c>
      <c r="E1193" s="15" t="n">
        <v>30</v>
      </c>
      <c r="F1193" s="16" t="n">
        <v>0.768324290280112</v>
      </c>
      <c r="G1193" s="17" t="s">
        <v>89</v>
      </c>
      <c r="H1193" s="18" t="n">
        <v>0.3</v>
      </c>
      <c r="I1193" s="18" t="n">
        <v>1</v>
      </c>
      <c r="J1193" s="19" t="n">
        <v>0.89197657920886</v>
      </c>
      <c r="K1193" s="19" t="n">
        <v>0.574635912335792</v>
      </c>
      <c r="L1193" s="16" t="n">
        <v>13.7263101156255</v>
      </c>
      <c r="M1193" s="19" t="n">
        <v>0.923277539542879</v>
      </c>
      <c r="N1193" s="19" t="n">
        <v>0.559980208965764</v>
      </c>
      <c r="O1193" s="19" t="n">
        <v>0.89197657920886</v>
      </c>
      <c r="P1193" s="19" t="n">
        <v>0.37342135370408</v>
      </c>
      <c r="Q1193" s="17" t="s">
        <v>29</v>
      </c>
      <c r="R1193" s="5" t="str">
        <f aca="false">IF(OR(Q1193="Steel plate",Q1193="Concrete jacket"),"Steel plate or jacket",Q1193)</f>
        <v>Monitor</v>
      </c>
      <c r="S1193" s="5" t="str">
        <f aca="false">IF(O1193&lt;='Tree rules'!$C$4,IF(N1193&lt;='Tree rules'!$C$5,IF(P1193&lt;='Tree rules'!$C$6,"Monitor","Polymer laminate"),IF(P1193&lt;='Tree rules'!$C$7,"Seal cracks","Polymer laminate")),IF(O1193&lt;='Tree rules'!$C$8,IF(M1193&lt;='Tree rules'!$C$9,"Steel plate or jacket","Polymer laminate"),IF(L1193&lt;='Tree rules'!$C$10,"Steel plate or jacket","Polymer laminate")))</f>
        <v>Monitor</v>
      </c>
      <c r="T1193" s="5" t="str">
        <f aca="false">IF(S1193=R1193,"Yes","No")</f>
        <v>Yes</v>
      </c>
    </row>
    <row r="1194" customFormat="false" ht="15" hidden="false" customHeight="false" outlineLevel="0" collapsed="false">
      <c r="A1194" s="15" t="n">
        <v>1697</v>
      </c>
      <c r="B1194" s="16" t="n">
        <v>3.64688575531722</v>
      </c>
      <c r="C1194" s="15" t="n">
        <v>300</v>
      </c>
      <c r="D1194" s="15" t="n">
        <v>350</v>
      </c>
      <c r="E1194" s="15" t="n">
        <v>30</v>
      </c>
      <c r="F1194" s="16" t="n">
        <v>0.739198271432892</v>
      </c>
      <c r="G1194" s="17" t="s">
        <v>91</v>
      </c>
      <c r="H1194" s="18" t="n">
        <v>0.2</v>
      </c>
      <c r="I1194" s="18" t="n">
        <v>2</v>
      </c>
      <c r="J1194" s="19" t="n">
        <v>0.905487305280734</v>
      </c>
      <c r="K1194" s="19" t="n">
        <v>0.526136958702976</v>
      </c>
      <c r="L1194" s="16" t="n">
        <v>11.9179273049582</v>
      </c>
      <c r="M1194" s="19" t="n">
        <v>0.338188053810709</v>
      </c>
      <c r="N1194" s="19" t="n">
        <v>1.39502533345506</v>
      </c>
      <c r="O1194" s="19" t="n">
        <v>1.33456427361691</v>
      </c>
      <c r="P1194" s="19" t="n">
        <v>1.03971101669495</v>
      </c>
      <c r="Q1194" s="17" t="s">
        <v>31</v>
      </c>
      <c r="R1194" s="5" t="str">
        <f aca="false">IF(OR(Q1194="Steel plate",Q1194="Concrete jacket"),"Steel plate or jacket",Q1194)</f>
        <v>Polymer laminate</v>
      </c>
      <c r="S1194" s="5" t="str">
        <f aca="false">IF(O1194&lt;='Tree rules'!$C$4,IF(N1194&lt;='Tree rules'!$C$5,IF(P1194&lt;='Tree rules'!$C$6,"Monitor","Polymer laminate"),IF(P1194&lt;='Tree rules'!$C$7,"Seal cracks","Polymer laminate")),IF(O1194&lt;='Tree rules'!$C$8,IF(M1194&lt;='Tree rules'!$C$9,"Steel plate or jacket","Polymer laminate"),IF(L1194&lt;='Tree rules'!$C$10,"Steel plate or jacket","Polymer laminate")))</f>
        <v>Steel plate or jacket</v>
      </c>
      <c r="T1194" s="5" t="str">
        <f aca="false">IF(S1194=R1194,"Yes","No")</f>
        <v>No</v>
      </c>
    </row>
    <row r="1195" customFormat="false" ht="15" hidden="false" customHeight="false" outlineLevel="0" collapsed="false">
      <c r="A1195" s="15" t="n">
        <v>1700</v>
      </c>
      <c r="B1195" s="16" t="n">
        <v>4.77233245826436</v>
      </c>
      <c r="C1195" s="15" t="n">
        <v>230</v>
      </c>
      <c r="D1195" s="15" t="n">
        <v>425</v>
      </c>
      <c r="E1195" s="15" t="n">
        <v>30</v>
      </c>
      <c r="F1195" s="16" t="n">
        <v>0.691964884122107</v>
      </c>
      <c r="G1195" s="17" t="s">
        <v>89</v>
      </c>
      <c r="H1195" s="18" t="n">
        <v>0.3</v>
      </c>
      <c r="I1195" s="18" t="n">
        <v>1</v>
      </c>
      <c r="J1195" s="19" t="n">
        <v>0.93460308665036</v>
      </c>
      <c r="K1195" s="19" t="n">
        <v>0.625289451370608</v>
      </c>
      <c r="L1195" s="16" t="n">
        <v>12.5919062223334</v>
      </c>
      <c r="M1195" s="19" t="n">
        <v>0.82063602164944</v>
      </c>
      <c r="N1195" s="19" t="n">
        <v>0.636586629432126</v>
      </c>
      <c r="O1195" s="19" t="n">
        <v>0.93460308665036</v>
      </c>
      <c r="P1195" s="19" t="n">
        <v>0.432994109320644</v>
      </c>
      <c r="Q1195" s="17" t="s">
        <v>29</v>
      </c>
      <c r="R1195" s="5" t="str">
        <f aca="false">IF(OR(Q1195="Steel plate",Q1195="Concrete jacket"),"Steel plate or jacket",Q1195)</f>
        <v>Monitor</v>
      </c>
      <c r="S1195" s="5" t="str">
        <f aca="false">IF(O1195&lt;='Tree rules'!$C$4,IF(N1195&lt;='Tree rules'!$C$5,IF(P1195&lt;='Tree rules'!$C$6,"Monitor","Polymer laminate"),IF(P1195&lt;='Tree rules'!$C$7,"Seal cracks","Polymer laminate")),IF(O1195&lt;='Tree rules'!$C$8,IF(M1195&lt;='Tree rules'!$C$9,"Steel plate or jacket","Polymer laminate"),IF(L1195&lt;='Tree rules'!$C$10,"Steel plate or jacket","Polymer laminate")))</f>
        <v>Monitor</v>
      </c>
      <c r="T1195" s="5" t="str">
        <f aca="false">IF(S1195=R1195,"Yes","No")</f>
        <v>Yes</v>
      </c>
    </row>
    <row r="1196" customFormat="false" ht="15" hidden="false" customHeight="false" outlineLevel="0" collapsed="false">
      <c r="A1196" s="15" t="n">
        <v>1701</v>
      </c>
      <c r="B1196" s="16" t="n">
        <v>7.54845564861677</v>
      </c>
      <c r="C1196" s="15" t="n">
        <v>230</v>
      </c>
      <c r="D1196" s="15" t="n">
        <v>625</v>
      </c>
      <c r="E1196" s="15" t="n">
        <v>25</v>
      </c>
      <c r="F1196" s="16" t="n">
        <v>0.603925598347216</v>
      </c>
      <c r="G1196" s="17" t="s">
        <v>91</v>
      </c>
      <c r="H1196" s="18" t="n">
        <v>0.2</v>
      </c>
      <c r="I1196" s="18" t="n">
        <v>1</v>
      </c>
      <c r="J1196" s="19" t="n">
        <v>0.884934579552467</v>
      </c>
      <c r="K1196" s="19" t="n">
        <v>0.629039153752864</v>
      </c>
      <c r="L1196" s="16" t="n">
        <v>13.0370563879392</v>
      </c>
      <c r="M1196" s="19" t="n">
        <v>0.325126979686548</v>
      </c>
      <c r="N1196" s="19" t="n">
        <v>0.886920633344482</v>
      </c>
      <c r="O1196" s="19" t="n">
        <v>0.884934579552467</v>
      </c>
      <c r="P1196" s="19" t="n">
        <v>1.07248142497374</v>
      </c>
      <c r="Q1196" s="17" t="s">
        <v>31</v>
      </c>
      <c r="R1196" s="5" t="str">
        <f aca="false">IF(OR(Q1196="Steel plate",Q1196="Concrete jacket"),"Steel plate or jacket",Q1196)</f>
        <v>Polymer laminate</v>
      </c>
      <c r="S1196" s="5" t="str">
        <f aca="false">IF(O1196&lt;='Tree rules'!$C$4,IF(N1196&lt;='Tree rules'!$C$5,IF(P1196&lt;='Tree rules'!$C$6,"Monitor","Polymer laminate"),IF(P1196&lt;='Tree rules'!$C$7,"Seal cracks","Polymer laminate")),IF(O1196&lt;='Tree rules'!$C$8,IF(M1196&lt;='Tree rules'!$C$9,"Steel plate or jacket","Polymer laminate"),IF(L1196&lt;='Tree rules'!$C$10,"Steel plate or jacket","Polymer laminate")))</f>
        <v>Polymer laminate</v>
      </c>
      <c r="T1196" s="5" t="str">
        <f aca="false">IF(S1196=R1196,"Yes","No")</f>
        <v>Yes</v>
      </c>
    </row>
    <row r="1197" customFormat="false" ht="15" hidden="false" customHeight="false" outlineLevel="0" collapsed="false">
      <c r="A1197" s="15" t="n">
        <v>1702</v>
      </c>
      <c r="B1197" s="16" t="n">
        <v>6.27090681405944</v>
      </c>
      <c r="C1197" s="15" t="n">
        <v>300</v>
      </c>
      <c r="D1197" s="15" t="n">
        <v>575</v>
      </c>
      <c r="E1197" s="15" t="n">
        <v>30</v>
      </c>
      <c r="F1197" s="16" t="n">
        <v>0.633465437396808</v>
      </c>
      <c r="G1197" s="17" t="s">
        <v>89</v>
      </c>
      <c r="H1197" s="18" t="n">
        <v>0.3</v>
      </c>
      <c r="I1197" s="18" t="n">
        <v>2</v>
      </c>
      <c r="J1197" s="19" t="n">
        <v>0.998725160086974</v>
      </c>
      <c r="K1197" s="19" t="n">
        <v>0.57007567773373</v>
      </c>
      <c r="L1197" s="16" t="n">
        <v>11.8542661891483</v>
      </c>
      <c r="M1197" s="19" t="n">
        <v>0.383019659990883</v>
      </c>
      <c r="N1197" s="19" t="n">
        <v>0.985121666523052</v>
      </c>
      <c r="O1197" s="19" t="n">
        <v>1.42810139766764</v>
      </c>
      <c r="P1197" s="19" t="n">
        <v>1.03966949926018</v>
      </c>
      <c r="Q1197" s="17" t="s">
        <v>31</v>
      </c>
      <c r="R1197" s="5" t="str">
        <f aca="false">IF(OR(Q1197="Steel plate",Q1197="Concrete jacket"),"Steel plate or jacket",Q1197)</f>
        <v>Polymer laminate</v>
      </c>
      <c r="S1197" s="5" t="str">
        <f aca="false">IF(O1197&lt;='Tree rules'!$C$4,IF(N1197&lt;='Tree rules'!$C$5,IF(P1197&lt;='Tree rules'!$C$6,"Monitor","Polymer laminate"),IF(P1197&lt;='Tree rules'!$C$7,"Seal cracks","Polymer laminate")),IF(O1197&lt;='Tree rules'!$C$8,IF(M1197&lt;='Tree rules'!$C$9,"Steel plate or jacket","Polymer laminate"),IF(L1197&lt;='Tree rules'!$C$10,"Steel plate or jacket","Polymer laminate")))</f>
        <v>Steel plate or jacket</v>
      </c>
      <c r="T1197" s="5" t="str">
        <f aca="false">IF(S1197=R1197,"Yes","No")</f>
        <v>No</v>
      </c>
    </row>
    <row r="1198" customFormat="false" ht="15" hidden="false" customHeight="false" outlineLevel="0" collapsed="false">
      <c r="A1198" s="15" t="n">
        <v>1704</v>
      </c>
      <c r="B1198" s="16" t="n">
        <v>4.20438454184869</v>
      </c>
      <c r="C1198" s="15" t="n">
        <v>230</v>
      </c>
      <c r="D1198" s="15" t="n">
        <v>425</v>
      </c>
      <c r="E1198" s="15" t="n">
        <v>20</v>
      </c>
      <c r="F1198" s="16" t="n">
        <v>0.691964884122107</v>
      </c>
      <c r="G1198" s="17" t="s">
        <v>89</v>
      </c>
      <c r="H1198" s="18" t="n">
        <v>0.3</v>
      </c>
      <c r="I1198" s="18" t="n">
        <v>1</v>
      </c>
      <c r="J1198" s="19" t="n">
        <v>0.931970930671225</v>
      </c>
      <c r="K1198" s="19" t="n">
        <v>0.478901439229479</v>
      </c>
      <c r="L1198" s="16" t="n">
        <v>11.0933629072525</v>
      </c>
      <c r="M1198" s="19" t="n">
        <v>0.800221546036883</v>
      </c>
      <c r="N1198" s="19" t="n">
        <v>0.626327781793135</v>
      </c>
      <c r="O1198" s="19" t="n">
        <v>0.931970930671225</v>
      </c>
      <c r="P1198" s="19" t="n">
        <v>0.398314747624804</v>
      </c>
      <c r="Q1198" s="17" t="s">
        <v>29</v>
      </c>
      <c r="R1198" s="5" t="str">
        <f aca="false">IF(OR(Q1198="Steel plate",Q1198="Concrete jacket"),"Steel plate or jacket",Q1198)</f>
        <v>Monitor</v>
      </c>
      <c r="S1198" s="5" t="str">
        <f aca="false">IF(O1198&lt;='Tree rules'!$C$4,IF(N1198&lt;='Tree rules'!$C$5,IF(P1198&lt;='Tree rules'!$C$6,"Monitor","Polymer laminate"),IF(P1198&lt;='Tree rules'!$C$7,"Seal cracks","Polymer laminate")),IF(O1198&lt;='Tree rules'!$C$8,IF(M1198&lt;='Tree rules'!$C$9,"Steel plate or jacket","Polymer laminate"),IF(L1198&lt;='Tree rules'!$C$10,"Steel plate or jacket","Polymer laminate")))</f>
        <v>Monitor</v>
      </c>
      <c r="T1198" s="5" t="str">
        <f aca="false">IF(S1198=R1198,"Yes","No")</f>
        <v>Yes</v>
      </c>
    </row>
    <row r="1199" customFormat="false" ht="15" hidden="false" customHeight="false" outlineLevel="0" collapsed="false">
      <c r="A1199" s="15" t="n">
        <v>1706</v>
      </c>
      <c r="B1199" s="16" t="n">
        <v>4.92482388670266</v>
      </c>
      <c r="C1199" s="15" t="n">
        <v>300</v>
      </c>
      <c r="D1199" s="15" t="n">
        <v>400</v>
      </c>
      <c r="E1199" s="15" t="n">
        <v>25</v>
      </c>
      <c r="F1199" s="16" t="n">
        <v>0.635378289490071</v>
      </c>
      <c r="G1199" s="17" t="s">
        <v>89</v>
      </c>
      <c r="H1199" s="18" t="n">
        <v>0.3</v>
      </c>
      <c r="I1199" s="18" t="n">
        <v>1</v>
      </c>
      <c r="J1199" s="19" t="n">
        <v>0.926284604042182</v>
      </c>
      <c r="K1199" s="19" t="n">
        <v>0.527139454988405</v>
      </c>
      <c r="L1199" s="16" t="n">
        <v>13.8337749626479</v>
      </c>
      <c r="M1199" s="19" t="n">
        <v>0.386438019591386</v>
      </c>
      <c r="N1199" s="19" t="n">
        <v>0.620160034747474</v>
      </c>
      <c r="O1199" s="19" t="n">
        <v>0.926284604042182</v>
      </c>
      <c r="P1199" s="19" t="n">
        <v>0.866365543764749</v>
      </c>
      <c r="Q1199" s="17" t="s">
        <v>29</v>
      </c>
      <c r="R1199" s="5" t="str">
        <f aca="false">IF(OR(Q1199="Steel plate",Q1199="Concrete jacket"),"Steel plate or jacket",Q1199)</f>
        <v>Monitor</v>
      </c>
      <c r="S1199" s="5" t="str">
        <f aca="false">IF(O1199&lt;='Tree rules'!$C$4,IF(N1199&lt;='Tree rules'!$C$5,IF(P1199&lt;='Tree rules'!$C$6,"Monitor","Polymer laminate"),IF(P1199&lt;='Tree rules'!$C$7,"Seal cracks","Polymer laminate")),IF(O1199&lt;='Tree rules'!$C$8,IF(M1199&lt;='Tree rules'!$C$9,"Steel plate or jacket","Polymer laminate"),IF(L1199&lt;='Tree rules'!$C$10,"Steel plate or jacket","Polymer laminate")))</f>
        <v>Monitor</v>
      </c>
      <c r="T1199" s="5" t="str">
        <f aca="false">IF(S1199=R1199,"Yes","No")</f>
        <v>Yes</v>
      </c>
    </row>
    <row r="1200" customFormat="false" ht="15" hidden="false" customHeight="false" outlineLevel="0" collapsed="false">
      <c r="A1200" s="15" t="n">
        <v>1707</v>
      </c>
      <c r="B1200" s="16" t="n">
        <v>4.05722552988507</v>
      </c>
      <c r="C1200" s="15" t="n">
        <v>230</v>
      </c>
      <c r="D1200" s="15" t="n">
        <v>350</v>
      </c>
      <c r="E1200" s="15" t="n">
        <v>25</v>
      </c>
      <c r="F1200" s="16" t="n">
        <v>0.675914152273913</v>
      </c>
      <c r="G1200" s="17" t="s">
        <v>90</v>
      </c>
      <c r="H1200" s="18" t="n">
        <v>0.1</v>
      </c>
      <c r="I1200" s="18" t="n">
        <v>1</v>
      </c>
      <c r="J1200" s="19" t="n">
        <v>0.995549520101444</v>
      </c>
      <c r="K1200" s="19" t="n">
        <v>0.443040328924225</v>
      </c>
      <c r="L1200" s="16" t="n">
        <v>13.9423557728009</v>
      </c>
      <c r="M1200" s="19" t="n">
        <v>0.76606258220256</v>
      </c>
      <c r="N1200" s="19" t="n">
        <v>2.57317413184954</v>
      </c>
      <c r="O1200" s="19" t="n">
        <v>0.995549520101444</v>
      </c>
      <c r="P1200" s="19" t="n">
        <v>0.397690919078057</v>
      </c>
      <c r="Q1200" s="17" t="s">
        <v>30</v>
      </c>
      <c r="R1200" s="5" t="str">
        <f aca="false">IF(OR(Q1200="Steel plate",Q1200="Concrete jacket"),"Steel plate or jacket",Q1200)</f>
        <v>Seal cracks</v>
      </c>
      <c r="S1200" s="5" t="str">
        <f aca="false">IF(O1200&lt;='Tree rules'!$C$4,IF(N1200&lt;='Tree rules'!$C$5,IF(P1200&lt;='Tree rules'!$C$6,"Monitor","Polymer laminate"),IF(P1200&lt;='Tree rules'!$C$7,"Seal cracks","Polymer laminate")),IF(O1200&lt;='Tree rules'!$C$8,IF(M1200&lt;='Tree rules'!$C$9,"Steel plate or jacket","Polymer laminate"),IF(L1200&lt;='Tree rules'!$C$10,"Steel plate or jacket","Polymer laminate")))</f>
        <v>Seal cracks</v>
      </c>
      <c r="T1200" s="5" t="str">
        <f aca="false">IF(S1200=R1200,"Yes","No")</f>
        <v>Yes</v>
      </c>
    </row>
    <row r="1201" customFormat="false" ht="15" hidden="false" customHeight="false" outlineLevel="0" collapsed="false">
      <c r="A1201" s="15" t="n">
        <v>1708</v>
      </c>
      <c r="B1201" s="16" t="n">
        <v>6.03947195796032</v>
      </c>
      <c r="C1201" s="15" t="n">
        <v>300</v>
      </c>
      <c r="D1201" s="15" t="n">
        <v>500</v>
      </c>
      <c r="E1201" s="15" t="n">
        <v>30</v>
      </c>
      <c r="F1201" s="16" t="n">
        <v>0.71889992072993</v>
      </c>
      <c r="G1201" s="17" t="s">
        <v>90</v>
      </c>
      <c r="H1201" s="18" t="n">
        <v>0.1</v>
      </c>
      <c r="I1201" s="18" t="n">
        <v>2</v>
      </c>
      <c r="J1201" s="19" t="n">
        <v>0.91931910310302</v>
      </c>
      <c r="K1201" s="19" t="n">
        <v>0.598526905374642</v>
      </c>
      <c r="L1201" s="16" t="n">
        <v>13.8203019632959</v>
      </c>
      <c r="M1201" s="19" t="n">
        <v>0.883134890513697</v>
      </c>
      <c r="N1201" s="19" t="n">
        <v>3.69901170058259</v>
      </c>
      <c r="O1201" s="19" t="n">
        <v>1.288400988374</v>
      </c>
      <c r="P1201" s="19" t="n">
        <v>0.504105510295108</v>
      </c>
      <c r="Q1201" s="17" t="s">
        <v>31</v>
      </c>
      <c r="R1201" s="5" t="str">
        <f aca="false">IF(OR(Q1201="Steel plate",Q1201="Concrete jacket"),"Steel plate or jacket",Q1201)</f>
        <v>Polymer laminate</v>
      </c>
      <c r="S1201" s="5" t="str">
        <f aca="false">IF(O1201&lt;='Tree rules'!$C$4,IF(N1201&lt;='Tree rules'!$C$5,IF(P1201&lt;='Tree rules'!$C$6,"Monitor","Polymer laminate"),IF(P1201&lt;='Tree rules'!$C$7,"Seal cracks","Polymer laminate")),IF(O1201&lt;='Tree rules'!$C$8,IF(M1201&lt;='Tree rules'!$C$9,"Steel plate or jacket","Polymer laminate"),IF(L1201&lt;='Tree rules'!$C$10,"Steel plate or jacket","Polymer laminate")))</f>
        <v>Polymer laminate</v>
      </c>
      <c r="T1201" s="5" t="str">
        <f aca="false">IF(S1201=R1201,"Yes","No")</f>
        <v>Yes</v>
      </c>
    </row>
    <row r="1202" customFormat="false" ht="15" hidden="false" customHeight="false" outlineLevel="0" collapsed="false">
      <c r="A1202" s="15" t="n">
        <v>1710</v>
      </c>
      <c r="B1202" s="16" t="n">
        <v>3.92135060250077</v>
      </c>
      <c r="C1202" s="15" t="n">
        <v>300</v>
      </c>
      <c r="D1202" s="15" t="n">
        <v>325</v>
      </c>
      <c r="E1202" s="15" t="n">
        <v>20</v>
      </c>
      <c r="F1202" s="16" t="n">
        <v>0.67080270183412</v>
      </c>
      <c r="G1202" s="17" t="s">
        <v>89</v>
      </c>
      <c r="H1202" s="18" t="n">
        <v>0.3</v>
      </c>
      <c r="I1202" s="18" t="n">
        <v>2</v>
      </c>
      <c r="J1202" s="19" t="n">
        <v>0.926682129325062</v>
      </c>
      <c r="K1202" s="19" t="n">
        <v>0.544478972223102</v>
      </c>
      <c r="L1202" s="16" t="n">
        <v>13.9549843505366</v>
      </c>
      <c r="M1202" s="19" t="n">
        <v>0.798455431218802</v>
      </c>
      <c r="N1202" s="19" t="n">
        <v>0.892668175773901</v>
      </c>
      <c r="O1202" s="19" t="n">
        <v>1.3488053252977</v>
      </c>
      <c r="P1202" s="19" t="n">
        <v>0.572351246190187</v>
      </c>
      <c r="Q1202" s="17" t="s">
        <v>31</v>
      </c>
      <c r="R1202" s="5" t="str">
        <f aca="false">IF(OR(Q1202="Steel plate",Q1202="Concrete jacket"),"Steel plate or jacket",Q1202)</f>
        <v>Polymer laminate</v>
      </c>
      <c r="S1202" s="5" t="str">
        <f aca="false">IF(O1202&lt;='Tree rules'!$C$4,IF(N1202&lt;='Tree rules'!$C$5,IF(P1202&lt;='Tree rules'!$C$6,"Monitor","Polymer laminate"),IF(P1202&lt;='Tree rules'!$C$7,"Seal cracks","Polymer laminate")),IF(O1202&lt;='Tree rules'!$C$8,IF(M1202&lt;='Tree rules'!$C$9,"Steel plate or jacket","Polymer laminate"),IF(L1202&lt;='Tree rules'!$C$10,"Steel plate or jacket","Polymer laminate")))</f>
        <v>Polymer laminate</v>
      </c>
      <c r="T1202" s="5" t="str">
        <f aca="false">IF(S1202=R1202,"Yes","No")</f>
        <v>Yes</v>
      </c>
    </row>
    <row r="1203" customFormat="false" ht="15" hidden="false" customHeight="false" outlineLevel="0" collapsed="false">
      <c r="A1203" s="15" t="n">
        <v>1711</v>
      </c>
      <c r="B1203" s="16" t="n">
        <v>5.0575235467052</v>
      </c>
      <c r="C1203" s="15" t="n">
        <v>300</v>
      </c>
      <c r="D1203" s="15" t="n">
        <v>450</v>
      </c>
      <c r="E1203" s="15" t="n">
        <v>30</v>
      </c>
      <c r="F1203" s="16" t="n">
        <v>0.541187364959482</v>
      </c>
      <c r="G1203" s="17" t="s">
        <v>90</v>
      </c>
      <c r="H1203" s="18" t="n">
        <v>0.1</v>
      </c>
      <c r="I1203" s="18" t="n">
        <v>1</v>
      </c>
      <c r="J1203" s="19" t="n">
        <v>0.961515978953765</v>
      </c>
      <c r="K1203" s="19" t="n">
        <v>0.52828218854007</v>
      </c>
      <c r="L1203" s="16" t="n">
        <v>13.0685362963959</v>
      </c>
      <c r="M1203" s="19" t="n">
        <v>0.808251532392918</v>
      </c>
      <c r="N1203" s="19" t="n">
        <v>3.29582913049547</v>
      </c>
      <c r="O1203" s="19" t="n">
        <v>0.961515978953765</v>
      </c>
      <c r="P1203" s="19" t="n">
        <v>0.323712789345982</v>
      </c>
      <c r="Q1203" s="17" t="s">
        <v>30</v>
      </c>
      <c r="R1203" s="5" t="str">
        <f aca="false">IF(OR(Q1203="Steel plate",Q1203="Concrete jacket"),"Steel plate or jacket",Q1203)</f>
        <v>Seal cracks</v>
      </c>
      <c r="S1203" s="5" t="str">
        <f aca="false">IF(O1203&lt;='Tree rules'!$C$4,IF(N1203&lt;='Tree rules'!$C$5,IF(P1203&lt;='Tree rules'!$C$6,"Monitor","Polymer laminate"),IF(P1203&lt;='Tree rules'!$C$7,"Seal cracks","Polymer laminate")),IF(O1203&lt;='Tree rules'!$C$8,IF(M1203&lt;='Tree rules'!$C$9,"Steel plate or jacket","Polymer laminate"),IF(L1203&lt;='Tree rules'!$C$10,"Steel plate or jacket","Polymer laminate")))</f>
        <v>Seal cracks</v>
      </c>
      <c r="T1203" s="5" t="str">
        <f aca="false">IF(S1203=R1203,"Yes","No")</f>
        <v>Yes</v>
      </c>
    </row>
    <row r="1204" customFormat="false" ht="15" hidden="false" customHeight="false" outlineLevel="0" collapsed="false">
      <c r="A1204" s="15" t="n">
        <v>1712</v>
      </c>
      <c r="B1204" s="16" t="n">
        <v>3.7347160137672</v>
      </c>
      <c r="C1204" s="15" t="n">
        <v>230</v>
      </c>
      <c r="D1204" s="15" t="n">
        <v>325</v>
      </c>
      <c r="E1204" s="15" t="n">
        <v>30</v>
      </c>
      <c r="F1204" s="16" t="n">
        <v>0.524976027522354</v>
      </c>
      <c r="G1204" s="17" t="s">
        <v>89</v>
      </c>
      <c r="H1204" s="18" t="n">
        <v>0.3</v>
      </c>
      <c r="I1204" s="18" t="n">
        <v>1.5</v>
      </c>
      <c r="J1204" s="19" t="n">
        <v>0.859113526401524</v>
      </c>
      <c r="K1204" s="19" t="n">
        <v>0.534417307279298</v>
      </c>
      <c r="L1204" s="16" t="n">
        <v>13.2908043194562</v>
      </c>
      <c r="M1204" s="19" t="n">
        <v>0.838563492085859</v>
      </c>
      <c r="N1204" s="19" t="n">
        <v>0.713434373601537</v>
      </c>
      <c r="O1204" s="19" t="n">
        <v>1.05910772088892</v>
      </c>
      <c r="P1204" s="19" t="n">
        <v>0.30360615318625</v>
      </c>
      <c r="Q1204" s="17" t="s">
        <v>31</v>
      </c>
      <c r="R1204" s="5" t="str">
        <f aca="false">IF(OR(Q1204="Steel plate",Q1204="Concrete jacket"),"Steel plate or jacket",Q1204)</f>
        <v>Polymer laminate</v>
      </c>
      <c r="S1204" s="5" t="str">
        <f aca="false">IF(O1204&lt;='Tree rules'!$C$4,IF(N1204&lt;='Tree rules'!$C$5,IF(P1204&lt;='Tree rules'!$C$6,"Monitor","Polymer laminate"),IF(P1204&lt;='Tree rules'!$C$7,"Seal cracks","Polymer laminate")),IF(O1204&lt;='Tree rules'!$C$8,IF(M1204&lt;='Tree rules'!$C$9,"Steel plate or jacket","Polymer laminate"),IF(L1204&lt;='Tree rules'!$C$10,"Steel plate or jacket","Polymer laminate")))</f>
        <v>Polymer laminate</v>
      </c>
      <c r="T1204" s="5" t="str">
        <f aca="false">IF(S1204=R1204,"Yes","No")</f>
        <v>Yes</v>
      </c>
    </row>
    <row r="1205" customFormat="false" ht="15" hidden="false" customHeight="false" outlineLevel="0" collapsed="false">
      <c r="A1205" s="15" t="n">
        <v>1715</v>
      </c>
      <c r="B1205" s="16" t="n">
        <v>6.83994420863764</v>
      </c>
      <c r="C1205" s="15" t="n">
        <v>230</v>
      </c>
      <c r="D1205" s="15" t="n">
        <v>575</v>
      </c>
      <c r="E1205" s="15" t="n">
        <v>30</v>
      </c>
      <c r="F1205" s="16" t="n">
        <v>0.518371859349855</v>
      </c>
      <c r="G1205" s="17" t="s">
        <v>89</v>
      </c>
      <c r="H1205" s="18" t="n">
        <v>0.3</v>
      </c>
      <c r="I1205" s="18" t="n">
        <v>1</v>
      </c>
      <c r="J1205" s="19" t="n">
        <v>0.913886517844118</v>
      </c>
      <c r="K1205" s="19" t="n">
        <v>0.440547995694461</v>
      </c>
      <c r="L1205" s="16" t="n">
        <v>12.9790212687621</v>
      </c>
      <c r="M1205" s="19" t="n">
        <v>0.53342081158651</v>
      </c>
      <c r="N1205" s="19" t="n">
        <v>0.85798869614149</v>
      </c>
      <c r="O1205" s="19" t="n">
        <v>0.913886517844118</v>
      </c>
      <c r="P1205" s="19" t="n">
        <v>0.474749040799655</v>
      </c>
      <c r="Q1205" s="17" t="s">
        <v>29</v>
      </c>
      <c r="R1205" s="5" t="str">
        <f aca="false">IF(OR(Q1205="Steel plate",Q1205="Concrete jacket"),"Steel plate or jacket",Q1205)</f>
        <v>Monitor</v>
      </c>
      <c r="S1205" s="5" t="str">
        <f aca="false">IF(O1205&lt;='Tree rules'!$C$4,IF(N1205&lt;='Tree rules'!$C$5,IF(P1205&lt;='Tree rules'!$C$6,"Monitor","Polymer laminate"),IF(P1205&lt;='Tree rules'!$C$7,"Seal cracks","Polymer laminate")),IF(O1205&lt;='Tree rules'!$C$8,IF(M1205&lt;='Tree rules'!$C$9,"Steel plate or jacket","Polymer laminate"),IF(L1205&lt;='Tree rules'!$C$10,"Steel plate or jacket","Polymer laminate")))</f>
        <v>Monitor</v>
      </c>
      <c r="T1205" s="5" t="str">
        <f aca="false">IF(S1205=R1205,"Yes","No")</f>
        <v>Yes</v>
      </c>
    </row>
    <row r="1206" customFormat="false" ht="15" hidden="false" customHeight="false" outlineLevel="0" collapsed="false">
      <c r="A1206" s="15" t="n">
        <v>1718</v>
      </c>
      <c r="B1206" s="16" t="n">
        <v>3.20569599387625</v>
      </c>
      <c r="C1206" s="15" t="n">
        <v>230</v>
      </c>
      <c r="D1206" s="15" t="n">
        <v>300</v>
      </c>
      <c r="E1206" s="15" t="n">
        <v>25</v>
      </c>
      <c r="F1206" s="16" t="n">
        <v>0.688332522525665</v>
      </c>
      <c r="G1206" s="17" t="s">
        <v>89</v>
      </c>
      <c r="H1206" s="18" t="n">
        <v>0.3</v>
      </c>
      <c r="I1206" s="18" t="n">
        <v>1</v>
      </c>
      <c r="J1206" s="19" t="n">
        <v>0.934849860018091</v>
      </c>
      <c r="K1206" s="19" t="n">
        <v>0.476226027418579</v>
      </c>
      <c r="L1206" s="16" t="n">
        <v>12.6208503695915</v>
      </c>
      <c r="M1206" s="19" t="n">
        <v>0.878069980324862</v>
      </c>
      <c r="N1206" s="19" t="n">
        <v>0.797300921634972</v>
      </c>
      <c r="O1206" s="19" t="n">
        <v>0.934849860018091</v>
      </c>
      <c r="P1206" s="19" t="n">
        <v>0.327555691513151</v>
      </c>
      <c r="Q1206" s="17" t="s">
        <v>29</v>
      </c>
      <c r="R1206" s="5" t="str">
        <f aca="false">IF(OR(Q1206="Steel plate",Q1206="Concrete jacket"),"Steel plate or jacket",Q1206)</f>
        <v>Monitor</v>
      </c>
      <c r="S1206" s="5" t="str">
        <f aca="false">IF(O1206&lt;='Tree rules'!$C$4,IF(N1206&lt;='Tree rules'!$C$5,IF(P1206&lt;='Tree rules'!$C$6,"Monitor","Polymer laminate"),IF(P1206&lt;='Tree rules'!$C$7,"Seal cracks","Polymer laminate")),IF(O1206&lt;='Tree rules'!$C$8,IF(M1206&lt;='Tree rules'!$C$9,"Steel plate or jacket","Polymer laminate"),IF(L1206&lt;='Tree rules'!$C$10,"Steel plate or jacket","Polymer laminate")))</f>
        <v>Monitor</v>
      </c>
      <c r="T1206" s="5" t="str">
        <f aca="false">IF(S1206=R1206,"Yes","No")</f>
        <v>Yes</v>
      </c>
    </row>
    <row r="1207" customFormat="false" ht="15" hidden="false" customHeight="false" outlineLevel="0" collapsed="false">
      <c r="A1207" s="15" t="n">
        <v>1720</v>
      </c>
      <c r="B1207" s="16" t="n">
        <v>6.14480019663049</v>
      </c>
      <c r="C1207" s="15" t="n">
        <v>300</v>
      </c>
      <c r="D1207" s="15" t="n">
        <v>525</v>
      </c>
      <c r="E1207" s="15" t="n">
        <v>20</v>
      </c>
      <c r="F1207" s="16" t="n">
        <v>0.679998409867921</v>
      </c>
      <c r="G1207" s="17" t="s">
        <v>90</v>
      </c>
      <c r="H1207" s="18" t="n">
        <v>0.1</v>
      </c>
      <c r="I1207" s="18" t="n">
        <v>1</v>
      </c>
      <c r="J1207" s="19" t="n">
        <v>0.85758121358824</v>
      </c>
      <c r="K1207" s="19" t="n">
        <v>0.610443880900149</v>
      </c>
      <c r="L1207" s="16" t="n">
        <v>13.30043332604</v>
      </c>
      <c r="M1207" s="19" t="n">
        <v>0.548413849542874</v>
      </c>
      <c r="N1207" s="19" t="n">
        <v>2.45947818466445</v>
      </c>
      <c r="O1207" s="19" t="n">
        <v>0.85758121358824</v>
      </c>
      <c r="P1207" s="19" t="n">
        <v>0.661658890071886</v>
      </c>
      <c r="Q1207" s="17" t="s">
        <v>30</v>
      </c>
      <c r="R1207" s="5" t="str">
        <f aca="false">IF(OR(Q1207="Steel plate",Q1207="Concrete jacket"),"Steel plate or jacket",Q1207)</f>
        <v>Seal cracks</v>
      </c>
      <c r="S1207" s="5" t="str">
        <f aca="false">IF(O1207&lt;='Tree rules'!$C$4,IF(N1207&lt;='Tree rules'!$C$5,IF(P1207&lt;='Tree rules'!$C$6,"Monitor","Polymer laminate"),IF(P1207&lt;='Tree rules'!$C$7,"Seal cracks","Polymer laminate")),IF(O1207&lt;='Tree rules'!$C$8,IF(M1207&lt;='Tree rules'!$C$9,"Steel plate or jacket","Polymer laminate"),IF(L1207&lt;='Tree rules'!$C$10,"Steel plate or jacket","Polymer laminate")))</f>
        <v>Seal cracks</v>
      </c>
      <c r="T1207" s="5" t="str">
        <f aca="false">IF(S1207=R1207,"Yes","No")</f>
        <v>Yes</v>
      </c>
    </row>
    <row r="1208" customFormat="false" ht="15" hidden="false" customHeight="false" outlineLevel="0" collapsed="false">
      <c r="A1208" s="15" t="n">
        <v>1721</v>
      </c>
      <c r="B1208" s="16" t="n">
        <v>4.93304674774942</v>
      </c>
      <c r="C1208" s="15" t="n">
        <v>300</v>
      </c>
      <c r="D1208" s="15" t="n">
        <v>475</v>
      </c>
      <c r="E1208" s="15" t="n">
        <v>30</v>
      </c>
      <c r="F1208" s="16" t="n">
        <v>0.980981312596345</v>
      </c>
      <c r="G1208" s="17" t="s">
        <v>89</v>
      </c>
      <c r="H1208" s="18" t="n">
        <v>0.3</v>
      </c>
      <c r="I1208" s="18" t="n">
        <v>2</v>
      </c>
      <c r="J1208" s="19" t="n">
        <v>0.888663145694989</v>
      </c>
      <c r="K1208" s="19" t="n">
        <v>0.433611049865083</v>
      </c>
      <c r="L1208" s="16" t="n">
        <v>11.5528026879377</v>
      </c>
      <c r="M1208" s="19" t="n">
        <v>0.470157369067692</v>
      </c>
      <c r="N1208" s="19" t="n">
        <v>1.02019275895982</v>
      </c>
      <c r="O1208" s="19" t="n">
        <v>1.39199213180877</v>
      </c>
      <c r="P1208" s="19" t="n">
        <v>0.95972836684473</v>
      </c>
      <c r="Q1208" s="17" t="s">
        <v>92</v>
      </c>
      <c r="R1208" s="5" t="str">
        <f aca="false">IF(OR(Q1208="Steel plate",Q1208="Concrete jacket"),"Steel plate or jacket",Q1208)</f>
        <v>Steel plate or jacket</v>
      </c>
      <c r="S1208" s="5" t="str">
        <f aca="false">IF(O1208&lt;='Tree rules'!$C$4,IF(N1208&lt;='Tree rules'!$C$5,IF(P1208&lt;='Tree rules'!$C$6,"Monitor","Polymer laminate"),IF(P1208&lt;='Tree rules'!$C$7,"Seal cracks","Polymer laminate")),IF(O1208&lt;='Tree rules'!$C$8,IF(M1208&lt;='Tree rules'!$C$9,"Steel plate or jacket","Polymer laminate"),IF(L1208&lt;='Tree rules'!$C$10,"Steel plate or jacket","Polymer laminate")))</f>
        <v>Steel plate or jacket</v>
      </c>
      <c r="T1208" s="5" t="str">
        <f aca="false">IF(S1208=R1208,"Yes","No")</f>
        <v>Yes</v>
      </c>
    </row>
    <row r="1209" customFormat="false" ht="15" hidden="false" customHeight="false" outlineLevel="0" collapsed="false">
      <c r="A1209" s="15" t="n">
        <v>1722</v>
      </c>
      <c r="B1209" s="16" t="n">
        <v>4.12609996409204</v>
      </c>
      <c r="C1209" s="15" t="n">
        <v>230</v>
      </c>
      <c r="D1209" s="15" t="n">
        <v>400</v>
      </c>
      <c r="E1209" s="15" t="n">
        <v>30</v>
      </c>
      <c r="F1209" s="16" t="n">
        <v>0.740832460684402</v>
      </c>
      <c r="G1209" s="17" t="s">
        <v>89</v>
      </c>
      <c r="H1209" s="18" t="n">
        <v>0.3</v>
      </c>
      <c r="I1209" s="18" t="n">
        <v>2</v>
      </c>
      <c r="J1209" s="19" t="n">
        <v>0.880033360134125</v>
      </c>
      <c r="K1209" s="19" t="n">
        <v>0.538796835883236</v>
      </c>
      <c r="L1209" s="16" t="n">
        <v>11.6556496160792</v>
      </c>
      <c r="M1209" s="19" t="n">
        <v>0.94701968386098</v>
      </c>
      <c r="N1209" s="19" t="n">
        <v>0.898159130414625</v>
      </c>
      <c r="O1209" s="19" t="n">
        <v>1.28590753035629</v>
      </c>
      <c r="P1209" s="19" t="n">
        <v>0.395548666129208</v>
      </c>
      <c r="Q1209" s="17" t="s">
        <v>31</v>
      </c>
      <c r="R1209" s="5" t="str">
        <f aca="false">IF(OR(Q1209="Steel plate",Q1209="Concrete jacket"),"Steel plate or jacket",Q1209)</f>
        <v>Polymer laminate</v>
      </c>
      <c r="S1209" s="5" t="str">
        <f aca="false">IF(O1209&lt;='Tree rules'!$C$4,IF(N1209&lt;='Tree rules'!$C$5,IF(P1209&lt;='Tree rules'!$C$6,"Monitor","Polymer laminate"),IF(P1209&lt;='Tree rules'!$C$7,"Seal cracks","Polymer laminate")),IF(O1209&lt;='Tree rules'!$C$8,IF(M1209&lt;='Tree rules'!$C$9,"Steel plate or jacket","Polymer laminate"),IF(L1209&lt;='Tree rules'!$C$10,"Steel plate or jacket","Polymer laminate")))</f>
        <v>Polymer laminate</v>
      </c>
      <c r="T1209" s="5" t="str">
        <f aca="false">IF(S1209=R1209,"Yes","No")</f>
        <v>Yes</v>
      </c>
    </row>
    <row r="1210" customFormat="false" ht="15" hidden="false" customHeight="false" outlineLevel="0" collapsed="false">
      <c r="A1210" s="15" t="n">
        <v>1723</v>
      </c>
      <c r="B1210" s="16" t="n">
        <v>7.71578642639318</v>
      </c>
      <c r="C1210" s="15" t="n">
        <v>300</v>
      </c>
      <c r="D1210" s="15" t="n">
        <v>600</v>
      </c>
      <c r="E1210" s="15" t="n">
        <v>30</v>
      </c>
      <c r="F1210" s="16" t="n">
        <v>0.604879451954714</v>
      </c>
      <c r="G1210" s="17" t="s">
        <v>89</v>
      </c>
      <c r="H1210" s="18" t="n">
        <v>0.3</v>
      </c>
      <c r="I1210" s="18" t="n">
        <v>2</v>
      </c>
      <c r="J1210" s="19" t="n">
        <v>0.870046122176429</v>
      </c>
      <c r="K1210" s="19" t="n">
        <v>0.480618546947368</v>
      </c>
      <c r="L1210" s="16" t="n">
        <v>13.9274123220094</v>
      </c>
      <c r="M1210" s="19" t="n">
        <v>0.798789951129779</v>
      </c>
      <c r="N1210" s="19" t="n">
        <v>0.842935741511867</v>
      </c>
      <c r="O1210" s="19" t="n">
        <v>1.32193194133523</v>
      </c>
      <c r="P1210" s="19" t="n">
        <v>0.518280887156705</v>
      </c>
      <c r="Q1210" s="17" t="s">
        <v>31</v>
      </c>
      <c r="R1210" s="5" t="str">
        <f aca="false">IF(OR(Q1210="Steel plate",Q1210="Concrete jacket"),"Steel plate or jacket",Q1210)</f>
        <v>Polymer laminate</v>
      </c>
      <c r="S1210" s="5" t="str">
        <f aca="false">IF(O1210&lt;='Tree rules'!$C$4,IF(N1210&lt;='Tree rules'!$C$5,IF(P1210&lt;='Tree rules'!$C$6,"Monitor","Polymer laminate"),IF(P1210&lt;='Tree rules'!$C$7,"Seal cracks","Polymer laminate")),IF(O1210&lt;='Tree rules'!$C$8,IF(M1210&lt;='Tree rules'!$C$9,"Steel plate or jacket","Polymer laminate"),IF(L1210&lt;='Tree rules'!$C$10,"Steel plate or jacket","Polymer laminate")))</f>
        <v>Polymer laminate</v>
      </c>
      <c r="T1210" s="5" t="str">
        <f aca="false">IF(S1210=R1210,"Yes","No")</f>
        <v>Yes</v>
      </c>
    </row>
    <row r="1211" customFormat="false" ht="15" hidden="false" customHeight="false" outlineLevel="0" collapsed="false">
      <c r="A1211" s="15" t="n">
        <v>1724</v>
      </c>
      <c r="B1211" s="16" t="n">
        <v>4.82458262212746</v>
      </c>
      <c r="C1211" s="15" t="n">
        <v>300</v>
      </c>
      <c r="D1211" s="15" t="n">
        <v>475</v>
      </c>
      <c r="E1211" s="15" t="n">
        <v>30</v>
      </c>
      <c r="F1211" s="16" t="n">
        <v>0.980981312596345</v>
      </c>
      <c r="G1211" s="17" t="s">
        <v>91</v>
      </c>
      <c r="H1211" s="18" t="n">
        <v>0.2</v>
      </c>
      <c r="I1211" s="18" t="n">
        <v>1.5</v>
      </c>
      <c r="J1211" s="19" t="n">
        <v>0.917459637528634</v>
      </c>
      <c r="K1211" s="19" t="n">
        <v>0.400505946748785</v>
      </c>
      <c r="L1211" s="16" t="n">
        <v>11.2987883422189</v>
      </c>
      <c r="M1211" s="19" t="n">
        <v>0.676802336517823</v>
      </c>
      <c r="N1211" s="19" t="n">
        <v>1.27188171801214</v>
      </c>
      <c r="O1211" s="19" t="n">
        <v>1.19246543592685</v>
      </c>
      <c r="P1211" s="19" t="n">
        <v>0.600805902625455</v>
      </c>
      <c r="Q1211" s="17" t="s">
        <v>31</v>
      </c>
      <c r="R1211" s="5" t="str">
        <f aca="false">IF(OR(Q1211="Steel plate",Q1211="Concrete jacket"),"Steel plate or jacket",Q1211)</f>
        <v>Polymer laminate</v>
      </c>
      <c r="S1211" s="5" t="str">
        <f aca="false">IF(O1211&lt;='Tree rules'!$C$4,IF(N1211&lt;='Tree rules'!$C$5,IF(P1211&lt;='Tree rules'!$C$6,"Monitor","Polymer laminate"),IF(P1211&lt;='Tree rules'!$C$7,"Seal cracks","Polymer laminate")),IF(O1211&lt;='Tree rules'!$C$8,IF(M1211&lt;='Tree rules'!$C$9,"Steel plate or jacket","Polymer laminate"),IF(L1211&lt;='Tree rules'!$C$10,"Steel plate or jacket","Polymer laminate")))</f>
        <v>Polymer laminate</v>
      </c>
      <c r="T1211" s="5" t="str">
        <f aca="false">IF(S1211=R1211,"Yes","No")</f>
        <v>Yes</v>
      </c>
    </row>
    <row r="1212" customFormat="false" ht="15" hidden="false" customHeight="false" outlineLevel="0" collapsed="false">
      <c r="A1212" s="15" t="n">
        <v>1725</v>
      </c>
      <c r="B1212" s="16" t="n">
        <v>6.53460182374141</v>
      </c>
      <c r="C1212" s="15" t="n">
        <v>300</v>
      </c>
      <c r="D1212" s="15" t="n">
        <v>625</v>
      </c>
      <c r="E1212" s="15" t="n">
        <v>25</v>
      </c>
      <c r="F1212" s="16" t="n">
        <v>0.907450217674695</v>
      </c>
      <c r="G1212" s="17" t="s">
        <v>91</v>
      </c>
      <c r="H1212" s="18" t="n">
        <v>0.2</v>
      </c>
      <c r="I1212" s="18" t="n">
        <v>1</v>
      </c>
      <c r="J1212" s="19" t="n">
        <v>0.850704745677113</v>
      </c>
      <c r="K1212" s="19" t="n">
        <v>0.470526260937882</v>
      </c>
      <c r="L1212" s="16" t="n">
        <v>11.3251331433993</v>
      </c>
      <c r="M1212" s="19" t="n">
        <v>0.934625108463109</v>
      </c>
      <c r="N1212" s="19" t="n">
        <v>0.745388400907887</v>
      </c>
      <c r="O1212" s="19" t="n">
        <v>0.850704745677113</v>
      </c>
      <c r="P1212" s="19" t="n">
        <v>0.409223658127266</v>
      </c>
      <c r="Q1212" s="17" t="s">
        <v>29</v>
      </c>
      <c r="R1212" s="5" t="str">
        <f aca="false">IF(OR(Q1212="Steel plate",Q1212="Concrete jacket"),"Steel plate or jacket",Q1212)</f>
        <v>Monitor</v>
      </c>
      <c r="S1212" s="5" t="str">
        <f aca="false">IF(O1212&lt;='Tree rules'!$C$4,IF(N1212&lt;='Tree rules'!$C$5,IF(P1212&lt;='Tree rules'!$C$6,"Monitor","Polymer laminate"),IF(P1212&lt;='Tree rules'!$C$7,"Seal cracks","Polymer laminate")),IF(O1212&lt;='Tree rules'!$C$8,IF(M1212&lt;='Tree rules'!$C$9,"Steel plate or jacket","Polymer laminate"),IF(L1212&lt;='Tree rules'!$C$10,"Steel plate or jacket","Polymer laminate")))</f>
        <v>Monitor</v>
      </c>
      <c r="T1212" s="5" t="str">
        <f aca="false">IF(S1212=R1212,"Yes","No")</f>
        <v>Yes</v>
      </c>
    </row>
    <row r="1213" customFormat="false" ht="15" hidden="false" customHeight="false" outlineLevel="0" collapsed="false">
      <c r="A1213" s="15" t="n">
        <v>1727</v>
      </c>
      <c r="B1213" s="16" t="n">
        <v>3.3382611856738</v>
      </c>
      <c r="C1213" s="15" t="n">
        <v>300</v>
      </c>
      <c r="D1213" s="15" t="n">
        <v>300</v>
      </c>
      <c r="E1213" s="15" t="n">
        <v>25</v>
      </c>
      <c r="F1213" s="16" t="n">
        <v>0.883711013668015</v>
      </c>
      <c r="G1213" s="17" t="s">
        <v>90</v>
      </c>
      <c r="H1213" s="18" t="n">
        <v>0.1</v>
      </c>
      <c r="I1213" s="18" t="n">
        <v>1.5</v>
      </c>
      <c r="J1213" s="19" t="n">
        <v>0.904057340212666</v>
      </c>
      <c r="K1213" s="19" t="n">
        <v>0.585422628908024</v>
      </c>
      <c r="L1213" s="16" t="n">
        <v>14.0854902349106</v>
      </c>
      <c r="M1213" s="19" t="n">
        <v>0.928255611320954</v>
      </c>
      <c r="N1213" s="19" t="n">
        <v>3.79877914767267</v>
      </c>
      <c r="O1213" s="19" t="n">
        <v>1.09145819792355</v>
      </c>
      <c r="P1213" s="19" t="n">
        <v>0.417981893727052</v>
      </c>
      <c r="Q1213" s="17" t="s">
        <v>31</v>
      </c>
      <c r="R1213" s="5" t="str">
        <f aca="false">IF(OR(Q1213="Steel plate",Q1213="Concrete jacket"),"Steel plate or jacket",Q1213)</f>
        <v>Polymer laminate</v>
      </c>
      <c r="S1213" s="5" t="str">
        <f aca="false">IF(O1213&lt;='Tree rules'!$C$4,IF(N1213&lt;='Tree rules'!$C$5,IF(P1213&lt;='Tree rules'!$C$6,"Monitor","Polymer laminate"),IF(P1213&lt;='Tree rules'!$C$7,"Seal cracks","Polymer laminate")),IF(O1213&lt;='Tree rules'!$C$8,IF(M1213&lt;='Tree rules'!$C$9,"Steel plate or jacket","Polymer laminate"),IF(L1213&lt;='Tree rules'!$C$10,"Steel plate or jacket","Polymer laminate")))</f>
        <v>Polymer laminate</v>
      </c>
      <c r="T1213" s="5" t="str">
        <f aca="false">IF(S1213=R1213,"Yes","No")</f>
        <v>Yes</v>
      </c>
    </row>
    <row r="1214" customFormat="false" ht="15" hidden="false" customHeight="false" outlineLevel="0" collapsed="false">
      <c r="A1214" s="15" t="n">
        <v>1729</v>
      </c>
      <c r="B1214" s="16" t="n">
        <v>3.14924803281698</v>
      </c>
      <c r="C1214" s="15" t="n">
        <v>230</v>
      </c>
      <c r="D1214" s="15" t="n">
        <v>300</v>
      </c>
      <c r="E1214" s="15" t="n">
        <v>30</v>
      </c>
      <c r="F1214" s="16" t="n">
        <v>0.688332522525665</v>
      </c>
      <c r="G1214" s="17" t="s">
        <v>91</v>
      </c>
      <c r="H1214" s="18" t="n">
        <v>0.2</v>
      </c>
      <c r="I1214" s="18" t="n">
        <v>1</v>
      </c>
      <c r="J1214" s="19" t="n">
        <v>0.948382166558924</v>
      </c>
      <c r="K1214" s="19" t="n">
        <v>0.43521695481903</v>
      </c>
      <c r="L1214" s="16" t="n">
        <v>12.3986143024291</v>
      </c>
      <c r="M1214" s="19" t="n">
        <v>0.757519425704595</v>
      </c>
      <c r="N1214" s="19" t="n">
        <v>1.26709990791024</v>
      </c>
      <c r="O1214" s="19" t="n">
        <v>0.948382166558924</v>
      </c>
      <c r="P1214" s="19" t="n">
        <v>0.33807618645773</v>
      </c>
      <c r="Q1214" s="17" t="s">
        <v>30</v>
      </c>
      <c r="R1214" s="5" t="str">
        <f aca="false">IF(OR(Q1214="Steel plate",Q1214="Concrete jacket"),"Steel plate or jacket",Q1214)</f>
        <v>Seal cracks</v>
      </c>
      <c r="S1214" s="5" t="str">
        <f aca="false">IF(O1214&lt;='Tree rules'!$C$4,IF(N1214&lt;='Tree rules'!$C$5,IF(P1214&lt;='Tree rules'!$C$6,"Monitor","Polymer laminate"),IF(P1214&lt;='Tree rules'!$C$7,"Seal cracks","Polymer laminate")),IF(O1214&lt;='Tree rules'!$C$8,IF(M1214&lt;='Tree rules'!$C$9,"Steel plate or jacket","Polymer laminate"),IF(L1214&lt;='Tree rules'!$C$10,"Steel plate or jacket","Polymer laminate")))</f>
        <v>Seal cracks</v>
      </c>
      <c r="T1214" s="5" t="str">
        <f aca="false">IF(S1214=R1214,"Yes","No")</f>
        <v>Yes</v>
      </c>
    </row>
    <row r="1215" customFormat="false" ht="15" hidden="false" customHeight="false" outlineLevel="0" collapsed="false">
      <c r="A1215" s="15" t="n">
        <v>1730</v>
      </c>
      <c r="B1215" s="16" t="n">
        <v>4.87371336670082</v>
      </c>
      <c r="C1215" s="15" t="n">
        <v>300</v>
      </c>
      <c r="D1215" s="15" t="n">
        <v>450</v>
      </c>
      <c r="E1215" s="15" t="n">
        <v>30</v>
      </c>
      <c r="F1215" s="16" t="n">
        <v>1.04198761313094</v>
      </c>
      <c r="G1215" s="17" t="s">
        <v>89</v>
      </c>
      <c r="H1215" s="18" t="n">
        <v>0.3</v>
      </c>
      <c r="I1215" s="18" t="n">
        <v>2</v>
      </c>
      <c r="J1215" s="19" t="n">
        <v>0.859673784883527</v>
      </c>
      <c r="K1215" s="19" t="n">
        <v>0.516815326308036</v>
      </c>
      <c r="L1215" s="16" t="n">
        <v>12.1236650912956</v>
      </c>
      <c r="M1215" s="19" t="n">
        <v>0.597606787296281</v>
      </c>
      <c r="N1215" s="19" t="n">
        <v>0.920210348793284</v>
      </c>
      <c r="O1215" s="19" t="n">
        <v>1.27505498211401</v>
      </c>
      <c r="P1215" s="19" t="n">
        <v>0.820722063163391</v>
      </c>
      <c r="Q1215" s="17" t="s">
        <v>31</v>
      </c>
      <c r="R1215" s="5" t="str">
        <f aca="false">IF(OR(Q1215="Steel plate",Q1215="Concrete jacket"),"Steel plate or jacket",Q1215)</f>
        <v>Polymer laminate</v>
      </c>
      <c r="S1215" s="5" t="str">
        <f aca="false">IF(O1215&lt;='Tree rules'!$C$4,IF(N1215&lt;='Tree rules'!$C$5,IF(P1215&lt;='Tree rules'!$C$6,"Monitor","Polymer laminate"),IF(P1215&lt;='Tree rules'!$C$7,"Seal cracks","Polymer laminate")),IF(O1215&lt;='Tree rules'!$C$8,IF(M1215&lt;='Tree rules'!$C$9,"Steel plate or jacket","Polymer laminate"),IF(L1215&lt;='Tree rules'!$C$10,"Steel plate or jacket","Polymer laminate")))</f>
        <v>Polymer laminate</v>
      </c>
      <c r="T1215" s="5" t="str">
        <f aca="false">IF(S1215=R1215,"Yes","No")</f>
        <v>Yes</v>
      </c>
    </row>
    <row r="1216" customFormat="false" ht="15" hidden="false" customHeight="false" outlineLevel="0" collapsed="false">
      <c r="A1216" s="15" t="n">
        <v>1731</v>
      </c>
      <c r="B1216" s="16" t="n">
        <v>3.18880317951948</v>
      </c>
      <c r="C1216" s="15" t="n">
        <v>230</v>
      </c>
      <c r="D1216" s="15" t="n">
        <v>300</v>
      </c>
      <c r="E1216" s="15" t="n">
        <v>25</v>
      </c>
      <c r="F1216" s="16" t="n">
        <v>0.688332522525665</v>
      </c>
      <c r="G1216" s="17" t="s">
        <v>89</v>
      </c>
      <c r="H1216" s="18" t="n">
        <v>0.3</v>
      </c>
      <c r="I1216" s="18" t="n">
        <v>1</v>
      </c>
      <c r="J1216" s="19" t="n">
        <v>0.894567479862291</v>
      </c>
      <c r="K1216" s="19" t="n">
        <v>0.607125173041969</v>
      </c>
      <c r="L1216" s="16" t="n">
        <v>12.5543432264546</v>
      </c>
      <c r="M1216" s="19" t="n">
        <v>0.430914763353251</v>
      </c>
      <c r="N1216" s="19" t="n">
        <v>0.851956348994029</v>
      </c>
      <c r="O1216" s="19" t="n">
        <v>0.894567479862291</v>
      </c>
      <c r="P1216" s="19" t="n">
        <v>0.66798642415344</v>
      </c>
      <c r="Q1216" s="17" t="s">
        <v>29</v>
      </c>
      <c r="R1216" s="5" t="str">
        <f aca="false">IF(OR(Q1216="Steel plate",Q1216="Concrete jacket"),"Steel plate or jacket",Q1216)</f>
        <v>Monitor</v>
      </c>
      <c r="S1216" s="5" t="str">
        <f aca="false">IF(O1216&lt;='Tree rules'!$C$4,IF(N1216&lt;='Tree rules'!$C$5,IF(P1216&lt;='Tree rules'!$C$6,"Monitor","Polymer laminate"),IF(P1216&lt;='Tree rules'!$C$7,"Seal cracks","Polymer laminate")),IF(O1216&lt;='Tree rules'!$C$8,IF(M1216&lt;='Tree rules'!$C$9,"Steel plate or jacket","Polymer laminate"),IF(L1216&lt;='Tree rules'!$C$10,"Steel plate or jacket","Polymer laminate")))</f>
        <v>Monitor</v>
      </c>
      <c r="T1216" s="5" t="str">
        <f aca="false">IF(S1216=R1216,"Yes","No")</f>
        <v>Yes</v>
      </c>
    </row>
    <row r="1217" customFormat="false" ht="15" hidden="false" customHeight="false" outlineLevel="0" collapsed="false">
      <c r="A1217" s="15" t="n">
        <v>1732</v>
      </c>
      <c r="B1217" s="16" t="n">
        <v>4.81965548373891</v>
      </c>
      <c r="C1217" s="15" t="n">
        <v>300</v>
      </c>
      <c r="D1217" s="15" t="n">
        <v>475</v>
      </c>
      <c r="E1217" s="15" t="n">
        <v>25</v>
      </c>
      <c r="F1217" s="16" t="n">
        <v>0.937351654217934</v>
      </c>
      <c r="G1217" s="17" t="s">
        <v>91</v>
      </c>
      <c r="H1217" s="18" t="n">
        <v>0.2</v>
      </c>
      <c r="I1217" s="18" t="n">
        <v>1</v>
      </c>
      <c r="J1217" s="19" t="n">
        <v>0.876974962860423</v>
      </c>
      <c r="K1217" s="19" t="n">
        <v>0.574634954837079</v>
      </c>
      <c r="L1217" s="16" t="n">
        <v>11.2346281672236</v>
      </c>
      <c r="M1217" s="19" t="n">
        <v>0.430810449649395</v>
      </c>
      <c r="N1217" s="19" t="n">
        <v>0.848293252406172</v>
      </c>
      <c r="O1217" s="19" t="n">
        <v>0.876974962860423</v>
      </c>
      <c r="P1217" s="19" t="n">
        <v>0.881877176130464</v>
      </c>
      <c r="Q1217" s="17" t="s">
        <v>29</v>
      </c>
      <c r="R1217" s="5" t="str">
        <f aca="false">IF(OR(Q1217="Steel plate",Q1217="Concrete jacket"),"Steel plate or jacket",Q1217)</f>
        <v>Monitor</v>
      </c>
      <c r="S1217" s="5" t="str">
        <f aca="false">IF(O1217&lt;='Tree rules'!$C$4,IF(N1217&lt;='Tree rules'!$C$5,IF(P1217&lt;='Tree rules'!$C$6,"Monitor","Polymer laminate"),IF(P1217&lt;='Tree rules'!$C$7,"Seal cracks","Polymer laminate")),IF(O1217&lt;='Tree rules'!$C$8,IF(M1217&lt;='Tree rules'!$C$9,"Steel plate or jacket","Polymer laminate"),IF(L1217&lt;='Tree rules'!$C$10,"Steel plate or jacket","Polymer laminate")))</f>
        <v>Monitor</v>
      </c>
      <c r="T1217" s="5" t="str">
        <f aca="false">IF(S1217=R1217,"Yes","No")</f>
        <v>Yes</v>
      </c>
    </row>
    <row r="1218" customFormat="false" ht="15" hidden="false" customHeight="false" outlineLevel="0" collapsed="false">
      <c r="A1218" s="15" t="n">
        <v>1733</v>
      </c>
      <c r="B1218" s="16" t="n">
        <v>4.64086053929313</v>
      </c>
      <c r="C1218" s="15" t="n">
        <v>230</v>
      </c>
      <c r="D1218" s="15" t="n">
        <v>425</v>
      </c>
      <c r="E1218" s="15" t="n">
        <v>20</v>
      </c>
      <c r="F1218" s="16" t="n">
        <v>0.691964884122107</v>
      </c>
      <c r="G1218" s="17" t="s">
        <v>89</v>
      </c>
      <c r="H1218" s="18" t="n">
        <v>0.3</v>
      </c>
      <c r="I1218" s="18" t="n">
        <v>1.5</v>
      </c>
      <c r="J1218" s="19" t="n">
        <v>0.934349200344206</v>
      </c>
      <c r="K1218" s="19" t="n">
        <v>0.457592028599306</v>
      </c>
      <c r="L1218" s="16" t="n">
        <v>12.2450146155492</v>
      </c>
      <c r="M1218" s="19" t="n">
        <v>0.374593812974566</v>
      </c>
      <c r="N1218" s="19" t="n">
        <v>0.889085592452327</v>
      </c>
      <c r="O1218" s="19" t="n">
        <v>1.18774842751349</v>
      </c>
      <c r="P1218" s="19" t="n">
        <v>1.0032266910862</v>
      </c>
      <c r="Q1218" s="17" t="s">
        <v>31</v>
      </c>
      <c r="R1218" s="5" t="str">
        <f aca="false">IF(OR(Q1218="Steel plate",Q1218="Concrete jacket"),"Steel plate or jacket",Q1218)</f>
        <v>Polymer laminate</v>
      </c>
      <c r="S1218" s="5" t="str">
        <f aca="false">IF(O1218&lt;='Tree rules'!$C$4,IF(N1218&lt;='Tree rules'!$C$5,IF(P1218&lt;='Tree rules'!$C$6,"Monitor","Polymer laminate"),IF(P1218&lt;='Tree rules'!$C$7,"Seal cracks","Polymer laminate")),IF(O1218&lt;='Tree rules'!$C$8,IF(M1218&lt;='Tree rules'!$C$9,"Steel plate or jacket","Polymer laminate"),IF(L1218&lt;='Tree rules'!$C$10,"Steel plate or jacket","Polymer laminate")))</f>
        <v>Polymer laminate</v>
      </c>
      <c r="T1218" s="5" t="str">
        <f aca="false">IF(S1218=R1218,"Yes","No")</f>
        <v>Yes</v>
      </c>
    </row>
    <row r="1219" customFormat="false" ht="15" hidden="false" customHeight="false" outlineLevel="0" collapsed="false">
      <c r="A1219" s="15" t="n">
        <v>1734</v>
      </c>
      <c r="B1219" s="16" t="n">
        <v>5.26702853681267</v>
      </c>
      <c r="C1219" s="15" t="n">
        <v>300</v>
      </c>
      <c r="D1219" s="15" t="n">
        <v>450</v>
      </c>
      <c r="E1219" s="15" t="n">
        <v>30</v>
      </c>
      <c r="F1219" s="16" t="n">
        <v>0.663570725510715</v>
      </c>
      <c r="G1219" s="17" t="s">
        <v>91</v>
      </c>
      <c r="H1219" s="18" t="n">
        <v>0.2</v>
      </c>
      <c r="I1219" s="18" t="n">
        <v>2</v>
      </c>
      <c r="J1219" s="19" t="n">
        <v>0.897395565214609</v>
      </c>
      <c r="K1219" s="19" t="n">
        <v>0.457661191358685</v>
      </c>
      <c r="L1219" s="16" t="n">
        <v>13.0371993485462</v>
      </c>
      <c r="M1219" s="19" t="n">
        <v>0.741044712991146</v>
      </c>
      <c r="N1219" s="19" t="n">
        <v>1.48531895845191</v>
      </c>
      <c r="O1219" s="19" t="n">
        <v>1.3840880069331</v>
      </c>
      <c r="P1219" s="19" t="n">
        <v>0.528194470333394</v>
      </c>
      <c r="Q1219" s="17" t="s">
        <v>31</v>
      </c>
      <c r="R1219" s="5" t="str">
        <f aca="false">IF(OR(Q1219="Steel plate",Q1219="Concrete jacket"),"Steel plate or jacket",Q1219)</f>
        <v>Polymer laminate</v>
      </c>
      <c r="S1219" s="5" t="str">
        <f aca="false">IF(O1219&lt;='Tree rules'!$C$4,IF(N1219&lt;='Tree rules'!$C$5,IF(P1219&lt;='Tree rules'!$C$6,"Monitor","Polymer laminate"),IF(P1219&lt;='Tree rules'!$C$7,"Seal cracks","Polymer laminate")),IF(O1219&lt;='Tree rules'!$C$8,IF(M1219&lt;='Tree rules'!$C$9,"Steel plate or jacket","Polymer laminate"),IF(L1219&lt;='Tree rules'!$C$10,"Steel plate or jacket","Polymer laminate")))</f>
        <v>Polymer laminate</v>
      </c>
      <c r="T1219" s="5" t="str">
        <f aca="false">IF(S1219=R1219,"Yes","No")</f>
        <v>Yes</v>
      </c>
    </row>
    <row r="1220" customFormat="false" ht="15" hidden="false" customHeight="false" outlineLevel="0" collapsed="false">
      <c r="A1220" s="15" t="n">
        <v>1735</v>
      </c>
      <c r="B1220" s="16" t="n">
        <v>3.18481036505125</v>
      </c>
      <c r="C1220" s="15" t="n">
        <v>230</v>
      </c>
      <c r="D1220" s="15" t="n">
        <v>300</v>
      </c>
      <c r="E1220" s="15" t="n">
        <v>25</v>
      </c>
      <c r="F1220" s="16" t="n">
        <v>0.768324290280112</v>
      </c>
      <c r="G1220" s="17" t="s">
        <v>89</v>
      </c>
      <c r="H1220" s="18" t="n">
        <v>0.3</v>
      </c>
      <c r="I1220" s="18" t="n">
        <v>1.5</v>
      </c>
      <c r="J1220" s="19" t="n">
        <v>0.894456775768096</v>
      </c>
      <c r="K1220" s="19" t="n">
        <v>0.412739612013853</v>
      </c>
      <c r="L1220" s="16" t="n">
        <v>12.4406654884815</v>
      </c>
      <c r="M1220" s="19" t="n">
        <v>0.616611357226081</v>
      </c>
      <c r="N1220" s="19" t="n">
        <v>0.790538384124686</v>
      </c>
      <c r="O1220" s="19" t="n">
        <v>1.1570962923553</v>
      </c>
      <c r="P1220" s="19" t="n">
        <v>0.527302314939914</v>
      </c>
      <c r="Q1220" s="17" t="s">
        <v>31</v>
      </c>
      <c r="R1220" s="5" t="str">
        <f aca="false">IF(OR(Q1220="Steel plate",Q1220="Concrete jacket"),"Steel plate or jacket",Q1220)</f>
        <v>Polymer laminate</v>
      </c>
      <c r="S1220" s="5" t="str">
        <f aca="false">IF(O1220&lt;='Tree rules'!$C$4,IF(N1220&lt;='Tree rules'!$C$5,IF(P1220&lt;='Tree rules'!$C$6,"Monitor","Polymer laminate"),IF(P1220&lt;='Tree rules'!$C$7,"Seal cracks","Polymer laminate")),IF(O1220&lt;='Tree rules'!$C$8,IF(M1220&lt;='Tree rules'!$C$9,"Steel plate or jacket","Polymer laminate"),IF(L1220&lt;='Tree rules'!$C$10,"Steel plate or jacket","Polymer laminate")))</f>
        <v>Polymer laminate</v>
      </c>
      <c r="T1220" s="5" t="str">
        <f aca="false">IF(S1220=R1220,"Yes","No")</f>
        <v>Yes</v>
      </c>
    </row>
    <row r="1221" customFormat="false" ht="15" hidden="false" customHeight="false" outlineLevel="0" collapsed="false">
      <c r="A1221" s="15" t="n">
        <v>1736</v>
      </c>
      <c r="B1221" s="16" t="n">
        <v>4.14909413733937</v>
      </c>
      <c r="C1221" s="15" t="n">
        <v>300</v>
      </c>
      <c r="D1221" s="15" t="n">
        <v>400</v>
      </c>
      <c r="E1221" s="15" t="n">
        <v>25</v>
      </c>
      <c r="F1221" s="16" t="n">
        <v>0.790804050461148</v>
      </c>
      <c r="G1221" s="17" t="s">
        <v>90</v>
      </c>
      <c r="H1221" s="18" t="n">
        <v>0.1</v>
      </c>
      <c r="I1221" s="18" t="n">
        <v>2</v>
      </c>
      <c r="J1221" s="19" t="n">
        <v>0.974396957762628</v>
      </c>
      <c r="K1221" s="19" t="n">
        <v>0.426881139928609</v>
      </c>
      <c r="L1221" s="16" t="n">
        <v>12.2392157443639</v>
      </c>
      <c r="M1221" s="19" t="n">
        <v>0.965448411108985</v>
      </c>
      <c r="N1221" s="19" t="n">
        <v>4.17470008868869</v>
      </c>
      <c r="O1221" s="19" t="n">
        <v>1.53284223145258</v>
      </c>
      <c r="P1221" s="19" t="n">
        <v>0.43723503620319</v>
      </c>
      <c r="Q1221" s="17" t="s">
        <v>31</v>
      </c>
      <c r="R1221" s="5" t="str">
        <f aca="false">IF(OR(Q1221="Steel plate",Q1221="Concrete jacket"),"Steel plate or jacket",Q1221)</f>
        <v>Polymer laminate</v>
      </c>
      <c r="S1221" s="5" t="str">
        <f aca="false">IF(O1221&lt;='Tree rules'!$C$4,IF(N1221&lt;='Tree rules'!$C$5,IF(P1221&lt;='Tree rules'!$C$6,"Monitor","Polymer laminate"),IF(P1221&lt;='Tree rules'!$C$7,"Seal cracks","Polymer laminate")),IF(O1221&lt;='Tree rules'!$C$8,IF(M1221&lt;='Tree rules'!$C$9,"Steel plate or jacket","Polymer laminate"),IF(L1221&lt;='Tree rules'!$C$10,"Steel plate or jacket","Polymer laminate")))</f>
        <v>Steel plate or jacket</v>
      </c>
      <c r="T1221" s="5" t="str">
        <f aca="false">IF(S1221=R1221,"Yes","No")</f>
        <v>No</v>
      </c>
    </row>
    <row r="1222" customFormat="false" ht="15" hidden="false" customHeight="false" outlineLevel="0" collapsed="false">
      <c r="A1222" s="15" t="n">
        <v>1737</v>
      </c>
      <c r="B1222" s="16" t="n">
        <v>4.64878968919004</v>
      </c>
      <c r="C1222" s="15" t="n">
        <v>230</v>
      </c>
      <c r="D1222" s="15" t="n">
        <v>400</v>
      </c>
      <c r="E1222" s="15" t="n">
        <v>25</v>
      </c>
      <c r="F1222" s="16" t="n">
        <v>0.576806505312929</v>
      </c>
      <c r="G1222" s="17" t="s">
        <v>90</v>
      </c>
      <c r="H1222" s="18" t="n">
        <v>0.1</v>
      </c>
      <c r="I1222" s="18" t="n">
        <v>1.5</v>
      </c>
      <c r="J1222" s="19" t="n">
        <v>0.998641223997451</v>
      </c>
      <c r="K1222" s="19" t="n">
        <v>0.604966360848413</v>
      </c>
      <c r="L1222" s="16" t="n">
        <v>13.6328143378007</v>
      </c>
      <c r="M1222" s="19" t="n">
        <v>0.516104635592674</v>
      </c>
      <c r="N1222" s="19" t="n">
        <v>3.22420865978255</v>
      </c>
      <c r="O1222" s="19" t="n">
        <v>1.19588966245871</v>
      </c>
      <c r="P1222" s="19" t="n">
        <v>0.655892720003544</v>
      </c>
      <c r="Q1222" s="17" t="s">
        <v>31</v>
      </c>
      <c r="R1222" s="5" t="str">
        <f aca="false">IF(OR(Q1222="Steel plate",Q1222="Concrete jacket"),"Steel plate or jacket",Q1222)</f>
        <v>Polymer laminate</v>
      </c>
      <c r="S1222" s="5" t="str">
        <f aca="false">IF(O1222&lt;='Tree rules'!$C$4,IF(N1222&lt;='Tree rules'!$C$5,IF(P1222&lt;='Tree rules'!$C$6,"Monitor","Polymer laminate"),IF(P1222&lt;='Tree rules'!$C$7,"Seal cracks","Polymer laminate")),IF(O1222&lt;='Tree rules'!$C$8,IF(M1222&lt;='Tree rules'!$C$9,"Steel plate or jacket","Polymer laminate"),IF(L1222&lt;='Tree rules'!$C$10,"Steel plate or jacket","Polymer laminate")))</f>
        <v>Polymer laminate</v>
      </c>
      <c r="T1222" s="5" t="str">
        <f aca="false">IF(S1222=R1222,"Yes","No")</f>
        <v>Yes</v>
      </c>
    </row>
    <row r="1223" customFormat="false" ht="15" hidden="false" customHeight="false" outlineLevel="0" collapsed="false">
      <c r="A1223" s="15" t="n">
        <v>1738</v>
      </c>
      <c r="B1223" s="16" t="n">
        <v>5.92051496133541</v>
      </c>
      <c r="C1223" s="15" t="n">
        <v>230</v>
      </c>
      <c r="D1223" s="15" t="n">
        <v>550</v>
      </c>
      <c r="E1223" s="15" t="n">
        <v>30</v>
      </c>
      <c r="F1223" s="16" t="n">
        <v>0.560948603444298</v>
      </c>
      <c r="G1223" s="17" t="s">
        <v>90</v>
      </c>
      <c r="H1223" s="18" t="n">
        <v>0.1</v>
      </c>
      <c r="I1223" s="18" t="n">
        <v>2</v>
      </c>
      <c r="J1223" s="19" t="n">
        <v>0.915741706369422</v>
      </c>
      <c r="K1223" s="19" t="n">
        <v>0.55454719446995</v>
      </c>
      <c r="L1223" s="16" t="n">
        <v>12.1571149103396</v>
      </c>
      <c r="M1223" s="19" t="n">
        <v>0.220875813197736</v>
      </c>
      <c r="N1223" s="19" t="n">
        <v>4.42990071472323</v>
      </c>
      <c r="O1223" s="19" t="n">
        <v>1.32366141861256</v>
      </c>
      <c r="P1223" s="19" t="n">
        <v>1.33637256104587</v>
      </c>
      <c r="Q1223" s="17" t="s">
        <v>31</v>
      </c>
      <c r="R1223" s="5" t="str">
        <f aca="false">IF(OR(Q1223="Steel plate",Q1223="Concrete jacket"),"Steel plate or jacket",Q1223)</f>
        <v>Polymer laminate</v>
      </c>
      <c r="S1223" s="5" t="str">
        <f aca="false">IF(O1223&lt;='Tree rules'!$C$4,IF(N1223&lt;='Tree rules'!$C$5,IF(P1223&lt;='Tree rules'!$C$6,"Monitor","Polymer laminate"),IF(P1223&lt;='Tree rules'!$C$7,"Seal cracks","Polymer laminate")),IF(O1223&lt;='Tree rules'!$C$8,IF(M1223&lt;='Tree rules'!$C$9,"Steel plate or jacket","Polymer laminate"),IF(L1223&lt;='Tree rules'!$C$10,"Steel plate or jacket","Polymer laminate")))</f>
        <v>Steel plate or jacket</v>
      </c>
      <c r="T1223" s="5" t="str">
        <f aca="false">IF(S1223=R1223,"Yes","No")</f>
        <v>No</v>
      </c>
    </row>
    <row r="1224" customFormat="false" ht="15" hidden="false" customHeight="false" outlineLevel="0" collapsed="false">
      <c r="A1224" s="15" t="n">
        <v>1739</v>
      </c>
      <c r="B1224" s="16" t="n">
        <v>4.19751378094172</v>
      </c>
      <c r="C1224" s="15" t="n">
        <v>300</v>
      </c>
      <c r="D1224" s="15" t="n">
        <v>375</v>
      </c>
      <c r="E1224" s="15" t="n">
        <v>25</v>
      </c>
      <c r="F1224" s="16" t="n">
        <v>0.814840647739602</v>
      </c>
      <c r="G1224" s="17" t="s">
        <v>89</v>
      </c>
      <c r="H1224" s="18" t="n">
        <v>0.3</v>
      </c>
      <c r="I1224" s="18" t="n">
        <v>1</v>
      </c>
      <c r="J1224" s="19" t="n">
        <v>0.852398032781272</v>
      </c>
      <c r="K1224" s="19" t="n">
        <v>0.592080647711634</v>
      </c>
      <c r="L1224" s="16" t="n">
        <v>12.7584005499748</v>
      </c>
      <c r="M1224" s="19" t="n">
        <v>0.514069154938837</v>
      </c>
      <c r="N1224" s="19" t="n">
        <v>0.622856168948798</v>
      </c>
      <c r="O1224" s="19" t="n">
        <v>0.852398032781272</v>
      </c>
      <c r="P1224" s="19" t="n">
        <v>0.70268502344011</v>
      </c>
      <c r="Q1224" s="17" t="s">
        <v>29</v>
      </c>
      <c r="R1224" s="5" t="str">
        <f aca="false">IF(OR(Q1224="Steel plate",Q1224="Concrete jacket"),"Steel plate or jacket",Q1224)</f>
        <v>Monitor</v>
      </c>
      <c r="S1224" s="5" t="str">
        <f aca="false">IF(O1224&lt;='Tree rules'!$C$4,IF(N1224&lt;='Tree rules'!$C$5,IF(P1224&lt;='Tree rules'!$C$6,"Monitor","Polymer laminate"),IF(P1224&lt;='Tree rules'!$C$7,"Seal cracks","Polymer laminate")),IF(O1224&lt;='Tree rules'!$C$8,IF(M1224&lt;='Tree rules'!$C$9,"Steel plate or jacket","Polymer laminate"),IF(L1224&lt;='Tree rules'!$C$10,"Steel plate or jacket","Polymer laminate")))</f>
        <v>Monitor</v>
      </c>
      <c r="T1224" s="5" t="str">
        <f aca="false">IF(S1224=R1224,"Yes","No")</f>
        <v>Yes</v>
      </c>
    </row>
    <row r="1225" customFormat="false" ht="15" hidden="false" customHeight="false" outlineLevel="0" collapsed="false">
      <c r="A1225" s="15" t="n">
        <v>1740</v>
      </c>
      <c r="B1225" s="16" t="n">
        <v>4.88788758220654</v>
      </c>
      <c r="C1225" s="15" t="n">
        <v>300</v>
      </c>
      <c r="D1225" s="15" t="n">
        <v>425</v>
      </c>
      <c r="E1225" s="15" t="n">
        <v>30</v>
      </c>
      <c r="F1225" s="16" t="n">
        <v>0.707341881547042</v>
      </c>
      <c r="G1225" s="17" t="s">
        <v>91</v>
      </c>
      <c r="H1225" s="18" t="n">
        <v>0.2</v>
      </c>
      <c r="I1225" s="18" t="n">
        <v>1</v>
      </c>
      <c r="J1225" s="19" t="n">
        <v>0.911646475768202</v>
      </c>
      <c r="K1225" s="19" t="n">
        <v>0.477004151268392</v>
      </c>
      <c r="L1225" s="16" t="n">
        <v>12.8968010084605</v>
      </c>
      <c r="M1225" s="19" t="n">
        <v>0.756564935528213</v>
      </c>
      <c r="N1225" s="19" t="n">
        <v>0.94375584479808</v>
      </c>
      <c r="O1225" s="19" t="n">
        <v>0.911646475768201</v>
      </c>
      <c r="P1225" s="19" t="n">
        <v>0.428895094653512</v>
      </c>
      <c r="Q1225" s="17" t="s">
        <v>29</v>
      </c>
      <c r="R1225" s="5" t="str">
        <f aca="false">IF(OR(Q1225="Steel plate",Q1225="Concrete jacket"),"Steel plate or jacket",Q1225)</f>
        <v>Monitor</v>
      </c>
      <c r="S1225" s="5" t="str">
        <f aca="false">IF(O1225&lt;='Tree rules'!$C$4,IF(N1225&lt;='Tree rules'!$C$5,IF(P1225&lt;='Tree rules'!$C$6,"Monitor","Polymer laminate"),IF(P1225&lt;='Tree rules'!$C$7,"Seal cracks","Polymer laminate")),IF(O1225&lt;='Tree rules'!$C$8,IF(M1225&lt;='Tree rules'!$C$9,"Steel plate or jacket","Polymer laminate"),IF(L1225&lt;='Tree rules'!$C$10,"Steel plate or jacket","Polymer laminate")))</f>
        <v>Monitor</v>
      </c>
      <c r="T1225" s="5" t="str">
        <f aca="false">IF(S1225=R1225,"Yes","No")</f>
        <v>Yes</v>
      </c>
    </row>
    <row r="1226" customFormat="false" ht="15" hidden="false" customHeight="false" outlineLevel="0" collapsed="false">
      <c r="A1226" s="15" t="n">
        <v>1743</v>
      </c>
      <c r="B1226" s="16" t="n">
        <v>6.53269229661281</v>
      </c>
      <c r="C1226" s="15" t="n">
        <v>230</v>
      </c>
      <c r="D1226" s="15" t="n">
        <v>650</v>
      </c>
      <c r="E1226" s="15" t="n">
        <v>25</v>
      </c>
      <c r="F1226" s="16" t="n">
        <v>0.680685971455249</v>
      </c>
      <c r="G1226" s="17" t="s">
        <v>89</v>
      </c>
      <c r="H1226" s="18" t="n">
        <v>0.3</v>
      </c>
      <c r="I1226" s="18" t="n">
        <v>1</v>
      </c>
      <c r="J1226" s="19" t="n">
        <v>0.895405774965589</v>
      </c>
      <c r="K1226" s="19" t="n">
        <v>0.475724991036904</v>
      </c>
      <c r="L1226" s="16" t="n">
        <v>10.8516483332439</v>
      </c>
      <c r="M1226" s="19" t="n">
        <v>0.770789336654285</v>
      </c>
      <c r="N1226" s="19" t="n">
        <v>0.586861570338014</v>
      </c>
      <c r="O1226" s="19" t="n">
        <v>0.895405774965589</v>
      </c>
      <c r="P1226" s="19" t="n">
        <v>0.396887990692502</v>
      </c>
      <c r="Q1226" s="17" t="s">
        <v>29</v>
      </c>
      <c r="R1226" s="5" t="str">
        <f aca="false">IF(OR(Q1226="Steel plate",Q1226="Concrete jacket"),"Steel plate or jacket",Q1226)</f>
        <v>Monitor</v>
      </c>
      <c r="S1226" s="5" t="str">
        <f aca="false">IF(O1226&lt;='Tree rules'!$C$4,IF(N1226&lt;='Tree rules'!$C$5,IF(P1226&lt;='Tree rules'!$C$6,"Monitor","Polymer laminate"),IF(P1226&lt;='Tree rules'!$C$7,"Seal cracks","Polymer laminate")),IF(O1226&lt;='Tree rules'!$C$8,IF(M1226&lt;='Tree rules'!$C$9,"Steel plate or jacket","Polymer laminate"),IF(L1226&lt;='Tree rules'!$C$10,"Steel plate or jacket","Polymer laminate")))</f>
        <v>Monitor</v>
      </c>
      <c r="T1226" s="5" t="str">
        <f aca="false">IF(S1226=R1226,"Yes","No")</f>
        <v>Yes</v>
      </c>
    </row>
    <row r="1227" customFormat="false" ht="15" hidden="false" customHeight="false" outlineLevel="0" collapsed="false">
      <c r="A1227" s="15" t="n">
        <v>1744</v>
      </c>
      <c r="B1227" s="16" t="n">
        <v>7.74621198374657</v>
      </c>
      <c r="C1227" s="15" t="n">
        <v>300</v>
      </c>
      <c r="D1227" s="15" t="n">
        <v>775</v>
      </c>
      <c r="E1227" s="15" t="n">
        <v>30</v>
      </c>
      <c r="F1227" s="16" t="n">
        <v>0.576174718677633</v>
      </c>
      <c r="G1227" s="17" t="s">
        <v>89</v>
      </c>
      <c r="H1227" s="18" t="n">
        <v>0.3</v>
      </c>
      <c r="I1227" s="18" t="n">
        <v>1</v>
      </c>
      <c r="J1227" s="19" t="n">
        <v>0.962146338060875</v>
      </c>
      <c r="K1227" s="19" t="n">
        <v>0.447724971519475</v>
      </c>
      <c r="L1227" s="16" t="n">
        <v>10.6550371165703</v>
      </c>
      <c r="M1227" s="19" t="n">
        <v>0.664297281869471</v>
      </c>
      <c r="N1227" s="19" t="n">
        <v>0.64612101318004</v>
      </c>
      <c r="O1227" s="19" t="n">
        <v>0.962146338060875</v>
      </c>
      <c r="P1227" s="19" t="n">
        <v>0.397361276351237</v>
      </c>
      <c r="Q1227" s="17" t="s">
        <v>29</v>
      </c>
      <c r="R1227" s="5" t="str">
        <f aca="false">IF(OR(Q1227="Steel plate",Q1227="Concrete jacket"),"Steel plate or jacket",Q1227)</f>
        <v>Monitor</v>
      </c>
      <c r="S1227" s="5" t="str">
        <f aca="false">IF(O1227&lt;='Tree rules'!$C$4,IF(N1227&lt;='Tree rules'!$C$5,IF(P1227&lt;='Tree rules'!$C$6,"Monitor","Polymer laminate"),IF(P1227&lt;='Tree rules'!$C$7,"Seal cracks","Polymer laminate")),IF(O1227&lt;='Tree rules'!$C$8,IF(M1227&lt;='Tree rules'!$C$9,"Steel plate or jacket","Polymer laminate"),IF(L1227&lt;='Tree rules'!$C$10,"Steel plate or jacket","Polymer laminate")))</f>
        <v>Monitor</v>
      </c>
      <c r="T1227" s="5" t="str">
        <f aca="false">IF(S1227=R1227,"Yes","No")</f>
        <v>Yes</v>
      </c>
    </row>
    <row r="1228" customFormat="false" ht="15" hidden="false" customHeight="false" outlineLevel="0" collapsed="false">
      <c r="A1228" s="15" t="n">
        <v>1745</v>
      </c>
      <c r="B1228" s="16" t="n">
        <v>5.71870959928496</v>
      </c>
      <c r="C1228" s="15" t="n">
        <v>300</v>
      </c>
      <c r="D1228" s="15" t="n">
        <v>450</v>
      </c>
      <c r="E1228" s="15" t="n">
        <v>30</v>
      </c>
      <c r="F1228" s="16" t="n">
        <v>0.520993806565472</v>
      </c>
      <c r="G1228" s="17" t="s">
        <v>89</v>
      </c>
      <c r="H1228" s="18" t="n">
        <v>0.3</v>
      </c>
      <c r="I1228" s="18" t="n">
        <v>2</v>
      </c>
      <c r="J1228" s="19" t="n">
        <v>0.914575678701743</v>
      </c>
      <c r="K1228" s="19" t="n">
        <v>0.4428210631271</v>
      </c>
      <c r="L1228" s="16" t="n">
        <v>14.2256457693656</v>
      </c>
      <c r="M1228" s="19" t="n">
        <v>0.261018036333178</v>
      </c>
      <c r="N1228" s="19" t="n">
        <v>1.78259586709284</v>
      </c>
      <c r="O1228" s="19" t="n">
        <v>1.42415798305059</v>
      </c>
      <c r="P1228" s="19" t="n">
        <v>1.24396208943916</v>
      </c>
      <c r="Q1228" s="17" t="s">
        <v>31</v>
      </c>
      <c r="R1228" s="5" t="str">
        <f aca="false">IF(OR(Q1228="Steel plate",Q1228="Concrete jacket"),"Steel plate or jacket",Q1228)</f>
        <v>Polymer laminate</v>
      </c>
      <c r="S1228" s="5" t="str">
        <f aca="false">IF(O1228&lt;='Tree rules'!$C$4,IF(N1228&lt;='Tree rules'!$C$5,IF(P1228&lt;='Tree rules'!$C$6,"Monitor","Polymer laminate"),IF(P1228&lt;='Tree rules'!$C$7,"Seal cracks","Polymer laminate")),IF(O1228&lt;='Tree rules'!$C$8,IF(M1228&lt;='Tree rules'!$C$9,"Steel plate or jacket","Polymer laminate"),IF(L1228&lt;='Tree rules'!$C$10,"Steel plate or jacket","Polymer laminate")))</f>
        <v>Polymer laminate</v>
      </c>
      <c r="T1228" s="5" t="str">
        <f aca="false">IF(S1228=R1228,"Yes","No")</f>
        <v>Yes</v>
      </c>
    </row>
    <row r="1229" customFormat="false" ht="15" hidden="false" customHeight="false" outlineLevel="0" collapsed="false">
      <c r="A1229" s="15" t="n">
        <v>1747</v>
      </c>
      <c r="B1229" s="16" t="n">
        <v>5.54050739657058</v>
      </c>
      <c r="C1229" s="15" t="n">
        <v>300</v>
      </c>
      <c r="D1229" s="15" t="n">
        <v>500</v>
      </c>
      <c r="E1229" s="15" t="n">
        <v>25</v>
      </c>
      <c r="F1229" s="16" t="n">
        <v>0.885735373699325</v>
      </c>
      <c r="G1229" s="17" t="s">
        <v>91</v>
      </c>
      <c r="H1229" s="18" t="n">
        <v>0.2</v>
      </c>
      <c r="I1229" s="18" t="n">
        <v>1</v>
      </c>
      <c r="J1229" s="19" t="n">
        <v>0.896519332378316</v>
      </c>
      <c r="K1229" s="19" t="n">
        <v>0.422595498075957</v>
      </c>
      <c r="L1229" s="16" t="n">
        <v>12.2037607853978</v>
      </c>
      <c r="M1229" s="19" t="n">
        <v>0.760964270335901</v>
      </c>
      <c r="N1229" s="19" t="n">
        <v>0.809436662486318</v>
      </c>
      <c r="O1229" s="19" t="n">
        <v>0.896519332378317</v>
      </c>
      <c r="P1229" s="19" t="n">
        <v>0.501369117026114</v>
      </c>
      <c r="Q1229" s="17" t="s">
        <v>29</v>
      </c>
      <c r="R1229" s="5" t="str">
        <f aca="false">IF(OR(Q1229="Steel plate",Q1229="Concrete jacket"),"Steel plate or jacket",Q1229)</f>
        <v>Monitor</v>
      </c>
      <c r="S1229" s="5" t="str">
        <f aca="false">IF(O1229&lt;='Tree rules'!$C$4,IF(N1229&lt;='Tree rules'!$C$5,IF(P1229&lt;='Tree rules'!$C$6,"Monitor","Polymer laminate"),IF(P1229&lt;='Tree rules'!$C$7,"Seal cracks","Polymer laminate")),IF(O1229&lt;='Tree rules'!$C$8,IF(M1229&lt;='Tree rules'!$C$9,"Steel plate or jacket","Polymer laminate"),IF(L1229&lt;='Tree rules'!$C$10,"Steel plate or jacket","Polymer laminate")))</f>
        <v>Monitor</v>
      </c>
      <c r="T1229" s="5" t="str">
        <f aca="false">IF(S1229=R1229,"Yes","No")</f>
        <v>Yes</v>
      </c>
    </row>
    <row r="1230" customFormat="false" ht="15" hidden="false" customHeight="false" outlineLevel="0" collapsed="false">
      <c r="A1230" s="15" t="n">
        <v>1749</v>
      </c>
      <c r="B1230" s="16" t="n">
        <v>6.68025771886333</v>
      </c>
      <c r="C1230" s="15" t="n">
        <v>230</v>
      </c>
      <c r="D1230" s="15" t="n">
        <v>550</v>
      </c>
      <c r="E1230" s="15" t="n">
        <v>30</v>
      </c>
      <c r="F1230" s="16" t="n">
        <v>0.816280786486175</v>
      </c>
      <c r="G1230" s="17" t="s">
        <v>89</v>
      </c>
      <c r="H1230" s="18" t="n">
        <v>0.3</v>
      </c>
      <c r="I1230" s="18" t="n">
        <v>2</v>
      </c>
      <c r="J1230" s="19" t="n">
        <v>0.868892896446473</v>
      </c>
      <c r="K1230" s="19" t="n">
        <v>0.404682341134124</v>
      </c>
      <c r="L1230" s="16" t="n">
        <v>13.3072862925564</v>
      </c>
      <c r="M1230" s="19" t="n">
        <v>0.38467321481631</v>
      </c>
      <c r="N1230" s="19" t="n">
        <v>1.02503128778192</v>
      </c>
      <c r="O1230" s="19" t="n">
        <v>1.38616018136418</v>
      </c>
      <c r="P1230" s="19" t="n">
        <v>1.17344963691376</v>
      </c>
      <c r="Q1230" s="17" t="s">
        <v>92</v>
      </c>
      <c r="R1230" s="5" t="str">
        <f aca="false">IF(OR(Q1230="Steel plate",Q1230="Concrete jacket"),"Steel plate or jacket",Q1230)</f>
        <v>Steel plate or jacket</v>
      </c>
      <c r="S1230" s="5" t="str">
        <f aca="false">IF(O1230&lt;='Tree rules'!$C$4,IF(N1230&lt;='Tree rules'!$C$5,IF(P1230&lt;='Tree rules'!$C$6,"Monitor","Polymer laminate"),IF(P1230&lt;='Tree rules'!$C$7,"Seal cracks","Polymer laminate")),IF(O1230&lt;='Tree rules'!$C$8,IF(M1230&lt;='Tree rules'!$C$9,"Steel plate or jacket","Polymer laminate"),IF(L1230&lt;='Tree rules'!$C$10,"Steel plate or jacket","Polymer laminate")))</f>
        <v>Polymer laminate</v>
      </c>
      <c r="T1230" s="5" t="str">
        <f aca="false">IF(S1230=R1230,"Yes","No")</f>
        <v>No</v>
      </c>
    </row>
    <row r="1231" customFormat="false" ht="15" hidden="false" customHeight="false" outlineLevel="0" collapsed="false">
      <c r="A1231" s="15" t="n">
        <v>1751</v>
      </c>
      <c r="B1231" s="16" t="n">
        <v>3.09629581984085</v>
      </c>
      <c r="C1231" s="15" t="n">
        <v>230</v>
      </c>
      <c r="D1231" s="15" t="n">
        <v>300</v>
      </c>
      <c r="E1231" s="15" t="n">
        <v>30</v>
      </c>
      <c r="F1231" s="16" t="n">
        <v>0.576243217710084</v>
      </c>
      <c r="G1231" s="17" t="s">
        <v>91</v>
      </c>
      <c r="H1231" s="18" t="n">
        <v>0.2</v>
      </c>
      <c r="I1231" s="18" t="n">
        <v>1</v>
      </c>
      <c r="J1231" s="19" t="n">
        <v>0.953199845340482</v>
      </c>
      <c r="K1231" s="19" t="n">
        <v>0.627298070672049</v>
      </c>
      <c r="L1231" s="16" t="n">
        <v>12.0949055462533</v>
      </c>
      <c r="M1231" s="19" t="n">
        <v>0.559978848222587</v>
      </c>
      <c r="N1231" s="19" t="n">
        <v>1.04586196840681</v>
      </c>
      <c r="O1231" s="19" t="n">
        <v>0.953199845340482</v>
      </c>
      <c r="P1231" s="19" t="n">
        <v>0.442749179822101</v>
      </c>
      <c r="Q1231" s="17" t="s">
        <v>30</v>
      </c>
      <c r="R1231" s="5" t="str">
        <f aca="false">IF(OR(Q1231="Steel plate",Q1231="Concrete jacket"),"Steel plate or jacket",Q1231)</f>
        <v>Seal cracks</v>
      </c>
      <c r="S1231" s="5" t="str">
        <f aca="false">IF(O1231&lt;='Tree rules'!$C$4,IF(N1231&lt;='Tree rules'!$C$5,IF(P1231&lt;='Tree rules'!$C$6,"Monitor","Polymer laminate"),IF(P1231&lt;='Tree rules'!$C$7,"Seal cracks","Polymer laminate")),IF(O1231&lt;='Tree rules'!$C$8,IF(M1231&lt;='Tree rules'!$C$9,"Steel plate or jacket","Polymer laminate"),IF(L1231&lt;='Tree rules'!$C$10,"Steel plate or jacket","Polymer laminate")))</f>
        <v>Seal cracks</v>
      </c>
      <c r="T1231" s="5" t="str">
        <f aca="false">IF(S1231=R1231,"Yes","No")</f>
        <v>Yes</v>
      </c>
    </row>
    <row r="1232" customFormat="false" ht="15" hidden="false" customHeight="false" outlineLevel="0" collapsed="false">
      <c r="A1232" s="15" t="n">
        <v>1752</v>
      </c>
      <c r="B1232" s="16" t="n">
        <v>3.66209886543306</v>
      </c>
      <c r="C1232" s="15" t="n">
        <v>300</v>
      </c>
      <c r="D1232" s="15" t="n">
        <v>350</v>
      </c>
      <c r="E1232" s="15" t="n">
        <v>25</v>
      </c>
      <c r="F1232" s="16" t="n">
        <v>0.661387927071535</v>
      </c>
      <c r="G1232" s="17" t="s">
        <v>91</v>
      </c>
      <c r="H1232" s="18" t="n">
        <v>0.2</v>
      </c>
      <c r="I1232" s="18" t="n">
        <v>2</v>
      </c>
      <c r="J1232" s="19" t="n">
        <v>0.944948524537311</v>
      </c>
      <c r="K1232" s="19" t="n">
        <v>0.467383253553887</v>
      </c>
      <c r="L1232" s="16" t="n">
        <v>12.0463778468193</v>
      </c>
      <c r="M1232" s="19" t="n">
        <v>0.267998481457761</v>
      </c>
      <c r="N1232" s="19" t="n">
        <v>1.93557734184483</v>
      </c>
      <c r="O1232" s="19" t="n">
        <v>1.44824393323543</v>
      </c>
      <c r="P1232" s="19" t="n">
        <v>1.28859065876077</v>
      </c>
      <c r="Q1232" s="17" t="s">
        <v>31</v>
      </c>
      <c r="R1232" s="5" t="str">
        <f aca="false">IF(OR(Q1232="Steel plate",Q1232="Concrete jacket"),"Steel plate or jacket",Q1232)</f>
        <v>Polymer laminate</v>
      </c>
      <c r="S1232" s="5" t="str">
        <f aca="false">IF(O1232&lt;='Tree rules'!$C$4,IF(N1232&lt;='Tree rules'!$C$5,IF(P1232&lt;='Tree rules'!$C$6,"Monitor","Polymer laminate"),IF(P1232&lt;='Tree rules'!$C$7,"Seal cracks","Polymer laminate")),IF(O1232&lt;='Tree rules'!$C$8,IF(M1232&lt;='Tree rules'!$C$9,"Steel plate or jacket","Polymer laminate"),IF(L1232&lt;='Tree rules'!$C$10,"Steel plate or jacket","Polymer laminate")))</f>
        <v>Steel plate or jacket</v>
      </c>
      <c r="T1232" s="5" t="str">
        <f aca="false">IF(S1232=R1232,"Yes","No")</f>
        <v>No</v>
      </c>
    </row>
    <row r="1233" customFormat="false" ht="15" hidden="false" customHeight="false" outlineLevel="0" collapsed="false">
      <c r="A1233" s="15" t="n">
        <v>1753</v>
      </c>
      <c r="B1233" s="16" t="n">
        <v>3.11843462790005</v>
      </c>
      <c r="C1233" s="15" t="n">
        <v>230</v>
      </c>
      <c r="D1233" s="15" t="n">
        <v>300</v>
      </c>
      <c r="E1233" s="15" t="n">
        <v>20</v>
      </c>
      <c r="F1233" s="16" t="n">
        <v>0.688332522525665</v>
      </c>
      <c r="G1233" s="17" t="s">
        <v>89</v>
      </c>
      <c r="H1233" s="18" t="n">
        <v>0.3</v>
      </c>
      <c r="I1233" s="18" t="n">
        <v>1</v>
      </c>
      <c r="J1233" s="19" t="n">
        <v>0.868168500328841</v>
      </c>
      <c r="K1233" s="19" t="n">
        <v>0.637703179825499</v>
      </c>
      <c r="L1233" s="16" t="n">
        <v>12.2773016846459</v>
      </c>
      <c r="M1233" s="19" t="n">
        <v>0.474533968208338</v>
      </c>
      <c r="N1233" s="19" t="n">
        <v>0.80834392461015</v>
      </c>
      <c r="O1233" s="19" t="n">
        <v>0.868168500328841</v>
      </c>
      <c r="P1233" s="19" t="n">
        <v>0.641784621893338</v>
      </c>
      <c r="Q1233" s="17" t="s">
        <v>29</v>
      </c>
      <c r="R1233" s="5" t="str">
        <f aca="false">IF(OR(Q1233="Steel plate",Q1233="Concrete jacket"),"Steel plate or jacket",Q1233)</f>
        <v>Monitor</v>
      </c>
      <c r="S1233" s="5" t="str">
        <f aca="false">IF(O1233&lt;='Tree rules'!$C$4,IF(N1233&lt;='Tree rules'!$C$5,IF(P1233&lt;='Tree rules'!$C$6,"Monitor","Polymer laminate"),IF(P1233&lt;='Tree rules'!$C$7,"Seal cracks","Polymer laminate")),IF(O1233&lt;='Tree rules'!$C$8,IF(M1233&lt;='Tree rules'!$C$9,"Steel plate or jacket","Polymer laminate"),IF(L1233&lt;='Tree rules'!$C$10,"Steel plate or jacket","Polymer laminate")))</f>
        <v>Monitor</v>
      </c>
      <c r="T1233" s="5" t="str">
        <f aca="false">IF(S1233=R1233,"Yes","No")</f>
        <v>Yes</v>
      </c>
    </row>
    <row r="1234" customFormat="false" ht="15" hidden="false" customHeight="false" outlineLevel="0" collapsed="false">
      <c r="A1234" s="15" t="n">
        <v>1754</v>
      </c>
      <c r="B1234" s="16" t="n">
        <v>5.89327166530431</v>
      </c>
      <c r="C1234" s="15" t="n">
        <v>300</v>
      </c>
      <c r="D1234" s="15" t="n">
        <v>475</v>
      </c>
      <c r="E1234" s="15" t="n">
        <v>20</v>
      </c>
      <c r="F1234" s="16" t="n">
        <v>0.735735984447258</v>
      </c>
      <c r="G1234" s="17" t="s">
        <v>89</v>
      </c>
      <c r="H1234" s="18" t="n">
        <v>0.3</v>
      </c>
      <c r="I1234" s="18" t="n">
        <v>1</v>
      </c>
      <c r="J1234" s="19" t="n">
        <v>0.855594257934257</v>
      </c>
      <c r="K1234" s="19" t="n">
        <v>0.421539651659116</v>
      </c>
      <c r="L1234" s="16" t="n">
        <v>13.8015729866611</v>
      </c>
      <c r="M1234" s="19" t="n">
        <v>0.939503117049411</v>
      </c>
      <c r="N1234" s="19" t="n">
        <v>0.618934371010452</v>
      </c>
      <c r="O1234" s="19" t="n">
        <v>0.855594257934257</v>
      </c>
      <c r="P1234" s="19" t="n">
        <v>0.4096608078616</v>
      </c>
      <c r="Q1234" s="17" t="s">
        <v>29</v>
      </c>
      <c r="R1234" s="5" t="str">
        <f aca="false">IF(OR(Q1234="Steel plate",Q1234="Concrete jacket"),"Steel plate or jacket",Q1234)</f>
        <v>Monitor</v>
      </c>
      <c r="S1234" s="5" t="str">
        <f aca="false">IF(O1234&lt;='Tree rules'!$C$4,IF(N1234&lt;='Tree rules'!$C$5,IF(P1234&lt;='Tree rules'!$C$6,"Monitor","Polymer laminate"),IF(P1234&lt;='Tree rules'!$C$7,"Seal cracks","Polymer laminate")),IF(O1234&lt;='Tree rules'!$C$8,IF(M1234&lt;='Tree rules'!$C$9,"Steel plate or jacket","Polymer laminate"),IF(L1234&lt;='Tree rules'!$C$10,"Steel plate or jacket","Polymer laminate")))</f>
        <v>Monitor</v>
      </c>
      <c r="T1234" s="5" t="str">
        <f aca="false">IF(S1234=R1234,"Yes","No")</f>
        <v>Yes</v>
      </c>
    </row>
    <row r="1235" customFormat="false" ht="15" hidden="false" customHeight="false" outlineLevel="0" collapsed="false">
      <c r="A1235" s="15" t="n">
        <v>1756</v>
      </c>
      <c r="B1235" s="16" t="n">
        <v>3.58704507892819</v>
      </c>
      <c r="C1235" s="15" t="n">
        <v>230</v>
      </c>
      <c r="D1235" s="15" t="n">
        <v>300</v>
      </c>
      <c r="E1235" s="15" t="n">
        <v>30</v>
      </c>
      <c r="F1235" s="16" t="n">
        <v>0.688332522525665</v>
      </c>
      <c r="G1235" s="17" t="s">
        <v>91</v>
      </c>
      <c r="H1235" s="18" t="n">
        <v>0.2</v>
      </c>
      <c r="I1235" s="18" t="n">
        <v>1</v>
      </c>
      <c r="J1235" s="19" t="n">
        <v>0.858485905908216</v>
      </c>
      <c r="K1235" s="19" t="n">
        <v>0.64964354355114</v>
      </c>
      <c r="L1235" s="16" t="n">
        <v>14.1222247201897</v>
      </c>
      <c r="M1235" s="19" t="n">
        <v>0.461044200879969</v>
      </c>
      <c r="N1235" s="19" t="n">
        <v>1.22438113616434</v>
      </c>
      <c r="O1235" s="19" t="n">
        <v>0.858485905908216</v>
      </c>
      <c r="P1235" s="19" t="n">
        <v>0.656398257401063</v>
      </c>
      <c r="Q1235" s="17" t="s">
        <v>30</v>
      </c>
      <c r="R1235" s="5" t="str">
        <f aca="false">IF(OR(Q1235="Steel plate",Q1235="Concrete jacket"),"Steel plate or jacket",Q1235)</f>
        <v>Seal cracks</v>
      </c>
      <c r="S1235" s="5" t="str">
        <f aca="false">IF(O1235&lt;='Tree rules'!$C$4,IF(N1235&lt;='Tree rules'!$C$5,IF(P1235&lt;='Tree rules'!$C$6,"Monitor","Polymer laminate"),IF(P1235&lt;='Tree rules'!$C$7,"Seal cracks","Polymer laminate")),IF(O1235&lt;='Tree rules'!$C$8,IF(M1235&lt;='Tree rules'!$C$9,"Steel plate or jacket","Polymer laminate"),IF(L1235&lt;='Tree rules'!$C$10,"Steel plate or jacket","Polymer laminate")))</f>
        <v>Seal cracks</v>
      </c>
      <c r="T1235" s="5" t="str">
        <f aca="false">IF(S1235=R1235,"Yes","No")</f>
        <v>Yes</v>
      </c>
    </row>
    <row r="1236" customFormat="false" ht="15" hidden="false" customHeight="false" outlineLevel="0" collapsed="false">
      <c r="A1236" s="15" t="n">
        <v>1757</v>
      </c>
      <c r="B1236" s="16" t="n">
        <v>3.41625140326846</v>
      </c>
      <c r="C1236" s="15" t="n">
        <v>230</v>
      </c>
      <c r="D1236" s="15" t="n">
        <v>300</v>
      </c>
      <c r="E1236" s="15" t="n">
        <v>25</v>
      </c>
      <c r="F1236" s="16" t="n">
        <v>0.688332522525665</v>
      </c>
      <c r="G1236" s="17" t="s">
        <v>89</v>
      </c>
      <c r="H1236" s="18" t="n">
        <v>0.3</v>
      </c>
      <c r="I1236" s="18" t="n">
        <v>2</v>
      </c>
      <c r="J1236" s="19" t="n">
        <v>0.918760210737281</v>
      </c>
      <c r="K1236" s="19" t="n">
        <v>0.569386355891845</v>
      </c>
      <c r="L1236" s="16" t="n">
        <v>13.4498086742853</v>
      </c>
      <c r="M1236" s="19" t="n">
        <v>0.931078458991395</v>
      </c>
      <c r="N1236" s="19" t="n">
        <v>1.16515609683879</v>
      </c>
      <c r="O1236" s="19" t="n">
        <v>1.31439089314444</v>
      </c>
      <c r="P1236" s="19" t="n">
        <v>0.420963422860735</v>
      </c>
      <c r="Q1236" s="17" t="s">
        <v>31</v>
      </c>
      <c r="R1236" s="5" t="str">
        <f aca="false">IF(OR(Q1236="Steel plate",Q1236="Concrete jacket"),"Steel plate or jacket",Q1236)</f>
        <v>Polymer laminate</v>
      </c>
      <c r="S1236" s="5" t="str">
        <f aca="false">IF(O1236&lt;='Tree rules'!$C$4,IF(N1236&lt;='Tree rules'!$C$5,IF(P1236&lt;='Tree rules'!$C$6,"Monitor","Polymer laminate"),IF(P1236&lt;='Tree rules'!$C$7,"Seal cracks","Polymer laminate")),IF(O1236&lt;='Tree rules'!$C$8,IF(M1236&lt;='Tree rules'!$C$9,"Steel plate or jacket","Polymer laminate"),IF(L1236&lt;='Tree rules'!$C$10,"Steel plate or jacket","Polymer laminate")))</f>
        <v>Polymer laminate</v>
      </c>
      <c r="T1236" s="5" t="str">
        <f aca="false">IF(S1236=R1236,"Yes","No")</f>
        <v>Yes</v>
      </c>
    </row>
    <row r="1237" customFormat="false" ht="15" hidden="false" customHeight="false" outlineLevel="0" collapsed="false">
      <c r="A1237" s="15" t="n">
        <v>1758</v>
      </c>
      <c r="B1237" s="16" t="n">
        <v>3.81464185018491</v>
      </c>
      <c r="C1237" s="15" t="n">
        <v>230</v>
      </c>
      <c r="D1237" s="15" t="n">
        <v>325</v>
      </c>
      <c r="E1237" s="15" t="n">
        <v>30</v>
      </c>
      <c r="F1237" s="16" t="n">
        <v>0.554579938848803</v>
      </c>
      <c r="G1237" s="17" t="s">
        <v>90</v>
      </c>
      <c r="H1237" s="18" t="n">
        <v>0.1</v>
      </c>
      <c r="I1237" s="18" t="n">
        <v>1</v>
      </c>
      <c r="J1237" s="19" t="n">
        <v>0.962689671831863</v>
      </c>
      <c r="K1237" s="19" t="n">
        <v>0.613970260863588</v>
      </c>
      <c r="L1237" s="16" t="n">
        <v>14.3407588352816</v>
      </c>
      <c r="M1237" s="19" t="n">
        <v>0.397647559094127</v>
      </c>
      <c r="N1237" s="19" t="n">
        <v>2.85004500113752</v>
      </c>
      <c r="O1237" s="19" t="n">
        <v>0.962689671831863</v>
      </c>
      <c r="P1237" s="19" t="n">
        <v>0.629346088715655</v>
      </c>
      <c r="Q1237" s="17" t="s">
        <v>30</v>
      </c>
      <c r="R1237" s="5" t="str">
        <f aca="false">IF(OR(Q1237="Steel plate",Q1237="Concrete jacket"),"Steel plate or jacket",Q1237)</f>
        <v>Seal cracks</v>
      </c>
      <c r="S1237" s="5" t="str">
        <f aca="false">IF(O1237&lt;='Tree rules'!$C$4,IF(N1237&lt;='Tree rules'!$C$5,IF(P1237&lt;='Tree rules'!$C$6,"Monitor","Polymer laminate"),IF(P1237&lt;='Tree rules'!$C$7,"Seal cracks","Polymer laminate")),IF(O1237&lt;='Tree rules'!$C$8,IF(M1237&lt;='Tree rules'!$C$9,"Steel plate or jacket","Polymer laminate"),IF(L1237&lt;='Tree rules'!$C$10,"Steel plate or jacket","Polymer laminate")))</f>
        <v>Seal cracks</v>
      </c>
      <c r="T1237" s="5" t="str">
        <f aca="false">IF(S1237=R1237,"Yes","No")</f>
        <v>Yes</v>
      </c>
    </row>
    <row r="1238" customFormat="false" ht="15" hidden="false" customHeight="false" outlineLevel="0" collapsed="false">
      <c r="A1238" s="15" t="n">
        <v>1760</v>
      </c>
      <c r="B1238" s="16" t="n">
        <v>6.97887818843894</v>
      </c>
      <c r="C1238" s="15" t="n">
        <v>300</v>
      </c>
      <c r="D1238" s="15" t="n">
        <v>650</v>
      </c>
      <c r="E1238" s="15" t="n">
        <v>25</v>
      </c>
      <c r="F1238" s="16" t="n">
        <v>0.554806649640582</v>
      </c>
      <c r="G1238" s="17" t="s">
        <v>89</v>
      </c>
      <c r="H1238" s="18" t="n">
        <v>0.3</v>
      </c>
      <c r="I1238" s="18" t="n">
        <v>1</v>
      </c>
      <c r="J1238" s="19" t="n">
        <v>0.853954386379746</v>
      </c>
      <c r="K1238" s="19" t="n">
        <v>0.607189864058228</v>
      </c>
      <c r="L1238" s="16" t="n">
        <v>11.5544340868194</v>
      </c>
      <c r="M1238" s="19" t="n">
        <v>0.48272854481131</v>
      </c>
      <c r="N1238" s="19" t="n">
        <v>0.55382769613556</v>
      </c>
      <c r="O1238" s="19" t="n">
        <v>0.853954386379746</v>
      </c>
      <c r="P1238" s="19" t="n">
        <v>0.587977673628556</v>
      </c>
      <c r="Q1238" s="17" t="s">
        <v>29</v>
      </c>
      <c r="R1238" s="5" t="str">
        <f aca="false">IF(OR(Q1238="Steel plate",Q1238="Concrete jacket"),"Steel plate or jacket",Q1238)</f>
        <v>Monitor</v>
      </c>
      <c r="S1238" s="5" t="str">
        <f aca="false">IF(O1238&lt;='Tree rules'!$C$4,IF(N1238&lt;='Tree rules'!$C$5,IF(P1238&lt;='Tree rules'!$C$6,"Monitor","Polymer laminate"),IF(P1238&lt;='Tree rules'!$C$7,"Seal cracks","Polymer laminate")),IF(O1238&lt;='Tree rules'!$C$8,IF(M1238&lt;='Tree rules'!$C$9,"Steel plate or jacket","Polymer laminate"),IF(L1238&lt;='Tree rules'!$C$10,"Steel plate or jacket","Polymer laminate")))</f>
        <v>Monitor</v>
      </c>
      <c r="T1238" s="5" t="str">
        <f aca="false">IF(S1238=R1238,"Yes","No")</f>
        <v>Yes</v>
      </c>
    </row>
    <row r="1239" customFormat="false" ht="15" hidden="false" customHeight="false" outlineLevel="0" collapsed="false">
      <c r="A1239" s="15" t="n">
        <v>1762</v>
      </c>
      <c r="B1239" s="16" t="n">
        <v>6.42516398461933</v>
      </c>
      <c r="C1239" s="15" t="n">
        <v>230</v>
      </c>
      <c r="D1239" s="15" t="n">
        <v>525</v>
      </c>
      <c r="E1239" s="15" t="n">
        <v>25</v>
      </c>
      <c r="F1239" s="16" t="n">
        <v>0.57270853223768</v>
      </c>
      <c r="G1239" s="17" t="s">
        <v>91</v>
      </c>
      <c r="H1239" s="18" t="n">
        <v>0.2</v>
      </c>
      <c r="I1239" s="18" t="n">
        <v>1.5</v>
      </c>
      <c r="J1239" s="19" t="n">
        <v>0.852693794235018</v>
      </c>
      <c r="K1239" s="19" t="n">
        <v>0.569077424002124</v>
      </c>
      <c r="L1239" s="16" t="n">
        <v>13.4699454604179</v>
      </c>
      <c r="M1239" s="19" t="n">
        <v>0.938799751853813</v>
      </c>
      <c r="N1239" s="19" t="n">
        <v>1.3280296301811</v>
      </c>
      <c r="O1239" s="19" t="n">
        <v>1.0364162974096</v>
      </c>
      <c r="P1239" s="19" t="n">
        <v>0.385297940525453</v>
      </c>
      <c r="Q1239" s="17" t="s">
        <v>31</v>
      </c>
      <c r="R1239" s="5" t="str">
        <f aca="false">IF(OR(Q1239="Steel plate",Q1239="Concrete jacket"),"Steel plate or jacket",Q1239)</f>
        <v>Polymer laminate</v>
      </c>
      <c r="S1239" s="5" t="str">
        <f aca="false">IF(O1239&lt;='Tree rules'!$C$4,IF(N1239&lt;='Tree rules'!$C$5,IF(P1239&lt;='Tree rules'!$C$6,"Monitor","Polymer laminate"),IF(P1239&lt;='Tree rules'!$C$7,"Seal cracks","Polymer laminate")),IF(O1239&lt;='Tree rules'!$C$8,IF(M1239&lt;='Tree rules'!$C$9,"Steel plate or jacket","Polymer laminate"),IF(L1239&lt;='Tree rules'!$C$10,"Steel plate or jacket","Polymer laminate")))</f>
        <v>Polymer laminate</v>
      </c>
      <c r="T1239" s="5" t="str">
        <f aca="false">IF(S1239=R1239,"Yes","No")</f>
        <v>Yes</v>
      </c>
    </row>
    <row r="1240" customFormat="false" ht="15" hidden="false" customHeight="false" outlineLevel="0" collapsed="false">
      <c r="A1240" s="15" t="n">
        <v>1763</v>
      </c>
      <c r="B1240" s="16" t="n">
        <v>6.5113828374397</v>
      </c>
      <c r="C1240" s="15" t="n">
        <v>230</v>
      </c>
      <c r="D1240" s="15" t="n">
        <v>525</v>
      </c>
      <c r="E1240" s="15" t="n">
        <v>25</v>
      </c>
      <c r="F1240" s="16" t="n">
        <v>0.547504574284506</v>
      </c>
      <c r="G1240" s="17" t="s">
        <v>91</v>
      </c>
      <c r="H1240" s="18" t="n">
        <v>0.2</v>
      </c>
      <c r="I1240" s="18" t="n">
        <v>1</v>
      </c>
      <c r="J1240" s="19" t="n">
        <v>0.931476250295436</v>
      </c>
      <c r="K1240" s="19" t="n">
        <v>0.648566637390225</v>
      </c>
      <c r="L1240" s="16" t="n">
        <v>13.5937011220036</v>
      </c>
      <c r="M1240" s="19" t="n">
        <v>0.72135672357342</v>
      </c>
      <c r="N1240" s="19" t="n">
        <v>0.933690853363994</v>
      </c>
      <c r="O1240" s="19" t="n">
        <v>0.931476250295436</v>
      </c>
      <c r="P1240" s="19" t="n">
        <v>0.498531913706122</v>
      </c>
      <c r="Q1240" s="17" t="s">
        <v>29</v>
      </c>
      <c r="R1240" s="5" t="str">
        <f aca="false">IF(OR(Q1240="Steel plate",Q1240="Concrete jacket"),"Steel plate or jacket",Q1240)</f>
        <v>Monitor</v>
      </c>
      <c r="S1240" s="5" t="str">
        <f aca="false">IF(O1240&lt;='Tree rules'!$C$4,IF(N1240&lt;='Tree rules'!$C$5,IF(P1240&lt;='Tree rules'!$C$6,"Monitor","Polymer laminate"),IF(P1240&lt;='Tree rules'!$C$7,"Seal cracks","Polymer laminate")),IF(O1240&lt;='Tree rules'!$C$8,IF(M1240&lt;='Tree rules'!$C$9,"Steel plate or jacket","Polymer laminate"),IF(L1240&lt;='Tree rules'!$C$10,"Steel plate or jacket","Polymer laminate")))</f>
        <v>Monitor</v>
      </c>
      <c r="T1240" s="5" t="str">
        <f aca="false">IF(S1240=R1240,"Yes","No")</f>
        <v>Yes</v>
      </c>
    </row>
    <row r="1241" customFormat="false" ht="15" hidden="false" customHeight="false" outlineLevel="0" collapsed="false">
      <c r="A1241" s="15" t="n">
        <v>1764</v>
      </c>
      <c r="B1241" s="16" t="n">
        <v>3.569531434479</v>
      </c>
      <c r="C1241" s="15" t="n">
        <v>300</v>
      </c>
      <c r="D1241" s="15" t="n">
        <v>300</v>
      </c>
      <c r="E1241" s="15" t="n">
        <v>30</v>
      </c>
      <c r="F1241" s="16" t="n">
        <v>0.883572933822129</v>
      </c>
      <c r="G1241" s="17" t="s">
        <v>91</v>
      </c>
      <c r="H1241" s="18" t="n">
        <v>0.2</v>
      </c>
      <c r="I1241" s="18" t="n">
        <v>1</v>
      </c>
      <c r="J1241" s="19" t="n">
        <v>0.87519791539704</v>
      </c>
      <c r="K1241" s="19" t="n">
        <v>0.472136392942661</v>
      </c>
      <c r="L1241" s="16" t="n">
        <v>13.9434821659336</v>
      </c>
      <c r="M1241" s="19" t="n">
        <v>0.278918089448832</v>
      </c>
      <c r="N1241" s="19" t="n">
        <v>0.939051129586266</v>
      </c>
      <c r="O1241" s="19" t="n">
        <v>0.87519791539704</v>
      </c>
      <c r="P1241" s="19" t="n">
        <v>1.17465416784344</v>
      </c>
      <c r="Q1241" s="17" t="s">
        <v>31</v>
      </c>
      <c r="R1241" s="5" t="str">
        <f aca="false">IF(OR(Q1241="Steel plate",Q1241="Concrete jacket"),"Steel plate or jacket",Q1241)</f>
        <v>Polymer laminate</v>
      </c>
      <c r="S1241" s="5" t="str">
        <f aca="false">IF(O1241&lt;='Tree rules'!$C$4,IF(N1241&lt;='Tree rules'!$C$5,IF(P1241&lt;='Tree rules'!$C$6,"Monitor","Polymer laminate"),IF(P1241&lt;='Tree rules'!$C$7,"Seal cracks","Polymer laminate")),IF(O1241&lt;='Tree rules'!$C$8,IF(M1241&lt;='Tree rules'!$C$9,"Steel plate or jacket","Polymer laminate"),IF(L1241&lt;='Tree rules'!$C$10,"Steel plate or jacket","Polymer laminate")))</f>
        <v>Polymer laminate</v>
      </c>
      <c r="T1241" s="5" t="str">
        <f aca="false">IF(S1241=R1241,"Yes","No")</f>
        <v>Yes</v>
      </c>
    </row>
    <row r="1242" customFormat="false" ht="15" hidden="false" customHeight="false" outlineLevel="0" collapsed="false">
      <c r="A1242" s="15" t="n">
        <v>1765</v>
      </c>
      <c r="B1242" s="16" t="n">
        <v>4.8652418862601</v>
      </c>
      <c r="C1242" s="15" t="n">
        <v>300</v>
      </c>
      <c r="D1242" s="15" t="n">
        <v>400</v>
      </c>
      <c r="E1242" s="15" t="n">
        <v>20</v>
      </c>
      <c r="F1242" s="16" t="n">
        <v>0.529481907908392</v>
      </c>
      <c r="G1242" s="17" t="s">
        <v>89</v>
      </c>
      <c r="H1242" s="18" t="n">
        <v>0.3</v>
      </c>
      <c r="I1242" s="18" t="n">
        <v>1.5</v>
      </c>
      <c r="J1242" s="19" t="n">
        <v>0.988940033538632</v>
      </c>
      <c r="K1242" s="19" t="n">
        <v>0.529544188608923</v>
      </c>
      <c r="L1242" s="16" t="n">
        <v>13.6664097928655</v>
      </c>
      <c r="M1242" s="19" t="n">
        <v>0.589333601473337</v>
      </c>
      <c r="N1242" s="19" t="n">
        <v>0.81039592873457</v>
      </c>
      <c r="O1242" s="19" t="n">
        <v>1.2215663264864</v>
      </c>
      <c r="P1242" s="19" t="n">
        <v>0.637326062552311</v>
      </c>
      <c r="Q1242" s="17" t="s">
        <v>31</v>
      </c>
      <c r="R1242" s="5" t="str">
        <f aca="false">IF(OR(Q1242="Steel plate",Q1242="Concrete jacket"),"Steel plate or jacket",Q1242)</f>
        <v>Polymer laminate</v>
      </c>
      <c r="S1242" s="5" t="str">
        <f aca="false">IF(O1242&lt;='Tree rules'!$C$4,IF(N1242&lt;='Tree rules'!$C$5,IF(P1242&lt;='Tree rules'!$C$6,"Monitor","Polymer laminate"),IF(P1242&lt;='Tree rules'!$C$7,"Seal cracks","Polymer laminate")),IF(O1242&lt;='Tree rules'!$C$8,IF(M1242&lt;='Tree rules'!$C$9,"Steel plate or jacket","Polymer laminate"),IF(L1242&lt;='Tree rules'!$C$10,"Steel plate or jacket","Polymer laminate")))</f>
        <v>Polymer laminate</v>
      </c>
      <c r="T1242" s="5" t="str">
        <f aca="false">IF(S1242=R1242,"Yes","No")</f>
        <v>Yes</v>
      </c>
    </row>
    <row r="1243" customFormat="false" ht="15" hidden="false" customHeight="false" outlineLevel="0" collapsed="false">
      <c r="A1243" s="15" t="n">
        <v>1767</v>
      </c>
      <c r="B1243" s="16" t="n">
        <v>4.52255871611454</v>
      </c>
      <c r="C1243" s="15" t="n">
        <v>230</v>
      </c>
      <c r="D1243" s="15" t="n">
        <v>375</v>
      </c>
      <c r="E1243" s="15" t="n">
        <v>30</v>
      </c>
      <c r="F1243" s="16" t="n">
        <v>0.835206022555027</v>
      </c>
      <c r="G1243" s="17" t="s">
        <v>90</v>
      </c>
      <c r="H1243" s="18" t="n">
        <v>0.1</v>
      </c>
      <c r="I1243" s="18" t="n">
        <v>1</v>
      </c>
      <c r="J1243" s="19" t="n">
        <v>0.922613346499771</v>
      </c>
      <c r="K1243" s="19" t="n">
        <v>0.506442195737131</v>
      </c>
      <c r="L1243" s="16" t="n">
        <v>14.4030532360336</v>
      </c>
      <c r="M1243" s="19" t="n">
        <v>0.328409794226157</v>
      </c>
      <c r="N1243" s="19" t="n">
        <v>2.74721440273005</v>
      </c>
      <c r="O1243" s="19" t="n">
        <v>0.922613346499771</v>
      </c>
      <c r="P1243" s="19" t="n">
        <v>1.01821104410771</v>
      </c>
      <c r="Q1243" s="17" t="s">
        <v>31</v>
      </c>
      <c r="R1243" s="5" t="str">
        <f aca="false">IF(OR(Q1243="Steel plate",Q1243="Concrete jacket"),"Steel plate or jacket",Q1243)</f>
        <v>Polymer laminate</v>
      </c>
      <c r="S1243" s="5" t="str">
        <f aca="false">IF(O1243&lt;='Tree rules'!$C$4,IF(N1243&lt;='Tree rules'!$C$5,IF(P1243&lt;='Tree rules'!$C$6,"Monitor","Polymer laminate"),IF(P1243&lt;='Tree rules'!$C$7,"Seal cracks","Polymer laminate")),IF(O1243&lt;='Tree rules'!$C$8,IF(M1243&lt;='Tree rules'!$C$9,"Steel plate or jacket","Polymer laminate"),IF(L1243&lt;='Tree rules'!$C$10,"Steel plate or jacket","Polymer laminate")))</f>
        <v>Polymer laminate</v>
      </c>
      <c r="T1243" s="5" t="str">
        <f aca="false">IF(S1243=R1243,"Yes","No")</f>
        <v>Yes</v>
      </c>
    </row>
    <row r="1244" customFormat="false" ht="15" hidden="false" customHeight="false" outlineLevel="0" collapsed="false">
      <c r="A1244" s="15" t="n">
        <v>1768</v>
      </c>
      <c r="B1244" s="16" t="n">
        <v>4.57519823701218</v>
      </c>
      <c r="C1244" s="15" t="n">
        <v>300</v>
      </c>
      <c r="D1244" s="15" t="n">
        <v>400</v>
      </c>
      <c r="E1244" s="15" t="n">
        <v>30</v>
      </c>
      <c r="F1244" s="16" t="n">
        <v>0.757295404255167</v>
      </c>
      <c r="G1244" s="17" t="s">
        <v>89</v>
      </c>
      <c r="H1244" s="18" t="n">
        <v>0.3</v>
      </c>
      <c r="I1244" s="18" t="n">
        <v>1</v>
      </c>
      <c r="J1244" s="19" t="n">
        <v>0.935043276735324</v>
      </c>
      <c r="K1244" s="19" t="n">
        <v>0.459709938603403</v>
      </c>
      <c r="L1244" s="16" t="n">
        <v>12.9242888051192</v>
      </c>
      <c r="M1244" s="19" t="n">
        <v>0.461958565191373</v>
      </c>
      <c r="N1244" s="19" t="n">
        <v>0.696497024372811</v>
      </c>
      <c r="O1244" s="19" t="n">
        <v>0.935043276735324</v>
      </c>
      <c r="P1244" s="19" t="n">
        <v>0.700130569298161</v>
      </c>
      <c r="Q1244" s="17" t="s">
        <v>29</v>
      </c>
      <c r="R1244" s="5" t="str">
        <f aca="false">IF(OR(Q1244="Steel plate",Q1244="Concrete jacket"),"Steel plate or jacket",Q1244)</f>
        <v>Monitor</v>
      </c>
      <c r="S1244" s="5" t="str">
        <f aca="false">IF(O1244&lt;='Tree rules'!$C$4,IF(N1244&lt;='Tree rules'!$C$5,IF(P1244&lt;='Tree rules'!$C$6,"Monitor","Polymer laminate"),IF(P1244&lt;='Tree rules'!$C$7,"Seal cracks","Polymer laminate")),IF(O1244&lt;='Tree rules'!$C$8,IF(M1244&lt;='Tree rules'!$C$9,"Steel plate or jacket","Polymer laminate"),IF(L1244&lt;='Tree rules'!$C$10,"Steel plate or jacket","Polymer laminate")))</f>
        <v>Monitor</v>
      </c>
      <c r="T1244" s="5" t="str">
        <f aca="false">IF(S1244=R1244,"Yes","No")</f>
        <v>Yes</v>
      </c>
    </row>
    <row r="1245" customFormat="false" ht="15" hidden="false" customHeight="false" outlineLevel="0" collapsed="false">
      <c r="A1245" s="15" t="n">
        <v>1769</v>
      </c>
      <c r="B1245" s="16" t="n">
        <v>6.02342486289212</v>
      </c>
      <c r="C1245" s="15" t="n">
        <v>230</v>
      </c>
      <c r="D1245" s="15" t="n">
        <v>575</v>
      </c>
      <c r="E1245" s="15" t="n">
        <v>25</v>
      </c>
      <c r="F1245" s="16" t="n">
        <v>0.777557789024782</v>
      </c>
      <c r="G1245" s="17" t="s">
        <v>91</v>
      </c>
      <c r="H1245" s="18" t="n">
        <v>0.2</v>
      </c>
      <c r="I1245" s="18" t="n">
        <v>1</v>
      </c>
      <c r="J1245" s="19" t="n">
        <v>0.941447981204484</v>
      </c>
      <c r="K1245" s="19" t="n">
        <v>0.558362525357497</v>
      </c>
      <c r="L1245" s="16" t="n">
        <v>11.42964869619</v>
      </c>
      <c r="M1245" s="19" t="n">
        <v>0.944865852755528</v>
      </c>
      <c r="N1245" s="19" t="n">
        <v>0.908247635810008</v>
      </c>
      <c r="O1245" s="19" t="n">
        <v>0.941447981204484</v>
      </c>
      <c r="P1245" s="19" t="n">
        <v>0.419318719112071</v>
      </c>
      <c r="Q1245" s="17" t="s">
        <v>29</v>
      </c>
      <c r="R1245" s="5" t="str">
        <f aca="false">IF(OR(Q1245="Steel plate",Q1245="Concrete jacket"),"Steel plate or jacket",Q1245)</f>
        <v>Monitor</v>
      </c>
      <c r="S1245" s="5" t="str">
        <f aca="false">IF(O1245&lt;='Tree rules'!$C$4,IF(N1245&lt;='Tree rules'!$C$5,IF(P1245&lt;='Tree rules'!$C$6,"Monitor","Polymer laminate"),IF(P1245&lt;='Tree rules'!$C$7,"Seal cracks","Polymer laminate")),IF(O1245&lt;='Tree rules'!$C$8,IF(M1245&lt;='Tree rules'!$C$9,"Steel plate or jacket","Polymer laminate"),IF(L1245&lt;='Tree rules'!$C$10,"Steel plate or jacket","Polymer laminate")))</f>
        <v>Monitor</v>
      </c>
      <c r="T1245" s="5" t="str">
        <f aca="false">IF(S1245=R1245,"Yes","No")</f>
        <v>Yes</v>
      </c>
    </row>
    <row r="1246" customFormat="false" ht="15" hidden="false" customHeight="false" outlineLevel="0" collapsed="false">
      <c r="A1246" s="15" t="n">
        <v>1772</v>
      </c>
      <c r="B1246" s="16" t="n">
        <v>5.96672186982146</v>
      </c>
      <c r="C1246" s="15" t="n">
        <v>300</v>
      </c>
      <c r="D1246" s="15" t="n">
        <v>575</v>
      </c>
      <c r="E1246" s="15" t="n">
        <v>20</v>
      </c>
      <c r="F1246" s="16" t="n">
        <v>0.760158524876169</v>
      </c>
      <c r="G1246" s="17" t="s">
        <v>89</v>
      </c>
      <c r="H1246" s="18" t="n">
        <v>0.3</v>
      </c>
      <c r="I1246" s="18" t="n">
        <v>2</v>
      </c>
      <c r="J1246" s="19" t="n">
        <v>0.883324075142359</v>
      </c>
      <c r="K1246" s="19" t="n">
        <v>0.467838043711921</v>
      </c>
      <c r="L1246" s="16" t="n">
        <v>11.2792473909668</v>
      </c>
      <c r="M1246" s="19" t="n">
        <v>0.5472460662777</v>
      </c>
      <c r="N1246" s="19" t="n">
        <v>0.835682940833546</v>
      </c>
      <c r="O1246" s="19" t="n">
        <v>1.35339554300648</v>
      </c>
      <c r="P1246" s="19" t="n">
        <v>0.799162676967631</v>
      </c>
      <c r="Q1246" s="17" t="s">
        <v>92</v>
      </c>
      <c r="R1246" s="5" t="str">
        <f aca="false">IF(OR(Q1246="Steel plate",Q1246="Concrete jacket"),"Steel plate or jacket",Q1246)</f>
        <v>Steel plate or jacket</v>
      </c>
      <c r="S1246" s="5" t="str">
        <f aca="false">IF(O1246&lt;='Tree rules'!$C$4,IF(N1246&lt;='Tree rules'!$C$5,IF(P1246&lt;='Tree rules'!$C$6,"Monitor","Polymer laminate"),IF(P1246&lt;='Tree rules'!$C$7,"Seal cracks","Polymer laminate")),IF(O1246&lt;='Tree rules'!$C$8,IF(M1246&lt;='Tree rules'!$C$9,"Steel plate or jacket","Polymer laminate"),IF(L1246&lt;='Tree rules'!$C$10,"Steel plate or jacket","Polymer laminate")))</f>
        <v>Steel plate or jacket</v>
      </c>
      <c r="T1246" s="5" t="str">
        <f aca="false">IF(S1246=R1246,"Yes","No")</f>
        <v>Yes</v>
      </c>
    </row>
    <row r="1247" customFormat="false" ht="15" hidden="false" customHeight="false" outlineLevel="0" collapsed="false">
      <c r="A1247" s="15" t="n">
        <v>1773</v>
      </c>
      <c r="B1247" s="16" t="n">
        <v>3.79918010965153</v>
      </c>
      <c r="C1247" s="15" t="n">
        <v>300</v>
      </c>
      <c r="D1247" s="15" t="n">
        <v>375</v>
      </c>
      <c r="E1247" s="15" t="n">
        <v>20</v>
      </c>
      <c r="F1247" s="16" t="n">
        <v>0.640487798897002</v>
      </c>
      <c r="G1247" s="17" t="s">
        <v>89</v>
      </c>
      <c r="H1247" s="18" t="n">
        <v>0.3</v>
      </c>
      <c r="I1247" s="18" t="n">
        <v>1.5</v>
      </c>
      <c r="J1247" s="19" t="n">
        <v>0.89907222589757</v>
      </c>
      <c r="K1247" s="19" t="n">
        <v>0.484865362272068</v>
      </c>
      <c r="L1247" s="16" t="n">
        <v>11.6182877970995</v>
      </c>
      <c r="M1247" s="19" t="n">
        <v>0.482725450776391</v>
      </c>
      <c r="N1247" s="19" t="n">
        <v>1.28482718952204</v>
      </c>
      <c r="O1247" s="19" t="n">
        <v>1.13064384858707</v>
      </c>
      <c r="P1247" s="19" t="n">
        <v>0.647347883596071</v>
      </c>
      <c r="Q1247" s="17" t="s">
        <v>31</v>
      </c>
      <c r="R1247" s="5" t="str">
        <f aca="false">IF(OR(Q1247="Steel plate",Q1247="Concrete jacket"),"Steel plate or jacket",Q1247)</f>
        <v>Polymer laminate</v>
      </c>
      <c r="S1247" s="5" t="str">
        <f aca="false">IF(O1247&lt;='Tree rules'!$C$4,IF(N1247&lt;='Tree rules'!$C$5,IF(P1247&lt;='Tree rules'!$C$6,"Monitor","Polymer laminate"),IF(P1247&lt;='Tree rules'!$C$7,"Seal cracks","Polymer laminate")),IF(O1247&lt;='Tree rules'!$C$8,IF(M1247&lt;='Tree rules'!$C$9,"Steel plate or jacket","Polymer laminate"),IF(L1247&lt;='Tree rules'!$C$10,"Steel plate or jacket","Polymer laminate")))</f>
        <v>Polymer laminate</v>
      </c>
      <c r="T1247" s="5" t="str">
        <f aca="false">IF(S1247=R1247,"Yes","No")</f>
        <v>Yes</v>
      </c>
    </row>
    <row r="1248" customFormat="false" ht="15" hidden="false" customHeight="false" outlineLevel="0" collapsed="false">
      <c r="A1248" s="15" t="n">
        <v>1774</v>
      </c>
      <c r="B1248" s="16" t="n">
        <v>4.8792710057369</v>
      </c>
      <c r="C1248" s="15" t="n">
        <v>300</v>
      </c>
      <c r="D1248" s="15" t="n">
        <v>450</v>
      </c>
      <c r="E1248" s="15" t="n">
        <v>25</v>
      </c>
      <c r="F1248" s="16" t="n">
        <v>0.557129731671096</v>
      </c>
      <c r="G1248" s="17" t="s">
        <v>89</v>
      </c>
      <c r="H1248" s="18" t="n">
        <v>0.3</v>
      </c>
      <c r="I1248" s="18" t="n">
        <v>1.5</v>
      </c>
      <c r="J1248" s="19" t="n">
        <v>0.920554141108521</v>
      </c>
      <c r="K1248" s="19" t="n">
        <v>0.428613969196678</v>
      </c>
      <c r="L1248" s="16" t="n">
        <v>12.0179088811254</v>
      </c>
      <c r="M1248" s="19" t="n">
        <v>0.40833148042486</v>
      </c>
      <c r="N1248" s="19" t="n">
        <v>0.783436088638101</v>
      </c>
      <c r="O1248" s="19" t="n">
        <v>1.1835500295223</v>
      </c>
      <c r="P1248" s="19" t="n">
        <v>0.7052742854557</v>
      </c>
      <c r="Q1248" s="17" t="s">
        <v>31</v>
      </c>
      <c r="R1248" s="5" t="str">
        <f aca="false">IF(OR(Q1248="Steel plate",Q1248="Concrete jacket"),"Steel plate or jacket",Q1248)</f>
        <v>Polymer laminate</v>
      </c>
      <c r="S1248" s="5" t="str">
        <f aca="false">IF(O1248&lt;='Tree rules'!$C$4,IF(N1248&lt;='Tree rules'!$C$5,IF(P1248&lt;='Tree rules'!$C$6,"Monitor","Polymer laminate"),IF(P1248&lt;='Tree rules'!$C$7,"Seal cracks","Polymer laminate")),IF(O1248&lt;='Tree rules'!$C$8,IF(M1248&lt;='Tree rules'!$C$9,"Steel plate or jacket","Polymer laminate"),IF(L1248&lt;='Tree rules'!$C$10,"Steel plate or jacket","Polymer laminate")))</f>
        <v>Polymer laminate</v>
      </c>
      <c r="T1248" s="5" t="str">
        <f aca="false">IF(S1248=R1248,"Yes","No")</f>
        <v>Yes</v>
      </c>
    </row>
    <row r="1249" customFormat="false" ht="15" hidden="false" customHeight="false" outlineLevel="0" collapsed="false">
      <c r="A1249" s="15" t="n">
        <v>1779</v>
      </c>
      <c r="B1249" s="16" t="n">
        <v>3.01940406801898</v>
      </c>
      <c r="C1249" s="15" t="n">
        <v>300</v>
      </c>
      <c r="D1249" s="15" t="n">
        <v>300</v>
      </c>
      <c r="E1249" s="15" t="n">
        <v>30</v>
      </c>
      <c r="F1249" s="16" t="n">
        <v>0.791582400904515</v>
      </c>
      <c r="G1249" s="17" t="s">
        <v>89</v>
      </c>
      <c r="H1249" s="18" t="n">
        <v>0.3</v>
      </c>
      <c r="I1249" s="18" t="n">
        <v>2</v>
      </c>
      <c r="J1249" s="19" t="n">
        <v>0.951996719306029</v>
      </c>
      <c r="K1249" s="19" t="n">
        <v>0.495549927538923</v>
      </c>
      <c r="L1249" s="16" t="n">
        <v>11.8874175906259</v>
      </c>
      <c r="M1249" s="19" t="n">
        <v>0.723784921341541</v>
      </c>
      <c r="N1249" s="19" t="n">
        <v>1.21076908638306</v>
      </c>
      <c r="O1249" s="19" t="n">
        <v>1.43223153334266</v>
      </c>
      <c r="P1249" s="19" t="n">
        <v>0.511220012626441</v>
      </c>
      <c r="Q1249" s="17" t="s">
        <v>31</v>
      </c>
      <c r="R1249" s="5" t="str">
        <f aca="false">IF(OR(Q1249="Steel plate",Q1249="Concrete jacket"),"Steel plate or jacket",Q1249)</f>
        <v>Polymer laminate</v>
      </c>
      <c r="S1249" s="5" t="str">
        <f aca="false">IF(O1249&lt;='Tree rules'!$C$4,IF(N1249&lt;='Tree rules'!$C$5,IF(P1249&lt;='Tree rules'!$C$6,"Monitor","Polymer laminate"),IF(P1249&lt;='Tree rules'!$C$7,"Seal cracks","Polymer laminate")),IF(O1249&lt;='Tree rules'!$C$8,IF(M1249&lt;='Tree rules'!$C$9,"Steel plate or jacket","Polymer laminate"),IF(L1249&lt;='Tree rules'!$C$10,"Steel plate or jacket","Polymer laminate")))</f>
        <v>Steel plate or jacket</v>
      </c>
      <c r="T1249" s="5" t="str">
        <f aca="false">IF(S1249=R1249,"Yes","No")</f>
        <v>No</v>
      </c>
    </row>
    <row r="1250" customFormat="false" ht="15" hidden="false" customHeight="false" outlineLevel="0" collapsed="false">
      <c r="A1250" s="15" t="n">
        <v>1780</v>
      </c>
      <c r="B1250" s="16" t="n">
        <v>4.29135866994156</v>
      </c>
      <c r="C1250" s="15" t="n">
        <v>230</v>
      </c>
      <c r="D1250" s="15" t="n">
        <v>375</v>
      </c>
      <c r="E1250" s="15" t="n">
        <v>30</v>
      </c>
      <c r="F1250" s="16" t="n">
        <v>0.594232683721175</v>
      </c>
      <c r="G1250" s="17" t="s">
        <v>89</v>
      </c>
      <c r="H1250" s="18" t="n">
        <v>0.3</v>
      </c>
      <c r="I1250" s="18" t="n">
        <v>1.5</v>
      </c>
      <c r="J1250" s="19" t="n">
        <v>0.977969476265517</v>
      </c>
      <c r="K1250" s="19" t="n">
        <v>0.564506296117573</v>
      </c>
      <c r="L1250" s="16" t="n">
        <v>12.9648298185546</v>
      </c>
      <c r="M1250" s="19" t="n">
        <v>0.681668162835176</v>
      </c>
      <c r="N1250" s="19" t="n">
        <v>0.778094246084541</v>
      </c>
      <c r="O1250" s="19" t="n">
        <v>1.19091925101693</v>
      </c>
      <c r="P1250" s="19" t="n">
        <v>0.489323518310516</v>
      </c>
      <c r="Q1250" s="17" t="s">
        <v>31</v>
      </c>
      <c r="R1250" s="5" t="str">
        <f aca="false">IF(OR(Q1250="Steel plate",Q1250="Concrete jacket"),"Steel plate or jacket",Q1250)</f>
        <v>Polymer laminate</v>
      </c>
      <c r="S1250" s="5" t="str">
        <f aca="false">IF(O1250&lt;='Tree rules'!$C$4,IF(N1250&lt;='Tree rules'!$C$5,IF(P1250&lt;='Tree rules'!$C$6,"Monitor","Polymer laminate"),IF(P1250&lt;='Tree rules'!$C$7,"Seal cracks","Polymer laminate")),IF(O1250&lt;='Tree rules'!$C$8,IF(M1250&lt;='Tree rules'!$C$9,"Steel plate or jacket","Polymer laminate"),IF(L1250&lt;='Tree rules'!$C$10,"Steel plate or jacket","Polymer laminate")))</f>
        <v>Polymer laminate</v>
      </c>
      <c r="T1250" s="5" t="str">
        <f aca="false">IF(S1250=R1250,"Yes","No")</f>
        <v>Yes</v>
      </c>
    </row>
    <row r="1251" customFormat="false" ht="15" hidden="false" customHeight="false" outlineLevel="0" collapsed="false">
      <c r="A1251" s="15" t="n">
        <v>1781</v>
      </c>
      <c r="B1251" s="16" t="n">
        <v>7.2492368976945</v>
      </c>
      <c r="C1251" s="15" t="n">
        <v>300</v>
      </c>
      <c r="D1251" s="15" t="n">
        <v>700</v>
      </c>
      <c r="E1251" s="15" t="n">
        <v>20</v>
      </c>
      <c r="F1251" s="16" t="n">
        <v>0.642452485396686</v>
      </c>
      <c r="G1251" s="17" t="s">
        <v>89</v>
      </c>
      <c r="H1251" s="18" t="n">
        <v>0.3</v>
      </c>
      <c r="I1251" s="18" t="n">
        <v>1.5</v>
      </c>
      <c r="J1251" s="19" t="n">
        <v>0.898576111402549</v>
      </c>
      <c r="K1251" s="19" t="n">
        <v>0.591333018581838</v>
      </c>
      <c r="L1251" s="16" t="n">
        <v>11.1184614995314</v>
      </c>
      <c r="M1251" s="19" t="n">
        <v>0.439579773259768</v>
      </c>
      <c r="N1251" s="19" t="n">
        <v>0.756078711658735</v>
      </c>
      <c r="O1251" s="19" t="n">
        <v>1.08218530491322</v>
      </c>
      <c r="P1251" s="19" t="n">
        <v>0.849148559168098</v>
      </c>
      <c r="Q1251" s="17" t="s">
        <v>31</v>
      </c>
      <c r="R1251" s="5" t="str">
        <f aca="false">IF(OR(Q1251="Steel plate",Q1251="Concrete jacket"),"Steel plate or jacket",Q1251)</f>
        <v>Polymer laminate</v>
      </c>
      <c r="S1251" s="5" t="str">
        <f aca="false">IF(O1251&lt;='Tree rules'!$C$4,IF(N1251&lt;='Tree rules'!$C$5,IF(P1251&lt;='Tree rules'!$C$6,"Monitor","Polymer laminate"),IF(P1251&lt;='Tree rules'!$C$7,"Seal cracks","Polymer laminate")),IF(O1251&lt;='Tree rules'!$C$8,IF(M1251&lt;='Tree rules'!$C$9,"Steel plate or jacket","Polymer laminate"),IF(L1251&lt;='Tree rules'!$C$10,"Steel plate or jacket","Polymer laminate")))</f>
        <v>Polymer laminate</v>
      </c>
      <c r="T1251" s="5" t="str">
        <f aca="false">IF(S1251=R1251,"Yes","No")</f>
        <v>Yes</v>
      </c>
    </row>
    <row r="1252" customFormat="false" ht="15" hidden="false" customHeight="false" outlineLevel="0" collapsed="false">
      <c r="A1252" s="15" t="n">
        <v>1782</v>
      </c>
      <c r="B1252" s="16" t="n">
        <v>7.21152095427853</v>
      </c>
      <c r="C1252" s="15" t="n">
        <v>230</v>
      </c>
      <c r="D1252" s="15" t="n">
        <v>575</v>
      </c>
      <c r="E1252" s="15" t="n">
        <v>30</v>
      </c>
      <c r="F1252" s="16" t="n">
        <v>0.51022313440132</v>
      </c>
      <c r="G1252" s="17" t="s">
        <v>90</v>
      </c>
      <c r="H1252" s="18" t="n">
        <v>0.1</v>
      </c>
      <c r="I1252" s="18" t="n">
        <v>1</v>
      </c>
      <c r="J1252" s="19" t="n">
        <v>0.889701977114809</v>
      </c>
      <c r="K1252" s="19" t="n">
        <v>0.602718185578847</v>
      </c>
      <c r="L1252" s="16" t="n">
        <v>14.0301964091022</v>
      </c>
      <c r="M1252" s="19" t="n">
        <v>0.479244614629466</v>
      </c>
      <c r="N1252" s="19" t="n">
        <v>2.35591328280296</v>
      </c>
      <c r="O1252" s="19" t="n">
        <v>0.88970197711481</v>
      </c>
      <c r="P1252" s="19" t="n">
        <v>0.57758790958636</v>
      </c>
      <c r="Q1252" s="17" t="s">
        <v>30</v>
      </c>
      <c r="R1252" s="5" t="str">
        <f aca="false">IF(OR(Q1252="Steel plate",Q1252="Concrete jacket"),"Steel plate or jacket",Q1252)</f>
        <v>Seal cracks</v>
      </c>
      <c r="S1252" s="5" t="str">
        <f aca="false">IF(O1252&lt;='Tree rules'!$C$4,IF(N1252&lt;='Tree rules'!$C$5,IF(P1252&lt;='Tree rules'!$C$6,"Monitor","Polymer laminate"),IF(P1252&lt;='Tree rules'!$C$7,"Seal cracks","Polymer laminate")),IF(O1252&lt;='Tree rules'!$C$8,IF(M1252&lt;='Tree rules'!$C$9,"Steel plate or jacket","Polymer laminate"),IF(L1252&lt;='Tree rules'!$C$10,"Steel plate or jacket","Polymer laminate")))</f>
        <v>Seal cracks</v>
      </c>
      <c r="T1252" s="5" t="str">
        <f aca="false">IF(S1252=R1252,"Yes","No")</f>
        <v>Yes</v>
      </c>
    </row>
    <row r="1253" customFormat="false" ht="15" hidden="false" customHeight="false" outlineLevel="0" collapsed="false">
      <c r="A1253" s="15" t="n">
        <v>1784</v>
      </c>
      <c r="B1253" s="16" t="n">
        <v>3.54867130801874</v>
      </c>
      <c r="C1253" s="15" t="n">
        <v>300</v>
      </c>
      <c r="D1253" s="15" t="n">
        <v>350</v>
      </c>
      <c r="E1253" s="15" t="n">
        <v>25</v>
      </c>
      <c r="F1253" s="16" t="n">
        <v>0.693508312050727</v>
      </c>
      <c r="G1253" s="17" t="s">
        <v>91</v>
      </c>
      <c r="H1253" s="18" t="n">
        <v>0.2</v>
      </c>
      <c r="I1253" s="18" t="n">
        <v>1</v>
      </c>
      <c r="J1253" s="19" t="n">
        <v>0.908055520560269</v>
      </c>
      <c r="K1253" s="19" t="n">
        <v>0.438048783182595</v>
      </c>
      <c r="L1253" s="16" t="n">
        <v>11.7505672450952</v>
      </c>
      <c r="M1253" s="19" t="n">
        <v>0.725032309300541</v>
      </c>
      <c r="N1253" s="19" t="n">
        <v>1.44436049778752</v>
      </c>
      <c r="O1253" s="19" t="n">
        <v>0.908055520560269</v>
      </c>
      <c r="P1253" s="19" t="n">
        <v>0.372013119655006</v>
      </c>
      <c r="Q1253" s="17" t="s">
        <v>30</v>
      </c>
      <c r="R1253" s="5" t="str">
        <f aca="false">IF(OR(Q1253="Steel plate",Q1253="Concrete jacket"),"Steel plate or jacket",Q1253)</f>
        <v>Seal cracks</v>
      </c>
      <c r="S1253" s="5" t="str">
        <f aca="false">IF(O1253&lt;='Tree rules'!$C$4,IF(N1253&lt;='Tree rules'!$C$5,IF(P1253&lt;='Tree rules'!$C$6,"Monitor","Polymer laminate"),IF(P1253&lt;='Tree rules'!$C$7,"Seal cracks","Polymer laminate")),IF(O1253&lt;='Tree rules'!$C$8,IF(M1253&lt;='Tree rules'!$C$9,"Steel plate or jacket","Polymer laminate"),IF(L1253&lt;='Tree rules'!$C$10,"Steel plate or jacket","Polymer laminate")))</f>
        <v>Seal cracks</v>
      </c>
      <c r="T1253" s="5" t="str">
        <f aca="false">IF(S1253=R1253,"Yes","No")</f>
        <v>Yes</v>
      </c>
    </row>
    <row r="1254" customFormat="false" ht="15" hidden="false" customHeight="false" outlineLevel="0" collapsed="false">
      <c r="A1254" s="15" t="n">
        <v>1785</v>
      </c>
      <c r="B1254" s="16" t="n">
        <v>6.42136649835814</v>
      </c>
      <c r="C1254" s="15" t="n">
        <v>230</v>
      </c>
      <c r="D1254" s="15" t="n">
        <v>600</v>
      </c>
      <c r="E1254" s="15" t="n">
        <v>20</v>
      </c>
      <c r="F1254" s="16" t="n">
        <v>0.742342309449384</v>
      </c>
      <c r="G1254" s="17" t="s">
        <v>89</v>
      </c>
      <c r="H1254" s="18" t="n">
        <v>0.3</v>
      </c>
      <c r="I1254" s="18" t="n">
        <v>2</v>
      </c>
      <c r="J1254" s="19" t="n">
        <v>0.863774128242645</v>
      </c>
      <c r="K1254" s="19" t="n">
        <v>0.447376652846676</v>
      </c>
      <c r="L1254" s="16" t="n">
        <v>11.6329103231126</v>
      </c>
      <c r="M1254" s="19" t="n">
        <v>0.734917375556463</v>
      </c>
      <c r="N1254" s="19" t="n">
        <v>0.904444024289683</v>
      </c>
      <c r="O1254" s="19" t="n">
        <v>1.34111587817654</v>
      </c>
      <c r="P1254" s="19" t="n">
        <v>0.603125379955796</v>
      </c>
      <c r="Q1254" s="17" t="s">
        <v>92</v>
      </c>
      <c r="R1254" s="5" t="str">
        <f aca="false">IF(OR(Q1254="Steel plate",Q1254="Concrete jacket"),"Steel plate or jacket",Q1254)</f>
        <v>Steel plate or jacket</v>
      </c>
      <c r="S1254" s="5" t="str">
        <f aca="false">IF(O1254&lt;='Tree rules'!$C$4,IF(N1254&lt;='Tree rules'!$C$5,IF(P1254&lt;='Tree rules'!$C$6,"Monitor","Polymer laminate"),IF(P1254&lt;='Tree rules'!$C$7,"Seal cracks","Polymer laminate")),IF(O1254&lt;='Tree rules'!$C$8,IF(M1254&lt;='Tree rules'!$C$9,"Steel plate or jacket","Polymer laminate"),IF(L1254&lt;='Tree rules'!$C$10,"Steel plate or jacket","Polymer laminate")))</f>
        <v>Steel plate or jacket</v>
      </c>
      <c r="T1254" s="5" t="str">
        <f aca="false">IF(S1254=R1254,"Yes","No")</f>
        <v>Yes</v>
      </c>
    </row>
    <row r="1255" customFormat="false" ht="15" hidden="false" customHeight="false" outlineLevel="0" collapsed="false">
      <c r="A1255" s="15" t="n">
        <v>1786</v>
      </c>
      <c r="B1255" s="16" t="n">
        <v>6.02230733541641</v>
      </c>
      <c r="C1255" s="15" t="n">
        <v>300</v>
      </c>
      <c r="D1255" s="15" t="n">
        <v>550</v>
      </c>
      <c r="E1255" s="15" t="n">
        <v>20</v>
      </c>
      <c r="F1255" s="16" t="n">
        <v>0.531909867274462</v>
      </c>
      <c r="G1255" s="17" t="s">
        <v>91</v>
      </c>
      <c r="H1255" s="18" t="n">
        <v>0.2</v>
      </c>
      <c r="I1255" s="18" t="n">
        <v>2</v>
      </c>
      <c r="J1255" s="19" t="n">
        <v>0.893602140382413</v>
      </c>
      <c r="K1255" s="19" t="n">
        <v>0.567561953199812</v>
      </c>
      <c r="L1255" s="16" t="n">
        <v>11.9490224909056</v>
      </c>
      <c r="M1255" s="19" t="n">
        <v>0.593214312551847</v>
      </c>
      <c r="N1255" s="19" t="n">
        <v>1.34667230276664</v>
      </c>
      <c r="O1255" s="19" t="n">
        <v>1.28002970458585</v>
      </c>
      <c r="P1255" s="19" t="n">
        <v>0.615991275384062</v>
      </c>
      <c r="Q1255" s="17" t="s">
        <v>31</v>
      </c>
      <c r="R1255" s="5" t="str">
        <f aca="false">IF(OR(Q1255="Steel plate",Q1255="Concrete jacket"),"Steel plate or jacket",Q1255)</f>
        <v>Polymer laminate</v>
      </c>
      <c r="S1255" s="5" t="str">
        <f aca="false">IF(O1255&lt;='Tree rules'!$C$4,IF(N1255&lt;='Tree rules'!$C$5,IF(P1255&lt;='Tree rules'!$C$6,"Monitor","Polymer laminate"),IF(P1255&lt;='Tree rules'!$C$7,"Seal cracks","Polymer laminate")),IF(O1255&lt;='Tree rules'!$C$8,IF(M1255&lt;='Tree rules'!$C$9,"Steel plate or jacket","Polymer laminate"),IF(L1255&lt;='Tree rules'!$C$10,"Steel plate or jacket","Polymer laminate")))</f>
        <v>Polymer laminate</v>
      </c>
      <c r="T1255" s="5" t="str">
        <f aca="false">IF(S1255=R1255,"Yes","No")</f>
        <v>Yes</v>
      </c>
    </row>
    <row r="1256" customFormat="false" ht="15" hidden="false" customHeight="false" outlineLevel="0" collapsed="false">
      <c r="A1256" s="15" t="n">
        <v>1787</v>
      </c>
      <c r="B1256" s="16" t="n">
        <v>3.76517614423943</v>
      </c>
      <c r="C1256" s="15" t="n">
        <v>300</v>
      </c>
      <c r="D1256" s="15" t="n">
        <v>325</v>
      </c>
      <c r="E1256" s="15" t="n">
        <v>25</v>
      </c>
      <c r="F1256" s="16" t="n">
        <v>0.67080270183412</v>
      </c>
      <c r="G1256" s="17" t="s">
        <v>91</v>
      </c>
      <c r="H1256" s="18" t="n">
        <v>0.2</v>
      </c>
      <c r="I1256" s="18" t="n">
        <v>1.5</v>
      </c>
      <c r="J1256" s="19" t="n">
        <v>0.965535773025994</v>
      </c>
      <c r="K1256" s="19" t="n">
        <v>0.562510248153193</v>
      </c>
      <c r="L1256" s="16" t="n">
        <v>13.3992033602827</v>
      </c>
      <c r="M1256" s="19" t="n">
        <v>0.817691487140476</v>
      </c>
      <c r="N1256" s="19" t="n">
        <v>1.16144118369772</v>
      </c>
      <c r="O1256" s="19" t="n">
        <v>1.17674177589617</v>
      </c>
      <c r="P1256" s="19" t="n">
        <v>0.476075176711608</v>
      </c>
      <c r="Q1256" s="17" t="s">
        <v>31</v>
      </c>
      <c r="R1256" s="5" t="str">
        <f aca="false">IF(OR(Q1256="Steel plate",Q1256="Concrete jacket"),"Steel plate or jacket",Q1256)</f>
        <v>Polymer laminate</v>
      </c>
      <c r="S1256" s="5" t="str">
        <f aca="false">IF(O1256&lt;='Tree rules'!$C$4,IF(N1256&lt;='Tree rules'!$C$5,IF(P1256&lt;='Tree rules'!$C$6,"Monitor","Polymer laminate"),IF(P1256&lt;='Tree rules'!$C$7,"Seal cracks","Polymer laminate")),IF(O1256&lt;='Tree rules'!$C$8,IF(M1256&lt;='Tree rules'!$C$9,"Steel plate or jacket","Polymer laminate"),IF(L1256&lt;='Tree rules'!$C$10,"Steel plate or jacket","Polymer laminate")))</f>
        <v>Polymer laminate</v>
      </c>
      <c r="T1256" s="5" t="str">
        <f aca="false">IF(S1256=R1256,"Yes","No")</f>
        <v>Yes</v>
      </c>
    </row>
    <row r="1257" customFormat="false" ht="15" hidden="false" customHeight="false" outlineLevel="0" collapsed="false">
      <c r="A1257" s="15" t="n">
        <v>1788</v>
      </c>
      <c r="B1257" s="16" t="n">
        <v>7.80507989406876</v>
      </c>
      <c r="C1257" s="15" t="n">
        <v>230</v>
      </c>
      <c r="D1257" s="15" t="n">
        <v>750</v>
      </c>
      <c r="E1257" s="15" t="n">
        <v>25</v>
      </c>
      <c r="F1257" s="16" t="n">
        <v>0.583722157857635</v>
      </c>
      <c r="G1257" s="17" t="s">
        <v>89</v>
      </c>
      <c r="H1257" s="18" t="n">
        <v>0.3</v>
      </c>
      <c r="I1257" s="18" t="n">
        <v>1.5</v>
      </c>
      <c r="J1257" s="19" t="n">
        <v>0.961106663519879</v>
      </c>
      <c r="K1257" s="19" t="n">
        <v>0.492739898746666</v>
      </c>
      <c r="L1257" s="16" t="n">
        <v>11.1183474274484</v>
      </c>
      <c r="M1257" s="19" t="n">
        <v>0.812682531112576</v>
      </c>
      <c r="N1257" s="19" t="n">
        <v>0.794923814547744</v>
      </c>
      <c r="O1257" s="19" t="n">
        <v>1.20487219524605</v>
      </c>
      <c r="P1257" s="19" t="n">
        <v>0.429516113658237</v>
      </c>
      <c r="Q1257" s="17" t="s">
        <v>31</v>
      </c>
      <c r="R1257" s="5" t="str">
        <f aca="false">IF(OR(Q1257="Steel plate",Q1257="Concrete jacket"),"Steel plate or jacket",Q1257)</f>
        <v>Polymer laminate</v>
      </c>
      <c r="S1257" s="5" t="str">
        <f aca="false">IF(O1257&lt;='Tree rules'!$C$4,IF(N1257&lt;='Tree rules'!$C$5,IF(P1257&lt;='Tree rules'!$C$6,"Monitor","Polymer laminate"),IF(P1257&lt;='Tree rules'!$C$7,"Seal cracks","Polymer laminate")),IF(O1257&lt;='Tree rules'!$C$8,IF(M1257&lt;='Tree rules'!$C$9,"Steel plate or jacket","Polymer laminate"),IF(L1257&lt;='Tree rules'!$C$10,"Steel plate or jacket","Polymer laminate")))</f>
        <v>Polymer laminate</v>
      </c>
      <c r="T1257" s="5" t="str">
        <f aca="false">IF(S1257=R1257,"Yes","No")</f>
        <v>Yes</v>
      </c>
    </row>
    <row r="1258" customFormat="false" ht="15" hidden="false" customHeight="false" outlineLevel="0" collapsed="false">
      <c r="A1258" s="15" t="n">
        <v>1790</v>
      </c>
      <c r="B1258" s="16" t="n">
        <v>4.21564049520963</v>
      </c>
      <c r="C1258" s="15" t="n">
        <v>300</v>
      </c>
      <c r="D1258" s="15" t="n">
        <v>375</v>
      </c>
      <c r="E1258" s="15" t="n">
        <v>20</v>
      </c>
      <c r="F1258" s="16" t="n">
        <v>0.671280481536281</v>
      </c>
      <c r="G1258" s="17" t="s">
        <v>90</v>
      </c>
      <c r="H1258" s="18" t="n">
        <v>0.1</v>
      </c>
      <c r="I1258" s="18" t="n">
        <v>1.5</v>
      </c>
      <c r="J1258" s="19" t="n">
        <v>0.881266654534203</v>
      </c>
      <c r="K1258" s="19" t="n">
        <v>0.57161105250256</v>
      </c>
      <c r="L1258" s="16" t="n">
        <v>13.511668253877</v>
      </c>
      <c r="M1258" s="19" t="n">
        <v>0.458261567382569</v>
      </c>
      <c r="N1258" s="19" t="n">
        <v>4.00662283509518</v>
      </c>
      <c r="O1258" s="19" t="n">
        <v>1.07002910183445</v>
      </c>
      <c r="P1258" s="19" t="n">
        <v>0.735655164207152</v>
      </c>
      <c r="Q1258" s="17" t="s">
        <v>31</v>
      </c>
      <c r="R1258" s="5" t="str">
        <f aca="false">IF(OR(Q1258="Steel plate",Q1258="Concrete jacket"),"Steel plate or jacket",Q1258)</f>
        <v>Polymer laminate</v>
      </c>
      <c r="S1258" s="5" t="str">
        <f aca="false">IF(O1258&lt;='Tree rules'!$C$4,IF(N1258&lt;='Tree rules'!$C$5,IF(P1258&lt;='Tree rules'!$C$6,"Monitor","Polymer laminate"),IF(P1258&lt;='Tree rules'!$C$7,"Seal cracks","Polymer laminate")),IF(O1258&lt;='Tree rules'!$C$8,IF(M1258&lt;='Tree rules'!$C$9,"Steel plate or jacket","Polymer laminate"),IF(L1258&lt;='Tree rules'!$C$10,"Steel plate or jacket","Polymer laminate")))</f>
        <v>Polymer laminate</v>
      </c>
      <c r="T1258" s="5" t="str">
        <f aca="false">IF(S1258=R1258,"Yes","No")</f>
        <v>Yes</v>
      </c>
    </row>
    <row r="1259" customFormat="false" ht="15" hidden="false" customHeight="false" outlineLevel="0" collapsed="false">
      <c r="A1259" s="15" t="n">
        <v>1791</v>
      </c>
      <c r="B1259" s="16" t="n">
        <v>3.45508432092719</v>
      </c>
      <c r="C1259" s="15" t="n">
        <v>300</v>
      </c>
      <c r="D1259" s="15" t="n">
        <v>325</v>
      </c>
      <c r="E1259" s="15" t="n">
        <v>25</v>
      </c>
      <c r="F1259" s="16" t="n">
        <v>0.536642161467296</v>
      </c>
      <c r="G1259" s="17" t="s">
        <v>89</v>
      </c>
      <c r="H1259" s="18" t="n">
        <v>0.3</v>
      </c>
      <c r="I1259" s="18" t="n">
        <v>2</v>
      </c>
      <c r="J1259" s="19" t="n">
        <v>0.88605026856254</v>
      </c>
      <c r="K1259" s="19" t="n">
        <v>0.594123730666962</v>
      </c>
      <c r="L1259" s="16" t="n">
        <v>12.2956737399544</v>
      </c>
      <c r="M1259" s="19" t="n">
        <v>0.29677866515126</v>
      </c>
      <c r="N1259" s="19" t="n">
        <v>0.968531455791783</v>
      </c>
      <c r="O1259" s="19" t="n">
        <v>1.24567704600824</v>
      </c>
      <c r="P1259" s="19" t="n">
        <v>0.949374146044656</v>
      </c>
      <c r="Q1259" s="17" t="s">
        <v>31</v>
      </c>
      <c r="R1259" s="5" t="str">
        <f aca="false">IF(OR(Q1259="Steel plate",Q1259="Concrete jacket"),"Steel plate or jacket",Q1259)</f>
        <v>Polymer laminate</v>
      </c>
      <c r="S1259" s="5" t="str">
        <f aca="false">IF(O1259&lt;='Tree rules'!$C$4,IF(N1259&lt;='Tree rules'!$C$5,IF(P1259&lt;='Tree rules'!$C$6,"Monitor","Polymer laminate"),IF(P1259&lt;='Tree rules'!$C$7,"Seal cracks","Polymer laminate")),IF(O1259&lt;='Tree rules'!$C$8,IF(M1259&lt;='Tree rules'!$C$9,"Steel plate or jacket","Polymer laminate"),IF(L1259&lt;='Tree rules'!$C$10,"Steel plate or jacket","Polymer laminate")))</f>
        <v>Polymer laminate</v>
      </c>
      <c r="T1259" s="5" t="str">
        <f aca="false">IF(S1259=R1259,"Yes","No")</f>
        <v>Yes</v>
      </c>
    </row>
    <row r="1260" customFormat="false" ht="15" hidden="false" customHeight="false" outlineLevel="0" collapsed="false">
      <c r="A1260" s="15" t="n">
        <v>1792</v>
      </c>
      <c r="B1260" s="16" t="n">
        <v>4.04450923043287</v>
      </c>
      <c r="C1260" s="15" t="n">
        <v>300</v>
      </c>
      <c r="D1260" s="15" t="n">
        <v>325</v>
      </c>
      <c r="E1260" s="15" t="n">
        <v>25</v>
      </c>
      <c r="F1260" s="16" t="n">
        <v>0.72065207824282</v>
      </c>
      <c r="G1260" s="17" t="s">
        <v>89</v>
      </c>
      <c r="H1260" s="18" t="n">
        <v>0.3</v>
      </c>
      <c r="I1260" s="18" t="n">
        <v>1.5</v>
      </c>
      <c r="J1260" s="19" t="n">
        <v>0.903984265182522</v>
      </c>
      <c r="K1260" s="19" t="n">
        <v>0.568929392433223</v>
      </c>
      <c r="L1260" s="16" t="n">
        <v>14.4964488545981</v>
      </c>
      <c r="M1260" s="19" t="n">
        <v>0.465262038312403</v>
      </c>
      <c r="N1260" s="19" t="n">
        <v>0.94168928116316</v>
      </c>
      <c r="O1260" s="19" t="n">
        <v>1.09882478839404</v>
      </c>
      <c r="P1260" s="19" t="n">
        <v>0.852635030444695</v>
      </c>
      <c r="Q1260" s="17" t="s">
        <v>31</v>
      </c>
      <c r="R1260" s="5" t="str">
        <f aca="false">IF(OR(Q1260="Steel plate",Q1260="Concrete jacket"),"Steel plate or jacket",Q1260)</f>
        <v>Polymer laminate</v>
      </c>
      <c r="S1260" s="5" t="str">
        <f aca="false">IF(O1260&lt;='Tree rules'!$C$4,IF(N1260&lt;='Tree rules'!$C$5,IF(P1260&lt;='Tree rules'!$C$6,"Monitor","Polymer laminate"),IF(P1260&lt;='Tree rules'!$C$7,"Seal cracks","Polymer laminate")),IF(O1260&lt;='Tree rules'!$C$8,IF(M1260&lt;='Tree rules'!$C$9,"Steel plate or jacket","Polymer laminate"),IF(L1260&lt;='Tree rules'!$C$10,"Steel plate or jacket","Polymer laminate")))</f>
        <v>Polymer laminate</v>
      </c>
      <c r="T1260" s="5" t="str">
        <f aca="false">IF(S1260=R1260,"Yes","No")</f>
        <v>Yes</v>
      </c>
    </row>
    <row r="1261" customFormat="false" ht="15" hidden="false" customHeight="false" outlineLevel="0" collapsed="false">
      <c r="A1261" s="15" t="n">
        <v>1793</v>
      </c>
      <c r="B1261" s="16" t="n">
        <v>5.1575149546846</v>
      </c>
      <c r="C1261" s="15" t="n">
        <v>230</v>
      </c>
      <c r="D1261" s="15" t="n">
        <v>450</v>
      </c>
      <c r="E1261" s="15" t="n">
        <v>30</v>
      </c>
      <c r="F1261" s="16" t="n">
        <v>0.649145274956135</v>
      </c>
      <c r="G1261" s="17" t="s">
        <v>89</v>
      </c>
      <c r="H1261" s="18" t="n">
        <v>0.3</v>
      </c>
      <c r="I1261" s="18" t="n">
        <v>1.5</v>
      </c>
      <c r="J1261" s="19" t="n">
        <v>0.946718797119565</v>
      </c>
      <c r="K1261" s="19" t="n">
        <v>0.64437040437613</v>
      </c>
      <c r="L1261" s="16" t="n">
        <v>12.7661261254569</v>
      </c>
      <c r="M1261" s="19" t="n">
        <v>0.749252294125727</v>
      </c>
      <c r="N1261" s="19" t="n">
        <v>0.780752638688495</v>
      </c>
      <c r="O1261" s="19" t="n">
        <v>1.11505940861414</v>
      </c>
      <c r="P1261" s="19" t="n">
        <v>0.509447672637015</v>
      </c>
      <c r="Q1261" s="17" t="s">
        <v>31</v>
      </c>
      <c r="R1261" s="5" t="str">
        <f aca="false">IF(OR(Q1261="Steel plate",Q1261="Concrete jacket"),"Steel plate or jacket",Q1261)</f>
        <v>Polymer laminate</v>
      </c>
      <c r="S1261" s="5" t="str">
        <f aca="false">IF(O1261&lt;='Tree rules'!$C$4,IF(N1261&lt;='Tree rules'!$C$5,IF(P1261&lt;='Tree rules'!$C$6,"Monitor","Polymer laminate"),IF(P1261&lt;='Tree rules'!$C$7,"Seal cracks","Polymer laminate")),IF(O1261&lt;='Tree rules'!$C$8,IF(M1261&lt;='Tree rules'!$C$9,"Steel plate or jacket","Polymer laminate"),IF(L1261&lt;='Tree rules'!$C$10,"Steel plate or jacket","Polymer laminate")))</f>
        <v>Polymer laminate</v>
      </c>
      <c r="T1261" s="5" t="str">
        <f aca="false">IF(S1261=R1261,"Yes","No")</f>
        <v>Yes</v>
      </c>
    </row>
    <row r="1262" customFormat="false" ht="15" hidden="false" customHeight="false" outlineLevel="0" collapsed="false">
      <c r="A1262" s="15" t="n">
        <v>1794</v>
      </c>
      <c r="B1262" s="16" t="n">
        <v>5.04867885866523</v>
      </c>
      <c r="C1262" s="15" t="n">
        <v>300</v>
      </c>
      <c r="D1262" s="15" t="n">
        <v>450</v>
      </c>
      <c r="E1262" s="15" t="n">
        <v>25</v>
      </c>
      <c r="F1262" s="16" t="n">
        <v>0.829463406888394</v>
      </c>
      <c r="G1262" s="17" t="s">
        <v>89</v>
      </c>
      <c r="H1262" s="18" t="n">
        <v>0.3</v>
      </c>
      <c r="I1262" s="18" t="n">
        <v>1</v>
      </c>
      <c r="J1262" s="19" t="n">
        <v>0.905679310621963</v>
      </c>
      <c r="K1262" s="19" t="n">
        <v>0.493924974084695</v>
      </c>
      <c r="L1262" s="16" t="n">
        <v>12.4967298481813</v>
      </c>
      <c r="M1262" s="19" t="n">
        <v>0.3409601381339</v>
      </c>
      <c r="N1262" s="19" t="n">
        <v>0.628533462271977</v>
      </c>
      <c r="O1262" s="19" t="n">
        <v>0.905679310621963</v>
      </c>
      <c r="P1262" s="19" t="n">
        <v>1.06441706510294</v>
      </c>
      <c r="Q1262" s="17" t="s">
        <v>31</v>
      </c>
      <c r="R1262" s="5" t="str">
        <f aca="false">IF(OR(Q1262="Steel plate",Q1262="Concrete jacket"),"Steel plate or jacket",Q1262)</f>
        <v>Polymer laminate</v>
      </c>
      <c r="S1262" s="5" t="str">
        <f aca="false">IF(O1262&lt;='Tree rules'!$C$4,IF(N1262&lt;='Tree rules'!$C$5,IF(P1262&lt;='Tree rules'!$C$6,"Monitor","Polymer laminate"),IF(P1262&lt;='Tree rules'!$C$7,"Seal cracks","Polymer laminate")),IF(O1262&lt;='Tree rules'!$C$8,IF(M1262&lt;='Tree rules'!$C$9,"Steel plate or jacket","Polymer laminate"),IF(L1262&lt;='Tree rules'!$C$10,"Steel plate or jacket","Polymer laminate")))</f>
        <v>Polymer laminate</v>
      </c>
      <c r="T1262" s="5" t="str">
        <f aca="false">IF(S1262=R1262,"Yes","No")</f>
        <v>Yes</v>
      </c>
    </row>
    <row r="1263" customFormat="false" ht="15" hidden="false" customHeight="false" outlineLevel="0" collapsed="false">
      <c r="A1263" s="15" t="n">
        <v>1796</v>
      </c>
      <c r="B1263" s="16" t="n">
        <v>7.08656343920194</v>
      </c>
      <c r="C1263" s="15" t="n">
        <v>300</v>
      </c>
      <c r="D1263" s="15" t="n">
        <v>650</v>
      </c>
      <c r="E1263" s="15" t="n">
        <v>20</v>
      </c>
      <c r="F1263" s="16" t="n">
        <v>0.665767979568698</v>
      </c>
      <c r="G1263" s="17" t="s">
        <v>91</v>
      </c>
      <c r="H1263" s="18" t="n">
        <v>0.2</v>
      </c>
      <c r="I1263" s="18" t="n">
        <v>1.5</v>
      </c>
      <c r="J1263" s="19" t="n">
        <v>0.853939409796996</v>
      </c>
      <c r="K1263" s="19" t="n">
        <v>0.538722466249252</v>
      </c>
      <c r="L1263" s="16" t="n">
        <v>11.732720925831</v>
      </c>
      <c r="M1263" s="19" t="n">
        <v>0.582449458973571</v>
      </c>
      <c r="N1263" s="19" t="n">
        <v>0.951810187244073</v>
      </c>
      <c r="O1263" s="19" t="n">
        <v>1.05089094225886</v>
      </c>
      <c r="P1263" s="19" t="n">
        <v>0.654144484829591</v>
      </c>
      <c r="Q1263" s="17" t="s">
        <v>31</v>
      </c>
      <c r="R1263" s="5" t="str">
        <f aca="false">IF(OR(Q1263="Steel plate",Q1263="Concrete jacket"),"Steel plate or jacket",Q1263)</f>
        <v>Polymer laminate</v>
      </c>
      <c r="S1263" s="5" t="str">
        <f aca="false">IF(O1263&lt;='Tree rules'!$C$4,IF(N1263&lt;='Tree rules'!$C$5,IF(P1263&lt;='Tree rules'!$C$6,"Monitor","Polymer laminate"),IF(P1263&lt;='Tree rules'!$C$7,"Seal cracks","Polymer laminate")),IF(O1263&lt;='Tree rules'!$C$8,IF(M1263&lt;='Tree rules'!$C$9,"Steel plate or jacket","Polymer laminate"),IF(L1263&lt;='Tree rules'!$C$10,"Steel plate or jacket","Polymer laminate")))</f>
        <v>Polymer laminate</v>
      </c>
      <c r="T1263" s="5" t="str">
        <f aca="false">IF(S1263=R1263,"Yes","No")</f>
        <v>Yes</v>
      </c>
    </row>
    <row r="1264" customFormat="false" ht="15" hidden="false" customHeight="false" outlineLevel="0" collapsed="false">
      <c r="A1264" s="15" t="n">
        <v>1798</v>
      </c>
      <c r="B1264" s="16" t="n">
        <v>5.03737662882893</v>
      </c>
      <c r="C1264" s="15" t="n">
        <v>300</v>
      </c>
      <c r="D1264" s="15" t="n">
        <v>500</v>
      </c>
      <c r="E1264" s="15" t="n">
        <v>20</v>
      </c>
      <c r="F1264" s="16" t="n">
        <v>0.695042622475618</v>
      </c>
      <c r="G1264" s="17" t="s">
        <v>89</v>
      </c>
      <c r="H1264" s="18" t="n">
        <v>0.3</v>
      </c>
      <c r="I1264" s="18" t="n">
        <v>1</v>
      </c>
      <c r="J1264" s="19" t="n">
        <v>0.920855863224093</v>
      </c>
      <c r="K1264" s="19" t="n">
        <v>0.634260346429944</v>
      </c>
      <c r="L1264" s="16" t="n">
        <v>11.1446385593561</v>
      </c>
      <c r="M1264" s="19" t="n">
        <v>0.334141769440583</v>
      </c>
      <c r="N1264" s="19" t="n">
        <v>0.781899808525399</v>
      </c>
      <c r="O1264" s="19" t="n">
        <v>0.920855863224093</v>
      </c>
      <c r="P1264" s="19" t="n">
        <v>1.04715712820892</v>
      </c>
      <c r="Q1264" s="17" t="s">
        <v>31</v>
      </c>
      <c r="R1264" s="5" t="str">
        <f aca="false">IF(OR(Q1264="Steel plate",Q1264="Concrete jacket"),"Steel plate or jacket",Q1264)</f>
        <v>Polymer laminate</v>
      </c>
      <c r="S1264" s="5" t="str">
        <f aca="false">IF(O1264&lt;='Tree rules'!$C$4,IF(N1264&lt;='Tree rules'!$C$5,IF(P1264&lt;='Tree rules'!$C$6,"Monitor","Polymer laminate"),IF(P1264&lt;='Tree rules'!$C$7,"Seal cracks","Polymer laminate")),IF(O1264&lt;='Tree rules'!$C$8,IF(M1264&lt;='Tree rules'!$C$9,"Steel plate or jacket","Polymer laminate"),IF(L1264&lt;='Tree rules'!$C$10,"Steel plate or jacket","Polymer laminate")))</f>
        <v>Polymer laminate</v>
      </c>
      <c r="T1264" s="5" t="str">
        <f aca="false">IF(S1264=R1264,"Yes","No")</f>
        <v>Yes</v>
      </c>
    </row>
    <row r="1265" customFormat="false" ht="15" hidden="false" customHeight="false" outlineLevel="0" collapsed="false">
      <c r="A1265" s="15" t="n">
        <v>1801</v>
      </c>
      <c r="B1265" s="16" t="n">
        <v>6.69085278326229</v>
      </c>
      <c r="C1265" s="15" t="n">
        <v>300</v>
      </c>
      <c r="D1265" s="15" t="n">
        <v>550</v>
      </c>
      <c r="E1265" s="15" t="n">
        <v>30</v>
      </c>
      <c r="F1265" s="16" t="n">
        <v>0.531909867274462</v>
      </c>
      <c r="G1265" s="17" t="s">
        <v>89</v>
      </c>
      <c r="H1265" s="18" t="n">
        <v>0.3</v>
      </c>
      <c r="I1265" s="18" t="n">
        <v>1.5</v>
      </c>
      <c r="J1265" s="19" t="n">
        <v>0.973239462260548</v>
      </c>
      <c r="K1265" s="19" t="n">
        <v>0.590408949988247</v>
      </c>
      <c r="L1265" s="16" t="n">
        <v>13.2755015540919</v>
      </c>
      <c r="M1265" s="19" t="n">
        <v>0.930739775185425</v>
      </c>
      <c r="N1265" s="19" t="n">
        <v>0.765970724935117</v>
      </c>
      <c r="O1265" s="19" t="n">
        <v>1.17255454889063</v>
      </c>
      <c r="P1265" s="19" t="n">
        <v>0.395365080128048</v>
      </c>
      <c r="Q1265" s="17" t="s">
        <v>31</v>
      </c>
      <c r="R1265" s="5" t="str">
        <f aca="false">IF(OR(Q1265="Steel plate",Q1265="Concrete jacket"),"Steel plate or jacket",Q1265)</f>
        <v>Polymer laminate</v>
      </c>
      <c r="S1265" s="5" t="str">
        <f aca="false">IF(O1265&lt;='Tree rules'!$C$4,IF(N1265&lt;='Tree rules'!$C$5,IF(P1265&lt;='Tree rules'!$C$6,"Monitor","Polymer laminate"),IF(P1265&lt;='Tree rules'!$C$7,"Seal cracks","Polymer laminate")),IF(O1265&lt;='Tree rules'!$C$8,IF(M1265&lt;='Tree rules'!$C$9,"Steel plate or jacket","Polymer laminate"),IF(L1265&lt;='Tree rules'!$C$10,"Steel plate or jacket","Polymer laminate")))</f>
        <v>Polymer laminate</v>
      </c>
      <c r="T1265" s="5" t="str">
        <f aca="false">IF(S1265=R1265,"Yes","No")</f>
        <v>Yes</v>
      </c>
    </row>
    <row r="1266" customFormat="false" ht="15" hidden="false" customHeight="false" outlineLevel="0" collapsed="false">
      <c r="A1266" s="15" t="n">
        <v>1802</v>
      </c>
      <c r="B1266" s="16" t="n">
        <v>3.14097175247465</v>
      </c>
      <c r="C1266" s="15" t="n">
        <v>230</v>
      </c>
      <c r="D1266" s="15" t="n">
        <v>300</v>
      </c>
      <c r="E1266" s="15" t="n">
        <v>20</v>
      </c>
      <c r="F1266" s="16" t="n">
        <v>0.576243217710084</v>
      </c>
      <c r="G1266" s="17" t="s">
        <v>89</v>
      </c>
      <c r="H1266" s="18" t="n">
        <v>0.3</v>
      </c>
      <c r="I1266" s="18" t="n">
        <v>1</v>
      </c>
      <c r="J1266" s="19" t="n">
        <v>0.895388432842294</v>
      </c>
      <c r="K1266" s="19" t="n">
        <v>0.420310490800492</v>
      </c>
      <c r="L1266" s="16" t="n">
        <v>12.2694209081041</v>
      </c>
      <c r="M1266" s="19" t="n">
        <v>0.749381695551171</v>
      </c>
      <c r="N1266" s="19" t="n">
        <v>0.603315914635759</v>
      </c>
      <c r="O1266" s="19" t="n">
        <v>0.895388432842294</v>
      </c>
      <c r="P1266" s="19" t="n">
        <v>0.316340174920464</v>
      </c>
      <c r="Q1266" s="17" t="s">
        <v>29</v>
      </c>
      <c r="R1266" s="5" t="str">
        <f aca="false">IF(OR(Q1266="Steel plate",Q1266="Concrete jacket"),"Steel plate or jacket",Q1266)</f>
        <v>Monitor</v>
      </c>
      <c r="S1266" s="5" t="str">
        <f aca="false">IF(O1266&lt;='Tree rules'!$C$4,IF(N1266&lt;='Tree rules'!$C$5,IF(P1266&lt;='Tree rules'!$C$6,"Monitor","Polymer laminate"),IF(P1266&lt;='Tree rules'!$C$7,"Seal cracks","Polymer laminate")),IF(O1266&lt;='Tree rules'!$C$8,IF(M1266&lt;='Tree rules'!$C$9,"Steel plate or jacket","Polymer laminate"),IF(L1266&lt;='Tree rules'!$C$10,"Steel plate or jacket","Polymer laminate")))</f>
        <v>Monitor</v>
      </c>
      <c r="T1266" s="5" t="str">
        <f aca="false">IF(S1266=R1266,"Yes","No")</f>
        <v>Yes</v>
      </c>
    </row>
    <row r="1267" customFormat="false" ht="15" hidden="false" customHeight="false" outlineLevel="0" collapsed="false">
      <c r="A1267" s="15" t="n">
        <v>1803</v>
      </c>
      <c r="B1267" s="16" t="n">
        <v>3.2236705386236</v>
      </c>
      <c r="C1267" s="15" t="n">
        <v>230</v>
      </c>
      <c r="D1267" s="15" t="n">
        <v>300</v>
      </c>
      <c r="E1267" s="15" t="n">
        <v>20</v>
      </c>
      <c r="F1267" s="16" t="n">
        <v>0.688332522525665</v>
      </c>
      <c r="G1267" s="17" t="s">
        <v>91</v>
      </c>
      <c r="H1267" s="18" t="n">
        <v>0.2</v>
      </c>
      <c r="I1267" s="18" t="n">
        <v>1</v>
      </c>
      <c r="J1267" s="19" t="n">
        <v>0.912702028183998</v>
      </c>
      <c r="K1267" s="19" t="n">
        <v>0.624919152873383</v>
      </c>
      <c r="L1267" s="16" t="n">
        <v>12.6916162937937</v>
      </c>
      <c r="M1267" s="19" t="n">
        <v>0.589563264096091</v>
      </c>
      <c r="N1267" s="19" t="n">
        <v>1.24124235038956</v>
      </c>
      <c r="O1267" s="19" t="n">
        <v>0.912702028183998</v>
      </c>
      <c r="P1267" s="19" t="n">
        <v>0.561661845540446</v>
      </c>
      <c r="Q1267" s="17" t="s">
        <v>30</v>
      </c>
      <c r="R1267" s="5" t="str">
        <f aca="false">IF(OR(Q1267="Steel plate",Q1267="Concrete jacket"),"Steel plate or jacket",Q1267)</f>
        <v>Seal cracks</v>
      </c>
      <c r="S1267" s="5" t="str">
        <f aca="false">IF(O1267&lt;='Tree rules'!$C$4,IF(N1267&lt;='Tree rules'!$C$5,IF(P1267&lt;='Tree rules'!$C$6,"Monitor","Polymer laminate"),IF(P1267&lt;='Tree rules'!$C$7,"Seal cracks","Polymer laminate")),IF(O1267&lt;='Tree rules'!$C$8,IF(M1267&lt;='Tree rules'!$C$9,"Steel plate or jacket","Polymer laminate"),IF(L1267&lt;='Tree rules'!$C$10,"Steel plate or jacket","Polymer laminate")))</f>
        <v>Seal cracks</v>
      </c>
      <c r="T1267" s="5" t="str">
        <f aca="false">IF(S1267=R1267,"Yes","No")</f>
        <v>Yes</v>
      </c>
    </row>
    <row r="1268" customFormat="false" ht="15" hidden="false" customHeight="false" outlineLevel="0" collapsed="false">
      <c r="A1268" s="15" t="n">
        <v>1804</v>
      </c>
      <c r="B1268" s="16" t="n">
        <v>3.00841498575457</v>
      </c>
      <c r="C1268" s="15" t="n">
        <v>300</v>
      </c>
      <c r="D1268" s="15" t="n">
        <v>300</v>
      </c>
      <c r="E1268" s="15" t="n">
        <v>30</v>
      </c>
      <c r="F1268" s="16" t="n">
        <v>0.841263304726974</v>
      </c>
      <c r="G1268" s="17" t="s">
        <v>90</v>
      </c>
      <c r="H1268" s="18" t="n">
        <v>0.1</v>
      </c>
      <c r="I1268" s="18" t="n">
        <v>1.5</v>
      </c>
      <c r="J1268" s="19" t="n">
        <v>0.958891397592275</v>
      </c>
      <c r="K1268" s="19" t="n">
        <v>0.56003876215514</v>
      </c>
      <c r="L1268" s="16" t="n">
        <v>12.5875104006467</v>
      </c>
      <c r="M1268" s="19" t="n">
        <v>0.935108342609312</v>
      </c>
      <c r="N1268" s="19" t="n">
        <v>3.52730909339729</v>
      </c>
      <c r="O1268" s="19" t="n">
        <v>1.16982892071402</v>
      </c>
      <c r="P1268" s="19" t="n">
        <v>0.359638229458502</v>
      </c>
      <c r="Q1268" s="17" t="s">
        <v>31</v>
      </c>
      <c r="R1268" s="5" t="str">
        <f aca="false">IF(OR(Q1268="Steel plate",Q1268="Concrete jacket"),"Steel plate or jacket",Q1268)</f>
        <v>Polymer laminate</v>
      </c>
      <c r="S1268" s="5" t="str">
        <f aca="false">IF(O1268&lt;='Tree rules'!$C$4,IF(N1268&lt;='Tree rules'!$C$5,IF(P1268&lt;='Tree rules'!$C$6,"Monitor","Polymer laminate"),IF(P1268&lt;='Tree rules'!$C$7,"Seal cracks","Polymer laminate")),IF(O1268&lt;='Tree rules'!$C$8,IF(M1268&lt;='Tree rules'!$C$9,"Steel plate or jacket","Polymer laminate"),IF(L1268&lt;='Tree rules'!$C$10,"Steel plate or jacket","Polymer laminate")))</f>
        <v>Polymer laminate</v>
      </c>
      <c r="T1268" s="5" t="str">
        <f aca="false">IF(S1268=R1268,"Yes","No")</f>
        <v>Yes</v>
      </c>
    </row>
    <row r="1269" customFormat="false" ht="15" hidden="false" customHeight="false" outlineLevel="0" collapsed="false">
      <c r="A1269" s="15" t="n">
        <v>1805</v>
      </c>
      <c r="B1269" s="16" t="n">
        <v>3.5541613230952</v>
      </c>
      <c r="C1269" s="15" t="n">
        <v>300</v>
      </c>
      <c r="D1269" s="15" t="n">
        <v>350</v>
      </c>
      <c r="E1269" s="15" t="n">
        <v>20</v>
      </c>
      <c r="F1269" s="16" t="n">
        <v>0.661387927071535</v>
      </c>
      <c r="G1269" s="17" t="s">
        <v>91</v>
      </c>
      <c r="H1269" s="18" t="n">
        <v>0.2</v>
      </c>
      <c r="I1269" s="18" t="n">
        <v>1.5</v>
      </c>
      <c r="J1269" s="19" t="n">
        <v>0.877781865965925</v>
      </c>
      <c r="K1269" s="19" t="n">
        <v>0.453751669947621</v>
      </c>
      <c r="L1269" s="16" t="n">
        <v>11.6913201417605</v>
      </c>
      <c r="M1269" s="19" t="n">
        <v>0.853614621874189</v>
      </c>
      <c r="N1269" s="19" t="n">
        <v>1.30398620836836</v>
      </c>
      <c r="O1269" s="19" t="n">
        <v>1.117525305183</v>
      </c>
      <c r="P1269" s="19" t="n">
        <v>0.376806496326284</v>
      </c>
      <c r="Q1269" s="17" t="s">
        <v>31</v>
      </c>
      <c r="R1269" s="5" t="str">
        <f aca="false">IF(OR(Q1269="Steel plate",Q1269="Concrete jacket"),"Steel plate or jacket",Q1269)</f>
        <v>Polymer laminate</v>
      </c>
      <c r="S1269" s="5" t="str">
        <f aca="false">IF(O1269&lt;='Tree rules'!$C$4,IF(N1269&lt;='Tree rules'!$C$5,IF(P1269&lt;='Tree rules'!$C$6,"Monitor","Polymer laminate"),IF(P1269&lt;='Tree rules'!$C$7,"Seal cracks","Polymer laminate")),IF(O1269&lt;='Tree rules'!$C$8,IF(M1269&lt;='Tree rules'!$C$9,"Steel plate or jacket","Polymer laminate"),IF(L1269&lt;='Tree rules'!$C$10,"Steel plate or jacket","Polymer laminate")))</f>
        <v>Polymer laminate</v>
      </c>
      <c r="T1269" s="5" t="str">
        <f aca="false">IF(S1269=R1269,"Yes","No")</f>
        <v>Yes</v>
      </c>
    </row>
    <row r="1270" customFormat="false" ht="15" hidden="false" customHeight="false" outlineLevel="0" collapsed="false">
      <c r="A1270" s="15" t="n">
        <v>1806</v>
      </c>
      <c r="B1270" s="16" t="n">
        <v>4.70693750774325</v>
      </c>
      <c r="C1270" s="15" t="n">
        <v>300</v>
      </c>
      <c r="D1270" s="15" t="n">
        <v>400</v>
      </c>
      <c r="E1270" s="15" t="n">
        <v>30</v>
      </c>
      <c r="F1270" s="16" t="n">
        <v>0.594998608634431</v>
      </c>
      <c r="G1270" s="17" t="s">
        <v>91</v>
      </c>
      <c r="H1270" s="18" t="n">
        <v>0.2</v>
      </c>
      <c r="I1270" s="18" t="n">
        <v>1.5</v>
      </c>
      <c r="J1270" s="19" t="n">
        <v>0.980573945446529</v>
      </c>
      <c r="K1270" s="19" t="n">
        <v>0.556639826987044</v>
      </c>
      <c r="L1270" s="16" t="n">
        <v>13.3719815560888</v>
      </c>
      <c r="M1270" s="19" t="n">
        <v>0.339860805499511</v>
      </c>
      <c r="N1270" s="19" t="n">
        <v>2.17252040187626</v>
      </c>
      <c r="O1270" s="19" t="n">
        <v>1.19794766249911</v>
      </c>
      <c r="P1270" s="19" t="n">
        <v>0.974907959391647</v>
      </c>
      <c r="Q1270" s="17" t="s">
        <v>31</v>
      </c>
      <c r="R1270" s="5" t="str">
        <f aca="false">IF(OR(Q1270="Steel plate",Q1270="Concrete jacket"),"Steel plate or jacket",Q1270)</f>
        <v>Polymer laminate</v>
      </c>
      <c r="S1270" s="5" t="str">
        <f aca="false">IF(O1270&lt;='Tree rules'!$C$4,IF(N1270&lt;='Tree rules'!$C$5,IF(P1270&lt;='Tree rules'!$C$6,"Monitor","Polymer laminate"),IF(P1270&lt;='Tree rules'!$C$7,"Seal cracks","Polymer laminate")),IF(O1270&lt;='Tree rules'!$C$8,IF(M1270&lt;='Tree rules'!$C$9,"Steel plate or jacket","Polymer laminate"),IF(L1270&lt;='Tree rules'!$C$10,"Steel plate or jacket","Polymer laminate")))</f>
        <v>Polymer laminate</v>
      </c>
      <c r="T1270" s="5" t="str">
        <f aca="false">IF(S1270=R1270,"Yes","No")</f>
        <v>Yes</v>
      </c>
    </row>
    <row r="1271" customFormat="false" ht="15" hidden="false" customHeight="false" outlineLevel="0" collapsed="false">
      <c r="A1271" s="15" t="n">
        <v>1807</v>
      </c>
      <c r="B1271" s="16" t="n">
        <v>3.12055607449096</v>
      </c>
      <c r="C1271" s="15" t="n">
        <v>230</v>
      </c>
      <c r="D1271" s="15" t="n">
        <v>300</v>
      </c>
      <c r="E1271" s="15" t="n">
        <v>25</v>
      </c>
      <c r="F1271" s="16" t="n">
        <v>0.688332522525665</v>
      </c>
      <c r="G1271" s="17" t="s">
        <v>89</v>
      </c>
      <c r="H1271" s="18" t="n">
        <v>0.3</v>
      </c>
      <c r="I1271" s="18" t="n">
        <v>1</v>
      </c>
      <c r="J1271" s="19" t="n">
        <v>0.944989153563512</v>
      </c>
      <c r="K1271" s="19" t="n">
        <v>0.636068488080758</v>
      </c>
      <c r="L1271" s="16" t="n">
        <v>12.2856538365786</v>
      </c>
      <c r="M1271" s="19" t="n">
        <v>0.713694463927237</v>
      </c>
      <c r="N1271" s="19" t="n">
        <v>0.842310906093238</v>
      </c>
      <c r="O1271" s="19" t="n">
        <v>0.944989153563512</v>
      </c>
      <c r="P1271" s="19" t="n">
        <v>0.439050359811866</v>
      </c>
      <c r="Q1271" s="17" t="s">
        <v>29</v>
      </c>
      <c r="R1271" s="5" t="str">
        <f aca="false">IF(OR(Q1271="Steel plate",Q1271="Concrete jacket"),"Steel plate or jacket",Q1271)</f>
        <v>Monitor</v>
      </c>
      <c r="S1271" s="5" t="str">
        <f aca="false">IF(O1271&lt;='Tree rules'!$C$4,IF(N1271&lt;='Tree rules'!$C$5,IF(P1271&lt;='Tree rules'!$C$6,"Monitor","Polymer laminate"),IF(P1271&lt;='Tree rules'!$C$7,"Seal cracks","Polymer laminate")),IF(O1271&lt;='Tree rules'!$C$8,IF(M1271&lt;='Tree rules'!$C$9,"Steel plate or jacket","Polymer laminate"),IF(L1271&lt;='Tree rules'!$C$10,"Steel plate or jacket","Polymer laminate")))</f>
        <v>Monitor</v>
      </c>
      <c r="T1271" s="5" t="str">
        <f aca="false">IF(S1271=R1271,"Yes","No")</f>
        <v>Yes</v>
      </c>
    </row>
    <row r="1272" customFormat="false" ht="15" hidden="false" customHeight="false" outlineLevel="0" collapsed="false">
      <c r="A1272" s="15" t="n">
        <v>1808</v>
      </c>
      <c r="B1272" s="16" t="n">
        <v>5.45814013316214</v>
      </c>
      <c r="C1272" s="15" t="n">
        <v>230</v>
      </c>
      <c r="D1272" s="15" t="n">
        <v>475</v>
      </c>
      <c r="E1272" s="15" t="n">
        <v>20</v>
      </c>
      <c r="F1272" s="16" t="n">
        <v>0.639770421258486</v>
      </c>
      <c r="G1272" s="17" t="s">
        <v>89</v>
      </c>
      <c r="H1272" s="18" t="n">
        <v>0.3</v>
      </c>
      <c r="I1272" s="18" t="n">
        <v>2</v>
      </c>
      <c r="J1272" s="19" t="n">
        <v>0.967215174583461</v>
      </c>
      <c r="K1272" s="19" t="n">
        <v>0.471339930311363</v>
      </c>
      <c r="L1272" s="16" t="n">
        <v>12.7825295858598</v>
      </c>
      <c r="M1272" s="19" t="n">
        <v>0.385041013103718</v>
      </c>
      <c r="N1272" s="19" t="n">
        <v>1.44510983018408</v>
      </c>
      <c r="O1272" s="19" t="n">
        <v>1.47854321618266</v>
      </c>
      <c r="P1272" s="19" t="n">
        <v>1.14872439121677</v>
      </c>
      <c r="Q1272" s="17" t="s">
        <v>92</v>
      </c>
      <c r="R1272" s="5" t="str">
        <f aca="false">IF(OR(Q1272="Steel plate",Q1272="Concrete jacket"),"Steel plate or jacket",Q1272)</f>
        <v>Steel plate or jacket</v>
      </c>
      <c r="S1272" s="5" t="str">
        <f aca="false">IF(O1272&lt;='Tree rules'!$C$4,IF(N1272&lt;='Tree rules'!$C$5,IF(P1272&lt;='Tree rules'!$C$6,"Monitor","Polymer laminate"),IF(P1272&lt;='Tree rules'!$C$7,"Seal cracks","Polymer laminate")),IF(O1272&lt;='Tree rules'!$C$8,IF(M1272&lt;='Tree rules'!$C$9,"Steel plate or jacket","Polymer laminate"),IF(L1272&lt;='Tree rules'!$C$10,"Steel plate or jacket","Polymer laminate")))</f>
        <v>Steel plate or jacket</v>
      </c>
      <c r="T1272" s="5" t="str">
        <f aca="false">IF(S1272=R1272,"Yes","No")</f>
        <v>Yes</v>
      </c>
    </row>
    <row r="1273" customFormat="false" ht="15" hidden="false" customHeight="false" outlineLevel="0" collapsed="false">
      <c r="A1273" s="15" t="n">
        <v>1810</v>
      </c>
      <c r="B1273" s="16" t="n">
        <v>3.34476542627219</v>
      </c>
      <c r="C1273" s="15" t="n">
        <v>230</v>
      </c>
      <c r="D1273" s="15" t="n">
        <v>300</v>
      </c>
      <c r="E1273" s="15" t="n">
        <v>30</v>
      </c>
      <c r="F1273" s="16" t="n">
        <v>0.576243217710084</v>
      </c>
      <c r="G1273" s="17" t="s">
        <v>89</v>
      </c>
      <c r="H1273" s="18" t="n">
        <v>0.3</v>
      </c>
      <c r="I1273" s="18" t="n">
        <v>1</v>
      </c>
      <c r="J1273" s="19" t="n">
        <v>0.915992366031106</v>
      </c>
      <c r="K1273" s="19" t="n">
        <v>0.645759361093053</v>
      </c>
      <c r="L1273" s="16" t="n">
        <v>13.0654899463757</v>
      </c>
      <c r="M1273" s="19" t="n">
        <v>0.48883070875195</v>
      </c>
      <c r="N1273" s="19" t="n">
        <v>0.681105964838018</v>
      </c>
      <c r="O1273" s="19" t="n">
        <v>0.915992366031106</v>
      </c>
      <c r="P1273" s="19" t="n">
        <v>0.530674694793224</v>
      </c>
      <c r="Q1273" s="17" t="s">
        <v>29</v>
      </c>
      <c r="R1273" s="5" t="str">
        <f aca="false">IF(OR(Q1273="Steel plate",Q1273="Concrete jacket"),"Steel plate or jacket",Q1273)</f>
        <v>Monitor</v>
      </c>
      <c r="S1273" s="5" t="str">
        <f aca="false">IF(O1273&lt;='Tree rules'!$C$4,IF(N1273&lt;='Tree rules'!$C$5,IF(P1273&lt;='Tree rules'!$C$6,"Monitor","Polymer laminate"),IF(P1273&lt;='Tree rules'!$C$7,"Seal cracks","Polymer laminate")),IF(O1273&lt;='Tree rules'!$C$8,IF(M1273&lt;='Tree rules'!$C$9,"Steel plate or jacket","Polymer laminate"),IF(L1273&lt;='Tree rules'!$C$10,"Steel plate or jacket","Polymer laminate")))</f>
        <v>Monitor</v>
      </c>
      <c r="T1273" s="5" t="str">
        <f aca="false">IF(S1273=R1273,"Yes","No")</f>
        <v>Yes</v>
      </c>
    </row>
    <row r="1274" customFormat="false" ht="15" hidden="false" customHeight="false" outlineLevel="0" collapsed="false">
      <c r="A1274" s="15" t="n">
        <v>1811</v>
      </c>
      <c r="B1274" s="16" t="n">
        <v>5.16711422689856</v>
      </c>
      <c r="C1274" s="15" t="n">
        <v>300</v>
      </c>
      <c r="D1274" s="15" t="n">
        <v>475</v>
      </c>
      <c r="E1274" s="15" t="n">
        <v>30</v>
      </c>
      <c r="F1274" s="16" t="n">
        <v>0.624901102811956</v>
      </c>
      <c r="G1274" s="17" t="s">
        <v>89</v>
      </c>
      <c r="H1274" s="18" t="n">
        <v>0.3</v>
      </c>
      <c r="I1274" s="18" t="n">
        <v>1.5</v>
      </c>
      <c r="J1274" s="19" t="n">
        <v>0.988296000567399</v>
      </c>
      <c r="K1274" s="19" t="n">
        <v>0.528634012788606</v>
      </c>
      <c r="L1274" s="16" t="n">
        <v>12.0445553074559</v>
      </c>
      <c r="M1274" s="19" t="n">
        <v>0.526908293288815</v>
      </c>
      <c r="N1274" s="19" t="n">
        <v>0.893975572715262</v>
      </c>
      <c r="O1274" s="19" t="n">
        <v>1.22122056054966</v>
      </c>
      <c r="P1274" s="19" t="n">
        <v>0.649694126548642</v>
      </c>
      <c r="Q1274" s="17" t="s">
        <v>31</v>
      </c>
      <c r="R1274" s="5" t="str">
        <f aca="false">IF(OR(Q1274="Steel plate",Q1274="Concrete jacket"),"Steel plate or jacket",Q1274)</f>
        <v>Polymer laminate</v>
      </c>
      <c r="S1274" s="5" t="str">
        <f aca="false">IF(O1274&lt;='Tree rules'!$C$4,IF(N1274&lt;='Tree rules'!$C$5,IF(P1274&lt;='Tree rules'!$C$6,"Monitor","Polymer laminate"),IF(P1274&lt;='Tree rules'!$C$7,"Seal cracks","Polymer laminate")),IF(O1274&lt;='Tree rules'!$C$8,IF(M1274&lt;='Tree rules'!$C$9,"Steel plate or jacket","Polymer laminate"),IF(L1274&lt;='Tree rules'!$C$10,"Steel plate or jacket","Polymer laminate")))</f>
        <v>Polymer laminate</v>
      </c>
      <c r="T1274" s="5" t="str">
        <f aca="false">IF(S1274=R1274,"Yes","No")</f>
        <v>Yes</v>
      </c>
    </row>
    <row r="1275" customFormat="false" ht="15" hidden="false" customHeight="false" outlineLevel="0" collapsed="false">
      <c r="A1275" s="15" t="n">
        <v>1812</v>
      </c>
      <c r="B1275" s="16" t="n">
        <v>5.06985106036075</v>
      </c>
      <c r="C1275" s="15" t="n">
        <v>230</v>
      </c>
      <c r="D1275" s="15" t="n">
        <v>475</v>
      </c>
      <c r="E1275" s="15" t="n">
        <v>25</v>
      </c>
      <c r="F1275" s="16" t="n">
        <v>0.639770421258486</v>
      </c>
      <c r="G1275" s="17" t="s">
        <v>89</v>
      </c>
      <c r="H1275" s="18" t="n">
        <v>0.3</v>
      </c>
      <c r="I1275" s="18" t="n">
        <v>2</v>
      </c>
      <c r="J1275" s="19" t="n">
        <v>0.98101387725775</v>
      </c>
      <c r="K1275" s="19" t="n">
        <v>0.564604435366536</v>
      </c>
      <c r="L1275" s="16" t="n">
        <v>11.87318749499</v>
      </c>
      <c r="M1275" s="19" t="n">
        <v>0.44807564968087</v>
      </c>
      <c r="N1275" s="19" t="n">
        <v>1.37680339056187</v>
      </c>
      <c r="O1275" s="19" t="n">
        <v>1.40814296825965</v>
      </c>
      <c r="P1275" s="19" t="n">
        <v>0.885554640314437</v>
      </c>
      <c r="Q1275" s="17" t="s">
        <v>31</v>
      </c>
      <c r="R1275" s="5" t="str">
        <f aca="false">IF(OR(Q1275="Steel plate",Q1275="Concrete jacket"),"Steel plate or jacket",Q1275)</f>
        <v>Polymer laminate</v>
      </c>
      <c r="S1275" s="5" t="str">
        <f aca="false">IF(O1275&lt;='Tree rules'!$C$4,IF(N1275&lt;='Tree rules'!$C$5,IF(P1275&lt;='Tree rules'!$C$6,"Monitor","Polymer laminate"),IF(P1275&lt;='Tree rules'!$C$7,"Seal cracks","Polymer laminate")),IF(O1275&lt;='Tree rules'!$C$8,IF(M1275&lt;='Tree rules'!$C$9,"Steel plate or jacket","Polymer laminate"),IF(L1275&lt;='Tree rules'!$C$10,"Steel plate or jacket","Polymer laminate")))</f>
        <v>Steel plate or jacket</v>
      </c>
      <c r="T1275" s="5" t="str">
        <f aca="false">IF(S1275=R1275,"Yes","No")</f>
        <v>No</v>
      </c>
    </row>
    <row r="1276" customFormat="false" ht="15" hidden="false" customHeight="false" outlineLevel="0" collapsed="false">
      <c r="A1276" s="15" t="n">
        <v>1813</v>
      </c>
      <c r="B1276" s="16" t="n">
        <v>7.28312745061496</v>
      </c>
      <c r="C1276" s="15" t="n">
        <v>300</v>
      </c>
      <c r="D1276" s="15" t="n">
        <v>625</v>
      </c>
      <c r="E1276" s="15" t="n">
        <v>30</v>
      </c>
      <c r="F1276" s="16" t="n">
        <v>0.578762031749415</v>
      </c>
      <c r="G1276" s="17" t="s">
        <v>91</v>
      </c>
      <c r="H1276" s="18" t="n">
        <v>0.2</v>
      </c>
      <c r="I1276" s="18" t="n">
        <v>2</v>
      </c>
      <c r="J1276" s="19" t="n">
        <v>0.918643100601112</v>
      </c>
      <c r="K1276" s="19" t="n">
        <v>0.572979589352759</v>
      </c>
      <c r="L1276" s="16" t="n">
        <v>12.5788038870725</v>
      </c>
      <c r="M1276" s="19" t="n">
        <v>0.692212133846366</v>
      </c>
      <c r="N1276" s="19" t="n">
        <v>1.27071184875652</v>
      </c>
      <c r="O1276" s="19" t="n">
        <v>1.31092245465805</v>
      </c>
      <c r="P1276" s="19" t="n">
        <v>0.55597006564108</v>
      </c>
      <c r="Q1276" s="17" t="s">
        <v>31</v>
      </c>
      <c r="R1276" s="5" t="str">
        <f aca="false">IF(OR(Q1276="Steel plate",Q1276="Concrete jacket"),"Steel plate or jacket",Q1276)</f>
        <v>Polymer laminate</v>
      </c>
      <c r="S1276" s="5" t="str">
        <f aca="false">IF(O1276&lt;='Tree rules'!$C$4,IF(N1276&lt;='Tree rules'!$C$5,IF(P1276&lt;='Tree rules'!$C$6,"Monitor","Polymer laminate"),IF(P1276&lt;='Tree rules'!$C$7,"Seal cracks","Polymer laminate")),IF(O1276&lt;='Tree rules'!$C$8,IF(M1276&lt;='Tree rules'!$C$9,"Steel plate or jacket","Polymer laminate"),IF(L1276&lt;='Tree rules'!$C$10,"Steel plate or jacket","Polymer laminate")))</f>
        <v>Steel plate or jacket</v>
      </c>
      <c r="T1276" s="5" t="str">
        <f aca="false">IF(S1276=R1276,"Yes","No")</f>
        <v>No</v>
      </c>
    </row>
    <row r="1277" customFormat="false" ht="15" hidden="false" customHeight="false" outlineLevel="0" collapsed="false">
      <c r="A1277" s="15" t="n">
        <v>1814</v>
      </c>
      <c r="B1277" s="16" t="n">
        <v>5.24345827501052</v>
      </c>
      <c r="C1277" s="15" t="n">
        <v>230</v>
      </c>
      <c r="D1277" s="15" t="n">
        <v>450</v>
      </c>
      <c r="E1277" s="15" t="n">
        <v>30</v>
      </c>
      <c r="F1277" s="16" t="n">
        <v>0.679557138998441</v>
      </c>
      <c r="G1277" s="17" t="s">
        <v>89</v>
      </c>
      <c r="H1277" s="18" t="n">
        <v>0.3</v>
      </c>
      <c r="I1277" s="18" t="n">
        <v>1.5</v>
      </c>
      <c r="J1277" s="19" t="n">
        <v>0.945812351144005</v>
      </c>
      <c r="K1277" s="19" t="n">
        <v>0.463234285295935</v>
      </c>
      <c r="L1277" s="16" t="n">
        <v>13.0434285448023</v>
      </c>
      <c r="M1277" s="19" t="n">
        <v>0.486604757107845</v>
      </c>
      <c r="N1277" s="19" t="n">
        <v>1.16529971989788</v>
      </c>
      <c r="O1277" s="19" t="n">
        <v>1.19965217246288</v>
      </c>
      <c r="P1277" s="19" t="n">
        <v>0.728732929631669</v>
      </c>
      <c r="Q1277" s="17" t="s">
        <v>31</v>
      </c>
      <c r="R1277" s="5" t="str">
        <f aca="false">IF(OR(Q1277="Steel plate",Q1277="Concrete jacket"),"Steel plate or jacket",Q1277)</f>
        <v>Polymer laminate</v>
      </c>
      <c r="S1277" s="5" t="str">
        <f aca="false">IF(O1277&lt;='Tree rules'!$C$4,IF(N1277&lt;='Tree rules'!$C$5,IF(P1277&lt;='Tree rules'!$C$6,"Monitor","Polymer laminate"),IF(P1277&lt;='Tree rules'!$C$7,"Seal cracks","Polymer laminate")),IF(O1277&lt;='Tree rules'!$C$8,IF(M1277&lt;='Tree rules'!$C$9,"Steel plate or jacket","Polymer laminate"),IF(L1277&lt;='Tree rules'!$C$10,"Steel plate or jacket","Polymer laminate")))</f>
        <v>Polymer laminate</v>
      </c>
      <c r="T1277" s="5" t="str">
        <f aca="false">IF(S1277=R1277,"Yes","No")</f>
        <v>Yes</v>
      </c>
    </row>
    <row r="1278" customFormat="false" ht="15" hidden="false" customHeight="false" outlineLevel="0" collapsed="false">
      <c r="A1278" s="15" t="n">
        <v>1815</v>
      </c>
      <c r="B1278" s="16" t="n">
        <v>6.37654025769358</v>
      </c>
      <c r="C1278" s="15" t="n">
        <v>230</v>
      </c>
      <c r="D1278" s="15" t="n">
        <v>500</v>
      </c>
      <c r="E1278" s="15" t="n">
        <v>20</v>
      </c>
      <c r="F1278" s="16" t="n">
        <v>0.577653504586516</v>
      </c>
      <c r="G1278" s="17" t="s">
        <v>91</v>
      </c>
      <c r="H1278" s="18" t="n">
        <v>0.2</v>
      </c>
      <c r="I1278" s="18" t="n">
        <v>1</v>
      </c>
      <c r="J1278" s="19" t="n">
        <v>0.903860895387468</v>
      </c>
      <c r="K1278" s="19" t="n">
        <v>0.553544209847385</v>
      </c>
      <c r="L1278" s="16" t="n">
        <v>14.0452428583559</v>
      </c>
      <c r="M1278" s="19" t="n">
        <v>0.747324768672501</v>
      </c>
      <c r="N1278" s="19" t="n">
        <v>0.896762515221787</v>
      </c>
      <c r="O1278" s="19" t="n">
        <v>0.903860895387468</v>
      </c>
      <c r="P1278" s="19" t="n">
        <v>0.504195458135757</v>
      </c>
      <c r="Q1278" s="17" t="s">
        <v>29</v>
      </c>
      <c r="R1278" s="5" t="str">
        <f aca="false">IF(OR(Q1278="Steel plate",Q1278="Concrete jacket"),"Steel plate or jacket",Q1278)</f>
        <v>Monitor</v>
      </c>
      <c r="S1278" s="5" t="str">
        <f aca="false">IF(O1278&lt;='Tree rules'!$C$4,IF(N1278&lt;='Tree rules'!$C$5,IF(P1278&lt;='Tree rules'!$C$6,"Monitor","Polymer laminate"),IF(P1278&lt;='Tree rules'!$C$7,"Seal cracks","Polymer laminate")),IF(O1278&lt;='Tree rules'!$C$8,IF(M1278&lt;='Tree rules'!$C$9,"Steel plate or jacket","Polymer laminate"),IF(L1278&lt;='Tree rules'!$C$10,"Steel plate or jacket","Polymer laminate")))</f>
        <v>Monitor</v>
      </c>
      <c r="T1278" s="5" t="str">
        <f aca="false">IF(S1278=R1278,"Yes","No")</f>
        <v>Yes</v>
      </c>
    </row>
    <row r="1279" customFormat="false" ht="15" hidden="false" customHeight="false" outlineLevel="0" collapsed="false">
      <c r="A1279" s="15" t="n">
        <v>1816</v>
      </c>
      <c r="B1279" s="16" t="n">
        <v>4.10132327860183</v>
      </c>
      <c r="C1279" s="15" t="n">
        <v>230</v>
      </c>
      <c r="D1279" s="15" t="n">
        <v>325</v>
      </c>
      <c r="E1279" s="15" t="n">
        <v>30</v>
      </c>
      <c r="F1279" s="16" t="n">
        <v>0.699968036696473</v>
      </c>
      <c r="G1279" s="17" t="s">
        <v>91</v>
      </c>
      <c r="H1279" s="18" t="n">
        <v>0.2</v>
      </c>
      <c r="I1279" s="18" t="n">
        <v>1.5</v>
      </c>
      <c r="J1279" s="19" t="n">
        <v>0.928392776996065</v>
      </c>
      <c r="K1279" s="19" t="n">
        <v>0.433570336347113</v>
      </c>
      <c r="L1279" s="16" t="n">
        <v>14.5954565074798</v>
      </c>
      <c r="M1279" s="19" t="n">
        <v>0.236029240583367</v>
      </c>
      <c r="N1279" s="19" t="n">
        <v>1.29935005232063</v>
      </c>
      <c r="O1279" s="19" t="n">
        <v>1.19132738120189</v>
      </c>
      <c r="P1279" s="19" t="n">
        <v>1.45127906466174</v>
      </c>
      <c r="Q1279" s="17" t="s">
        <v>31</v>
      </c>
      <c r="R1279" s="5" t="str">
        <f aca="false">IF(OR(Q1279="Steel plate",Q1279="Concrete jacket"),"Steel plate or jacket",Q1279)</f>
        <v>Polymer laminate</v>
      </c>
      <c r="S1279" s="5" t="str">
        <f aca="false">IF(O1279&lt;='Tree rules'!$C$4,IF(N1279&lt;='Tree rules'!$C$5,IF(P1279&lt;='Tree rules'!$C$6,"Monitor","Polymer laminate"),IF(P1279&lt;='Tree rules'!$C$7,"Seal cracks","Polymer laminate")),IF(O1279&lt;='Tree rules'!$C$8,IF(M1279&lt;='Tree rules'!$C$9,"Steel plate or jacket","Polymer laminate"),IF(L1279&lt;='Tree rules'!$C$10,"Steel plate or jacket","Polymer laminate")))</f>
        <v>Steel plate or jacket</v>
      </c>
      <c r="T1279" s="5" t="str">
        <f aca="false">IF(S1279=R1279,"Yes","No")</f>
        <v>No</v>
      </c>
    </row>
    <row r="1280" customFormat="false" ht="15" hidden="false" customHeight="false" outlineLevel="0" collapsed="false">
      <c r="A1280" s="15" t="n">
        <v>1817</v>
      </c>
      <c r="B1280" s="16" t="n">
        <v>3.22847785502579</v>
      </c>
      <c r="C1280" s="15" t="n">
        <v>300</v>
      </c>
      <c r="D1280" s="15" t="n">
        <v>300</v>
      </c>
      <c r="E1280" s="15" t="n">
        <v>30</v>
      </c>
      <c r="F1280" s="16" t="n">
        <v>0.831109167616348</v>
      </c>
      <c r="G1280" s="17" t="s">
        <v>89</v>
      </c>
      <c r="H1280" s="18" t="n">
        <v>0.3</v>
      </c>
      <c r="I1280" s="18" t="n">
        <v>1.5</v>
      </c>
      <c r="J1280" s="19" t="n">
        <v>0.91206523655345</v>
      </c>
      <c r="K1280" s="19" t="n">
        <v>0.481556270263067</v>
      </c>
      <c r="L1280" s="16" t="n">
        <v>12.8114200596262</v>
      </c>
      <c r="M1280" s="19" t="n">
        <v>0.421022961295633</v>
      </c>
      <c r="N1280" s="19" t="n">
        <v>1.30510527898278</v>
      </c>
      <c r="O1280" s="19" t="n">
        <v>1.14849248805454</v>
      </c>
      <c r="P1280" s="19" t="n">
        <v>0.79574607154015</v>
      </c>
      <c r="Q1280" s="17" t="s">
        <v>31</v>
      </c>
      <c r="R1280" s="5" t="str">
        <f aca="false">IF(OR(Q1280="Steel plate",Q1280="Concrete jacket"),"Steel plate or jacket",Q1280)</f>
        <v>Polymer laminate</v>
      </c>
      <c r="S1280" s="5" t="str">
        <f aca="false">IF(O1280&lt;='Tree rules'!$C$4,IF(N1280&lt;='Tree rules'!$C$5,IF(P1280&lt;='Tree rules'!$C$6,"Monitor","Polymer laminate"),IF(P1280&lt;='Tree rules'!$C$7,"Seal cracks","Polymer laminate")),IF(O1280&lt;='Tree rules'!$C$8,IF(M1280&lt;='Tree rules'!$C$9,"Steel plate or jacket","Polymer laminate"),IF(L1280&lt;='Tree rules'!$C$10,"Steel plate or jacket","Polymer laminate")))</f>
        <v>Polymer laminate</v>
      </c>
      <c r="T1280" s="5" t="str">
        <f aca="false">IF(S1280=R1280,"Yes","No")</f>
        <v>Yes</v>
      </c>
    </row>
    <row r="1281" customFormat="false" ht="15" hidden="false" customHeight="false" outlineLevel="0" collapsed="false">
      <c r="A1281" s="15" t="n">
        <v>1818</v>
      </c>
      <c r="B1281" s="16" t="n">
        <v>5.67484909930686</v>
      </c>
      <c r="C1281" s="15" t="n">
        <v>300</v>
      </c>
      <c r="D1281" s="15" t="n">
        <v>550</v>
      </c>
      <c r="E1281" s="15" t="n">
        <v>30</v>
      </c>
      <c r="F1281" s="16" t="n">
        <v>0.625815269639401</v>
      </c>
      <c r="G1281" s="17" t="s">
        <v>91</v>
      </c>
      <c r="H1281" s="18" t="n">
        <v>0.2</v>
      </c>
      <c r="I1281" s="18" t="n">
        <v>2</v>
      </c>
      <c r="J1281" s="19" t="n">
        <v>0.985136205223768</v>
      </c>
      <c r="K1281" s="19" t="n">
        <v>0.588513935916086</v>
      </c>
      <c r="L1281" s="16" t="n">
        <v>11.3044802775037</v>
      </c>
      <c r="M1281" s="19" t="n">
        <v>0.816608260320942</v>
      </c>
      <c r="N1281" s="19" t="n">
        <v>1.68873785073004</v>
      </c>
      <c r="O1281" s="19" t="n">
        <v>1.39050602489786</v>
      </c>
      <c r="P1281" s="19" t="n">
        <v>0.471013845879632</v>
      </c>
      <c r="Q1281" s="17" t="s">
        <v>31</v>
      </c>
      <c r="R1281" s="5" t="str">
        <f aca="false">IF(OR(Q1281="Steel plate",Q1281="Concrete jacket"),"Steel plate or jacket",Q1281)</f>
        <v>Polymer laminate</v>
      </c>
      <c r="S1281" s="5" t="str">
        <f aca="false">IF(O1281&lt;='Tree rules'!$C$4,IF(N1281&lt;='Tree rules'!$C$5,IF(P1281&lt;='Tree rules'!$C$6,"Monitor","Polymer laminate"),IF(P1281&lt;='Tree rules'!$C$7,"Seal cracks","Polymer laminate")),IF(O1281&lt;='Tree rules'!$C$8,IF(M1281&lt;='Tree rules'!$C$9,"Steel plate or jacket","Polymer laminate"),IF(L1281&lt;='Tree rules'!$C$10,"Steel plate or jacket","Polymer laminate")))</f>
        <v>Steel plate or jacket</v>
      </c>
      <c r="T1281" s="5" t="str">
        <f aca="false">IF(S1281=R1281,"Yes","No")</f>
        <v>No</v>
      </c>
    </row>
    <row r="1282" customFormat="false" ht="15" hidden="false" customHeight="false" outlineLevel="0" collapsed="false">
      <c r="A1282" s="15" t="n">
        <v>1819</v>
      </c>
      <c r="B1282" s="16" t="n">
        <v>3.56661179115669</v>
      </c>
      <c r="C1282" s="15" t="n">
        <v>230</v>
      </c>
      <c r="D1282" s="15" t="n">
        <v>300</v>
      </c>
      <c r="E1282" s="15" t="n">
        <v>20</v>
      </c>
      <c r="F1282" s="16" t="n">
        <v>0.612108978148471</v>
      </c>
      <c r="G1282" s="17" t="s">
        <v>90</v>
      </c>
      <c r="H1282" s="18" t="n">
        <v>0.1</v>
      </c>
      <c r="I1282" s="18" t="n">
        <v>1</v>
      </c>
      <c r="J1282" s="19" t="n">
        <v>0.967039027834523</v>
      </c>
      <c r="K1282" s="19" t="n">
        <v>0.485485124603598</v>
      </c>
      <c r="L1282" s="16" t="n">
        <v>14.7992190504427</v>
      </c>
      <c r="M1282" s="19" t="n">
        <v>0.739185207052035</v>
      </c>
      <c r="N1282" s="19" t="n">
        <v>2.57387614875774</v>
      </c>
      <c r="O1282" s="19" t="n">
        <v>0.967039027834523</v>
      </c>
      <c r="P1282" s="19" t="n">
        <v>0.38884563310666</v>
      </c>
      <c r="Q1282" s="17" t="s">
        <v>30</v>
      </c>
      <c r="R1282" s="5" t="str">
        <f aca="false">IF(OR(Q1282="Steel plate",Q1282="Concrete jacket"),"Steel plate or jacket",Q1282)</f>
        <v>Seal cracks</v>
      </c>
      <c r="S1282" s="5" t="str">
        <f aca="false">IF(O1282&lt;='Tree rules'!$C$4,IF(N1282&lt;='Tree rules'!$C$5,IF(P1282&lt;='Tree rules'!$C$6,"Monitor","Polymer laminate"),IF(P1282&lt;='Tree rules'!$C$7,"Seal cracks","Polymer laminate")),IF(O1282&lt;='Tree rules'!$C$8,IF(M1282&lt;='Tree rules'!$C$9,"Steel plate or jacket","Polymer laminate"),IF(L1282&lt;='Tree rules'!$C$10,"Steel plate or jacket","Polymer laminate")))</f>
        <v>Seal cracks</v>
      </c>
      <c r="T1282" s="5" t="str">
        <f aca="false">IF(S1282=R1282,"Yes","No")</f>
        <v>Yes</v>
      </c>
    </row>
    <row r="1283" customFormat="false" ht="15" hidden="false" customHeight="false" outlineLevel="0" collapsed="false">
      <c r="A1283" s="15" t="n">
        <v>1822</v>
      </c>
      <c r="B1283" s="16" t="n">
        <v>3.46635257615004</v>
      </c>
      <c r="C1283" s="15" t="n">
        <v>300</v>
      </c>
      <c r="D1283" s="15" t="n">
        <v>325</v>
      </c>
      <c r="E1283" s="15" t="n">
        <v>25</v>
      </c>
      <c r="F1283" s="16" t="n">
        <v>0.72065207824282</v>
      </c>
      <c r="G1283" s="17" t="s">
        <v>91</v>
      </c>
      <c r="H1283" s="18" t="n">
        <v>0.2</v>
      </c>
      <c r="I1283" s="18" t="n">
        <v>1</v>
      </c>
      <c r="J1283" s="19" t="n">
        <v>0.882984838678848</v>
      </c>
      <c r="K1283" s="19" t="n">
        <v>0.465231055165223</v>
      </c>
      <c r="L1283" s="16" t="n">
        <v>12.4242027818998</v>
      </c>
      <c r="M1283" s="19" t="n">
        <v>0.509438297453127</v>
      </c>
      <c r="N1283" s="19" t="n">
        <v>1.11172741579742</v>
      </c>
      <c r="O1283" s="19" t="n">
        <v>0.882984838678848</v>
      </c>
      <c r="P1283" s="19" t="n">
        <v>0.547022987342134</v>
      </c>
      <c r="Q1283" s="17" t="s">
        <v>30</v>
      </c>
      <c r="R1283" s="5" t="str">
        <f aca="false">IF(OR(Q1283="Steel plate",Q1283="Concrete jacket"),"Steel plate or jacket",Q1283)</f>
        <v>Seal cracks</v>
      </c>
      <c r="S1283" s="5" t="str">
        <f aca="false">IF(O1283&lt;='Tree rules'!$C$4,IF(N1283&lt;='Tree rules'!$C$5,IF(P1283&lt;='Tree rules'!$C$6,"Monitor","Polymer laminate"),IF(P1283&lt;='Tree rules'!$C$7,"Seal cracks","Polymer laminate")),IF(O1283&lt;='Tree rules'!$C$8,IF(M1283&lt;='Tree rules'!$C$9,"Steel plate or jacket","Polymer laminate"),IF(L1283&lt;='Tree rules'!$C$10,"Steel plate or jacket","Polymer laminate")))</f>
        <v>Seal cracks</v>
      </c>
      <c r="T1283" s="5" t="str">
        <f aca="false">IF(S1283=R1283,"Yes","No")</f>
        <v>Yes</v>
      </c>
    </row>
    <row r="1284" customFormat="false" ht="15" hidden="false" customHeight="false" outlineLevel="0" collapsed="false">
      <c r="A1284" s="15" t="n">
        <v>1823</v>
      </c>
      <c r="B1284" s="16" t="n">
        <v>6.5626321999596</v>
      </c>
      <c r="C1284" s="15" t="n">
        <v>300</v>
      </c>
      <c r="D1284" s="15" t="n">
        <v>575</v>
      </c>
      <c r="E1284" s="15" t="n">
        <v>30</v>
      </c>
      <c r="F1284" s="16" t="n">
        <v>0.633465437396808</v>
      </c>
      <c r="G1284" s="17" t="s">
        <v>89</v>
      </c>
      <c r="H1284" s="18" t="n">
        <v>0.3</v>
      </c>
      <c r="I1284" s="18" t="n">
        <v>1</v>
      </c>
      <c r="J1284" s="19" t="n">
        <v>0.89122891768347</v>
      </c>
      <c r="K1284" s="19" t="n">
        <v>0.543068886327271</v>
      </c>
      <c r="L1284" s="16" t="n">
        <v>12.4057319469936</v>
      </c>
      <c r="M1284" s="19" t="n">
        <v>0.560028113863808</v>
      </c>
      <c r="N1284" s="19" t="n">
        <v>0.581353776572735</v>
      </c>
      <c r="O1284" s="19" t="n">
        <v>0.89122891768347</v>
      </c>
      <c r="P1284" s="19" t="n">
        <v>0.55643529230759</v>
      </c>
      <c r="Q1284" s="17" t="s">
        <v>29</v>
      </c>
      <c r="R1284" s="5" t="str">
        <f aca="false">IF(OR(Q1284="Steel plate",Q1284="Concrete jacket"),"Steel plate or jacket",Q1284)</f>
        <v>Monitor</v>
      </c>
      <c r="S1284" s="5" t="str">
        <f aca="false">IF(O1284&lt;='Tree rules'!$C$4,IF(N1284&lt;='Tree rules'!$C$5,IF(P1284&lt;='Tree rules'!$C$6,"Monitor","Polymer laminate"),IF(P1284&lt;='Tree rules'!$C$7,"Seal cracks","Polymer laminate")),IF(O1284&lt;='Tree rules'!$C$8,IF(M1284&lt;='Tree rules'!$C$9,"Steel plate or jacket","Polymer laminate"),IF(L1284&lt;='Tree rules'!$C$10,"Steel plate or jacket","Polymer laminate")))</f>
        <v>Monitor</v>
      </c>
      <c r="T1284" s="5" t="str">
        <f aca="false">IF(S1284=R1284,"Yes","No")</f>
        <v>Yes</v>
      </c>
    </row>
    <row r="1285" customFormat="false" ht="15" hidden="false" customHeight="false" outlineLevel="0" collapsed="false">
      <c r="A1285" s="15" t="n">
        <v>1825</v>
      </c>
      <c r="B1285" s="16" t="n">
        <v>4.96172231840507</v>
      </c>
      <c r="C1285" s="15" t="n">
        <v>300</v>
      </c>
      <c r="D1285" s="15" t="n">
        <v>425</v>
      </c>
      <c r="E1285" s="15" t="n">
        <v>30</v>
      </c>
      <c r="F1285" s="16" t="n">
        <v>0.707341881547042</v>
      </c>
      <c r="G1285" s="17" t="s">
        <v>89</v>
      </c>
      <c r="H1285" s="18" t="n">
        <v>0.3</v>
      </c>
      <c r="I1285" s="18" t="n">
        <v>1</v>
      </c>
      <c r="J1285" s="19" t="n">
        <v>0.88524728201083</v>
      </c>
      <c r="K1285" s="19" t="n">
        <v>0.549692551926103</v>
      </c>
      <c r="L1285" s="16" t="n">
        <v>13.0916156158445</v>
      </c>
      <c r="M1285" s="19" t="n">
        <v>0.942809289641223</v>
      </c>
      <c r="N1285" s="19" t="n">
        <v>0.580246856431882</v>
      </c>
      <c r="O1285" s="19" t="n">
        <v>0.88524728201083</v>
      </c>
      <c r="P1285" s="19" t="n">
        <v>0.370662961140572</v>
      </c>
      <c r="Q1285" s="17" t="s">
        <v>29</v>
      </c>
      <c r="R1285" s="5" t="str">
        <f aca="false">IF(OR(Q1285="Steel plate",Q1285="Concrete jacket"),"Steel plate or jacket",Q1285)</f>
        <v>Monitor</v>
      </c>
      <c r="S1285" s="5" t="str">
        <f aca="false">IF(O1285&lt;='Tree rules'!$C$4,IF(N1285&lt;='Tree rules'!$C$5,IF(P1285&lt;='Tree rules'!$C$6,"Monitor","Polymer laminate"),IF(P1285&lt;='Tree rules'!$C$7,"Seal cracks","Polymer laminate")),IF(O1285&lt;='Tree rules'!$C$8,IF(M1285&lt;='Tree rules'!$C$9,"Steel plate or jacket","Polymer laminate"),IF(L1285&lt;='Tree rules'!$C$10,"Steel plate or jacket","Polymer laminate")))</f>
        <v>Monitor</v>
      </c>
      <c r="T1285" s="5" t="str">
        <f aca="false">IF(S1285=R1285,"Yes","No")</f>
        <v>Yes</v>
      </c>
    </row>
    <row r="1286" customFormat="false" ht="15" hidden="false" customHeight="false" outlineLevel="0" collapsed="false">
      <c r="A1286" s="15" t="n">
        <v>1826</v>
      </c>
      <c r="B1286" s="16" t="n">
        <v>3.69195257750712</v>
      </c>
      <c r="C1286" s="15" t="n">
        <v>300</v>
      </c>
      <c r="D1286" s="15" t="n">
        <v>325</v>
      </c>
      <c r="E1286" s="15" t="n">
        <v>30</v>
      </c>
      <c r="F1286" s="16" t="n">
        <v>0.756099314943392</v>
      </c>
      <c r="G1286" s="17" t="s">
        <v>89</v>
      </c>
      <c r="H1286" s="18" t="n">
        <v>0.3</v>
      </c>
      <c r="I1286" s="18" t="n">
        <v>2</v>
      </c>
      <c r="J1286" s="19" t="n">
        <v>0.993567918158319</v>
      </c>
      <c r="K1286" s="19" t="n">
        <v>0.431844394103085</v>
      </c>
      <c r="L1286" s="16" t="n">
        <v>13.3283486552604</v>
      </c>
      <c r="M1286" s="19" t="n">
        <v>0.566344482878956</v>
      </c>
      <c r="N1286" s="19" t="n">
        <v>1.77660046233193</v>
      </c>
      <c r="O1286" s="19" t="n">
        <v>1.5580691006993</v>
      </c>
      <c r="P1286" s="19" t="n">
        <v>0.723948276041114</v>
      </c>
      <c r="Q1286" s="17" t="s">
        <v>31</v>
      </c>
      <c r="R1286" s="5" t="str">
        <f aca="false">IF(OR(Q1286="Steel plate",Q1286="Concrete jacket"),"Steel plate or jacket",Q1286)</f>
        <v>Polymer laminate</v>
      </c>
      <c r="S1286" s="5" t="str">
        <f aca="false">IF(O1286&lt;='Tree rules'!$C$4,IF(N1286&lt;='Tree rules'!$C$5,IF(P1286&lt;='Tree rules'!$C$6,"Monitor","Polymer laminate"),IF(P1286&lt;='Tree rules'!$C$7,"Seal cracks","Polymer laminate")),IF(O1286&lt;='Tree rules'!$C$8,IF(M1286&lt;='Tree rules'!$C$9,"Steel plate or jacket","Polymer laminate"),IF(L1286&lt;='Tree rules'!$C$10,"Steel plate or jacket","Polymer laminate")))</f>
        <v>Polymer laminate</v>
      </c>
      <c r="T1286" s="5" t="str">
        <f aca="false">IF(S1286=R1286,"Yes","No")</f>
        <v>Yes</v>
      </c>
    </row>
    <row r="1287" customFormat="false" ht="15" hidden="false" customHeight="false" outlineLevel="0" collapsed="false">
      <c r="A1287" s="15" t="n">
        <v>1827</v>
      </c>
      <c r="B1287" s="16" t="n">
        <v>4.12348112052713</v>
      </c>
      <c r="C1287" s="15" t="n">
        <v>230</v>
      </c>
      <c r="D1287" s="15" t="n">
        <v>350</v>
      </c>
      <c r="E1287" s="15" t="n">
        <v>30</v>
      </c>
      <c r="F1287" s="16" t="n">
        <v>0.575119936583944</v>
      </c>
      <c r="G1287" s="17" t="s">
        <v>91</v>
      </c>
      <c r="H1287" s="18" t="n">
        <v>0.2</v>
      </c>
      <c r="I1287" s="18" t="n">
        <v>2</v>
      </c>
      <c r="J1287" s="19" t="n">
        <v>0.909746869671995</v>
      </c>
      <c r="K1287" s="19" t="n">
        <v>0.51591430066729</v>
      </c>
      <c r="L1287" s="16" t="n">
        <v>13.5640826333129</v>
      </c>
      <c r="M1287" s="19" t="n">
        <v>0.724254764677862</v>
      </c>
      <c r="N1287" s="19" t="n">
        <v>1.88016864787364</v>
      </c>
      <c r="O1287" s="19" t="n">
        <v>1.35014231929291</v>
      </c>
      <c r="P1287" s="19" t="n">
        <v>0.453276163598375</v>
      </c>
      <c r="Q1287" s="17" t="s">
        <v>31</v>
      </c>
      <c r="R1287" s="5" t="str">
        <f aca="false">IF(OR(Q1287="Steel plate",Q1287="Concrete jacket"),"Steel plate or jacket",Q1287)</f>
        <v>Polymer laminate</v>
      </c>
      <c r="S1287" s="5" t="str">
        <f aca="false">IF(O1287&lt;='Tree rules'!$C$4,IF(N1287&lt;='Tree rules'!$C$5,IF(P1287&lt;='Tree rules'!$C$6,"Monitor","Polymer laminate"),IF(P1287&lt;='Tree rules'!$C$7,"Seal cracks","Polymer laminate")),IF(O1287&lt;='Tree rules'!$C$8,IF(M1287&lt;='Tree rules'!$C$9,"Steel plate or jacket","Polymer laminate"),IF(L1287&lt;='Tree rules'!$C$10,"Steel plate or jacket","Polymer laminate")))</f>
        <v>Polymer laminate</v>
      </c>
      <c r="T1287" s="5" t="str">
        <f aca="false">IF(S1287=R1287,"Yes","No")</f>
        <v>Yes</v>
      </c>
    </row>
    <row r="1288" customFormat="false" ht="15" hidden="false" customHeight="false" outlineLevel="0" collapsed="false">
      <c r="A1288" s="15" t="n">
        <v>1829</v>
      </c>
      <c r="B1288" s="16" t="n">
        <v>6.9596681122607</v>
      </c>
      <c r="C1288" s="15" t="n">
        <v>300</v>
      </c>
      <c r="D1288" s="15" t="n">
        <v>625</v>
      </c>
      <c r="E1288" s="15" t="n">
        <v>30</v>
      </c>
      <c r="F1288" s="16" t="n">
        <v>0.578762031749415</v>
      </c>
      <c r="G1288" s="17" t="s">
        <v>89</v>
      </c>
      <c r="H1288" s="18" t="n">
        <v>0.3</v>
      </c>
      <c r="I1288" s="18" t="n">
        <v>2</v>
      </c>
      <c r="J1288" s="19" t="n">
        <v>0.980082325384785</v>
      </c>
      <c r="K1288" s="19" t="n">
        <v>0.50032113932439</v>
      </c>
      <c r="L1288" s="16" t="n">
        <v>12.0201521800703</v>
      </c>
      <c r="M1288" s="19" t="n">
        <v>0.882659400857345</v>
      </c>
      <c r="N1288" s="19" t="n">
        <v>0.927890758821991</v>
      </c>
      <c r="O1288" s="19" t="n">
        <v>1.46980874510136</v>
      </c>
      <c r="P1288" s="19" t="n">
        <v>0.444874734266244</v>
      </c>
      <c r="Q1288" s="17" t="s">
        <v>92</v>
      </c>
      <c r="R1288" s="5" t="str">
        <f aca="false">IF(OR(Q1288="Steel plate",Q1288="Concrete jacket"),"Steel plate or jacket",Q1288)</f>
        <v>Steel plate or jacket</v>
      </c>
      <c r="S1288" s="5" t="str">
        <f aca="false">IF(O1288&lt;='Tree rules'!$C$4,IF(N1288&lt;='Tree rules'!$C$5,IF(P1288&lt;='Tree rules'!$C$6,"Monitor","Polymer laminate"),IF(P1288&lt;='Tree rules'!$C$7,"Seal cracks","Polymer laminate")),IF(O1288&lt;='Tree rules'!$C$8,IF(M1288&lt;='Tree rules'!$C$9,"Steel plate or jacket","Polymer laminate"),IF(L1288&lt;='Tree rules'!$C$10,"Steel plate or jacket","Polymer laminate")))</f>
        <v>Steel plate or jacket</v>
      </c>
      <c r="T1288" s="5" t="str">
        <f aca="false">IF(S1288=R1288,"Yes","No")</f>
        <v>Yes</v>
      </c>
    </row>
    <row r="1289" customFormat="false" ht="15" hidden="false" customHeight="false" outlineLevel="0" collapsed="false">
      <c r="A1289" s="15" t="n">
        <v>1830</v>
      </c>
      <c r="B1289" s="16" t="n">
        <v>3.13071968175128</v>
      </c>
      <c r="C1289" s="15" t="n">
        <v>230</v>
      </c>
      <c r="D1289" s="15" t="n">
        <v>300</v>
      </c>
      <c r="E1289" s="15" t="n">
        <v>30</v>
      </c>
      <c r="F1289" s="16" t="n">
        <v>0.768324290280112</v>
      </c>
      <c r="G1289" s="17" t="s">
        <v>89</v>
      </c>
      <c r="H1289" s="18" t="n">
        <v>0.3</v>
      </c>
      <c r="I1289" s="18" t="n">
        <v>2</v>
      </c>
      <c r="J1289" s="19" t="n">
        <v>0.858266757363396</v>
      </c>
      <c r="K1289" s="19" t="n">
        <v>0.473064492268608</v>
      </c>
      <c r="L1289" s="16" t="n">
        <v>12.2293737568409</v>
      </c>
      <c r="M1289" s="19" t="n">
        <v>0.843500718862015</v>
      </c>
      <c r="N1289" s="19" t="n">
        <v>0.877976478269792</v>
      </c>
      <c r="O1289" s="19" t="n">
        <v>1.31051798692365</v>
      </c>
      <c r="P1289" s="19" t="n">
        <v>0.406723796610217</v>
      </c>
      <c r="Q1289" s="17" t="s">
        <v>31</v>
      </c>
      <c r="R1289" s="5" t="str">
        <f aca="false">IF(OR(Q1289="Steel plate",Q1289="Concrete jacket"),"Steel plate or jacket",Q1289)</f>
        <v>Polymer laminate</v>
      </c>
      <c r="S1289" s="5" t="str">
        <f aca="false">IF(O1289&lt;='Tree rules'!$C$4,IF(N1289&lt;='Tree rules'!$C$5,IF(P1289&lt;='Tree rules'!$C$6,"Monitor","Polymer laminate"),IF(P1289&lt;='Tree rules'!$C$7,"Seal cracks","Polymer laminate")),IF(O1289&lt;='Tree rules'!$C$8,IF(M1289&lt;='Tree rules'!$C$9,"Steel plate or jacket","Polymer laminate"),IF(L1289&lt;='Tree rules'!$C$10,"Steel plate or jacket","Polymer laminate")))</f>
        <v>Steel plate or jacket</v>
      </c>
      <c r="T1289" s="5" t="str">
        <f aca="false">IF(S1289=R1289,"Yes","No")</f>
        <v>No</v>
      </c>
    </row>
    <row r="1290" customFormat="false" ht="15" hidden="false" customHeight="false" outlineLevel="0" collapsed="false">
      <c r="A1290" s="15" t="n">
        <v>1831</v>
      </c>
      <c r="B1290" s="16" t="n">
        <v>3.30071665471486</v>
      </c>
      <c r="C1290" s="15" t="n">
        <v>300</v>
      </c>
      <c r="D1290" s="15" t="n">
        <v>300</v>
      </c>
      <c r="E1290" s="15" t="n">
        <v>30</v>
      </c>
      <c r="F1290" s="16" t="n">
        <v>0.589048622548086</v>
      </c>
      <c r="G1290" s="17" t="s">
        <v>89</v>
      </c>
      <c r="H1290" s="18" t="n">
        <v>0.3</v>
      </c>
      <c r="I1290" s="18" t="n">
        <v>2</v>
      </c>
      <c r="J1290" s="19" t="n">
        <v>0.994232162020906</v>
      </c>
      <c r="K1290" s="19" t="n">
        <v>0.552403098649941</v>
      </c>
      <c r="L1290" s="16" t="n">
        <v>12.8934244324799</v>
      </c>
      <c r="M1290" s="19" t="n">
        <v>0.821988138018522</v>
      </c>
      <c r="N1290" s="19" t="n">
        <v>1.03852056576857</v>
      </c>
      <c r="O1290" s="19" t="n">
        <v>1.43924739696403</v>
      </c>
      <c r="P1290" s="19" t="n">
        <v>0.411329555939268</v>
      </c>
      <c r="Q1290" s="17" t="s">
        <v>31</v>
      </c>
      <c r="R1290" s="5" t="str">
        <f aca="false">IF(OR(Q1290="Steel plate",Q1290="Concrete jacket"),"Steel plate or jacket",Q1290)</f>
        <v>Polymer laminate</v>
      </c>
      <c r="S1290" s="5" t="str">
        <f aca="false">IF(O1290&lt;='Tree rules'!$C$4,IF(N1290&lt;='Tree rules'!$C$5,IF(P1290&lt;='Tree rules'!$C$6,"Monitor","Polymer laminate"),IF(P1290&lt;='Tree rules'!$C$7,"Seal cracks","Polymer laminate")),IF(O1290&lt;='Tree rules'!$C$8,IF(M1290&lt;='Tree rules'!$C$9,"Steel plate or jacket","Polymer laminate"),IF(L1290&lt;='Tree rules'!$C$10,"Steel plate or jacket","Polymer laminate")))</f>
        <v>Steel plate or jacket</v>
      </c>
      <c r="T1290" s="5" t="str">
        <f aca="false">IF(S1290=R1290,"Yes","No")</f>
        <v>No</v>
      </c>
    </row>
    <row r="1291" customFormat="false" ht="15" hidden="false" customHeight="false" outlineLevel="0" collapsed="false">
      <c r="A1291" s="15" t="n">
        <v>1832</v>
      </c>
      <c r="B1291" s="16" t="n">
        <v>7.81102634506881</v>
      </c>
      <c r="C1291" s="15" t="n">
        <v>300</v>
      </c>
      <c r="D1291" s="15" t="n">
        <v>775</v>
      </c>
      <c r="E1291" s="15" t="n">
        <v>30</v>
      </c>
      <c r="F1291" s="16" t="n">
        <v>0.720218398347041</v>
      </c>
      <c r="G1291" s="17" t="s">
        <v>91</v>
      </c>
      <c r="H1291" s="18" t="n">
        <v>0.2</v>
      </c>
      <c r="I1291" s="18" t="n">
        <v>1</v>
      </c>
      <c r="J1291" s="19" t="n">
        <v>0.921694337969393</v>
      </c>
      <c r="K1291" s="19" t="n">
        <v>0.592111125025952</v>
      </c>
      <c r="L1291" s="16" t="n">
        <v>10.7441902958306</v>
      </c>
      <c r="M1291" s="19" t="n">
        <v>0.948039903192369</v>
      </c>
      <c r="N1291" s="19" t="n">
        <v>0.808757159475032</v>
      </c>
      <c r="O1291" s="19" t="n">
        <v>0.921694337969393</v>
      </c>
      <c r="P1291" s="19" t="n">
        <v>0.376703456907783</v>
      </c>
      <c r="Q1291" s="17" t="s">
        <v>29</v>
      </c>
      <c r="R1291" s="5" t="str">
        <f aca="false">IF(OR(Q1291="Steel plate",Q1291="Concrete jacket"),"Steel plate or jacket",Q1291)</f>
        <v>Monitor</v>
      </c>
      <c r="S1291" s="5" t="str">
        <f aca="false">IF(O1291&lt;='Tree rules'!$C$4,IF(N1291&lt;='Tree rules'!$C$5,IF(P1291&lt;='Tree rules'!$C$6,"Monitor","Polymer laminate"),IF(P1291&lt;='Tree rules'!$C$7,"Seal cracks","Polymer laminate")),IF(O1291&lt;='Tree rules'!$C$8,IF(M1291&lt;='Tree rules'!$C$9,"Steel plate or jacket","Polymer laminate"),IF(L1291&lt;='Tree rules'!$C$10,"Steel plate or jacket","Polymer laminate")))</f>
        <v>Monitor</v>
      </c>
      <c r="T1291" s="5" t="str">
        <f aca="false">IF(S1291=R1291,"Yes","No")</f>
        <v>Yes</v>
      </c>
    </row>
    <row r="1292" customFormat="false" ht="15" hidden="false" customHeight="false" outlineLevel="0" collapsed="false">
      <c r="A1292" s="15" t="n">
        <v>1836</v>
      </c>
      <c r="B1292" s="16" t="n">
        <v>7.37305040628244</v>
      </c>
      <c r="C1292" s="15" t="n">
        <v>300</v>
      </c>
      <c r="D1292" s="15" t="n">
        <v>600</v>
      </c>
      <c r="E1292" s="15" t="n">
        <v>25</v>
      </c>
      <c r="F1292" s="16" t="n">
        <v>0.569129103911194</v>
      </c>
      <c r="G1292" s="17" t="s">
        <v>89</v>
      </c>
      <c r="H1292" s="18" t="n">
        <v>0.3</v>
      </c>
      <c r="I1292" s="18" t="n">
        <v>1</v>
      </c>
      <c r="J1292" s="19" t="n">
        <v>0.886263972189002</v>
      </c>
      <c r="K1292" s="19" t="n">
        <v>0.41985816891378</v>
      </c>
      <c r="L1292" s="16" t="n">
        <v>13.3569753737001</v>
      </c>
      <c r="M1292" s="19" t="n">
        <v>0.898946496312695</v>
      </c>
      <c r="N1292" s="19" t="n">
        <v>0.645431103047614</v>
      </c>
      <c r="O1292" s="19" t="n">
        <v>0.886263972189002</v>
      </c>
      <c r="P1292" s="19" t="n">
        <v>0.346921276561355</v>
      </c>
      <c r="Q1292" s="17" t="s">
        <v>29</v>
      </c>
      <c r="R1292" s="5" t="str">
        <f aca="false">IF(OR(Q1292="Steel plate",Q1292="Concrete jacket"),"Steel plate or jacket",Q1292)</f>
        <v>Monitor</v>
      </c>
      <c r="S1292" s="5" t="str">
        <f aca="false">IF(O1292&lt;='Tree rules'!$C$4,IF(N1292&lt;='Tree rules'!$C$5,IF(P1292&lt;='Tree rules'!$C$6,"Monitor","Polymer laminate"),IF(P1292&lt;='Tree rules'!$C$7,"Seal cracks","Polymer laminate")),IF(O1292&lt;='Tree rules'!$C$8,IF(M1292&lt;='Tree rules'!$C$9,"Steel plate or jacket","Polymer laminate"),IF(L1292&lt;='Tree rules'!$C$10,"Steel plate or jacket","Polymer laminate")))</f>
        <v>Monitor</v>
      </c>
      <c r="T1292" s="5" t="str">
        <f aca="false">IF(S1292=R1292,"Yes","No")</f>
        <v>Yes</v>
      </c>
    </row>
    <row r="1293" customFormat="false" ht="15" hidden="false" customHeight="false" outlineLevel="0" collapsed="false">
      <c r="A1293" s="15" t="n">
        <v>1837</v>
      </c>
      <c r="B1293" s="16" t="n">
        <v>4.54675674396769</v>
      </c>
      <c r="C1293" s="15" t="n">
        <v>230</v>
      </c>
      <c r="D1293" s="15" t="n">
        <v>400</v>
      </c>
      <c r="E1293" s="15" t="n">
        <v>30</v>
      </c>
      <c r="F1293" s="16" t="n">
        <v>0.810628990734046</v>
      </c>
      <c r="G1293" s="17" t="s">
        <v>90</v>
      </c>
      <c r="H1293" s="18" t="n">
        <v>0.1</v>
      </c>
      <c r="I1293" s="18" t="n">
        <v>1</v>
      </c>
      <c r="J1293" s="19" t="n">
        <v>0.956441170154885</v>
      </c>
      <c r="K1293" s="19" t="n">
        <v>0.504520090010766</v>
      </c>
      <c r="L1293" s="16" t="n">
        <v>13.4918597743848</v>
      </c>
      <c r="M1293" s="19" t="n">
        <v>0.394721249076182</v>
      </c>
      <c r="N1293" s="19" t="n">
        <v>3.16338978326266</v>
      </c>
      <c r="O1293" s="19" t="n">
        <v>0.956441170154885</v>
      </c>
      <c r="P1293" s="19" t="n">
        <v>0.824148312380011</v>
      </c>
      <c r="Q1293" s="17" t="s">
        <v>30</v>
      </c>
      <c r="R1293" s="5" t="str">
        <f aca="false">IF(OR(Q1293="Steel plate",Q1293="Concrete jacket"),"Steel plate or jacket",Q1293)</f>
        <v>Seal cracks</v>
      </c>
      <c r="S1293" s="5" t="str">
        <f aca="false">IF(O1293&lt;='Tree rules'!$C$4,IF(N1293&lt;='Tree rules'!$C$5,IF(P1293&lt;='Tree rules'!$C$6,"Monitor","Polymer laminate"),IF(P1293&lt;='Tree rules'!$C$7,"Seal cracks","Polymer laminate")),IF(O1293&lt;='Tree rules'!$C$8,IF(M1293&lt;='Tree rules'!$C$9,"Steel plate or jacket","Polymer laminate"),IF(L1293&lt;='Tree rules'!$C$10,"Steel plate or jacket","Polymer laminate")))</f>
        <v>Seal cracks</v>
      </c>
      <c r="T1293" s="5" t="str">
        <f aca="false">IF(S1293=R1293,"Yes","No")</f>
        <v>Yes</v>
      </c>
    </row>
    <row r="1294" customFormat="false" ht="15" hidden="false" customHeight="false" outlineLevel="0" collapsed="false">
      <c r="A1294" s="15" t="n">
        <v>1838</v>
      </c>
      <c r="B1294" s="16" t="n">
        <v>6.83659647004945</v>
      </c>
      <c r="C1294" s="15" t="n">
        <v>300</v>
      </c>
      <c r="D1294" s="15" t="n">
        <v>600</v>
      </c>
      <c r="E1294" s="15" t="n">
        <v>25</v>
      </c>
      <c r="F1294" s="16" t="n">
        <v>0.569129103911194</v>
      </c>
      <c r="G1294" s="17" t="s">
        <v>89</v>
      </c>
      <c r="H1294" s="18" t="n">
        <v>0.3</v>
      </c>
      <c r="I1294" s="18" t="n">
        <v>1.5</v>
      </c>
      <c r="J1294" s="19" t="n">
        <v>0.895709779553432</v>
      </c>
      <c r="K1294" s="19" t="n">
        <v>0.56548539324289</v>
      </c>
      <c r="L1294" s="16" t="n">
        <v>12.3851385326983</v>
      </c>
      <c r="M1294" s="19" t="n">
        <v>0.541274898543841</v>
      </c>
      <c r="N1294" s="19" t="n">
        <v>0.899985174452423</v>
      </c>
      <c r="O1294" s="19" t="n">
        <v>1.09030927086901</v>
      </c>
      <c r="P1294" s="19" t="n">
        <v>0.630694716127529</v>
      </c>
      <c r="Q1294" s="17" t="s">
        <v>31</v>
      </c>
      <c r="R1294" s="5" t="str">
        <f aca="false">IF(OR(Q1294="Steel plate",Q1294="Concrete jacket"),"Steel plate or jacket",Q1294)</f>
        <v>Polymer laminate</v>
      </c>
      <c r="S1294" s="5" t="str">
        <f aca="false">IF(O1294&lt;='Tree rules'!$C$4,IF(N1294&lt;='Tree rules'!$C$5,IF(P1294&lt;='Tree rules'!$C$6,"Monitor","Polymer laminate"),IF(P1294&lt;='Tree rules'!$C$7,"Seal cracks","Polymer laminate")),IF(O1294&lt;='Tree rules'!$C$8,IF(M1294&lt;='Tree rules'!$C$9,"Steel plate or jacket","Polymer laminate"),IF(L1294&lt;='Tree rules'!$C$10,"Steel plate or jacket","Polymer laminate")))</f>
        <v>Polymer laminate</v>
      </c>
      <c r="T1294" s="5" t="str">
        <f aca="false">IF(S1294=R1294,"Yes","No")</f>
        <v>Yes</v>
      </c>
    </row>
    <row r="1295" customFormat="false" ht="15" hidden="false" customHeight="false" outlineLevel="0" collapsed="false">
      <c r="A1295" s="15" t="n">
        <v>1840</v>
      </c>
      <c r="B1295" s="16" t="n">
        <v>5.71624461954585</v>
      </c>
      <c r="C1295" s="15" t="n">
        <v>300</v>
      </c>
      <c r="D1295" s="15" t="n">
        <v>525</v>
      </c>
      <c r="E1295" s="15" t="n">
        <v>20</v>
      </c>
      <c r="F1295" s="16" t="n">
        <v>0.658614812073332</v>
      </c>
      <c r="G1295" s="17" t="s">
        <v>89</v>
      </c>
      <c r="H1295" s="18" t="n">
        <v>0.3</v>
      </c>
      <c r="I1295" s="18" t="n">
        <v>1</v>
      </c>
      <c r="J1295" s="19" t="n">
        <v>0.857852180428514</v>
      </c>
      <c r="K1295" s="19" t="n">
        <v>0.578380752850504</v>
      </c>
      <c r="L1295" s="16" t="n">
        <v>11.983741340767</v>
      </c>
      <c r="M1295" s="19" t="n">
        <v>0.93077799464753</v>
      </c>
      <c r="N1295" s="19" t="n">
        <v>0.615550603785905</v>
      </c>
      <c r="O1295" s="19" t="n">
        <v>0.857852180428514</v>
      </c>
      <c r="P1295" s="19" t="n">
        <v>0.383870838342172</v>
      </c>
      <c r="Q1295" s="17" t="s">
        <v>29</v>
      </c>
      <c r="R1295" s="5" t="str">
        <f aca="false">IF(OR(Q1295="Steel plate",Q1295="Concrete jacket"),"Steel plate or jacket",Q1295)</f>
        <v>Monitor</v>
      </c>
      <c r="S1295" s="5" t="str">
        <f aca="false">IF(O1295&lt;='Tree rules'!$C$4,IF(N1295&lt;='Tree rules'!$C$5,IF(P1295&lt;='Tree rules'!$C$6,"Monitor","Polymer laminate"),IF(P1295&lt;='Tree rules'!$C$7,"Seal cracks","Polymer laminate")),IF(O1295&lt;='Tree rules'!$C$8,IF(M1295&lt;='Tree rules'!$C$9,"Steel plate or jacket","Polymer laminate"),IF(L1295&lt;='Tree rules'!$C$10,"Steel plate or jacket","Polymer laminate")))</f>
        <v>Monitor</v>
      </c>
      <c r="T1295" s="5" t="str">
        <f aca="false">IF(S1295=R1295,"Yes","No")</f>
        <v>Yes</v>
      </c>
    </row>
    <row r="1296" customFormat="false" ht="15" hidden="false" customHeight="false" outlineLevel="0" collapsed="false">
      <c r="A1296" s="15" t="n">
        <v>1841</v>
      </c>
      <c r="B1296" s="16" t="n">
        <v>5.61317035229804</v>
      </c>
      <c r="C1296" s="15" t="n">
        <v>300</v>
      </c>
      <c r="D1296" s="15" t="n">
        <v>450</v>
      </c>
      <c r="E1296" s="15" t="n">
        <v>30</v>
      </c>
      <c r="F1296" s="16" t="n">
        <v>0.663570725510715</v>
      </c>
      <c r="G1296" s="17" t="s">
        <v>89</v>
      </c>
      <c r="H1296" s="18" t="n">
        <v>0.3</v>
      </c>
      <c r="I1296" s="18" t="n">
        <v>1</v>
      </c>
      <c r="J1296" s="19" t="n">
        <v>0.971520232776903</v>
      </c>
      <c r="K1296" s="19" t="n">
        <v>0.447060662867803</v>
      </c>
      <c r="L1296" s="16" t="n">
        <v>13.8939860205397</v>
      </c>
      <c r="M1296" s="19" t="n">
        <v>0.902701899842282</v>
      </c>
      <c r="N1296" s="19" t="n">
        <v>0.645766708423069</v>
      </c>
      <c r="O1296" s="19" t="n">
        <v>0.971520232776903</v>
      </c>
      <c r="P1296" s="19" t="n">
        <v>0.39546095969305</v>
      </c>
      <c r="Q1296" s="17" t="s">
        <v>29</v>
      </c>
      <c r="R1296" s="5" t="str">
        <f aca="false">IF(OR(Q1296="Steel plate",Q1296="Concrete jacket"),"Steel plate or jacket",Q1296)</f>
        <v>Monitor</v>
      </c>
      <c r="S1296" s="5" t="str">
        <f aca="false">IF(O1296&lt;='Tree rules'!$C$4,IF(N1296&lt;='Tree rules'!$C$5,IF(P1296&lt;='Tree rules'!$C$6,"Monitor","Polymer laminate"),IF(P1296&lt;='Tree rules'!$C$7,"Seal cracks","Polymer laminate")),IF(O1296&lt;='Tree rules'!$C$8,IF(M1296&lt;='Tree rules'!$C$9,"Steel plate or jacket","Polymer laminate"),IF(L1296&lt;='Tree rules'!$C$10,"Steel plate or jacket","Polymer laminate")))</f>
        <v>Monitor</v>
      </c>
      <c r="T1296" s="5" t="str">
        <f aca="false">IF(S1296=R1296,"Yes","No")</f>
        <v>Yes</v>
      </c>
    </row>
    <row r="1297" customFormat="false" ht="15" hidden="false" customHeight="false" outlineLevel="0" collapsed="false">
      <c r="A1297" s="15" t="n">
        <v>1842</v>
      </c>
      <c r="B1297" s="16" t="n">
        <v>4.74051987416373</v>
      </c>
      <c r="C1297" s="15" t="n">
        <v>300</v>
      </c>
      <c r="D1297" s="15" t="n">
        <v>475</v>
      </c>
      <c r="E1297" s="15" t="n">
        <v>30</v>
      </c>
      <c r="F1297" s="16" t="n">
        <v>0.781126378514945</v>
      </c>
      <c r="G1297" s="17" t="s">
        <v>91</v>
      </c>
      <c r="H1297" s="18" t="n">
        <v>0.2</v>
      </c>
      <c r="I1297" s="18" t="n">
        <v>2</v>
      </c>
      <c r="J1297" s="19" t="n">
        <v>0.900533777835239</v>
      </c>
      <c r="K1297" s="19" t="n">
        <v>0.426954490190448</v>
      </c>
      <c r="L1297" s="16" t="n">
        <v>11.0501628768385</v>
      </c>
      <c r="M1297" s="19" t="n">
        <v>0.517587482859999</v>
      </c>
      <c r="N1297" s="19" t="n">
        <v>1.45999235577122</v>
      </c>
      <c r="O1297" s="19" t="n">
        <v>1.41658061565556</v>
      </c>
      <c r="P1297" s="19" t="n">
        <v>0.720784243390945</v>
      </c>
      <c r="Q1297" s="17" t="s">
        <v>31</v>
      </c>
      <c r="R1297" s="5" t="str">
        <f aca="false">IF(OR(Q1297="Steel plate",Q1297="Concrete jacket"),"Steel plate or jacket",Q1297)</f>
        <v>Polymer laminate</v>
      </c>
      <c r="S1297" s="5" t="str">
        <f aca="false">IF(O1297&lt;='Tree rules'!$C$4,IF(N1297&lt;='Tree rules'!$C$5,IF(P1297&lt;='Tree rules'!$C$6,"Monitor","Polymer laminate"),IF(P1297&lt;='Tree rules'!$C$7,"Seal cracks","Polymer laminate")),IF(O1297&lt;='Tree rules'!$C$8,IF(M1297&lt;='Tree rules'!$C$9,"Steel plate or jacket","Polymer laminate"),IF(L1297&lt;='Tree rules'!$C$10,"Steel plate or jacket","Polymer laminate")))</f>
        <v>Steel plate or jacket</v>
      </c>
      <c r="T1297" s="5" t="str">
        <f aca="false">IF(S1297=R1297,"Yes","No")</f>
        <v>No</v>
      </c>
    </row>
    <row r="1298" customFormat="false" ht="15" hidden="false" customHeight="false" outlineLevel="0" collapsed="false">
      <c r="A1298" s="15" t="n">
        <v>1845</v>
      </c>
      <c r="B1298" s="16" t="n">
        <v>6.72400366454925</v>
      </c>
      <c r="C1298" s="15" t="n">
        <v>300</v>
      </c>
      <c r="D1298" s="15" t="n">
        <v>575</v>
      </c>
      <c r="E1298" s="15" t="n">
        <v>25</v>
      </c>
      <c r="F1298" s="16" t="n">
        <v>0.613592315154257</v>
      </c>
      <c r="G1298" s="17" t="s">
        <v>90</v>
      </c>
      <c r="H1298" s="18" t="n">
        <v>0.1</v>
      </c>
      <c r="I1298" s="18" t="n">
        <v>2</v>
      </c>
      <c r="J1298" s="19" t="n">
        <v>0.926283714160641</v>
      </c>
      <c r="K1298" s="19" t="n">
        <v>0.476768397341824</v>
      </c>
      <c r="L1298" s="16" t="n">
        <v>13.1328196573228</v>
      </c>
      <c r="M1298" s="19" t="n">
        <v>0.475964888188684</v>
      </c>
      <c r="N1298" s="19" t="n">
        <v>4.24568665793557</v>
      </c>
      <c r="O1298" s="19" t="n">
        <v>1.41094462643708</v>
      </c>
      <c r="P1298" s="19" t="n">
        <v>0.810671009529383</v>
      </c>
      <c r="Q1298" s="17" t="s">
        <v>31</v>
      </c>
      <c r="R1298" s="5" t="str">
        <f aca="false">IF(OR(Q1298="Steel plate",Q1298="Concrete jacket"),"Steel plate or jacket",Q1298)</f>
        <v>Polymer laminate</v>
      </c>
      <c r="S1298" s="5" t="str">
        <f aca="false">IF(O1298&lt;='Tree rules'!$C$4,IF(N1298&lt;='Tree rules'!$C$5,IF(P1298&lt;='Tree rules'!$C$6,"Monitor","Polymer laminate"),IF(P1298&lt;='Tree rules'!$C$7,"Seal cracks","Polymer laminate")),IF(O1298&lt;='Tree rules'!$C$8,IF(M1298&lt;='Tree rules'!$C$9,"Steel plate or jacket","Polymer laminate"),IF(L1298&lt;='Tree rules'!$C$10,"Steel plate or jacket","Polymer laminate")))</f>
        <v>Polymer laminate</v>
      </c>
      <c r="T1298" s="5" t="str">
        <f aca="false">IF(S1298=R1298,"Yes","No")</f>
        <v>Yes</v>
      </c>
    </row>
    <row r="1299" customFormat="false" ht="15" hidden="false" customHeight="false" outlineLevel="0" collapsed="false">
      <c r="A1299" s="15" t="n">
        <v>1846</v>
      </c>
      <c r="B1299" s="16" t="n">
        <v>7.55480465466152</v>
      </c>
      <c r="C1299" s="15" t="n">
        <v>300</v>
      </c>
      <c r="D1299" s="15" t="n">
        <v>675</v>
      </c>
      <c r="E1299" s="15" t="n">
        <v>30</v>
      </c>
      <c r="F1299" s="16" t="n">
        <v>0.668068613203571</v>
      </c>
      <c r="G1299" s="17" t="s">
        <v>89</v>
      </c>
      <c r="H1299" s="18" t="n">
        <v>0.3</v>
      </c>
      <c r="I1299" s="18" t="n">
        <v>1</v>
      </c>
      <c r="J1299" s="19" t="n">
        <v>0.941177707706467</v>
      </c>
      <c r="K1299" s="19" t="n">
        <v>0.556839986561278</v>
      </c>
      <c r="L1299" s="16" t="n">
        <v>12.0491302307201</v>
      </c>
      <c r="M1299" s="19" t="n">
        <v>0.561905750143688</v>
      </c>
      <c r="N1299" s="19" t="n">
        <v>0.657443023471577</v>
      </c>
      <c r="O1299" s="19" t="n">
        <v>0.941177707706467</v>
      </c>
      <c r="P1299" s="19" t="n">
        <v>0.613478821964276</v>
      </c>
      <c r="Q1299" s="17" t="s">
        <v>29</v>
      </c>
      <c r="R1299" s="5" t="str">
        <f aca="false">IF(OR(Q1299="Steel plate",Q1299="Concrete jacket"),"Steel plate or jacket",Q1299)</f>
        <v>Monitor</v>
      </c>
      <c r="S1299" s="5" t="str">
        <f aca="false">IF(O1299&lt;='Tree rules'!$C$4,IF(N1299&lt;='Tree rules'!$C$5,IF(P1299&lt;='Tree rules'!$C$6,"Monitor","Polymer laminate"),IF(P1299&lt;='Tree rules'!$C$7,"Seal cracks","Polymer laminate")),IF(O1299&lt;='Tree rules'!$C$8,IF(M1299&lt;='Tree rules'!$C$9,"Steel plate or jacket","Polymer laminate"),IF(L1299&lt;='Tree rules'!$C$10,"Steel plate or jacket","Polymer laminate")))</f>
        <v>Monitor</v>
      </c>
      <c r="T1299" s="5" t="str">
        <f aca="false">IF(S1299=R1299,"Yes","No")</f>
        <v>Yes</v>
      </c>
    </row>
    <row r="1300" customFormat="false" ht="15" hidden="false" customHeight="false" outlineLevel="0" collapsed="false">
      <c r="A1300" s="15" t="n">
        <v>1849</v>
      </c>
      <c r="B1300" s="16" t="n">
        <v>5.45462273118167</v>
      </c>
      <c r="C1300" s="15" t="n">
        <v>230</v>
      </c>
      <c r="D1300" s="15" t="n">
        <v>525</v>
      </c>
      <c r="E1300" s="15" t="n">
        <v>25</v>
      </c>
      <c r="F1300" s="16" t="n">
        <v>0.730006099046008</v>
      </c>
      <c r="G1300" s="17" t="s">
        <v>91</v>
      </c>
      <c r="H1300" s="18" t="n">
        <v>0.2</v>
      </c>
      <c r="I1300" s="18" t="n">
        <v>1.5</v>
      </c>
      <c r="J1300" s="19" t="n">
        <v>0.858591607335427</v>
      </c>
      <c r="K1300" s="19" t="n">
        <v>0.611303663990129</v>
      </c>
      <c r="L1300" s="16" t="n">
        <v>11.3875213594607</v>
      </c>
      <c r="M1300" s="19" t="n">
        <v>0.378441216444998</v>
      </c>
      <c r="N1300" s="19" t="n">
        <v>1.03152005673951</v>
      </c>
      <c r="O1300" s="19" t="n">
        <v>1.02545731328548</v>
      </c>
      <c r="P1300" s="19" t="n">
        <v>0.949103522793132</v>
      </c>
      <c r="Q1300" s="17" t="s">
        <v>31</v>
      </c>
      <c r="R1300" s="5" t="str">
        <f aca="false">IF(OR(Q1300="Steel plate",Q1300="Concrete jacket"),"Steel plate or jacket",Q1300)</f>
        <v>Polymer laminate</v>
      </c>
      <c r="S1300" s="5" t="str">
        <f aca="false">IF(O1300&lt;='Tree rules'!$C$4,IF(N1300&lt;='Tree rules'!$C$5,IF(P1300&lt;='Tree rules'!$C$6,"Monitor","Polymer laminate"),IF(P1300&lt;='Tree rules'!$C$7,"Seal cracks","Polymer laminate")),IF(O1300&lt;='Tree rules'!$C$8,IF(M1300&lt;='Tree rules'!$C$9,"Steel plate or jacket","Polymer laminate"),IF(L1300&lt;='Tree rules'!$C$10,"Steel plate or jacket","Polymer laminate")))</f>
        <v>Polymer laminate</v>
      </c>
      <c r="T1300" s="5" t="str">
        <f aca="false">IF(S1300=R1300,"Yes","No")</f>
        <v>Yes</v>
      </c>
    </row>
    <row r="1301" customFormat="false" ht="15" hidden="false" customHeight="false" outlineLevel="0" collapsed="false">
      <c r="A1301" s="15" t="n">
        <v>1850</v>
      </c>
      <c r="B1301" s="16" t="n">
        <v>4.56990399363278</v>
      </c>
      <c r="C1301" s="15" t="n">
        <v>230</v>
      </c>
      <c r="D1301" s="15" t="n">
        <v>350</v>
      </c>
      <c r="E1301" s="15" t="n">
        <v>25</v>
      </c>
      <c r="F1301" s="16" t="n">
        <v>0.64278110559382</v>
      </c>
      <c r="G1301" s="17" t="s">
        <v>89</v>
      </c>
      <c r="H1301" s="18" t="n">
        <v>0.3</v>
      </c>
      <c r="I1301" s="18" t="n">
        <v>1</v>
      </c>
      <c r="J1301" s="19" t="n">
        <v>0.902560579224549</v>
      </c>
      <c r="K1301" s="19" t="n">
        <v>0.542378831965766</v>
      </c>
      <c r="L1301" s="16" t="n">
        <v>14.9343267765777</v>
      </c>
      <c r="M1301" s="19" t="n">
        <v>0.943369928591301</v>
      </c>
      <c r="N1301" s="19" t="n">
        <v>0.536022768050292</v>
      </c>
      <c r="O1301" s="19" t="n">
        <v>0.902560579224549</v>
      </c>
      <c r="P1301" s="19" t="n">
        <v>0.386423773199885</v>
      </c>
      <c r="Q1301" s="17" t="s">
        <v>29</v>
      </c>
      <c r="R1301" s="5" t="str">
        <f aca="false">IF(OR(Q1301="Steel plate",Q1301="Concrete jacket"),"Steel plate or jacket",Q1301)</f>
        <v>Monitor</v>
      </c>
      <c r="S1301" s="5" t="str">
        <f aca="false">IF(O1301&lt;='Tree rules'!$C$4,IF(N1301&lt;='Tree rules'!$C$5,IF(P1301&lt;='Tree rules'!$C$6,"Monitor","Polymer laminate"),IF(P1301&lt;='Tree rules'!$C$7,"Seal cracks","Polymer laminate")),IF(O1301&lt;='Tree rules'!$C$8,IF(M1301&lt;='Tree rules'!$C$9,"Steel plate or jacket","Polymer laminate"),IF(L1301&lt;='Tree rules'!$C$10,"Steel plate or jacket","Polymer laminate")))</f>
        <v>Monitor</v>
      </c>
      <c r="T1301" s="5" t="str">
        <f aca="false">IF(S1301=R1301,"Yes","No")</f>
        <v>Yes</v>
      </c>
    </row>
    <row r="1302" customFormat="false" ht="15" hidden="false" customHeight="false" outlineLevel="0" collapsed="false">
      <c r="A1302" s="15" t="n">
        <v>1852</v>
      </c>
      <c r="B1302" s="16" t="n">
        <v>3.00314100419641</v>
      </c>
      <c r="C1302" s="15" t="n">
        <v>300</v>
      </c>
      <c r="D1302" s="15" t="n">
        <v>300</v>
      </c>
      <c r="E1302" s="15" t="n">
        <v>25</v>
      </c>
      <c r="F1302" s="16" t="n">
        <v>0.791582400904515</v>
      </c>
      <c r="G1302" s="17" t="s">
        <v>91</v>
      </c>
      <c r="H1302" s="18" t="n">
        <v>0.2</v>
      </c>
      <c r="I1302" s="18" t="n">
        <v>1.5</v>
      </c>
      <c r="J1302" s="19" t="n">
        <v>0.88567256838413</v>
      </c>
      <c r="K1302" s="19" t="n">
        <v>0.463824199735866</v>
      </c>
      <c r="L1302" s="16" t="n">
        <v>11.8233897803008</v>
      </c>
      <c r="M1302" s="19" t="n">
        <v>0.538023671753175</v>
      </c>
      <c r="N1302" s="19" t="n">
        <v>1.42856289464883</v>
      </c>
      <c r="O1302" s="19" t="n">
        <v>1.12311066744681</v>
      </c>
      <c r="P1302" s="19" t="n">
        <v>0.587013299393116</v>
      </c>
      <c r="Q1302" s="17" t="s">
        <v>31</v>
      </c>
      <c r="R1302" s="5" t="str">
        <f aca="false">IF(OR(Q1302="Steel plate",Q1302="Concrete jacket"),"Steel plate or jacket",Q1302)</f>
        <v>Polymer laminate</v>
      </c>
      <c r="S1302" s="5" t="str">
        <f aca="false">IF(O1302&lt;='Tree rules'!$C$4,IF(N1302&lt;='Tree rules'!$C$5,IF(P1302&lt;='Tree rules'!$C$6,"Monitor","Polymer laminate"),IF(P1302&lt;='Tree rules'!$C$7,"Seal cracks","Polymer laminate")),IF(O1302&lt;='Tree rules'!$C$8,IF(M1302&lt;='Tree rules'!$C$9,"Steel plate or jacket","Polymer laminate"),IF(L1302&lt;='Tree rules'!$C$10,"Steel plate or jacket","Polymer laminate")))</f>
        <v>Polymer laminate</v>
      </c>
      <c r="T1302" s="5" t="str">
        <f aca="false">IF(S1302=R1302,"Yes","No")</f>
        <v>Yes</v>
      </c>
    </row>
    <row r="1303" customFormat="false" ht="15" hidden="false" customHeight="false" outlineLevel="0" collapsed="false">
      <c r="A1303" s="15" t="n">
        <v>1853</v>
      </c>
      <c r="B1303" s="16" t="n">
        <v>5.75961460785394</v>
      </c>
      <c r="C1303" s="15" t="n">
        <v>230</v>
      </c>
      <c r="D1303" s="15" t="n">
        <v>500</v>
      </c>
      <c r="E1303" s="15" t="n">
        <v>25</v>
      </c>
      <c r="F1303" s="16" t="n">
        <v>0.625130365852113</v>
      </c>
      <c r="G1303" s="17" t="s">
        <v>90</v>
      </c>
      <c r="H1303" s="18" t="n">
        <v>0.1</v>
      </c>
      <c r="I1303" s="18" t="n">
        <v>2</v>
      </c>
      <c r="J1303" s="19" t="n">
        <v>0.906836781199692</v>
      </c>
      <c r="K1303" s="19" t="n">
        <v>0.596398580991888</v>
      </c>
      <c r="L1303" s="16" t="n">
        <v>13.1798961278122</v>
      </c>
      <c r="M1303" s="19" t="n">
        <v>0.33560060429282</v>
      </c>
      <c r="N1303" s="19" t="n">
        <v>4.17162335852574</v>
      </c>
      <c r="O1303" s="19" t="n">
        <v>1.27283739290064</v>
      </c>
      <c r="P1303" s="19" t="n">
        <v>1.09578254502801</v>
      </c>
      <c r="Q1303" s="17" t="s">
        <v>31</v>
      </c>
      <c r="R1303" s="5" t="str">
        <f aca="false">IF(OR(Q1303="Steel plate",Q1303="Concrete jacket"),"Steel plate or jacket",Q1303)</f>
        <v>Polymer laminate</v>
      </c>
      <c r="S1303" s="5" t="str">
        <f aca="false">IF(O1303&lt;='Tree rules'!$C$4,IF(N1303&lt;='Tree rules'!$C$5,IF(P1303&lt;='Tree rules'!$C$6,"Monitor","Polymer laminate"),IF(P1303&lt;='Tree rules'!$C$7,"Seal cracks","Polymer laminate")),IF(O1303&lt;='Tree rules'!$C$8,IF(M1303&lt;='Tree rules'!$C$9,"Steel plate or jacket","Polymer laminate"),IF(L1303&lt;='Tree rules'!$C$10,"Steel plate or jacket","Polymer laminate")))</f>
        <v>Polymer laminate</v>
      </c>
      <c r="T1303" s="5" t="str">
        <f aca="false">IF(S1303=R1303,"Yes","No")</f>
        <v>Yes</v>
      </c>
    </row>
    <row r="1304" customFormat="false" ht="15" hidden="false" customHeight="false" outlineLevel="0" collapsed="false">
      <c r="A1304" s="15" t="n">
        <v>1854</v>
      </c>
      <c r="B1304" s="16" t="n">
        <v>7.03500813953648</v>
      </c>
      <c r="C1304" s="15" t="n">
        <v>300</v>
      </c>
      <c r="D1304" s="15" t="n">
        <v>700</v>
      </c>
      <c r="E1304" s="15" t="n">
        <v>30</v>
      </c>
      <c r="F1304" s="16" t="n">
        <v>0.642452485396686</v>
      </c>
      <c r="G1304" s="17" t="s">
        <v>89</v>
      </c>
      <c r="H1304" s="18" t="n">
        <v>0.3</v>
      </c>
      <c r="I1304" s="18" t="n">
        <v>2</v>
      </c>
      <c r="J1304" s="19" t="n">
        <v>0.889522943048698</v>
      </c>
      <c r="K1304" s="19" t="n">
        <v>0.581981073109201</v>
      </c>
      <c r="L1304" s="16" t="n">
        <v>10.7898897845652</v>
      </c>
      <c r="M1304" s="19" t="n">
        <v>0.696443307602033</v>
      </c>
      <c r="N1304" s="19" t="n">
        <v>0.872327242993579</v>
      </c>
      <c r="O1304" s="19" t="n">
        <v>1.26136036914666</v>
      </c>
      <c r="P1304" s="19" t="n">
        <v>0.510506287716904</v>
      </c>
      <c r="Q1304" s="17" t="s">
        <v>31</v>
      </c>
      <c r="R1304" s="5" t="str">
        <f aca="false">IF(OR(Q1304="Steel plate",Q1304="Concrete jacket"),"Steel plate or jacket",Q1304)</f>
        <v>Polymer laminate</v>
      </c>
      <c r="S1304" s="5" t="str">
        <f aca="false">IF(O1304&lt;='Tree rules'!$C$4,IF(N1304&lt;='Tree rules'!$C$5,IF(P1304&lt;='Tree rules'!$C$6,"Monitor","Polymer laminate"),IF(P1304&lt;='Tree rules'!$C$7,"Seal cracks","Polymer laminate")),IF(O1304&lt;='Tree rules'!$C$8,IF(M1304&lt;='Tree rules'!$C$9,"Steel plate or jacket","Polymer laminate"),IF(L1304&lt;='Tree rules'!$C$10,"Steel plate or jacket","Polymer laminate")))</f>
        <v>Polymer laminate</v>
      </c>
      <c r="T1304" s="5" t="str">
        <f aca="false">IF(S1304=R1304,"Yes","No")</f>
        <v>Yes</v>
      </c>
    </row>
    <row r="1305" customFormat="false" ht="15" hidden="false" customHeight="false" outlineLevel="0" collapsed="false">
      <c r="A1305" s="15" t="n">
        <v>1855</v>
      </c>
      <c r="B1305" s="16" t="n">
        <v>4.5160539484845</v>
      </c>
      <c r="C1305" s="15" t="n">
        <v>300</v>
      </c>
      <c r="D1305" s="15" t="n">
        <v>450</v>
      </c>
      <c r="E1305" s="15" t="n">
        <v>20</v>
      </c>
      <c r="F1305" s="16" t="n">
        <v>0.689158285620383</v>
      </c>
      <c r="G1305" s="17" t="s">
        <v>90</v>
      </c>
      <c r="H1305" s="18" t="n">
        <v>0.1</v>
      </c>
      <c r="I1305" s="18" t="n">
        <v>2</v>
      </c>
      <c r="J1305" s="19" t="n">
        <v>0.938898351458161</v>
      </c>
      <c r="K1305" s="19" t="n">
        <v>0.601652663690763</v>
      </c>
      <c r="L1305" s="16" t="n">
        <v>11.6093931837648</v>
      </c>
      <c r="M1305" s="19" t="n">
        <v>0.730832343880606</v>
      </c>
      <c r="N1305" s="19" t="n">
        <v>3.5198847710443</v>
      </c>
      <c r="O1305" s="19" t="n">
        <v>1.31290600882665</v>
      </c>
      <c r="P1305" s="19" t="n">
        <v>0.545239889769546</v>
      </c>
      <c r="Q1305" s="17" t="s">
        <v>31</v>
      </c>
      <c r="R1305" s="5" t="str">
        <f aca="false">IF(OR(Q1305="Steel plate",Q1305="Concrete jacket"),"Steel plate or jacket",Q1305)</f>
        <v>Polymer laminate</v>
      </c>
      <c r="S1305" s="5" t="str">
        <f aca="false">IF(O1305&lt;='Tree rules'!$C$4,IF(N1305&lt;='Tree rules'!$C$5,IF(P1305&lt;='Tree rules'!$C$6,"Monitor","Polymer laminate"),IF(P1305&lt;='Tree rules'!$C$7,"Seal cracks","Polymer laminate")),IF(O1305&lt;='Tree rules'!$C$8,IF(M1305&lt;='Tree rules'!$C$9,"Steel plate or jacket","Polymer laminate"),IF(L1305&lt;='Tree rules'!$C$10,"Steel plate or jacket","Polymer laminate")))</f>
        <v>Steel plate or jacket</v>
      </c>
      <c r="T1305" s="5" t="str">
        <f aca="false">IF(S1305=R1305,"Yes","No")</f>
        <v>No</v>
      </c>
    </row>
    <row r="1306" customFormat="false" ht="15" hidden="false" customHeight="false" outlineLevel="0" collapsed="false">
      <c r="A1306" s="15" t="n">
        <v>1856</v>
      </c>
      <c r="B1306" s="16" t="n">
        <v>3.42148185118189</v>
      </c>
      <c r="C1306" s="15" t="n">
        <v>300</v>
      </c>
      <c r="D1306" s="15" t="n">
        <v>300</v>
      </c>
      <c r="E1306" s="15" t="n">
        <v>25</v>
      </c>
      <c r="F1306" s="16" t="n">
        <v>0.791582400904515</v>
      </c>
      <c r="G1306" s="17" t="s">
        <v>89</v>
      </c>
      <c r="H1306" s="18" t="n">
        <v>0.3</v>
      </c>
      <c r="I1306" s="18" t="n">
        <v>2</v>
      </c>
      <c r="J1306" s="19" t="n">
        <v>0.906632860740241</v>
      </c>
      <c r="K1306" s="19" t="n">
        <v>0.417857622283528</v>
      </c>
      <c r="L1306" s="16" t="n">
        <v>13.4704009889051</v>
      </c>
      <c r="M1306" s="19" t="n">
        <v>0.743775639024358</v>
      </c>
      <c r="N1306" s="19" t="n">
        <v>1.19451717547418</v>
      </c>
      <c r="O1306" s="19" t="n">
        <v>1.43442227000745</v>
      </c>
      <c r="P1306" s="19" t="n">
        <v>0.563135486430342</v>
      </c>
      <c r="Q1306" s="17" t="s">
        <v>31</v>
      </c>
      <c r="R1306" s="5" t="str">
        <f aca="false">IF(OR(Q1306="Steel plate",Q1306="Concrete jacket"),"Steel plate or jacket",Q1306)</f>
        <v>Polymer laminate</v>
      </c>
      <c r="S1306" s="5" t="str">
        <f aca="false">IF(O1306&lt;='Tree rules'!$C$4,IF(N1306&lt;='Tree rules'!$C$5,IF(P1306&lt;='Tree rules'!$C$6,"Monitor","Polymer laminate"),IF(P1306&lt;='Tree rules'!$C$7,"Seal cracks","Polymer laminate")),IF(O1306&lt;='Tree rules'!$C$8,IF(M1306&lt;='Tree rules'!$C$9,"Steel plate or jacket","Polymer laminate"),IF(L1306&lt;='Tree rules'!$C$10,"Steel plate or jacket","Polymer laminate")))</f>
        <v>Polymer laminate</v>
      </c>
      <c r="T1306" s="5" t="str">
        <f aca="false">IF(S1306=R1306,"Yes","No")</f>
        <v>Yes</v>
      </c>
    </row>
    <row r="1307" customFormat="false" ht="15" hidden="false" customHeight="false" outlineLevel="0" collapsed="false">
      <c r="A1307" s="15" t="n">
        <v>1857</v>
      </c>
      <c r="B1307" s="16" t="n">
        <v>3.05376250547431</v>
      </c>
      <c r="C1307" s="15" t="n">
        <v>300</v>
      </c>
      <c r="D1307" s="15" t="n">
        <v>300</v>
      </c>
      <c r="E1307" s="15" t="n">
        <v>25</v>
      </c>
      <c r="F1307" s="16" t="n">
        <v>0.736310778185108</v>
      </c>
      <c r="G1307" s="17" t="s">
        <v>89</v>
      </c>
      <c r="H1307" s="18" t="n">
        <v>0.3</v>
      </c>
      <c r="I1307" s="18" t="n">
        <v>2</v>
      </c>
      <c r="J1307" s="19" t="n">
        <v>0.943164121394336</v>
      </c>
      <c r="K1307" s="19" t="n">
        <v>0.424794799700366</v>
      </c>
      <c r="L1307" s="16" t="n">
        <v>11.928759787009</v>
      </c>
      <c r="M1307" s="19" t="n">
        <v>0.349401658723528</v>
      </c>
      <c r="N1307" s="19" t="n">
        <v>1.08450576329786</v>
      </c>
      <c r="O1307" s="19" t="n">
        <v>1.48567702875639</v>
      </c>
      <c r="P1307" s="19" t="n">
        <v>1.01097673498232</v>
      </c>
      <c r="Q1307" s="17" t="s">
        <v>31</v>
      </c>
      <c r="R1307" s="5" t="str">
        <f aca="false">IF(OR(Q1307="Steel plate",Q1307="Concrete jacket"),"Steel plate or jacket",Q1307)</f>
        <v>Polymer laminate</v>
      </c>
      <c r="S1307" s="5" t="str">
        <f aca="false">IF(O1307&lt;='Tree rules'!$C$4,IF(N1307&lt;='Tree rules'!$C$5,IF(P1307&lt;='Tree rules'!$C$6,"Monitor","Polymer laminate"),IF(P1307&lt;='Tree rules'!$C$7,"Seal cracks","Polymer laminate")),IF(O1307&lt;='Tree rules'!$C$8,IF(M1307&lt;='Tree rules'!$C$9,"Steel plate or jacket","Polymer laminate"),IF(L1307&lt;='Tree rules'!$C$10,"Steel plate or jacket","Polymer laminate")))</f>
        <v>Steel plate or jacket</v>
      </c>
      <c r="T1307" s="5" t="str">
        <f aca="false">IF(S1307=R1307,"Yes","No")</f>
        <v>No</v>
      </c>
    </row>
    <row r="1308" customFormat="false" ht="15" hidden="false" customHeight="false" outlineLevel="0" collapsed="false">
      <c r="A1308" s="15" t="n">
        <v>1858</v>
      </c>
      <c r="B1308" s="16" t="n">
        <v>6.59952846434971</v>
      </c>
      <c r="C1308" s="15" t="n">
        <v>230</v>
      </c>
      <c r="D1308" s="15" t="n">
        <v>625</v>
      </c>
      <c r="E1308" s="15" t="n">
        <v>30</v>
      </c>
      <c r="F1308" s="16" t="n">
        <v>0.710178431223674</v>
      </c>
      <c r="G1308" s="17" t="s">
        <v>91</v>
      </c>
      <c r="H1308" s="18" t="n">
        <v>0.2</v>
      </c>
      <c r="I1308" s="18" t="n">
        <v>2</v>
      </c>
      <c r="J1308" s="19" t="n">
        <v>0.914623158396073</v>
      </c>
      <c r="K1308" s="19" t="n">
        <v>0.637810553774358</v>
      </c>
      <c r="L1308" s="16" t="n">
        <v>11.4376576505194</v>
      </c>
      <c r="M1308" s="19" t="n">
        <v>0.881986392040035</v>
      </c>
      <c r="N1308" s="19" t="n">
        <v>1.2641624339873</v>
      </c>
      <c r="O1308" s="19" t="n">
        <v>1.2458900136407</v>
      </c>
      <c r="P1308" s="19" t="n">
        <v>0.479398670109133</v>
      </c>
      <c r="Q1308" s="17" t="s">
        <v>31</v>
      </c>
      <c r="R1308" s="5" t="str">
        <f aca="false">IF(OR(Q1308="Steel plate",Q1308="Concrete jacket"),"Steel plate or jacket",Q1308)</f>
        <v>Polymer laminate</v>
      </c>
      <c r="S1308" s="5" t="str">
        <f aca="false">IF(O1308&lt;='Tree rules'!$C$4,IF(N1308&lt;='Tree rules'!$C$5,IF(P1308&lt;='Tree rules'!$C$6,"Monitor","Polymer laminate"),IF(P1308&lt;='Tree rules'!$C$7,"Seal cracks","Polymer laminate")),IF(O1308&lt;='Tree rules'!$C$8,IF(M1308&lt;='Tree rules'!$C$9,"Steel plate or jacket","Polymer laminate"),IF(L1308&lt;='Tree rules'!$C$10,"Steel plate or jacket","Polymer laminate")))</f>
        <v>Polymer laminate</v>
      </c>
      <c r="T1308" s="5" t="str">
        <f aca="false">IF(S1308=R1308,"Yes","No")</f>
        <v>Yes</v>
      </c>
    </row>
    <row r="1309" customFormat="false" ht="15" hidden="false" customHeight="false" outlineLevel="0" collapsed="false">
      <c r="A1309" s="15" t="n">
        <v>1859</v>
      </c>
      <c r="B1309" s="16" t="n">
        <v>5.40771968139526</v>
      </c>
      <c r="C1309" s="15" t="n">
        <v>230</v>
      </c>
      <c r="D1309" s="15" t="n">
        <v>450</v>
      </c>
      <c r="E1309" s="15" t="n">
        <v>25</v>
      </c>
      <c r="F1309" s="16" t="n">
        <v>0.649145274956135</v>
      </c>
      <c r="G1309" s="17" t="s">
        <v>91</v>
      </c>
      <c r="H1309" s="18" t="n">
        <v>0.2</v>
      </c>
      <c r="I1309" s="18" t="n">
        <v>2</v>
      </c>
      <c r="J1309" s="19" t="n">
        <v>0.965613672459311</v>
      </c>
      <c r="K1309" s="19" t="n">
        <v>0.433298068551226</v>
      </c>
      <c r="L1309" s="16" t="n">
        <v>13.3854447559289</v>
      </c>
      <c r="M1309" s="19" t="n">
        <v>0.270360577617236</v>
      </c>
      <c r="N1309" s="19" t="n">
        <v>1.740864363599</v>
      </c>
      <c r="O1309" s="19" t="n">
        <v>1.51282880567535</v>
      </c>
      <c r="P1309" s="19" t="n">
        <v>1.5558610752743</v>
      </c>
      <c r="Q1309" s="17" t="s">
        <v>92</v>
      </c>
      <c r="R1309" s="5" t="str">
        <f aca="false">IF(OR(Q1309="Steel plate",Q1309="Concrete jacket"),"Steel plate or jacket",Q1309)</f>
        <v>Steel plate or jacket</v>
      </c>
      <c r="S1309" s="5" t="str">
        <f aca="false">IF(O1309&lt;='Tree rules'!$C$4,IF(N1309&lt;='Tree rules'!$C$5,IF(P1309&lt;='Tree rules'!$C$6,"Monitor","Polymer laminate"),IF(P1309&lt;='Tree rules'!$C$7,"Seal cracks","Polymer laminate")),IF(O1309&lt;='Tree rules'!$C$8,IF(M1309&lt;='Tree rules'!$C$9,"Steel plate or jacket","Polymer laminate"),IF(L1309&lt;='Tree rules'!$C$10,"Steel plate or jacket","Polymer laminate")))</f>
        <v>Polymer laminate</v>
      </c>
      <c r="T1309" s="5" t="str">
        <f aca="false">IF(S1309=R1309,"Yes","No")</f>
        <v>No</v>
      </c>
    </row>
    <row r="1310" customFormat="false" ht="15" hidden="false" customHeight="false" outlineLevel="0" collapsed="false">
      <c r="A1310" s="15" t="n">
        <v>1860</v>
      </c>
      <c r="B1310" s="16" t="n">
        <v>6.54453001431695</v>
      </c>
      <c r="C1310" s="15" t="n">
        <v>300</v>
      </c>
      <c r="D1310" s="15" t="n">
        <v>525</v>
      </c>
      <c r="E1310" s="15" t="n">
        <v>30</v>
      </c>
      <c r="F1310" s="16" t="n">
        <v>0.658614812073332</v>
      </c>
      <c r="G1310" s="17" t="s">
        <v>91</v>
      </c>
      <c r="H1310" s="18" t="n">
        <v>0.2</v>
      </c>
      <c r="I1310" s="18" t="n">
        <v>2</v>
      </c>
      <c r="J1310" s="19" t="n">
        <v>0.963133116231152</v>
      </c>
      <c r="K1310" s="19" t="n">
        <v>0.488409024068001</v>
      </c>
      <c r="L1310" s="16" t="n">
        <v>13.7201887092599</v>
      </c>
      <c r="M1310" s="19" t="n">
        <v>0.944333492451055</v>
      </c>
      <c r="N1310" s="19" t="n">
        <v>1.74665483787105</v>
      </c>
      <c r="O1310" s="19" t="n">
        <v>1.45586332711628</v>
      </c>
      <c r="P1310" s="19" t="n">
        <v>0.495051712606693</v>
      </c>
      <c r="Q1310" s="17" t="s">
        <v>31</v>
      </c>
      <c r="R1310" s="5" t="str">
        <f aca="false">IF(OR(Q1310="Steel plate",Q1310="Concrete jacket"),"Steel plate or jacket",Q1310)</f>
        <v>Polymer laminate</v>
      </c>
      <c r="S1310" s="5" t="str">
        <f aca="false">IF(O1310&lt;='Tree rules'!$C$4,IF(N1310&lt;='Tree rules'!$C$5,IF(P1310&lt;='Tree rules'!$C$6,"Monitor","Polymer laminate"),IF(P1310&lt;='Tree rules'!$C$7,"Seal cracks","Polymer laminate")),IF(O1310&lt;='Tree rules'!$C$8,IF(M1310&lt;='Tree rules'!$C$9,"Steel plate or jacket","Polymer laminate"),IF(L1310&lt;='Tree rules'!$C$10,"Steel plate or jacket","Polymer laminate")))</f>
        <v>Polymer laminate</v>
      </c>
      <c r="T1310" s="5" t="str">
        <f aca="false">IF(S1310=R1310,"Yes","No")</f>
        <v>Yes</v>
      </c>
    </row>
    <row r="1311" customFormat="false" ht="15" hidden="false" customHeight="false" outlineLevel="0" collapsed="false">
      <c r="A1311" s="15" t="n">
        <v>1861</v>
      </c>
      <c r="B1311" s="16" t="n">
        <v>3.35546394416209</v>
      </c>
      <c r="C1311" s="15" t="n">
        <v>230</v>
      </c>
      <c r="D1311" s="15" t="n">
        <v>300</v>
      </c>
      <c r="E1311" s="15" t="n">
        <v>30</v>
      </c>
      <c r="F1311" s="16" t="n">
        <v>0.576243217710084</v>
      </c>
      <c r="G1311" s="17" t="s">
        <v>89</v>
      </c>
      <c r="H1311" s="18" t="n">
        <v>0.3</v>
      </c>
      <c r="I1311" s="18" t="n">
        <v>2</v>
      </c>
      <c r="J1311" s="19" t="n">
        <v>0.873594181868005</v>
      </c>
      <c r="K1311" s="19" t="n">
        <v>0.515180821427182</v>
      </c>
      <c r="L1311" s="16" t="n">
        <v>13.1072810318832</v>
      </c>
      <c r="M1311" s="19" t="n">
        <v>0.621553979941812</v>
      </c>
      <c r="N1311" s="19" t="n">
        <v>0.962402957283759</v>
      </c>
      <c r="O1311" s="19" t="n">
        <v>1.29712939552724</v>
      </c>
      <c r="P1311" s="19" t="n">
        <v>0.458056448650758</v>
      </c>
      <c r="Q1311" s="17" t="s">
        <v>31</v>
      </c>
      <c r="R1311" s="5" t="str">
        <f aca="false">IF(OR(Q1311="Steel plate",Q1311="Concrete jacket"),"Steel plate or jacket",Q1311)</f>
        <v>Polymer laminate</v>
      </c>
      <c r="S1311" s="5" t="str">
        <f aca="false">IF(O1311&lt;='Tree rules'!$C$4,IF(N1311&lt;='Tree rules'!$C$5,IF(P1311&lt;='Tree rules'!$C$6,"Monitor","Polymer laminate"),IF(P1311&lt;='Tree rules'!$C$7,"Seal cracks","Polymer laminate")),IF(O1311&lt;='Tree rules'!$C$8,IF(M1311&lt;='Tree rules'!$C$9,"Steel plate or jacket","Polymer laminate"),IF(L1311&lt;='Tree rules'!$C$10,"Steel plate or jacket","Polymer laminate")))</f>
        <v>Polymer laminate</v>
      </c>
      <c r="T1311" s="5" t="str">
        <f aca="false">IF(S1311=R1311,"Yes","No")</f>
        <v>Yes</v>
      </c>
    </row>
    <row r="1312" customFormat="false" ht="15" hidden="false" customHeight="false" outlineLevel="0" collapsed="false">
      <c r="A1312" s="15" t="n">
        <v>1863</v>
      </c>
      <c r="B1312" s="16" t="n">
        <v>3.18796987520565</v>
      </c>
      <c r="C1312" s="15" t="n">
        <v>230</v>
      </c>
      <c r="D1312" s="15" t="n">
        <v>300</v>
      </c>
      <c r="E1312" s="15" t="n">
        <v>30</v>
      </c>
      <c r="F1312" s="16" t="n">
        <v>0.731533308458238</v>
      </c>
      <c r="G1312" s="17" t="s">
        <v>90</v>
      </c>
      <c r="H1312" s="18" t="n">
        <v>0.1</v>
      </c>
      <c r="I1312" s="18" t="n">
        <v>2</v>
      </c>
      <c r="J1312" s="19" t="n">
        <v>0.899380877024028</v>
      </c>
      <c r="K1312" s="19" t="n">
        <v>0.418057995906069</v>
      </c>
      <c r="L1312" s="16" t="n">
        <v>13.3387860887266</v>
      </c>
      <c r="M1312" s="19" t="n">
        <v>0.720681515936802</v>
      </c>
      <c r="N1312" s="19" t="n">
        <v>4.68526493830961</v>
      </c>
      <c r="O1312" s="19" t="n">
        <v>1.42276838704315</v>
      </c>
      <c r="P1312" s="19" t="n">
        <v>0.418930712440402</v>
      </c>
      <c r="Q1312" s="17" t="s">
        <v>31</v>
      </c>
      <c r="R1312" s="5" t="str">
        <f aca="false">IF(OR(Q1312="Steel plate",Q1312="Concrete jacket"),"Steel plate or jacket",Q1312)</f>
        <v>Polymer laminate</v>
      </c>
      <c r="S1312" s="5" t="str">
        <f aca="false">IF(O1312&lt;='Tree rules'!$C$4,IF(N1312&lt;='Tree rules'!$C$5,IF(P1312&lt;='Tree rules'!$C$6,"Monitor","Polymer laminate"),IF(P1312&lt;='Tree rules'!$C$7,"Seal cracks","Polymer laminate")),IF(O1312&lt;='Tree rules'!$C$8,IF(M1312&lt;='Tree rules'!$C$9,"Steel plate or jacket","Polymer laminate"),IF(L1312&lt;='Tree rules'!$C$10,"Steel plate or jacket","Polymer laminate")))</f>
        <v>Polymer laminate</v>
      </c>
      <c r="T1312" s="5" t="str">
        <f aca="false">IF(S1312=R1312,"Yes","No")</f>
        <v>Yes</v>
      </c>
    </row>
    <row r="1313" customFormat="false" ht="15" hidden="false" customHeight="false" outlineLevel="0" collapsed="false">
      <c r="A1313" s="15" t="n">
        <v>1864</v>
      </c>
      <c r="B1313" s="16" t="n">
        <v>5.15436333537786</v>
      </c>
      <c r="C1313" s="15" t="n">
        <v>300</v>
      </c>
      <c r="D1313" s="15" t="n">
        <v>500</v>
      </c>
      <c r="E1313" s="15" t="n">
        <v>20</v>
      </c>
      <c r="F1313" s="16" t="n">
        <v>0.695042622475618</v>
      </c>
      <c r="G1313" s="17" t="s">
        <v>89</v>
      </c>
      <c r="H1313" s="18" t="n">
        <v>0.3</v>
      </c>
      <c r="I1313" s="18" t="n">
        <v>1</v>
      </c>
      <c r="J1313" s="19" t="n">
        <v>0.951610601939106</v>
      </c>
      <c r="K1313" s="19" t="n">
        <v>0.579940340393562</v>
      </c>
      <c r="L1313" s="16" t="n">
        <v>11.4034587065882</v>
      </c>
      <c r="M1313" s="19" t="n">
        <v>0.602614628514493</v>
      </c>
      <c r="N1313" s="19" t="n">
        <v>0.759171790173195</v>
      </c>
      <c r="O1313" s="19" t="n">
        <v>0.951610601939106</v>
      </c>
      <c r="P1313" s="19" t="n">
        <v>0.609314530420779</v>
      </c>
      <c r="Q1313" s="17" t="s">
        <v>29</v>
      </c>
      <c r="R1313" s="5" t="str">
        <f aca="false">IF(OR(Q1313="Steel plate",Q1313="Concrete jacket"),"Steel plate or jacket",Q1313)</f>
        <v>Monitor</v>
      </c>
      <c r="S1313" s="5" t="str">
        <f aca="false">IF(O1313&lt;='Tree rules'!$C$4,IF(N1313&lt;='Tree rules'!$C$5,IF(P1313&lt;='Tree rules'!$C$6,"Monitor","Polymer laminate"),IF(P1313&lt;='Tree rules'!$C$7,"Seal cracks","Polymer laminate")),IF(O1313&lt;='Tree rules'!$C$8,IF(M1313&lt;='Tree rules'!$C$9,"Steel plate or jacket","Polymer laminate"),IF(L1313&lt;='Tree rules'!$C$10,"Steel plate or jacket","Polymer laminate")))</f>
        <v>Monitor</v>
      </c>
      <c r="T1313" s="5" t="str">
        <f aca="false">IF(S1313=R1313,"Yes","No")</f>
        <v>Yes</v>
      </c>
    </row>
    <row r="1314" customFormat="false" ht="15" hidden="false" customHeight="false" outlineLevel="0" collapsed="false">
      <c r="A1314" s="15" t="n">
        <v>1865</v>
      </c>
      <c r="B1314" s="16" t="n">
        <v>4.37002596641002</v>
      </c>
      <c r="C1314" s="15" t="n">
        <v>230</v>
      </c>
      <c r="D1314" s="15" t="n">
        <v>400</v>
      </c>
      <c r="E1314" s="15" t="n">
        <v>25</v>
      </c>
      <c r="F1314" s="16" t="n">
        <v>0.740832460684402</v>
      </c>
      <c r="G1314" s="17" t="s">
        <v>89</v>
      </c>
      <c r="H1314" s="18" t="n">
        <v>0.3</v>
      </c>
      <c r="I1314" s="18" t="n">
        <v>1</v>
      </c>
      <c r="J1314" s="19" t="n">
        <v>0.94019824285328</v>
      </c>
      <c r="K1314" s="19" t="n">
        <v>0.416537087966952</v>
      </c>
      <c r="L1314" s="16" t="n">
        <v>12.3447061198023</v>
      </c>
      <c r="M1314" s="19" t="n">
        <v>0.915709946309796</v>
      </c>
      <c r="N1314" s="19" t="n">
        <v>0.628705845421812</v>
      </c>
      <c r="O1314" s="19" t="n">
        <v>0.94019824285328</v>
      </c>
      <c r="P1314" s="19" t="n">
        <v>0.362521124020025</v>
      </c>
      <c r="Q1314" s="17" t="s">
        <v>29</v>
      </c>
      <c r="R1314" s="5" t="str">
        <f aca="false">IF(OR(Q1314="Steel plate",Q1314="Concrete jacket"),"Steel plate or jacket",Q1314)</f>
        <v>Monitor</v>
      </c>
      <c r="S1314" s="5" t="str">
        <f aca="false">IF(O1314&lt;='Tree rules'!$C$4,IF(N1314&lt;='Tree rules'!$C$5,IF(P1314&lt;='Tree rules'!$C$6,"Monitor","Polymer laminate"),IF(P1314&lt;='Tree rules'!$C$7,"Seal cracks","Polymer laminate")),IF(O1314&lt;='Tree rules'!$C$8,IF(M1314&lt;='Tree rules'!$C$9,"Steel plate or jacket","Polymer laminate"),IF(L1314&lt;='Tree rules'!$C$10,"Steel plate or jacket","Polymer laminate")))</f>
        <v>Monitor</v>
      </c>
      <c r="T1314" s="5" t="str">
        <f aca="false">IF(S1314=R1314,"Yes","No")</f>
        <v>Yes</v>
      </c>
    </row>
    <row r="1315" customFormat="false" ht="15" hidden="false" customHeight="false" outlineLevel="0" collapsed="false">
      <c r="A1315" s="15" t="n">
        <v>1867</v>
      </c>
      <c r="B1315" s="16" t="n">
        <v>6.1817820614972</v>
      </c>
      <c r="C1315" s="15" t="n">
        <v>300</v>
      </c>
      <c r="D1315" s="15" t="n">
        <v>550</v>
      </c>
      <c r="E1315" s="15" t="n">
        <v>20</v>
      </c>
      <c r="F1315" s="16" t="n">
        <v>0.664887334093078</v>
      </c>
      <c r="G1315" s="17" t="s">
        <v>91</v>
      </c>
      <c r="H1315" s="18" t="n">
        <v>0.2</v>
      </c>
      <c r="I1315" s="18" t="n">
        <v>2</v>
      </c>
      <c r="J1315" s="19" t="n">
        <v>0.874297720231902</v>
      </c>
      <c r="K1315" s="19" t="n">
        <v>0.43272688155454</v>
      </c>
      <c r="L1315" s="16" t="n">
        <v>12.2654405982087</v>
      </c>
      <c r="M1315" s="19" t="n">
        <v>0.659544778810768</v>
      </c>
      <c r="N1315" s="19" t="n">
        <v>1.31934449905679</v>
      </c>
      <c r="O1315" s="19" t="n">
        <v>1.37026331443761</v>
      </c>
      <c r="P1315" s="19" t="n">
        <v>0.646052540434651</v>
      </c>
      <c r="Q1315" s="17" t="s">
        <v>92</v>
      </c>
      <c r="R1315" s="5" t="str">
        <f aca="false">IF(OR(Q1315="Steel plate",Q1315="Concrete jacket"),"Steel plate or jacket",Q1315)</f>
        <v>Steel plate or jacket</v>
      </c>
      <c r="S1315" s="5" t="str">
        <f aca="false">IF(O1315&lt;='Tree rules'!$C$4,IF(N1315&lt;='Tree rules'!$C$5,IF(P1315&lt;='Tree rules'!$C$6,"Monitor","Polymer laminate"),IF(P1315&lt;='Tree rules'!$C$7,"Seal cracks","Polymer laminate")),IF(O1315&lt;='Tree rules'!$C$8,IF(M1315&lt;='Tree rules'!$C$9,"Steel plate or jacket","Polymer laminate"),IF(L1315&lt;='Tree rules'!$C$10,"Steel plate or jacket","Polymer laminate")))</f>
        <v>Steel plate or jacket</v>
      </c>
      <c r="T1315" s="5" t="str">
        <f aca="false">IF(S1315=R1315,"Yes","No")</f>
        <v>Yes</v>
      </c>
    </row>
    <row r="1316" customFormat="false" ht="15" hidden="false" customHeight="false" outlineLevel="0" collapsed="false">
      <c r="A1316" s="15" t="n">
        <v>1868</v>
      </c>
      <c r="B1316" s="16" t="n">
        <v>5.90356932894392</v>
      </c>
      <c r="C1316" s="15" t="n">
        <v>300</v>
      </c>
      <c r="D1316" s="15" t="n">
        <v>525</v>
      </c>
      <c r="E1316" s="15" t="n">
        <v>25</v>
      </c>
      <c r="F1316" s="16" t="n">
        <v>0.839507013902909</v>
      </c>
      <c r="G1316" s="17" t="s">
        <v>91</v>
      </c>
      <c r="H1316" s="18" t="n">
        <v>0.2</v>
      </c>
      <c r="I1316" s="18" t="n">
        <v>1</v>
      </c>
      <c r="J1316" s="19" t="n">
        <v>0.911009878227819</v>
      </c>
      <c r="K1316" s="19" t="n">
        <v>0.419858813285848</v>
      </c>
      <c r="L1316" s="16" t="n">
        <v>12.3247793923673</v>
      </c>
      <c r="M1316" s="19" t="n">
        <v>0.922052851572442</v>
      </c>
      <c r="N1316" s="19" t="n">
        <v>0.79114194929612</v>
      </c>
      <c r="O1316" s="19" t="n">
        <v>0.911009878227819</v>
      </c>
      <c r="P1316" s="19" t="n">
        <v>0.422238672873003</v>
      </c>
      <c r="Q1316" s="17" t="s">
        <v>29</v>
      </c>
      <c r="R1316" s="5" t="str">
        <f aca="false">IF(OR(Q1316="Steel plate",Q1316="Concrete jacket"),"Steel plate or jacket",Q1316)</f>
        <v>Monitor</v>
      </c>
      <c r="S1316" s="5" t="str">
        <f aca="false">IF(O1316&lt;='Tree rules'!$C$4,IF(N1316&lt;='Tree rules'!$C$5,IF(P1316&lt;='Tree rules'!$C$6,"Monitor","Polymer laminate"),IF(P1316&lt;='Tree rules'!$C$7,"Seal cracks","Polymer laminate")),IF(O1316&lt;='Tree rules'!$C$8,IF(M1316&lt;='Tree rules'!$C$9,"Steel plate or jacket","Polymer laminate"),IF(L1316&lt;='Tree rules'!$C$10,"Steel plate or jacket","Polymer laminate")))</f>
        <v>Monitor</v>
      </c>
      <c r="T1316" s="5" t="str">
        <f aca="false">IF(S1316=R1316,"Yes","No")</f>
        <v>Yes</v>
      </c>
    </row>
    <row r="1317" customFormat="false" ht="15" hidden="false" customHeight="false" outlineLevel="0" collapsed="false">
      <c r="A1317" s="15" t="n">
        <v>1871</v>
      </c>
      <c r="B1317" s="16" t="n">
        <v>7.57173927045809</v>
      </c>
      <c r="C1317" s="15" t="n">
        <v>300</v>
      </c>
      <c r="D1317" s="15" t="n">
        <v>625</v>
      </c>
      <c r="E1317" s="15" t="n">
        <v>25</v>
      </c>
      <c r="F1317" s="16" t="n">
        <v>0.578762031749415</v>
      </c>
      <c r="G1317" s="17" t="s">
        <v>89</v>
      </c>
      <c r="H1317" s="18" t="n">
        <v>0.3</v>
      </c>
      <c r="I1317" s="18" t="n">
        <v>1</v>
      </c>
      <c r="J1317" s="19" t="n">
        <v>0.889553817176792</v>
      </c>
      <c r="K1317" s="19" t="n">
        <v>0.41450384565517</v>
      </c>
      <c r="L1317" s="16" t="n">
        <v>13.0772698971642</v>
      </c>
      <c r="M1317" s="19" t="n">
        <v>0.756895254604731</v>
      </c>
      <c r="N1317" s="19" t="n">
        <v>0.536544921523596</v>
      </c>
      <c r="O1317" s="19" t="n">
        <v>0.889553817176792</v>
      </c>
      <c r="P1317" s="19" t="n">
        <v>0.405885824663108</v>
      </c>
      <c r="Q1317" s="17" t="s">
        <v>29</v>
      </c>
      <c r="R1317" s="5" t="str">
        <f aca="false">IF(OR(Q1317="Steel plate",Q1317="Concrete jacket"),"Steel plate or jacket",Q1317)</f>
        <v>Monitor</v>
      </c>
      <c r="S1317" s="5" t="str">
        <f aca="false">IF(O1317&lt;='Tree rules'!$C$4,IF(N1317&lt;='Tree rules'!$C$5,IF(P1317&lt;='Tree rules'!$C$6,"Monitor","Polymer laminate"),IF(P1317&lt;='Tree rules'!$C$7,"Seal cracks","Polymer laminate")),IF(O1317&lt;='Tree rules'!$C$8,IF(M1317&lt;='Tree rules'!$C$9,"Steel plate or jacket","Polymer laminate"),IF(L1317&lt;='Tree rules'!$C$10,"Steel plate or jacket","Polymer laminate")))</f>
        <v>Monitor</v>
      </c>
      <c r="T1317" s="5" t="str">
        <f aca="false">IF(S1317=R1317,"Yes","No")</f>
        <v>Yes</v>
      </c>
    </row>
    <row r="1318" customFormat="false" ht="15" hidden="false" customHeight="false" outlineLevel="0" collapsed="false">
      <c r="A1318" s="15" t="n">
        <v>1872</v>
      </c>
      <c r="B1318" s="16" t="n">
        <v>3.97926189496141</v>
      </c>
      <c r="C1318" s="15" t="n">
        <v>300</v>
      </c>
      <c r="D1318" s="15" t="n">
        <v>325</v>
      </c>
      <c r="E1318" s="15" t="n">
        <v>30</v>
      </c>
      <c r="F1318" s="16" t="n">
        <v>0.761598219052071</v>
      </c>
      <c r="G1318" s="17" t="s">
        <v>90</v>
      </c>
      <c r="H1318" s="18" t="n">
        <v>0.1</v>
      </c>
      <c r="I1318" s="18" t="n">
        <v>1</v>
      </c>
      <c r="J1318" s="19" t="n">
        <v>0.934441783152008</v>
      </c>
      <c r="K1318" s="19" t="n">
        <v>0.465409709293138</v>
      </c>
      <c r="L1318" s="16" t="n">
        <v>15.0729617233387</v>
      </c>
      <c r="M1318" s="19" t="n">
        <v>0.950946818573282</v>
      </c>
      <c r="N1318" s="19" t="n">
        <v>2.6559874102558</v>
      </c>
      <c r="O1318" s="19" t="n">
        <v>0.934441783152008</v>
      </c>
      <c r="P1318" s="19" t="n">
        <v>0.342166833415969</v>
      </c>
      <c r="Q1318" s="17" t="s">
        <v>30</v>
      </c>
      <c r="R1318" s="5" t="str">
        <f aca="false">IF(OR(Q1318="Steel plate",Q1318="Concrete jacket"),"Steel plate or jacket",Q1318)</f>
        <v>Seal cracks</v>
      </c>
      <c r="S1318" s="5" t="str">
        <f aca="false">IF(O1318&lt;='Tree rules'!$C$4,IF(N1318&lt;='Tree rules'!$C$5,IF(P1318&lt;='Tree rules'!$C$6,"Monitor","Polymer laminate"),IF(P1318&lt;='Tree rules'!$C$7,"Seal cracks","Polymer laminate")),IF(O1318&lt;='Tree rules'!$C$8,IF(M1318&lt;='Tree rules'!$C$9,"Steel plate or jacket","Polymer laminate"),IF(L1318&lt;='Tree rules'!$C$10,"Steel plate or jacket","Polymer laminate")))</f>
        <v>Seal cracks</v>
      </c>
      <c r="T1318" s="5" t="str">
        <f aca="false">IF(S1318=R1318,"Yes","No")</f>
        <v>Yes</v>
      </c>
    </row>
    <row r="1319" customFormat="false" ht="15" hidden="false" customHeight="false" outlineLevel="0" collapsed="false">
      <c r="A1319" s="15" t="n">
        <v>1873</v>
      </c>
      <c r="B1319" s="16" t="n">
        <v>4.03584010361658</v>
      </c>
      <c r="C1319" s="15" t="n">
        <v>300</v>
      </c>
      <c r="D1319" s="15" t="n">
        <v>325</v>
      </c>
      <c r="E1319" s="15" t="n">
        <v>20</v>
      </c>
      <c r="F1319" s="16" t="n">
        <v>0.72065207824282</v>
      </c>
      <c r="G1319" s="17" t="s">
        <v>91</v>
      </c>
      <c r="H1319" s="18" t="n">
        <v>0.2</v>
      </c>
      <c r="I1319" s="18" t="n">
        <v>2</v>
      </c>
      <c r="J1319" s="19" t="n">
        <v>0.874322956630158</v>
      </c>
      <c r="K1319" s="19" t="n">
        <v>0.468889175344436</v>
      </c>
      <c r="L1319" s="16" t="n">
        <v>14.4653767154716</v>
      </c>
      <c r="M1319" s="19" t="n">
        <v>0.756163131139519</v>
      </c>
      <c r="N1319" s="19" t="n">
        <v>1.62958839796094</v>
      </c>
      <c r="O1319" s="19" t="n">
        <v>1.33868534314129</v>
      </c>
      <c r="P1319" s="19" t="n">
        <v>0.604654745949476</v>
      </c>
      <c r="Q1319" s="17" t="s">
        <v>31</v>
      </c>
      <c r="R1319" s="5" t="str">
        <f aca="false">IF(OR(Q1319="Steel plate",Q1319="Concrete jacket"),"Steel plate or jacket",Q1319)</f>
        <v>Polymer laminate</v>
      </c>
      <c r="S1319" s="5" t="str">
        <f aca="false">IF(O1319&lt;='Tree rules'!$C$4,IF(N1319&lt;='Tree rules'!$C$5,IF(P1319&lt;='Tree rules'!$C$6,"Monitor","Polymer laminate"),IF(P1319&lt;='Tree rules'!$C$7,"Seal cracks","Polymer laminate")),IF(O1319&lt;='Tree rules'!$C$8,IF(M1319&lt;='Tree rules'!$C$9,"Steel plate or jacket","Polymer laminate"),IF(L1319&lt;='Tree rules'!$C$10,"Steel plate or jacket","Polymer laminate")))</f>
        <v>Polymer laminate</v>
      </c>
      <c r="T1319" s="5" t="str">
        <f aca="false">IF(S1319=R1319,"Yes","No")</f>
        <v>Yes</v>
      </c>
    </row>
    <row r="1320" customFormat="false" ht="15" hidden="false" customHeight="false" outlineLevel="0" collapsed="false">
      <c r="A1320" s="15" t="n">
        <v>1874</v>
      </c>
      <c r="B1320" s="16" t="n">
        <v>5.95791950908353</v>
      </c>
      <c r="C1320" s="15" t="n">
        <v>230</v>
      </c>
      <c r="D1320" s="15" t="n">
        <v>500</v>
      </c>
      <c r="E1320" s="15" t="n">
        <v>25</v>
      </c>
      <c r="F1320" s="16" t="n">
        <v>0.577653504586516</v>
      </c>
      <c r="G1320" s="17" t="s">
        <v>89</v>
      </c>
      <c r="H1320" s="18" t="n">
        <v>0.3</v>
      </c>
      <c r="I1320" s="18" t="n">
        <v>1.5</v>
      </c>
      <c r="J1320" s="19" t="n">
        <v>0.860454618845686</v>
      </c>
      <c r="K1320" s="19" t="n">
        <v>0.622070480270407</v>
      </c>
      <c r="L1320" s="16" t="n">
        <v>13.1231707248536</v>
      </c>
      <c r="M1320" s="19" t="n">
        <v>0.433072880016531</v>
      </c>
      <c r="N1320" s="19" t="n">
        <v>0.75028315652794</v>
      </c>
      <c r="O1320" s="19" t="n">
        <v>1.02305021927042</v>
      </c>
      <c r="P1320" s="19" t="n">
        <v>0.789312813188842</v>
      </c>
      <c r="Q1320" s="17" t="s">
        <v>31</v>
      </c>
      <c r="R1320" s="5" t="str">
        <f aca="false">IF(OR(Q1320="Steel plate",Q1320="Concrete jacket"),"Steel plate or jacket",Q1320)</f>
        <v>Polymer laminate</v>
      </c>
      <c r="S1320" s="5" t="str">
        <f aca="false">IF(O1320&lt;='Tree rules'!$C$4,IF(N1320&lt;='Tree rules'!$C$5,IF(P1320&lt;='Tree rules'!$C$6,"Monitor","Polymer laminate"),IF(P1320&lt;='Tree rules'!$C$7,"Seal cracks","Polymer laminate")),IF(O1320&lt;='Tree rules'!$C$8,IF(M1320&lt;='Tree rules'!$C$9,"Steel plate or jacket","Polymer laminate"),IF(L1320&lt;='Tree rules'!$C$10,"Steel plate or jacket","Polymer laminate")))</f>
        <v>Polymer laminate</v>
      </c>
      <c r="T1320" s="5" t="str">
        <f aca="false">IF(S1320=R1320,"Yes","No")</f>
        <v>Yes</v>
      </c>
    </row>
    <row r="1321" customFormat="false" ht="15" hidden="false" customHeight="false" outlineLevel="0" collapsed="false">
      <c r="A1321" s="15" t="n">
        <v>1875</v>
      </c>
      <c r="B1321" s="16" t="n">
        <v>6.70579248308714</v>
      </c>
      <c r="C1321" s="15" t="n">
        <v>230</v>
      </c>
      <c r="D1321" s="15" t="n">
        <v>550</v>
      </c>
      <c r="E1321" s="15" t="n">
        <v>20</v>
      </c>
      <c r="F1321" s="16" t="n">
        <v>0.560948603444298</v>
      </c>
      <c r="G1321" s="17" t="s">
        <v>90</v>
      </c>
      <c r="H1321" s="18" t="n">
        <v>0.1</v>
      </c>
      <c r="I1321" s="18" t="n">
        <v>1</v>
      </c>
      <c r="J1321" s="19" t="n">
        <v>0.959299325356399</v>
      </c>
      <c r="K1321" s="19" t="n">
        <v>0.592397513394242</v>
      </c>
      <c r="L1321" s="16" t="n">
        <v>13.7695944211235</v>
      </c>
      <c r="M1321" s="19" t="n">
        <v>0.489915639519668</v>
      </c>
      <c r="N1321" s="19" t="n">
        <v>2.95365048773206</v>
      </c>
      <c r="O1321" s="19" t="n">
        <v>0.959299325356399</v>
      </c>
      <c r="P1321" s="19" t="n">
        <v>0.723412059794305</v>
      </c>
      <c r="Q1321" s="17" t="s">
        <v>30</v>
      </c>
      <c r="R1321" s="5" t="str">
        <f aca="false">IF(OR(Q1321="Steel plate",Q1321="Concrete jacket"),"Steel plate or jacket",Q1321)</f>
        <v>Seal cracks</v>
      </c>
      <c r="S1321" s="5" t="str">
        <f aca="false">IF(O1321&lt;='Tree rules'!$C$4,IF(N1321&lt;='Tree rules'!$C$5,IF(P1321&lt;='Tree rules'!$C$6,"Monitor","Polymer laminate"),IF(P1321&lt;='Tree rules'!$C$7,"Seal cracks","Polymer laminate")),IF(O1321&lt;='Tree rules'!$C$8,IF(M1321&lt;='Tree rules'!$C$9,"Steel plate or jacket","Polymer laminate"),IF(L1321&lt;='Tree rules'!$C$10,"Steel plate or jacket","Polymer laminate")))</f>
        <v>Seal cracks</v>
      </c>
      <c r="T1321" s="5" t="str">
        <f aca="false">IF(S1321=R1321,"Yes","No")</f>
        <v>Yes</v>
      </c>
    </row>
    <row r="1322" customFormat="false" ht="15" hidden="false" customHeight="false" outlineLevel="0" collapsed="false">
      <c r="A1322" s="15" t="n">
        <v>1876</v>
      </c>
      <c r="B1322" s="16" t="n">
        <v>3.22892087501401</v>
      </c>
      <c r="C1322" s="15" t="n">
        <v>300</v>
      </c>
      <c r="D1322" s="15" t="n">
        <v>300</v>
      </c>
      <c r="E1322" s="15" t="n">
        <v>30</v>
      </c>
      <c r="F1322" s="16" t="n">
        <v>0.736310778185108</v>
      </c>
      <c r="G1322" s="17" t="s">
        <v>89</v>
      </c>
      <c r="H1322" s="18" t="n">
        <v>0.3</v>
      </c>
      <c r="I1322" s="18" t="n">
        <v>1.5</v>
      </c>
      <c r="J1322" s="19" t="n">
        <v>0.920093234884546</v>
      </c>
      <c r="K1322" s="19" t="n">
        <v>0.518091940368489</v>
      </c>
      <c r="L1322" s="16" t="n">
        <v>12.6129721680235</v>
      </c>
      <c r="M1322" s="19" t="n">
        <v>0.333311030722239</v>
      </c>
      <c r="N1322" s="19" t="n">
        <v>0.839653007047129</v>
      </c>
      <c r="O1322" s="19" t="n">
        <v>1.14179340763619</v>
      </c>
      <c r="P1322" s="19" t="n">
        <v>0.944240397942575</v>
      </c>
      <c r="Q1322" s="17" t="s">
        <v>31</v>
      </c>
      <c r="R1322" s="5" t="str">
        <f aca="false">IF(OR(Q1322="Steel plate",Q1322="Concrete jacket"),"Steel plate or jacket",Q1322)</f>
        <v>Polymer laminate</v>
      </c>
      <c r="S1322" s="5" t="str">
        <f aca="false">IF(O1322&lt;='Tree rules'!$C$4,IF(N1322&lt;='Tree rules'!$C$5,IF(P1322&lt;='Tree rules'!$C$6,"Monitor","Polymer laminate"),IF(P1322&lt;='Tree rules'!$C$7,"Seal cracks","Polymer laminate")),IF(O1322&lt;='Tree rules'!$C$8,IF(M1322&lt;='Tree rules'!$C$9,"Steel plate or jacket","Polymer laminate"),IF(L1322&lt;='Tree rules'!$C$10,"Steel plate or jacket","Polymer laminate")))</f>
        <v>Polymer laminate</v>
      </c>
      <c r="T1322" s="5" t="str">
        <f aca="false">IF(S1322=R1322,"Yes","No")</f>
        <v>Yes</v>
      </c>
    </row>
    <row r="1323" customFormat="false" ht="15" hidden="false" customHeight="false" outlineLevel="0" collapsed="false">
      <c r="A1323" s="15" t="n">
        <v>1877</v>
      </c>
      <c r="B1323" s="16" t="n">
        <v>6.11739058620807</v>
      </c>
      <c r="C1323" s="15" t="n">
        <v>230</v>
      </c>
      <c r="D1323" s="15" t="n">
        <v>500</v>
      </c>
      <c r="E1323" s="15" t="n">
        <v>25</v>
      </c>
      <c r="F1323" s="16" t="n">
        <v>0.770204672782022</v>
      </c>
      <c r="G1323" s="17" t="s">
        <v>89</v>
      </c>
      <c r="H1323" s="18" t="n">
        <v>0.3</v>
      </c>
      <c r="I1323" s="18" t="n">
        <v>1.5</v>
      </c>
      <c r="J1323" s="19" t="n">
        <v>0.865115949460543</v>
      </c>
      <c r="K1323" s="19" t="n">
        <v>0.502516416241463</v>
      </c>
      <c r="L1323" s="16" t="n">
        <v>13.4744286039825</v>
      </c>
      <c r="M1323" s="19" t="n">
        <v>0.927352629099315</v>
      </c>
      <c r="N1323" s="19" t="n">
        <v>0.656910473662639</v>
      </c>
      <c r="O1323" s="19" t="n">
        <v>1.08030644091269</v>
      </c>
      <c r="P1323" s="19" t="n">
        <v>0.48488758268973</v>
      </c>
      <c r="Q1323" s="17" t="s">
        <v>31</v>
      </c>
      <c r="R1323" s="5" t="str">
        <f aca="false">IF(OR(Q1323="Steel plate",Q1323="Concrete jacket"),"Steel plate or jacket",Q1323)</f>
        <v>Polymer laminate</v>
      </c>
      <c r="S1323" s="5" t="str">
        <f aca="false">IF(O1323&lt;='Tree rules'!$C$4,IF(N1323&lt;='Tree rules'!$C$5,IF(P1323&lt;='Tree rules'!$C$6,"Monitor","Polymer laminate"),IF(P1323&lt;='Tree rules'!$C$7,"Seal cracks","Polymer laminate")),IF(O1323&lt;='Tree rules'!$C$8,IF(M1323&lt;='Tree rules'!$C$9,"Steel plate or jacket","Polymer laminate"),IF(L1323&lt;='Tree rules'!$C$10,"Steel plate or jacket","Polymer laminate")))</f>
        <v>Polymer laminate</v>
      </c>
      <c r="T1323" s="5" t="str">
        <f aca="false">IF(S1323=R1323,"Yes","No")</f>
        <v>Yes</v>
      </c>
    </row>
    <row r="1324" customFormat="false" ht="15" hidden="false" customHeight="false" outlineLevel="0" collapsed="false">
      <c r="A1324" s="15" t="n">
        <v>1878</v>
      </c>
      <c r="B1324" s="16" t="n">
        <v>5.21452669952275</v>
      </c>
      <c r="C1324" s="15" t="n">
        <v>230</v>
      </c>
      <c r="D1324" s="15" t="n">
        <v>475</v>
      </c>
      <c r="E1324" s="15" t="n">
        <v>25</v>
      </c>
      <c r="F1324" s="16" t="n">
        <v>0.639770421258486</v>
      </c>
      <c r="G1324" s="17" t="s">
        <v>91</v>
      </c>
      <c r="H1324" s="18" t="n">
        <v>0.2</v>
      </c>
      <c r="I1324" s="18" t="n">
        <v>1</v>
      </c>
      <c r="J1324" s="19" t="n">
        <v>0.957359091808683</v>
      </c>
      <c r="K1324" s="19" t="n">
        <v>0.55019826197639</v>
      </c>
      <c r="L1324" s="16" t="n">
        <v>12.2120063220673</v>
      </c>
      <c r="M1324" s="19" t="n">
        <v>0.759004171925783</v>
      </c>
      <c r="N1324" s="19" t="n">
        <v>1.28233981382964</v>
      </c>
      <c r="O1324" s="19" t="n">
        <v>0.957359091808683</v>
      </c>
      <c r="P1324" s="19" t="n">
        <v>0.445741058994533</v>
      </c>
      <c r="Q1324" s="17" t="s">
        <v>30</v>
      </c>
      <c r="R1324" s="5" t="str">
        <f aca="false">IF(OR(Q1324="Steel plate",Q1324="Concrete jacket"),"Steel plate or jacket",Q1324)</f>
        <v>Seal cracks</v>
      </c>
      <c r="S1324" s="5" t="str">
        <f aca="false">IF(O1324&lt;='Tree rules'!$C$4,IF(N1324&lt;='Tree rules'!$C$5,IF(P1324&lt;='Tree rules'!$C$6,"Monitor","Polymer laminate"),IF(P1324&lt;='Tree rules'!$C$7,"Seal cracks","Polymer laminate")),IF(O1324&lt;='Tree rules'!$C$8,IF(M1324&lt;='Tree rules'!$C$9,"Steel plate or jacket","Polymer laminate"),IF(L1324&lt;='Tree rules'!$C$10,"Steel plate or jacket","Polymer laminate")))</f>
        <v>Seal cracks</v>
      </c>
      <c r="T1324" s="5" t="str">
        <f aca="false">IF(S1324=R1324,"Yes","No")</f>
        <v>Yes</v>
      </c>
    </row>
    <row r="1325" customFormat="false" ht="15" hidden="false" customHeight="false" outlineLevel="0" collapsed="false">
      <c r="A1325" s="15" t="n">
        <v>1881</v>
      </c>
      <c r="B1325" s="16" t="n">
        <v>7.83281659325719</v>
      </c>
      <c r="C1325" s="15" t="n">
        <v>300</v>
      </c>
      <c r="D1325" s="15" t="n">
        <v>775</v>
      </c>
      <c r="E1325" s="15" t="n">
        <v>30</v>
      </c>
      <c r="F1325" s="16" t="n">
        <v>0.576174718677633</v>
      </c>
      <c r="G1325" s="17" t="s">
        <v>91</v>
      </c>
      <c r="H1325" s="18" t="n">
        <v>0.2</v>
      </c>
      <c r="I1325" s="18" t="n">
        <v>1</v>
      </c>
      <c r="J1325" s="19" t="n">
        <v>0.977748442672865</v>
      </c>
      <c r="K1325" s="19" t="n">
        <v>0.469306521486285</v>
      </c>
      <c r="L1325" s="16" t="n">
        <v>10.7741631269012</v>
      </c>
      <c r="M1325" s="19" t="n">
        <v>0.457052572483548</v>
      </c>
      <c r="N1325" s="19" t="n">
        <v>1.03956409405912</v>
      </c>
      <c r="O1325" s="19" t="n">
        <v>0.977748442672865</v>
      </c>
      <c r="P1325" s="19" t="n">
        <v>0.582446314181521</v>
      </c>
      <c r="Q1325" s="17" t="s">
        <v>30</v>
      </c>
      <c r="R1325" s="5" t="str">
        <f aca="false">IF(OR(Q1325="Steel plate",Q1325="Concrete jacket"),"Steel plate or jacket",Q1325)</f>
        <v>Seal cracks</v>
      </c>
      <c r="S1325" s="5" t="str">
        <f aca="false">IF(O1325&lt;='Tree rules'!$C$4,IF(N1325&lt;='Tree rules'!$C$5,IF(P1325&lt;='Tree rules'!$C$6,"Monitor","Polymer laminate"),IF(P1325&lt;='Tree rules'!$C$7,"Seal cracks","Polymer laminate")),IF(O1325&lt;='Tree rules'!$C$8,IF(M1325&lt;='Tree rules'!$C$9,"Steel plate or jacket","Polymer laminate"),IF(L1325&lt;='Tree rules'!$C$10,"Steel plate or jacket","Polymer laminate")))</f>
        <v>Seal cracks</v>
      </c>
      <c r="T1325" s="5" t="str">
        <f aca="false">IF(S1325=R1325,"Yes","No")</f>
        <v>Yes</v>
      </c>
    </row>
    <row r="1326" customFormat="false" ht="15" hidden="false" customHeight="false" outlineLevel="0" collapsed="false">
      <c r="A1326" s="15" t="n">
        <v>1883</v>
      </c>
      <c r="B1326" s="16" t="n">
        <v>6.79255914721507</v>
      </c>
      <c r="C1326" s="15" t="n">
        <v>300</v>
      </c>
      <c r="D1326" s="15" t="n">
        <v>550</v>
      </c>
      <c r="E1326" s="15" t="n">
        <v>25</v>
      </c>
      <c r="F1326" s="16" t="n">
        <v>0.625815269639401</v>
      </c>
      <c r="G1326" s="17" t="s">
        <v>91</v>
      </c>
      <c r="H1326" s="18" t="n">
        <v>0.2</v>
      </c>
      <c r="I1326" s="18" t="n">
        <v>1</v>
      </c>
      <c r="J1326" s="19" t="n">
        <v>0.946400778757703</v>
      </c>
      <c r="K1326" s="19" t="n">
        <v>0.418730243523556</v>
      </c>
      <c r="L1326" s="16" t="n">
        <v>13.5309943171615</v>
      </c>
      <c r="M1326" s="19" t="n">
        <v>0.604438936555525</v>
      </c>
      <c r="N1326" s="19" t="n">
        <v>1.14796397020774</v>
      </c>
      <c r="O1326" s="19" t="n">
        <v>0.946400778757703</v>
      </c>
      <c r="P1326" s="19" t="n">
        <v>0.556330539305661</v>
      </c>
      <c r="Q1326" s="17" t="s">
        <v>30</v>
      </c>
      <c r="R1326" s="5" t="str">
        <f aca="false">IF(OR(Q1326="Steel plate",Q1326="Concrete jacket"),"Steel plate or jacket",Q1326)</f>
        <v>Seal cracks</v>
      </c>
      <c r="S1326" s="5" t="str">
        <f aca="false">IF(O1326&lt;='Tree rules'!$C$4,IF(N1326&lt;='Tree rules'!$C$5,IF(P1326&lt;='Tree rules'!$C$6,"Monitor","Polymer laminate"),IF(P1326&lt;='Tree rules'!$C$7,"Seal cracks","Polymer laminate")),IF(O1326&lt;='Tree rules'!$C$8,IF(M1326&lt;='Tree rules'!$C$9,"Steel plate or jacket","Polymer laminate"),IF(L1326&lt;='Tree rules'!$C$10,"Steel plate or jacket","Polymer laminate")))</f>
        <v>Seal cracks</v>
      </c>
      <c r="T1326" s="5" t="str">
        <f aca="false">IF(S1326=R1326,"Yes","No")</f>
        <v>Yes</v>
      </c>
    </row>
    <row r="1327" customFormat="false" ht="15" hidden="false" customHeight="false" outlineLevel="0" collapsed="false">
      <c r="A1327" s="15" t="n">
        <v>1885</v>
      </c>
      <c r="B1327" s="16" t="n">
        <v>7.56578128946133</v>
      </c>
      <c r="C1327" s="15" t="n">
        <v>300</v>
      </c>
      <c r="D1327" s="15" t="n">
        <v>700</v>
      </c>
      <c r="E1327" s="15" t="n">
        <v>30</v>
      </c>
      <c r="F1327" s="16" t="n">
        <v>0.642452485396686</v>
      </c>
      <c r="G1327" s="17" t="s">
        <v>89</v>
      </c>
      <c r="H1327" s="18" t="n">
        <v>0.3</v>
      </c>
      <c r="I1327" s="18" t="n">
        <v>1</v>
      </c>
      <c r="J1327" s="19" t="n">
        <v>0.910563614214654</v>
      </c>
      <c r="K1327" s="19" t="n">
        <v>0.44907566717775</v>
      </c>
      <c r="L1327" s="16" t="n">
        <v>11.6039590329161</v>
      </c>
      <c r="M1327" s="19" t="n">
        <v>0.939770981252676</v>
      </c>
      <c r="N1327" s="19" t="n">
        <v>0.573140583660827</v>
      </c>
      <c r="O1327" s="19" t="n">
        <v>0.910563614214654</v>
      </c>
      <c r="P1327" s="19" t="n">
        <v>0.327451895930249</v>
      </c>
      <c r="Q1327" s="17" t="s">
        <v>29</v>
      </c>
      <c r="R1327" s="5" t="str">
        <f aca="false">IF(OR(Q1327="Steel plate",Q1327="Concrete jacket"),"Steel plate or jacket",Q1327)</f>
        <v>Monitor</v>
      </c>
      <c r="S1327" s="5" t="str">
        <f aca="false">IF(O1327&lt;='Tree rules'!$C$4,IF(N1327&lt;='Tree rules'!$C$5,IF(P1327&lt;='Tree rules'!$C$6,"Monitor","Polymer laminate"),IF(P1327&lt;='Tree rules'!$C$7,"Seal cracks","Polymer laminate")),IF(O1327&lt;='Tree rules'!$C$8,IF(M1327&lt;='Tree rules'!$C$9,"Steel plate or jacket","Polymer laminate"),IF(L1327&lt;='Tree rules'!$C$10,"Steel plate or jacket","Polymer laminate")))</f>
        <v>Monitor</v>
      </c>
      <c r="T1327" s="5" t="str">
        <f aca="false">IF(S1327=R1327,"Yes","No")</f>
        <v>Yes</v>
      </c>
    </row>
    <row r="1328" customFormat="false" ht="15" hidden="false" customHeight="false" outlineLevel="0" collapsed="false">
      <c r="A1328" s="15" t="n">
        <v>1887</v>
      </c>
      <c r="B1328" s="16" t="n">
        <v>6.06396367882013</v>
      </c>
      <c r="C1328" s="15" t="n">
        <v>300</v>
      </c>
      <c r="D1328" s="15" t="n">
        <v>525</v>
      </c>
      <c r="E1328" s="15" t="n">
        <v>30</v>
      </c>
      <c r="F1328" s="16" t="n">
        <v>0.658614812073332</v>
      </c>
      <c r="G1328" s="17" t="s">
        <v>89</v>
      </c>
      <c r="H1328" s="18" t="n">
        <v>0.3</v>
      </c>
      <c r="I1328" s="18" t="n">
        <v>1</v>
      </c>
      <c r="J1328" s="19" t="n">
        <v>0.987423711416586</v>
      </c>
      <c r="K1328" s="19" t="n">
        <v>0.42366478576247</v>
      </c>
      <c r="L1328" s="16" t="n">
        <v>12.7127121149269</v>
      </c>
      <c r="M1328" s="19" t="n">
        <v>0.933081777461095</v>
      </c>
      <c r="N1328" s="19" t="n">
        <v>0.751256285022183</v>
      </c>
      <c r="O1328" s="19" t="n">
        <v>0.987423711416586</v>
      </c>
      <c r="P1328" s="19" t="n">
        <v>0.360949355362685</v>
      </c>
      <c r="Q1328" s="17" t="s">
        <v>29</v>
      </c>
      <c r="R1328" s="5" t="str">
        <f aca="false">IF(OR(Q1328="Steel plate",Q1328="Concrete jacket"),"Steel plate or jacket",Q1328)</f>
        <v>Monitor</v>
      </c>
      <c r="S1328" s="5" t="str">
        <f aca="false">IF(O1328&lt;='Tree rules'!$C$4,IF(N1328&lt;='Tree rules'!$C$5,IF(P1328&lt;='Tree rules'!$C$6,"Monitor","Polymer laminate"),IF(P1328&lt;='Tree rules'!$C$7,"Seal cracks","Polymer laminate")),IF(O1328&lt;='Tree rules'!$C$8,IF(M1328&lt;='Tree rules'!$C$9,"Steel plate or jacket","Polymer laminate"),IF(L1328&lt;='Tree rules'!$C$10,"Steel plate or jacket","Polymer laminate")))</f>
        <v>Monitor</v>
      </c>
      <c r="T1328" s="5" t="str">
        <f aca="false">IF(S1328=R1328,"Yes","No")</f>
        <v>Yes</v>
      </c>
    </row>
    <row r="1329" customFormat="false" ht="15" hidden="false" customHeight="false" outlineLevel="0" collapsed="false">
      <c r="A1329" s="15" t="n">
        <v>1890</v>
      </c>
      <c r="B1329" s="16" t="n">
        <v>3.87902177767266</v>
      </c>
      <c r="C1329" s="15" t="n">
        <v>300</v>
      </c>
      <c r="D1329" s="15" t="n">
        <v>350</v>
      </c>
      <c r="E1329" s="15" t="n">
        <v>30</v>
      </c>
      <c r="F1329" s="16" t="n">
        <v>0.661387927071535</v>
      </c>
      <c r="G1329" s="17" t="s">
        <v>91</v>
      </c>
      <c r="H1329" s="18" t="n">
        <v>0.2</v>
      </c>
      <c r="I1329" s="18" t="n">
        <v>1</v>
      </c>
      <c r="J1329" s="19" t="n">
        <v>0.968637842519736</v>
      </c>
      <c r="K1329" s="19" t="n">
        <v>0.471871396752983</v>
      </c>
      <c r="L1329" s="16" t="n">
        <v>12.7599400581337</v>
      </c>
      <c r="M1329" s="19" t="n">
        <v>0.865620986428044</v>
      </c>
      <c r="N1329" s="19" t="n">
        <v>1.1296315723643</v>
      </c>
      <c r="O1329" s="19" t="n">
        <v>0.968637842519736</v>
      </c>
      <c r="P1329" s="19" t="n">
        <v>0.345869336454389</v>
      </c>
      <c r="Q1329" s="17" t="s">
        <v>30</v>
      </c>
      <c r="R1329" s="5" t="str">
        <f aca="false">IF(OR(Q1329="Steel plate",Q1329="Concrete jacket"),"Steel plate or jacket",Q1329)</f>
        <v>Seal cracks</v>
      </c>
      <c r="S1329" s="5" t="str">
        <f aca="false">IF(O1329&lt;='Tree rules'!$C$4,IF(N1329&lt;='Tree rules'!$C$5,IF(P1329&lt;='Tree rules'!$C$6,"Monitor","Polymer laminate"),IF(P1329&lt;='Tree rules'!$C$7,"Seal cracks","Polymer laminate")),IF(O1329&lt;='Tree rules'!$C$8,IF(M1329&lt;='Tree rules'!$C$9,"Steel plate or jacket","Polymer laminate"),IF(L1329&lt;='Tree rules'!$C$10,"Steel plate or jacket","Polymer laminate")))</f>
        <v>Seal cracks</v>
      </c>
      <c r="T1329" s="5" t="str">
        <f aca="false">IF(S1329=R1329,"Yes","No")</f>
        <v>Yes</v>
      </c>
    </row>
    <row r="1330" customFormat="false" ht="15" hidden="false" customHeight="false" outlineLevel="0" collapsed="false">
      <c r="A1330" s="15" t="n">
        <v>1892</v>
      </c>
      <c r="B1330" s="16" t="n">
        <v>7.05618487803878</v>
      </c>
      <c r="C1330" s="15" t="n">
        <v>230</v>
      </c>
      <c r="D1330" s="15" t="n">
        <v>625</v>
      </c>
      <c r="E1330" s="15" t="n">
        <v>30</v>
      </c>
      <c r="F1330" s="16" t="n">
        <v>0.603925598347216</v>
      </c>
      <c r="G1330" s="17" t="s">
        <v>91</v>
      </c>
      <c r="H1330" s="18" t="n">
        <v>0.2</v>
      </c>
      <c r="I1330" s="18" t="n">
        <v>1</v>
      </c>
      <c r="J1330" s="19" t="n">
        <v>0.974240100786699</v>
      </c>
      <c r="K1330" s="19" t="n">
        <v>0.555285097435951</v>
      </c>
      <c r="L1330" s="16" t="n">
        <v>12.1868478031758</v>
      </c>
      <c r="M1330" s="19" t="n">
        <v>0.718933942527454</v>
      </c>
      <c r="N1330" s="19" t="n">
        <v>0.89466272139841</v>
      </c>
      <c r="O1330" s="19" t="n">
        <v>0.974240100786699</v>
      </c>
      <c r="P1330" s="19" t="n">
        <v>0.465715523723731</v>
      </c>
      <c r="Q1330" s="17" t="s">
        <v>29</v>
      </c>
      <c r="R1330" s="5" t="str">
        <f aca="false">IF(OR(Q1330="Steel plate",Q1330="Concrete jacket"),"Steel plate or jacket",Q1330)</f>
        <v>Monitor</v>
      </c>
      <c r="S1330" s="5" t="str">
        <f aca="false">IF(O1330&lt;='Tree rules'!$C$4,IF(N1330&lt;='Tree rules'!$C$5,IF(P1330&lt;='Tree rules'!$C$6,"Monitor","Polymer laminate"),IF(P1330&lt;='Tree rules'!$C$7,"Seal cracks","Polymer laminate")),IF(O1330&lt;='Tree rules'!$C$8,IF(M1330&lt;='Tree rules'!$C$9,"Steel plate or jacket","Polymer laminate"),IF(L1330&lt;='Tree rules'!$C$10,"Steel plate or jacket","Polymer laminate")))</f>
        <v>Monitor</v>
      </c>
      <c r="T1330" s="5" t="str">
        <f aca="false">IF(S1330=R1330,"Yes","No")</f>
        <v>Yes</v>
      </c>
    </row>
    <row r="1331" customFormat="false" ht="15" hidden="false" customHeight="false" outlineLevel="0" collapsed="false">
      <c r="A1331" s="15" t="n">
        <v>1893</v>
      </c>
      <c r="B1331" s="16" t="n">
        <v>3.75024391254939</v>
      </c>
      <c r="C1331" s="15" t="n">
        <v>230</v>
      </c>
      <c r="D1331" s="15" t="n">
        <v>300</v>
      </c>
      <c r="E1331" s="15" t="n">
        <v>20</v>
      </c>
      <c r="F1331" s="16" t="n">
        <v>0.576243217710084</v>
      </c>
      <c r="G1331" s="17" t="s">
        <v>89</v>
      </c>
      <c r="H1331" s="18" t="n">
        <v>0.3</v>
      </c>
      <c r="I1331" s="18" t="n">
        <v>2</v>
      </c>
      <c r="J1331" s="19" t="n">
        <v>0.887550392956984</v>
      </c>
      <c r="K1331" s="19" t="n">
        <v>0.425505990639506</v>
      </c>
      <c r="L1331" s="16" t="n">
        <v>14.6493902833961</v>
      </c>
      <c r="M1331" s="19" t="n">
        <v>0.526437919609104</v>
      </c>
      <c r="N1331" s="19" t="n">
        <v>1.04422089688398</v>
      </c>
      <c r="O1331" s="19" t="n">
        <v>1.39744277671633</v>
      </c>
      <c r="P1331" s="19" t="n">
        <v>0.687612605083058</v>
      </c>
      <c r="Q1331" s="17" t="s">
        <v>31</v>
      </c>
      <c r="R1331" s="5" t="str">
        <f aca="false">IF(OR(Q1331="Steel plate",Q1331="Concrete jacket"),"Steel plate or jacket",Q1331)</f>
        <v>Polymer laminate</v>
      </c>
      <c r="S1331" s="5" t="str">
        <f aca="false">IF(O1331&lt;='Tree rules'!$C$4,IF(N1331&lt;='Tree rules'!$C$5,IF(P1331&lt;='Tree rules'!$C$6,"Monitor","Polymer laminate"),IF(P1331&lt;='Tree rules'!$C$7,"Seal cracks","Polymer laminate")),IF(O1331&lt;='Tree rules'!$C$8,IF(M1331&lt;='Tree rules'!$C$9,"Steel plate or jacket","Polymer laminate"),IF(L1331&lt;='Tree rules'!$C$10,"Steel plate or jacket","Polymer laminate")))</f>
        <v>Polymer laminate</v>
      </c>
      <c r="T1331" s="5" t="str">
        <f aca="false">IF(S1331=R1331,"Yes","No")</f>
        <v>Yes</v>
      </c>
    </row>
    <row r="1332" customFormat="false" ht="15" hidden="false" customHeight="false" outlineLevel="0" collapsed="false">
      <c r="A1332" s="15" t="n">
        <v>1897</v>
      </c>
      <c r="B1332" s="16" t="n">
        <v>6.84719948709886</v>
      </c>
      <c r="C1332" s="15" t="n">
        <v>300</v>
      </c>
      <c r="D1332" s="15" t="n">
        <v>625</v>
      </c>
      <c r="E1332" s="15" t="n">
        <v>25</v>
      </c>
      <c r="F1332" s="16" t="n">
        <v>0.544470130604817</v>
      </c>
      <c r="G1332" s="17" t="s">
        <v>89</v>
      </c>
      <c r="H1332" s="18" t="n">
        <v>0.3</v>
      </c>
      <c r="I1332" s="18" t="n">
        <v>2</v>
      </c>
      <c r="J1332" s="19" t="n">
        <v>0.968450373480963</v>
      </c>
      <c r="K1332" s="19" t="n">
        <v>0.424458277565271</v>
      </c>
      <c r="L1332" s="16" t="n">
        <v>11.866896858057</v>
      </c>
      <c r="M1332" s="19" t="n">
        <v>0.80485413996548</v>
      </c>
      <c r="N1332" s="19" t="n">
        <v>1.22429161646066</v>
      </c>
      <c r="O1332" s="19" t="n">
        <v>1.52583396952675</v>
      </c>
      <c r="P1332" s="19" t="n">
        <v>0.46487747677302</v>
      </c>
      <c r="Q1332" s="17" t="s">
        <v>92</v>
      </c>
      <c r="R1332" s="5" t="str">
        <f aca="false">IF(OR(Q1332="Steel plate",Q1332="Concrete jacket"),"Steel plate or jacket",Q1332)</f>
        <v>Steel plate or jacket</v>
      </c>
      <c r="S1332" s="5" t="str">
        <f aca="false">IF(O1332&lt;='Tree rules'!$C$4,IF(N1332&lt;='Tree rules'!$C$5,IF(P1332&lt;='Tree rules'!$C$6,"Monitor","Polymer laminate"),IF(P1332&lt;='Tree rules'!$C$7,"Seal cracks","Polymer laminate")),IF(O1332&lt;='Tree rules'!$C$8,IF(M1332&lt;='Tree rules'!$C$9,"Steel plate or jacket","Polymer laminate"),IF(L1332&lt;='Tree rules'!$C$10,"Steel plate or jacket","Polymer laminate")))</f>
        <v>Steel plate or jacket</v>
      </c>
      <c r="T1332" s="5" t="str">
        <f aca="false">IF(S1332=R1332,"Yes","No")</f>
        <v>Yes</v>
      </c>
    </row>
    <row r="1333" customFormat="false" ht="15" hidden="false" customHeight="false" outlineLevel="0" collapsed="false">
      <c r="A1333" s="15" t="n">
        <v>1899</v>
      </c>
      <c r="B1333" s="16" t="n">
        <v>5.26140049748587</v>
      </c>
      <c r="C1333" s="15" t="n">
        <v>300</v>
      </c>
      <c r="D1333" s="15" t="n">
        <v>475</v>
      </c>
      <c r="E1333" s="15" t="n">
        <v>30</v>
      </c>
      <c r="F1333" s="16" t="n">
        <v>0.762522488735387</v>
      </c>
      <c r="G1333" s="17" t="s">
        <v>90</v>
      </c>
      <c r="H1333" s="18" t="n">
        <v>0.1</v>
      </c>
      <c r="I1333" s="18" t="n">
        <v>1</v>
      </c>
      <c r="J1333" s="19" t="n">
        <v>0.880198287732059</v>
      </c>
      <c r="K1333" s="19" t="n">
        <v>0.585786176001471</v>
      </c>
      <c r="L1333" s="16" t="n">
        <v>12.7703895570045</v>
      </c>
      <c r="M1333" s="19" t="n">
        <v>0.305902156969061</v>
      </c>
      <c r="N1333" s="19" t="n">
        <v>2.77722625207937</v>
      </c>
      <c r="O1333" s="19" t="n">
        <v>0.880198287732059</v>
      </c>
      <c r="P1333" s="19" t="n">
        <v>1.01708904569837</v>
      </c>
      <c r="Q1333" s="17" t="s">
        <v>31</v>
      </c>
      <c r="R1333" s="5" t="str">
        <f aca="false">IF(OR(Q1333="Steel plate",Q1333="Concrete jacket"),"Steel plate or jacket",Q1333)</f>
        <v>Polymer laminate</v>
      </c>
      <c r="S1333" s="5" t="str">
        <f aca="false">IF(O1333&lt;='Tree rules'!$C$4,IF(N1333&lt;='Tree rules'!$C$5,IF(P1333&lt;='Tree rules'!$C$6,"Monitor","Polymer laminate"),IF(P1333&lt;='Tree rules'!$C$7,"Seal cracks","Polymer laminate")),IF(O1333&lt;='Tree rules'!$C$8,IF(M1333&lt;='Tree rules'!$C$9,"Steel plate or jacket","Polymer laminate"),IF(L1333&lt;='Tree rules'!$C$10,"Steel plate or jacket","Polymer laminate")))</f>
        <v>Polymer laminate</v>
      </c>
      <c r="T1333" s="5" t="str">
        <f aca="false">IF(S1333=R1333,"Yes","No")</f>
        <v>Yes</v>
      </c>
    </row>
    <row r="1334" customFormat="false" ht="15" hidden="false" customHeight="false" outlineLevel="0" collapsed="false">
      <c r="A1334" s="15" t="n">
        <v>1901</v>
      </c>
      <c r="B1334" s="16" t="n">
        <v>3.68102390181988</v>
      </c>
      <c r="C1334" s="15" t="n">
        <v>300</v>
      </c>
      <c r="D1334" s="15" t="n">
        <v>325</v>
      </c>
      <c r="E1334" s="15" t="n">
        <v>20</v>
      </c>
      <c r="F1334" s="16" t="n">
        <v>0.67080270183412</v>
      </c>
      <c r="G1334" s="17" t="s">
        <v>91</v>
      </c>
      <c r="H1334" s="18" t="n">
        <v>0.2</v>
      </c>
      <c r="I1334" s="18" t="n">
        <v>2</v>
      </c>
      <c r="J1334" s="19" t="n">
        <v>0.892319127486901</v>
      </c>
      <c r="K1334" s="19" t="n">
        <v>0.467571247786239</v>
      </c>
      <c r="L1334" s="16" t="n">
        <v>13.0997291879711</v>
      </c>
      <c r="M1334" s="19" t="n">
        <v>0.937186819785553</v>
      </c>
      <c r="N1334" s="19" t="n">
        <v>1.32580344177195</v>
      </c>
      <c r="O1334" s="19" t="n">
        <v>1.36741548711122</v>
      </c>
      <c r="P1334" s="19" t="n">
        <v>0.440884622680783</v>
      </c>
      <c r="Q1334" s="17" t="s">
        <v>31</v>
      </c>
      <c r="R1334" s="5" t="str">
        <f aca="false">IF(OR(Q1334="Steel plate",Q1334="Concrete jacket"),"Steel plate or jacket",Q1334)</f>
        <v>Polymer laminate</v>
      </c>
      <c r="S1334" s="5" t="str">
        <f aca="false">IF(O1334&lt;='Tree rules'!$C$4,IF(N1334&lt;='Tree rules'!$C$5,IF(P1334&lt;='Tree rules'!$C$6,"Monitor","Polymer laminate"),IF(P1334&lt;='Tree rules'!$C$7,"Seal cracks","Polymer laminate")),IF(O1334&lt;='Tree rules'!$C$8,IF(M1334&lt;='Tree rules'!$C$9,"Steel plate or jacket","Polymer laminate"),IF(L1334&lt;='Tree rules'!$C$10,"Steel plate or jacket","Polymer laminate")))</f>
        <v>Polymer laminate</v>
      </c>
      <c r="T1334" s="5" t="str">
        <f aca="false">IF(S1334=R1334,"Yes","No")</f>
        <v>Yes</v>
      </c>
    </row>
    <row r="1335" customFormat="false" ht="15" hidden="false" customHeight="false" outlineLevel="0" collapsed="false">
      <c r="A1335" s="15" t="n">
        <v>1904</v>
      </c>
      <c r="B1335" s="16" t="n">
        <v>3.87176849375641</v>
      </c>
      <c r="C1335" s="15" t="n">
        <v>300</v>
      </c>
      <c r="D1335" s="15" t="n">
        <v>325</v>
      </c>
      <c r="E1335" s="15" t="n">
        <v>25</v>
      </c>
      <c r="F1335" s="16" t="n">
        <v>0.761598219052071</v>
      </c>
      <c r="G1335" s="17" t="s">
        <v>90</v>
      </c>
      <c r="H1335" s="18" t="n">
        <v>0.1</v>
      </c>
      <c r="I1335" s="18" t="n">
        <v>1</v>
      </c>
      <c r="J1335" s="19" t="n">
        <v>0.960996839612972</v>
      </c>
      <c r="K1335" s="19" t="n">
        <v>0.414103695075148</v>
      </c>
      <c r="L1335" s="16" t="n">
        <v>14.6657897490773</v>
      </c>
      <c r="M1335" s="19" t="n">
        <v>0.507422296645687</v>
      </c>
      <c r="N1335" s="19" t="n">
        <v>2.99746942848151</v>
      </c>
      <c r="O1335" s="19" t="n">
        <v>0.960996839612972</v>
      </c>
      <c r="P1335" s="19" t="n">
        <v>0.601814432642845</v>
      </c>
      <c r="Q1335" s="17" t="s">
        <v>30</v>
      </c>
      <c r="R1335" s="5" t="str">
        <f aca="false">IF(OR(Q1335="Steel plate",Q1335="Concrete jacket"),"Steel plate or jacket",Q1335)</f>
        <v>Seal cracks</v>
      </c>
      <c r="S1335" s="5" t="str">
        <f aca="false">IF(O1335&lt;='Tree rules'!$C$4,IF(N1335&lt;='Tree rules'!$C$5,IF(P1335&lt;='Tree rules'!$C$6,"Monitor","Polymer laminate"),IF(P1335&lt;='Tree rules'!$C$7,"Seal cracks","Polymer laminate")),IF(O1335&lt;='Tree rules'!$C$8,IF(M1335&lt;='Tree rules'!$C$9,"Steel plate or jacket","Polymer laminate"),IF(L1335&lt;='Tree rules'!$C$10,"Steel plate or jacket","Polymer laminate")))</f>
        <v>Seal cracks</v>
      </c>
      <c r="T1335" s="5" t="str">
        <f aca="false">IF(S1335=R1335,"Yes","No")</f>
        <v>Yes</v>
      </c>
    </row>
    <row r="1336" customFormat="false" ht="15" hidden="false" customHeight="false" outlineLevel="0" collapsed="false">
      <c r="A1336" s="15" t="n">
        <v>1906</v>
      </c>
      <c r="B1336" s="16" t="n">
        <v>6.73273100289746</v>
      </c>
      <c r="C1336" s="15" t="n">
        <v>230</v>
      </c>
      <c r="D1336" s="15" t="n">
        <v>600</v>
      </c>
      <c r="E1336" s="15" t="n">
        <v>30</v>
      </c>
      <c r="F1336" s="16" t="n">
        <v>0.63117855856144</v>
      </c>
      <c r="G1336" s="17" t="s">
        <v>89</v>
      </c>
      <c r="H1336" s="18" t="n">
        <v>0.3</v>
      </c>
      <c r="I1336" s="18" t="n">
        <v>2</v>
      </c>
      <c r="J1336" s="19" t="n">
        <v>0.974921996262287</v>
      </c>
      <c r="K1336" s="19" t="n">
        <v>0.617823717194556</v>
      </c>
      <c r="L1336" s="16" t="n">
        <v>12.1529440485514</v>
      </c>
      <c r="M1336" s="19" t="n">
        <v>0.537141886016567</v>
      </c>
      <c r="N1336" s="19" t="n">
        <v>0.883050702804866</v>
      </c>
      <c r="O1336" s="19" t="n">
        <v>1.34751406081907</v>
      </c>
      <c r="P1336" s="19" t="n">
        <v>0.769366577706804</v>
      </c>
      <c r="Q1336" s="17" t="s">
        <v>31</v>
      </c>
      <c r="R1336" s="5" t="str">
        <f aca="false">IF(OR(Q1336="Steel plate",Q1336="Concrete jacket"),"Steel plate or jacket",Q1336)</f>
        <v>Polymer laminate</v>
      </c>
      <c r="S1336" s="5" t="str">
        <f aca="false">IF(O1336&lt;='Tree rules'!$C$4,IF(N1336&lt;='Tree rules'!$C$5,IF(P1336&lt;='Tree rules'!$C$6,"Monitor","Polymer laminate"),IF(P1336&lt;='Tree rules'!$C$7,"Seal cracks","Polymer laminate")),IF(O1336&lt;='Tree rules'!$C$8,IF(M1336&lt;='Tree rules'!$C$9,"Steel plate or jacket","Polymer laminate"),IF(L1336&lt;='Tree rules'!$C$10,"Steel plate or jacket","Polymer laminate")))</f>
        <v>Steel plate or jacket</v>
      </c>
      <c r="T1336" s="5" t="str">
        <f aca="false">IF(S1336=R1336,"Yes","No")</f>
        <v>No</v>
      </c>
    </row>
    <row r="1337" customFormat="false" ht="15" hidden="false" customHeight="false" outlineLevel="0" collapsed="false">
      <c r="A1337" s="15" t="n">
        <v>1907</v>
      </c>
      <c r="B1337" s="16" t="n">
        <v>6.77693536713398</v>
      </c>
      <c r="C1337" s="15" t="n">
        <v>300</v>
      </c>
      <c r="D1337" s="15" t="n">
        <v>650</v>
      </c>
      <c r="E1337" s="15" t="n">
        <v>30</v>
      </c>
      <c r="F1337" s="16" t="n">
        <v>0.695812326376477</v>
      </c>
      <c r="G1337" s="17" t="s">
        <v>91</v>
      </c>
      <c r="H1337" s="18" t="n">
        <v>0.2</v>
      </c>
      <c r="I1337" s="18" t="n">
        <v>2</v>
      </c>
      <c r="J1337" s="19" t="n">
        <v>0.920775111671858</v>
      </c>
      <c r="K1337" s="19" t="n">
        <v>0.628076020970066</v>
      </c>
      <c r="L1337" s="16" t="n">
        <v>11.2573677194917</v>
      </c>
      <c r="M1337" s="19" t="n">
        <v>0.359759212936718</v>
      </c>
      <c r="N1337" s="19" t="n">
        <v>1.39393795127599</v>
      </c>
      <c r="O1337" s="19" t="n">
        <v>1.26323345499659</v>
      </c>
      <c r="P1337" s="19" t="n">
        <v>1.0811086607526</v>
      </c>
      <c r="Q1337" s="17" t="s">
        <v>31</v>
      </c>
      <c r="R1337" s="5" t="str">
        <f aca="false">IF(OR(Q1337="Steel plate",Q1337="Concrete jacket"),"Steel plate or jacket",Q1337)</f>
        <v>Polymer laminate</v>
      </c>
      <c r="S1337" s="5" t="str">
        <f aca="false">IF(O1337&lt;='Tree rules'!$C$4,IF(N1337&lt;='Tree rules'!$C$5,IF(P1337&lt;='Tree rules'!$C$6,"Monitor","Polymer laminate"),IF(P1337&lt;='Tree rules'!$C$7,"Seal cracks","Polymer laminate")),IF(O1337&lt;='Tree rules'!$C$8,IF(M1337&lt;='Tree rules'!$C$9,"Steel plate or jacket","Polymer laminate"),IF(L1337&lt;='Tree rules'!$C$10,"Steel plate or jacket","Polymer laminate")))</f>
        <v>Polymer laminate</v>
      </c>
      <c r="T1337" s="5" t="str">
        <f aca="false">IF(S1337=R1337,"Yes","No")</f>
        <v>Yes</v>
      </c>
    </row>
    <row r="1338" customFormat="false" ht="15" hidden="false" customHeight="false" outlineLevel="0" collapsed="false">
      <c r="A1338" s="15" t="n">
        <v>1908</v>
      </c>
      <c r="B1338" s="16" t="n">
        <v>3.02524974142961</v>
      </c>
      <c r="C1338" s="15" t="n">
        <v>300</v>
      </c>
      <c r="D1338" s="15" t="n">
        <v>300</v>
      </c>
      <c r="E1338" s="15" t="n">
        <v>20</v>
      </c>
      <c r="F1338" s="16" t="n">
        <v>0.589048622548086</v>
      </c>
      <c r="G1338" s="17" t="s">
        <v>91</v>
      </c>
      <c r="H1338" s="18" t="n">
        <v>0.2</v>
      </c>
      <c r="I1338" s="18" t="n">
        <v>1</v>
      </c>
      <c r="J1338" s="19" t="n">
        <v>0.941828853394517</v>
      </c>
      <c r="K1338" s="19" t="n">
        <v>0.624204503693182</v>
      </c>
      <c r="L1338" s="16" t="n">
        <v>11.8173818024594</v>
      </c>
      <c r="M1338" s="19" t="n">
        <v>0.943568238686954</v>
      </c>
      <c r="N1338" s="19" t="n">
        <v>0.902348257967251</v>
      </c>
      <c r="O1338" s="19" t="n">
        <v>0.941828853394517</v>
      </c>
      <c r="P1338" s="19" t="n">
        <v>0.316872767479977</v>
      </c>
      <c r="Q1338" s="17" t="s">
        <v>29</v>
      </c>
      <c r="R1338" s="5" t="str">
        <f aca="false">IF(OR(Q1338="Steel plate",Q1338="Concrete jacket"),"Steel plate or jacket",Q1338)</f>
        <v>Monitor</v>
      </c>
      <c r="S1338" s="5" t="str">
        <f aca="false">IF(O1338&lt;='Tree rules'!$C$4,IF(N1338&lt;='Tree rules'!$C$5,IF(P1338&lt;='Tree rules'!$C$6,"Monitor","Polymer laminate"),IF(P1338&lt;='Tree rules'!$C$7,"Seal cracks","Polymer laminate")),IF(O1338&lt;='Tree rules'!$C$8,IF(M1338&lt;='Tree rules'!$C$9,"Steel plate or jacket","Polymer laminate"),IF(L1338&lt;='Tree rules'!$C$10,"Steel plate or jacket","Polymer laminate")))</f>
        <v>Monitor</v>
      </c>
      <c r="T1338" s="5" t="str">
        <f aca="false">IF(S1338=R1338,"Yes","No")</f>
        <v>Yes</v>
      </c>
    </row>
    <row r="1339" customFormat="false" ht="15" hidden="false" customHeight="false" outlineLevel="0" collapsed="false">
      <c r="A1339" s="15" t="n">
        <v>1909</v>
      </c>
      <c r="B1339" s="16" t="n">
        <v>5.25822261871242</v>
      </c>
      <c r="C1339" s="15" t="n">
        <v>300</v>
      </c>
      <c r="D1339" s="15" t="n">
        <v>450</v>
      </c>
      <c r="E1339" s="15" t="n">
        <v>25</v>
      </c>
      <c r="F1339" s="16" t="n">
        <v>0.663570725510715</v>
      </c>
      <c r="G1339" s="17" t="s">
        <v>89</v>
      </c>
      <c r="H1339" s="18" t="n">
        <v>0.3</v>
      </c>
      <c r="I1339" s="18" t="n">
        <v>1</v>
      </c>
      <c r="J1339" s="19" t="n">
        <v>0.90310064355405</v>
      </c>
      <c r="K1339" s="19" t="n">
        <v>0.648196601562726</v>
      </c>
      <c r="L1339" s="16" t="n">
        <v>13.0154025215654</v>
      </c>
      <c r="M1339" s="19" t="n">
        <v>0.755863461228715</v>
      </c>
      <c r="N1339" s="19" t="n">
        <v>0.611327969577787</v>
      </c>
      <c r="O1339" s="19" t="n">
        <v>0.90310064355405</v>
      </c>
      <c r="P1339" s="19" t="n">
        <v>0.501660558667636</v>
      </c>
      <c r="Q1339" s="17" t="s">
        <v>29</v>
      </c>
      <c r="R1339" s="5" t="str">
        <f aca="false">IF(OR(Q1339="Steel plate",Q1339="Concrete jacket"),"Steel plate or jacket",Q1339)</f>
        <v>Monitor</v>
      </c>
      <c r="S1339" s="5" t="str">
        <f aca="false">IF(O1339&lt;='Tree rules'!$C$4,IF(N1339&lt;='Tree rules'!$C$5,IF(P1339&lt;='Tree rules'!$C$6,"Monitor","Polymer laminate"),IF(P1339&lt;='Tree rules'!$C$7,"Seal cracks","Polymer laminate")),IF(O1339&lt;='Tree rules'!$C$8,IF(M1339&lt;='Tree rules'!$C$9,"Steel plate or jacket","Polymer laminate"),IF(L1339&lt;='Tree rules'!$C$10,"Steel plate or jacket","Polymer laminate")))</f>
        <v>Monitor</v>
      </c>
      <c r="T1339" s="5" t="str">
        <f aca="false">IF(S1339=R1339,"Yes","No")</f>
        <v>Yes</v>
      </c>
    </row>
    <row r="1340" customFormat="false" ht="15" hidden="false" customHeight="false" outlineLevel="0" collapsed="false">
      <c r="A1340" s="15" t="n">
        <v>1911</v>
      </c>
      <c r="B1340" s="16" t="n">
        <v>3.63291766719045</v>
      </c>
      <c r="C1340" s="15" t="n">
        <v>300</v>
      </c>
      <c r="D1340" s="15" t="n">
        <v>300</v>
      </c>
      <c r="E1340" s="15" t="n">
        <v>25</v>
      </c>
      <c r="F1340" s="16" t="n">
        <v>0.736310778185108</v>
      </c>
      <c r="G1340" s="17" t="s">
        <v>89</v>
      </c>
      <c r="H1340" s="18" t="n">
        <v>0.3</v>
      </c>
      <c r="I1340" s="18" t="n">
        <v>1</v>
      </c>
      <c r="J1340" s="19" t="n">
        <v>0.939706744186704</v>
      </c>
      <c r="K1340" s="19" t="n">
        <v>0.497738913158748</v>
      </c>
      <c r="L1340" s="16" t="n">
        <v>14.1910846374627</v>
      </c>
      <c r="M1340" s="19" t="n">
        <v>0.574123576054295</v>
      </c>
      <c r="N1340" s="19" t="n">
        <v>0.647329548100758</v>
      </c>
      <c r="O1340" s="19" t="n">
        <v>0.939706744186704</v>
      </c>
      <c r="P1340" s="19" t="n">
        <v>0.607167802060447</v>
      </c>
      <c r="Q1340" s="17" t="s">
        <v>29</v>
      </c>
      <c r="R1340" s="5" t="str">
        <f aca="false">IF(OR(Q1340="Steel plate",Q1340="Concrete jacket"),"Steel plate or jacket",Q1340)</f>
        <v>Monitor</v>
      </c>
      <c r="S1340" s="5" t="str">
        <f aca="false">IF(O1340&lt;='Tree rules'!$C$4,IF(N1340&lt;='Tree rules'!$C$5,IF(P1340&lt;='Tree rules'!$C$6,"Monitor","Polymer laminate"),IF(P1340&lt;='Tree rules'!$C$7,"Seal cracks","Polymer laminate")),IF(O1340&lt;='Tree rules'!$C$8,IF(M1340&lt;='Tree rules'!$C$9,"Steel plate or jacket","Polymer laminate"),IF(L1340&lt;='Tree rules'!$C$10,"Steel plate or jacket","Polymer laminate")))</f>
        <v>Monitor</v>
      </c>
      <c r="T1340" s="5" t="str">
        <f aca="false">IF(S1340=R1340,"Yes","No")</f>
        <v>Yes</v>
      </c>
    </row>
    <row r="1341" customFormat="false" ht="15" hidden="false" customHeight="false" outlineLevel="0" collapsed="false">
      <c r="A1341" s="15" t="n">
        <v>1912</v>
      </c>
      <c r="B1341" s="16" t="n">
        <v>6.83450059981897</v>
      </c>
      <c r="C1341" s="15" t="n">
        <v>300</v>
      </c>
      <c r="D1341" s="15" t="n">
        <v>600</v>
      </c>
      <c r="E1341" s="15" t="n">
        <v>20</v>
      </c>
      <c r="F1341" s="16" t="n">
        <v>0.758838805214926</v>
      </c>
      <c r="G1341" s="17" t="s">
        <v>89</v>
      </c>
      <c r="H1341" s="18" t="n">
        <v>0.3</v>
      </c>
      <c r="I1341" s="18" t="n">
        <v>1.5</v>
      </c>
      <c r="J1341" s="19" t="n">
        <v>0.865532887402729</v>
      </c>
      <c r="K1341" s="19" t="n">
        <v>0.527735012391887</v>
      </c>
      <c r="L1341" s="16" t="n">
        <v>12.3813416663387</v>
      </c>
      <c r="M1341" s="19" t="n">
        <v>0.863684647280993</v>
      </c>
      <c r="N1341" s="19" t="n">
        <v>0.68616724949905</v>
      </c>
      <c r="O1341" s="19" t="n">
        <v>1.06991332657456</v>
      </c>
      <c r="P1341" s="19" t="n">
        <v>0.521544001036909</v>
      </c>
      <c r="Q1341" s="17" t="s">
        <v>31</v>
      </c>
      <c r="R1341" s="5" t="str">
        <f aca="false">IF(OR(Q1341="Steel plate",Q1341="Concrete jacket"),"Steel plate or jacket",Q1341)</f>
        <v>Polymer laminate</v>
      </c>
      <c r="S1341" s="5" t="str">
        <f aca="false">IF(O1341&lt;='Tree rules'!$C$4,IF(N1341&lt;='Tree rules'!$C$5,IF(P1341&lt;='Tree rules'!$C$6,"Monitor","Polymer laminate"),IF(P1341&lt;='Tree rules'!$C$7,"Seal cracks","Polymer laminate")),IF(O1341&lt;='Tree rules'!$C$8,IF(M1341&lt;='Tree rules'!$C$9,"Steel plate or jacket","Polymer laminate"),IF(L1341&lt;='Tree rules'!$C$10,"Steel plate or jacket","Polymer laminate")))</f>
        <v>Polymer laminate</v>
      </c>
      <c r="T1341" s="5" t="str">
        <f aca="false">IF(S1341=R1341,"Yes","No")</f>
        <v>Yes</v>
      </c>
    </row>
    <row r="1342" customFormat="false" ht="15" hidden="false" customHeight="false" outlineLevel="0" collapsed="false">
      <c r="A1342" s="15" t="n">
        <v>1913</v>
      </c>
      <c r="B1342" s="16" t="n">
        <v>7.22788132808669</v>
      </c>
      <c r="C1342" s="15" t="n">
        <v>230</v>
      </c>
      <c r="D1342" s="15" t="n">
        <v>675</v>
      </c>
      <c r="E1342" s="15" t="n">
        <v>30</v>
      </c>
      <c r="F1342" s="16" t="n">
        <v>0.653545382481754</v>
      </c>
      <c r="G1342" s="17" t="s">
        <v>89</v>
      </c>
      <c r="H1342" s="18" t="n">
        <v>0.3</v>
      </c>
      <c r="I1342" s="18" t="n">
        <v>2</v>
      </c>
      <c r="J1342" s="19" t="n">
        <v>0.925286135226939</v>
      </c>
      <c r="K1342" s="19" t="n">
        <v>0.418656093133449</v>
      </c>
      <c r="L1342" s="16" t="n">
        <v>11.5277214164062</v>
      </c>
      <c r="M1342" s="19" t="n">
        <v>0.78346276298774</v>
      </c>
      <c r="N1342" s="19" t="n">
        <v>1.01150493770884</v>
      </c>
      <c r="O1342" s="19" t="n">
        <v>1.46319559204922</v>
      </c>
      <c r="P1342" s="19" t="n">
        <v>0.490757612525135</v>
      </c>
      <c r="Q1342" s="17" t="s">
        <v>92</v>
      </c>
      <c r="R1342" s="5" t="str">
        <f aca="false">IF(OR(Q1342="Steel plate",Q1342="Concrete jacket"),"Steel plate or jacket",Q1342)</f>
        <v>Steel plate or jacket</v>
      </c>
      <c r="S1342" s="5" t="str">
        <f aca="false">IF(O1342&lt;='Tree rules'!$C$4,IF(N1342&lt;='Tree rules'!$C$5,IF(P1342&lt;='Tree rules'!$C$6,"Monitor","Polymer laminate"),IF(P1342&lt;='Tree rules'!$C$7,"Seal cracks","Polymer laminate")),IF(O1342&lt;='Tree rules'!$C$8,IF(M1342&lt;='Tree rules'!$C$9,"Steel plate or jacket","Polymer laminate"),IF(L1342&lt;='Tree rules'!$C$10,"Steel plate or jacket","Polymer laminate")))</f>
        <v>Steel plate or jacket</v>
      </c>
      <c r="T1342" s="5" t="str">
        <f aca="false">IF(S1342=R1342,"Yes","No")</f>
        <v>Yes</v>
      </c>
    </row>
    <row r="1343" customFormat="false" ht="15" hidden="false" customHeight="false" outlineLevel="0" collapsed="false">
      <c r="A1343" s="15" t="n">
        <v>1914</v>
      </c>
      <c r="B1343" s="16" t="n">
        <v>3.27062150859802</v>
      </c>
      <c r="C1343" s="15" t="n">
        <v>230</v>
      </c>
      <c r="D1343" s="15" t="n">
        <v>300</v>
      </c>
      <c r="E1343" s="15" t="n">
        <v>20</v>
      </c>
      <c r="F1343" s="16" t="n">
        <v>0.576243217710084</v>
      </c>
      <c r="G1343" s="17" t="s">
        <v>91</v>
      </c>
      <c r="H1343" s="18" t="n">
        <v>0.2</v>
      </c>
      <c r="I1343" s="18" t="n">
        <v>1</v>
      </c>
      <c r="J1343" s="19" t="n">
        <v>0.991284813120691</v>
      </c>
      <c r="K1343" s="19" t="n">
        <v>0.469508360612162</v>
      </c>
      <c r="L1343" s="16" t="n">
        <v>12.775865267961</v>
      </c>
      <c r="M1343" s="19" t="n">
        <v>0.683833273502784</v>
      </c>
      <c r="N1343" s="19" t="n">
        <v>1.03815556186515</v>
      </c>
      <c r="O1343" s="19" t="n">
        <v>0.991284813120691</v>
      </c>
      <c r="P1343" s="19" t="n">
        <v>0.410331360840186</v>
      </c>
      <c r="Q1343" s="17" t="s">
        <v>30</v>
      </c>
      <c r="R1343" s="5" t="str">
        <f aca="false">IF(OR(Q1343="Steel plate",Q1343="Concrete jacket"),"Steel plate or jacket",Q1343)</f>
        <v>Seal cracks</v>
      </c>
      <c r="S1343" s="5" t="str">
        <f aca="false">IF(O1343&lt;='Tree rules'!$C$4,IF(N1343&lt;='Tree rules'!$C$5,IF(P1343&lt;='Tree rules'!$C$6,"Monitor","Polymer laminate"),IF(P1343&lt;='Tree rules'!$C$7,"Seal cracks","Polymer laminate")),IF(O1343&lt;='Tree rules'!$C$8,IF(M1343&lt;='Tree rules'!$C$9,"Steel plate or jacket","Polymer laminate"),IF(L1343&lt;='Tree rules'!$C$10,"Steel plate or jacket","Polymer laminate")))</f>
        <v>Seal cracks</v>
      </c>
      <c r="T1343" s="5" t="str">
        <f aca="false">IF(S1343=R1343,"Yes","No")</f>
        <v>Yes</v>
      </c>
    </row>
    <row r="1344" customFormat="false" ht="15" hidden="false" customHeight="false" outlineLevel="0" collapsed="false">
      <c r="A1344" s="15" t="n">
        <v>1916</v>
      </c>
      <c r="B1344" s="16" t="n">
        <v>4.07460743361154</v>
      </c>
      <c r="C1344" s="15" t="n">
        <v>300</v>
      </c>
      <c r="D1344" s="15" t="n">
        <v>375</v>
      </c>
      <c r="E1344" s="15" t="n">
        <v>20</v>
      </c>
      <c r="F1344" s="16" t="n">
        <v>0.683367586279351</v>
      </c>
      <c r="G1344" s="17" t="s">
        <v>89</v>
      </c>
      <c r="H1344" s="18" t="n">
        <v>0.3</v>
      </c>
      <c r="I1344" s="18" t="n">
        <v>2</v>
      </c>
      <c r="J1344" s="19" t="n">
        <v>0.951478109851271</v>
      </c>
      <c r="K1344" s="19" t="n">
        <v>0.461208699242727</v>
      </c>
      <c r="L1344" s="16" t="n">
        <v>12.3099922465605</v>
      </c>
      <c r="M1344" s="19" t="n">
        <v>0.349931497903801</v>
      </c>
      <c r="N1344" s="19" t="n">
        <v>0.99312981280039</v>
      </c>
      <c r="O1344" s="19" t="n">
        <v>1.46412623830011</v>
      </c>
      <c r="P1344" s="19" t="n">
        <v>1.1893634814458</v>
      </c>
      <c r="Q1344" s="17" t="s">
        <v>31</v>
      </c>
      <c r="R1344" s="5" t="str">
        <f aca="false">IF(OR(Q1344="Steel plate",Q1344="Concrete jacket"),"Steel plate or jacket",Q1344)</f>
        <v>Polymer laminate</v>
      </c>
      <c r="S1344" s="5" t="str">
        <f aca="false">IF(O1344&lt;='Tree rules'!$C$4,IF(N1344&lt;='Tree rules'!$C$5,IF(P1344&lt;='Tree rules'!$C$6,"Monitor","Polymer laminate"),IF(P1344&lt;='Tree rules'!$C$7,"Seal cracks","Polymer laminate")),IF(O1344&lt;='Tree rules'!$C$8,IF(M1344&lt;='Tree rules'!$C$9,"Steel plate or jacket","Polymer laminate"),IF(L1344&lt;='Tree rules'!$C$10,"Steel plate or jacket","Polymer laminate")))</f>
        <v>Steel plate or jacket</v>
      </c>
      <c r="T1344" s="5" t="str">
        <f aca="false">IF(S1344=R1344,"Yes","No")</f>
        <v>No</v>
      </c>
    </row>
    <row r="1345" customFormat="false" ht="15" hidden="false" customHeight="false" outlineLevel="0" collapsed="false">
      <c r="A1345" s="15" t="n">
        <v>1917</v>
      </c>
      <c r="B1345" s="16" t="n">
        <v>3.57570598438336</v>
      </c>
      <c r="C1345" s="15" t="n">
        <v>300</v>
      </c>
      <c r="D1345" s="15" t="n">
        <v>325</v>
      </c>
      <c r="E1345" s="15" t="n">
        <v>30</v>
      </c>
      <c r="F1345" s="16" t="n">
        <v>0.72065207824282</v>
      </c>
      <c r="G1345" s="17" t="s">
        <v>91</v>
      </c>
      <c r="H1345" s="18" t="n">
        <v>0.2</v>
      </c>
      <c r="I1345" s="18" t="n">
        <v>2</v>
      </c>
      <c r="J1345" s="19" t="n">
        <v>0.930496971216888</v>
      </c>
      <c r="K1345" s="19" t="n">
        <v>0.630858250356274</v>
      </c>
      <c r="L1345" s="16" t="n">
        <v>12.8161504816608</v>
      </c>
      <c r="M1345" s="19" t="n">
        <v>0.942972291693623</v>
      </c>
      <c r="N1345" s="19" t="n">
        <v>1.53439219873161</v>
      </c>
      <c r="O1345" s="19" t="n">
        <v>1.27398225121008</v>
      </c>
      <c r="P1345" s="19" t="n">
        <v>0.422271178969438</v>
      </c>
      <c r="Q1345" s="17" t="s">
        <v>31</v>
      </c>
      <c r="R1345" s="5" t="str">
        <f aca="false">IF(OR(Q1345="Steel plate",Q1345="Concrete jacket"),"Steel plate or jacket",Q1345)</f>
        <v>Polymer laminate</v>
      </c>
      <c r="S1345" s="5" t="str">
        <f aca="false">IF(O1345&lt;='Tree rules'!$C$4,IF(N1345&lt;='Tree rules'!$C$5,IF(P1345&lt;='Tree rules'!$C$6,"Monitor","Polymer laminate"),IF(P1345&lt;='Tree rules'!$C$7,"Seal cracks","Polymer laminate")),IF(O1345&lt;='Tree rules'!$C$8,IF(M1345&lt;='Tree rules'!$C$9,"Steel plate or jacket","Polymer laminate"),IF(L1345&lt;='Tree rules'!$C$10,"Steel plate or jacket","Polymer laminate")))</f>
        <v>Polymer laminate</v>
      </c>
      <c r="T1345" s="5" t="str">
        <f aca="false">IF(S1345=R1345,"Yes","No")</f>
        <v>Yes</v>
      </c>
    </row>
    <row r="1346" customFormat="false" ht="15" hidden="false" customHeight="false" outlineLevel="0" collapsed="false">
      <c r="A1346" s="15" t="n">
        <v>1919</v>
      </c>
      <c r="B1346" s="16" t="n">
        <v>3.55936345469866</v>
      </c>
      <c r="C1346" s="15" t="n">
        <v>300</v>
      </c>
      <c r="D1346" s="15" t="n">
        <v>350</v>
      </c>
      <c r="E1346" s="15" t="n">
        <v>25</v>
      </c>
      <c r="F1346" s="16" t="n">
        <v>0.881850569428714</v>
      </c>
      <c r="G1346" s="17" t="s">
        <v>89</v>
      </c>
      <c r="H1346" s="18" t="n">
        <v>0.3</v>
      </c>
      <c r="I1346" s="18" t="n">
        <v>1</v>
      </c>
      <c r="J1346" s="19" t="n">
        <v>0.939976390793638</v>
      </c>
      <c r="K1346" s="19" t="n">
        <v>0.509640839339387</v>
      </c>
      <c r="L1346" s="16" t="n">
        <v>11.7084324167719</v>
      </c>
      <c r="M1346" s="19" t="n">
        <v>0.44051340648185</v>
      </c>
      <c r="N1346" s="19" t="n">
        <v>0.703463745247869</v>
      </c>
      <c r="O1346" s="19" t="n">
        <v>0.939976390793638</v>
      </c>
      <c r="P1346" s="19" t="n">
        <v>0.790004191931164</v>
      </c>
      <c r="Q1346" s="17" t="s">
        <v>29</v>
      </c>
      <c r="R1346" s="5" t="str">
        <f aca="false">IF(OR(Q1346="Steel plate",Q1346="Concrete jacket"),"Steel plate or jacket",Q1346)</f>
        <v>Monitor</v>
      </c>
      <c r="S1346" s="5" t="str">
        <f aca="false">IF(O1346&lt;='Tree rules'!$C$4,IF(N1346&lt;='Tree rules'!$C$5,IF(P1346&lt;='Tree rules'!$C$6,"Monitor","Polymer laminate"),IF(P1346&lt;='Tree rules'!$C$7,"Seal cracks","Polymer laminate")),IF(O1346&lt;='Tree rules'!$C$8,IF(M1346&lt;='Tree rules'!$C$9,"Steel plate or jacket","Polymer laminate"),IF(L1346&lt;='Tree rules'!$C$10,"Steel plate or jacket","Polymer laminate")))</f>
        <v>Monitor</v>
      </c>
      <c r="T1346" s="5" t="str">
        <f aca="false">IF(S1346=R1346,"Yes","No")</f>
        <v>Yes</v>
      </c>
    </row>
    <row r="1347" customFormat="false" ht="15" hidden="false" customHeight="false" outlineLevel="0" collapsed="false">
      <c r="A1347" s="15" t="n">
        <v>1920</v>
      </c>
      <c r="B1347" s="16" t="n">
        <v>4.45122202332007</v>
      </c>
      <c r="C1347" s="15" t="n">
        <v>300</v>
      </c>
      <c r="D1347" s="15" t="n">
        <v>350</v>
      </c>
      <c r="E1347" s="15" t="n">
        <v>25</v>
      </c>
      <c r="F1347" s="16" t="n">
        <v>0.739198271432892</v>
      </c>
      <c r="G1347" s="17" t="s">
        <v>89</v>
      </c>
      <c r="H1347" s="18" t="n">
        <v>0.3</v>
      </c>
      <c r="I1347" s="18" t="n">
        <v>1</v>
      </c>
      <c r="J1347" s="19" t="n">
        <v>0.872577812819251</v>
      </c>
      <c r="K1347" s="19" t="n">
        <v>0.521817356344006</v>
      </c>
      <c r="L1347" s="16" t="n">
        <v>14.5464772003924</v>
      </c>
      <c r="M1347" s="19" t="n">
        <v>0.766343170816401</v>
      </c>
      <c r="N1347" s="19" t="n">
        <v>0.540779126255553</v>
      </c>
      <c r="O1347" s="19" t="n">
        <v>0.872577812819251</v>
      </c>
      <c r="P1347" s="19" t="n">
        <v>0.493379953205946</v>
      </c>
      <c r="Q1347" s="17" t="s">
        <v>29</v>
      </c>
      <c r="R1347" s="5" t="str">
        <f aca="false">IF(OR(Q1347="Steel plate",Q1347="Concrete jacket"),"Steel plate or jacket",Q1347)</f>
        <v>Monitor</v>
      </c>
      <c r="S1347" s="5" t="str">
        <f aca="false">IF(O1347&lt;='Tree rules'!$C$4,IF(N1347&lt;='Tree rules'!$C$5,IF(P1347&lt;='Tree rules'!$C$6,"Monitor","Polymer laminate"),IF(P1347&lt;='Tree rules'!$C$7,"Seal cracks","Polymer laminate")),IF(O1347&lt;='Tree rules'!$C$8,IF(M1347&lt;='Tree rules'!$C$9,"Steel plate or jacket","Polymer laminate"),IF(L1347&lt;='Tree rules'!$C$10,"Steel plate or jacket","Polymer laminate")))</f>
        <v>Monitor</v>
      </c>
      <c r="T1347" s="5" t="str">
        <f aca="false">IF(S1347=R1347,"Yes","No")</f>
        <v>Yes</v>
      </c>
    </row>
    <row r="1348" customFormat="false" ht="15" hidden="false" customHeight="false" outlineLevel="0" collapsed="false">
      <c r="A1348" s="15" t="n">
        <v>1921</v>
      </c>
      <c r="B1348" s="16" t="n">
        <v>5.33648995291259</v>
      </c>
      <c r="C1348" s="15" t="n">
        <v>300</v>
      </c>
      <c r="D1348" s="15" t="n">
        <v>525</v>
      </c>
      <c r="E1348" s="15" t="n">
        <v>30</v>
      </c>
      <c r="F1348" s="16" t="n">
        <v>0.906664546490561</v>
      </c>
      <c r="G1348" s="17" t="s">
        <v>90</v>
      </c>
      <c r="H1348" s="18" t="n">
        <v>0.1</v>
      </c>
      <c r="I1348" s="18" t="n">
        <v>2</v>
      </c>
      <c r="J1348" s="19" t="n">
        <v>0.933049330642107</v>
      </c>
      <c r="K1348" s="19" t="n">
        <v>0.540081544912871</v>
      </c>
      <c r="L1348" s="16" t="n">
        <v>11.5508440539233</v>
      </c>
      <c r="M1348" s="19" t="n">
        <v>0.377974778165475</v>
      </c>
      <c r="N1348" s="19" t="n">
        <v>3.89045326335322</v>
      </c>
      <c r="O1348" s="19" t="n">
        <v>1.3621759373111</v>
      </c>
      <c r="P1348" s="19" t="n">
        <v>1.13070337586867</v>
      </c>
      <c r="Q1348" s="17" t="s">
        <v>31</v>
      </c>
      <c r="R1348" s="5" t="str">
        <f aca="false">IF(OR(Q1348="Steel plate",Q1348="Concrete jacket"),"Steel plate or jacket",Q1348)</f>
        <v>Polymer laminate</v>
      </c>
      <c r="S1348" s="5" t="str">
        <f aca="false">IF(O1348&lt;='Tree rules'!$C$4,IF(N1348&lt;='Tree rules'!$C$5,IF(P1348&lt;='Tree rules'!$C$6,"Monitor","Polymer laminate"),IF(P1348&lt;='Tree rules'!$C$7,"Seal cracks","Polymer laminate")),IF(O1348&lt;='Tree rules'!$C$8,IF(M1348&lt;='Tree rules'!$C$9,"Steel plate or jacket","Polymer laminate"),IF(L1348&lt;='Tree rules'!$C$10,"Steel plate or jacket","Polymer laminate")))</f>
        <v>Steel plate or jacket</v>
      </c>
      <c r="T1348" s="5" t="str">
        <f aca="false">IF(S1348=R1348,"Yes","No")</f>
        <v>No</v>
      </c>
    </row>
    <row r="1349" customFormat="false" ht="15" hidden="false" customHeight="false" outlineLevel="0" collapsed="false">
      <c r="A1349" s="15" t="n">
        <v>1923</v>
      </c>
      <c r="B1349" s="16" t="n">
        <v>4.2591544052451</v>
      </c>
      <c r="C1349" s="15" t="n">
        <v>300</v>
      </c>
      <c r="D1349" s="15" t="n">
        <v>350</v>
      </c>
      <c r="E1349" s="15" t="n">
        <v>25</v>
      </c>
      <c r="F1349" s="16" t="n">
        <v>0.693508312050727</v>
      </c>
      <c r="G1349" s="17" t="s">
        <v>89</v>
      </c>
      <c r="H1349" s="18" t="n">
        <v>0.3</v>
      </c>
      <c r="I1349" s="18" t="n">
        <v>1.5</v>
      </c>
      <c r="J1349" s="19" t="n">
        <v>0.933321139414503</v>
      </c>
      <c r="K1349" s="19" t="n">
        <v>0.40508772255363</v>
      </c>
      <c r="L1349" s="16" t="n">
        <v>14.1031602822686</v>
      </c>
      <c r="M1349" s="19" t="n">
        <v>0.332096075866231</v>
      </c>
      <c r="N1349" s="19" t="n">
        <v>1.42137582468848</v>
      </c>
      <c r="O1349" s="19" t="n">
        <v>1.21094324173346</v>
      </c>
      <c r="P1349" s="19" t="n">
        <v>1.0656789766658</v>
      </c>
      <c r="Q1349" s="17" t="s">
        <v>31</v>
      </c>
      <c r="R1349" s="5" t="str">
        <f aca="false">IF(OR(Q1349="Steel plate",Q1349="Concrete jacket"),"Steel plate or jacket",Q1349)</f>
        <v>Polymer laminate</v>
      </c>
      <c r="S1349" s="5" t="str">
        <f aca="false">IF(O1349&lt;='Tree rules'!$C$4,IF(N1349&lt;='Tree rules'!$C$5,IF(P1349&lt;='Tree rules'!$C$6,"Monitor","Polymer laminate"),IF(P1349&lt;='Tree rules'!$C$7,"Seal cracks","Polymer laminate")),IF(O1349&lt;='Tree rules'!$C$8,IF(M1349&lt;='Tree rules'!$C$9,"Steel plate or jacket","Polymer laminate"),IF(L1349&lt;='Tree rules'!$C$10,"Steel plate or jacket","Polymer laminate")))</f>
        <v>Polymer laminate</v>
      </c>
      <c r="T1349" s="5" t="str">
        <f aca="false">IF(S1349=R1349,"Yes","No")</f>
        <v>Yes</v>
      </c>
    </row>
    <row r="1350" customFormat="false" ht="15" hidden="false" customHeight="false" outlineLevel="0" collapsed="false">
      <c r="A1350" s="15" t="n">
        <v>1924</v>
      </c>
      <c r="B1350" s="16" t="n">
        <v>5.46180965922899</v>
      </c>
      <c r="C1350" s="15" t="n">
        <v>230</v>
      </c>
      <c r="D1350" s="15" t="n">
        <v>500</v>
      </c>
      <c r="E1350" s="15" t="n">
        <v>25</v>
      </c>
      <c r="F1350" s="16" t="n">
        <v>0.770204672782022</v>
      </c>
      <c r="G1350" s="17" t="s">
        <v>91</v>
      </c>
      <c r="H1350" s="18" t="n">
        <v>0.2</v>
      </c>
      <c r="I1350" s="18" t="n">
        <v>2</v>
      </c>
      <c r="J1350" s="19" t="n">
        <v>0.923485601669281</v>
      </c>
      <c r="K1350" s="19" t="n">
        <v>0.435079161432876</v>
      </c>
      <c r="L1350" s="16" t="n">
        <v>12.0304177516057</v>
      </c>
      <c r="M1350" s="19" t="n">
        <v>0.47873908869821</v>
      </c>
      <c r="N1350" s="19" t="n">
        <v>1.44500751412977</v>
      </c>
      <c r="O1350" s="19" t="n">
        <v>1.44518186216896</v>
      </c>
      <c r="P1350" s="19" t="n">
        <v>0.919488873856891</v>
      </c>
      <c r="Q1350" s="17" t="s">
        <v>92</v>
      </c>
      <c r="R1350" s="5" t="str">
        <f aca="false">IF(OR(Q1350="Steel plate",Q1350="Concrete jacket"),"Steel plate or jacket",Q1350)</f>
        <v>Steel plate or jacket</v>
      </c>
      <c r="S1350" s="5" t="str">
        <f aca="false">IF(O1350&lt;='Tree rules'!$C$4,IF(N1350&lt;='Tree rules'!$C$5,IF(P1350&lt;='Tree rules'!$C$6,"Monitor","Polymer laminate"),IF(P1350&lt;='Tree rules'!$C$7,"Seal cracks","Polymer laminate")),IF(O1350&lt;='Tree rules'!$C$8,IF(M1350&lt;='Tree rules'!$C$9,"Steel plate or jacket","Polymer laminate"),IF(L1350&lt;='Tree rules'!$C$10,"Steel plate or jacket","Polymer laminate")))</f>
        <v>Steel plate or jacket</v>
      </c>
      <c r="T1350" s="5" t="str">
        <f aca="false">IF(S1350=R1350,"Yes","No")</f>
        <v>Yes</v>
      </c>
    </row>
    <row r="1351" customFormat="false" ht="15" hidden="false" customHeight="false" outlineLevel="0" collapsed="false">
      <c r="A1351" s="15" t="n">
        <v>1925</v>
      </c>
      <c r="B1351" s="16" t="n">
        <v>3.6888086998268</v>
      </c>
      <c r="C1351" s="15" t="n">
        <v>300</v>
      </c>
      <c r="D1351" s="15" t="n">
        <v>300</v>
      </c>
      <c r="E1351" s="15" t="n">
        <v>30</v>
      </c>
      <c r="F1351" s="16" t="n">
        <v>0.78213924985638</v>
      </c>
      <c r="G1351" s="17" t="s">
        <v>90</v>
      </c>
      <c r="H1351" s="18" t="n">
        <v>0.1</v>
      </c>
      <c r="I1351" s="18" t="n">
        <v>1.5</v>
      </c>
      <c r="J1351" s="19" t="n">
        <v>0.894364248406829</v>
      </c>
      <c r="K1351" s="19" t="n">
        <v>0.516816125013127</v>
      </c>
      <c r="L1351" s="16" t="n">
        <v>15.3062601652564</v>
      </c>
      <c r="M1351" s="19" t="n">
        <v>0.896266836263088</v>
      </c>
      <c r="N1351" s="19" t="n">
        <v>3.0356355891611</v>
      </c>
      <c r="O1351" s="19" t="n">
        <v>1.1104354400043</v>
      </c>
      <c r="P1351" s="19" t="n">
        <v>0.402566952715207</v>
      </c>
      <c r="Q1351" s="17" t="s">
        <v>31</v>
      </c>
      <c r="R1351" s="5" t="str">
        <f aca="false">IF(OR(Q1351="Steel plate",Q1351="Concrete jacket"),"Steel plate or jacket",Q1351)</f>
        <v>Polymer laminate</v>
      </c>
      <c r="S1351" s="5" t="str">
        <f aca="false">IF(O1351&lt;='Tree rules'!$C$4,IF(N1351&lt;='Tree rules'!$C$5,IF(P1351&lt;='Tree rules'!$C$6,"Monitor","Polymer laminate"),IF(P1351&lt;='Tree rules'!$C$7,"Seal cracks","Polymer laminate")),IF(O1351&lt;='Tree rules'!$C$8,IF(M1351&lt;='Tree rules'!$C$9,"Steel plate or jacket","Polymer laminate"),IF(L1351&lt;='Tree rules'!$C$10,"Steel plate or jacket","Polymer laminate")))</f>
        <v>Polymer laminate</v>
      </c>
      <c r="T1351" s="5" t="str">
        <f aca="false">IF(S1351=R1351,"Yes","No")</f>
        <v>Yes</v>
      </c>
    </row>
    <row r="1352" customFormat="false" ht="15" hidden="false" customHeight="false" outlineLevel="0" collapsed="false">
      <c r="A1352" s="15" t="n">
        <v>1926</v>
      </c>
      <c r="B1352" s="16" t="n">
        <v>4.31870940472251</v>
      </c>
      <c r="C1352" s="15" t="n">
        <v>230</v>
      </c>
      <c r="D1352" s="15" t="n">
        <v>425</v>
      </c>
      <c r="E1352" s="15" t="n">
        <v>30</v>
      </c>
      <c r="F1352" s="16" t="n">
        <v>0.724620609754306</v>
      </c>
      <c r="G1352" s="17" t="s">
        <v>91</v>
      </c>
      <c r="H1352" s="18" t="n">
        <v>0.2</v>
      </c>
      <c r="I1352" s="18" t="n">
        <v>1.5</v>
      </c>
      <c r="J1352" s="19" t="n">
        <v>0.883298785216699</v>
      </c>
      <c r="K1352" s="19" t="n">
        <v>0.406138744641221</v>
      </c>
      <c r="L1352" s="16" t="n">
        <v>11.4554626119961</v>
      </c>
      <c r="M1352" s="19" t="n">
        <v>0.335453859327577</v>
      </c>
      <c r="N1352" s="19" t="n">
        <v>1.70880072690039</v>
      </c>
      <c r="O1352" s="19" t="n">
        <v>1.14557724793954</v>
      </c>
      <c r="P1352" s="19" t="n">
        <v>0.854889803978413</v>
      </c>
      <c r="Q1352" s="17" t="s">
        <v>31</v>
      </c>
      <c r="R1352" s="5" t="str">
        <f aca="false">IF(OR(Q1352="Steel plate",Q1352="Concrete jacket"),"Steel plate or jacket",Q1352)</f>
        <v>Polymer laminate</v>
      </c>
      <c r="S1352" s="5" t="str">
        <f aca="false">IF(O1352&lt;='Tree rules'!$C$4,IF(N1352&lt;='Tree rules'!$C$5,IF(P1352&lt;='Tree rules'!$C$6,"Monitor","Polymer laminate"),IF(P1352&lt;='Tree rules'!$C$7,"Seal cracks","Polymer laminate")),IF(O1352&lt;='Tree rules'!$C$8,IF(M1352&lt;='Tree rules'!$C$9,"Steel plate or jacket","Polymer laminate"),IF(L1352&lt;='Tree rules'!$C$10,"Steel plate or jacket","Polymer laminate")))</f>
        <v>Polymer laminate</v>
      </c>
      <c r="T1352" s="5" t="str">
        <f aca="false">IF(S1352=R1352,"Yes","No")</f>
        <v>Yes</v>
      </c>
    </row>
    <row r="1353" customFormat="false" ht="15" hidden="false" customHeight="false" outlineLevel="0" collapsed="false">
      <c r="A1353" s="15" t="n">
        <v>1928</v>
      </c>
      <c r="B1353" s="16" t="n">
        <v>4.59840151856936</v>
      </c>
      <c r="C1353" s="15" t="n">
        <v>300</v>
      </c>
      <c r="D1353" s="15" t="n">
        <v>350</v>
      </c>
      <c r="E1353" s="15" t="n">
        <v>30</v>
      </c>
      <c r="F1353" s="16" t="n">
        <v>0.695716020172134</v>
      </c>
      <c r="G1353" s="17" t="s">
        <v>90</v>
      </c>
      <c r="H1353" s="18" t="n">
        <v>0.1</v>
      </c>
      <c r="I1353" s="18" t="n">
        <v>1.5</v>
      </c>
      <c r="J1353" s="19" t="n">
        <v>0.875179600108802</v>
      </c>
      <c r="K1353" s="19" t="n">
        <v>0.476846898854711</v>
      </c>
      <c r="L1353" s="16" t="n">
        <v>15.9114239396864</v>
      </c>
      <c r="M1353" s="19" t="n">
        <v>0.442254838724448</v>
      </c>
      <c r="N1353" s="19" t="n">
        <v>3.52043330522299</v>
      </c>
      <c r="O1353" s="19" t="n">
        <v>1.10410606103681</v>
      </c>
      <c r="P1353" s="19" t="n">
        <v>0.746435009487322</v>
      </c>
      <c r="Q1353" s="17" t="s">
        <v>31</v>
      </c>
      <c r="R1353" s="5" t="str">
        <f aca="false">IF(OR(Q1353="Steel plate",Q1353="Concrete jacket"),"Steel plate or jacket",Q1353)</f>
        <v>Polymer laminate</v>
      </c>
      <c r="S1353" s="5" t="str">
        <f aca="false">IF(O1353&lt;='Tree rules'!$C$4,IF(N1353&lt;='Tree rules'!$C$5,IF(P1353&lt;='Tree rules'!$C$6,"Monitor","Polymer laminate"),IF(P1353&lt;='Tree rules'!$C$7,"Seal cracks","Polymer laminate")),IF(O1353&lt;='Tree rules'!$C$8,IF(M1353&lt;='Tree rules'!$C$9,"Steel plate or jacket","Polymer laminate"),IF(L1353&lt;='Tree rules'!$C$10,"Steel plate or jacket","Polymer laminate")))</f>
        <v>Polymer laminate</v>
      </c>
      <c r="T1353" s="5" t="str">
        <f aca="false">IF(S1353=R1353,"Yes","No")</f>
        <v>Yes</v>
      </c>
    </row>
    <row r="1354" customFormat="false" ht="15" hidden="false" customHeight="false" outlineLevel="0" collapsed="false">
      <c r="A1354" s="15" t="n">
        <v>1931</v>
      </c>
      <c r="B1354" s="16" t="n">
        <v>4.77910235744851</v>
      </c>
      <c r="C1354" s="15" t="n">
        <v>300</v>
      </c>
      <c r="D1354" s="15" t="n">
        <v>475</v>
      </c>
      <c r="E1354" s="15" t="n">
        <v>30</v>
      </c>
      <c r="F1354" s="16" t="n">
        <v>0.647542447116737</v>
      </c>
      <c r="G1354" s="17" t="s">
        <v>90</v>
      </c>
      <c r="H1354" s="18" t="n">
        <v>0.1</v>
      </c>
      <c r="I1354" s="18" t="n">
        <v>1.5</v>
      </c>
      <c r="J1354" s="19" t="n">
        <v>0.876334292316649</v>
      </c>
      <c r="K1354" s="19" t="n">
        <v>0.498949046515582</v>
      </c>
      <c r="L1354" s="16" t="n">
        <v>11.5437255010834</v>
      </c>
      <c r="M1354" s="19" t="n">
        <v>0.922794347782672</v>
      </c>
      <c r="N1354" s="19" t="n">
        <v>2.80922680017254</v>
      </c>
      <c r="O1354" s="19" t="n">
        <v>1.09587835868482</v>
      </c>
      <c r="P1354" s="19" t="n">
        <v>0.311967751675106</v>
      </c>
      <c r="Q1354" s="17" t="s">
        <v>31</v>
      </c>
      <c r="R1354" s="5" t="str">
        <f aca="false">IF(OR(Q1354="Steel plate",Q1354="Concrete jacket"),"Steel plate or jacket",Q1354)</f>
        <v>Polymer laminate</v>
      </c>
      <c r="S1354" s="5" t="str">
        <f aca="false">IF(O1354&lt;='Tree rules'!$C$4,IF(N1354&lt;='Tree rules'!$C$5,IF(P1354&lt;='Tree rules'!$C$6,"Monitor","Polymer laminate"),IF(P1354&lt;='Tree rules'!$C$7,"Seal cracks","Polymer laminate")),IF(O1354&lt;='Tree rules'!$C$8,IF(M1354&lt;='Tree rules'!$C$9,"Steel plate or jacket","Polymer laminate"),IF(L1354&lt;='Tree rules'!$C$10,"Steel plate or jacket","Polymer laminate")))</f>
        <v>Polymer laminate</v>
      </c>
      <c r="T1354" s="5" t="str">
        <f aca="false">IF(S1354=R1354,"Yes","No")</f>
        <v>Yes</v>
      </c>
    </row>
    <row r="1355" customFormat="false" ht="15" hidden="false" customHeight="false" outlineLevel="0" collapsed="false">
      <c r="A1355" s="15" t="n">
        <v>1932</v>
      </c>
      <c r="B1355" s="16" t="n">
        <v>4.02737420194095</v>
      </c>
      <c r="C1355" s="15" t="n">
        <v>300</v>
      </c>
      <c r="D1355" s="15" t="n">
        <v>325</v>
      </c>
      <c r="E1355" s="15" t="n">
        <v>20</v>
      </c>
      <c r="F1355" s="16" t="n">
        <v>0.756099314943392</v>
      </c>
      <c r="G1355" s="17" t="s">
        <v>91</v>
      </c>
      <c r="H1355" s="18" t="n">
        <v>0.2</v>
      </c>
      <c r="I1355" s="18" t="n">
        <v>1</v>
      </c>
      <c r="J1355" s="19" t="n">
        <v>0.853247513449674</v>
      </c>
      <c r="K1355" s="19" t="n">
        <v>0.554736314677057</v>
      </c>
      <c r="L1355" s="16" t="n">
        <v>14.5392570467182</v>
      </c>
      <c r="M1355" s="19" t="n">
        <v>0.491043817321369</v>
      </c>
      <c r="N1355" s="19" t="n">
        <v>1.39552891678654</v>
      </c>
      <c r="O1355" s="19" t="n">
        <v>0.853247513449674</v>
      </c>
      <c r="P1355" s="19" t="n">
        <v>0.757953040937655</v>
      </c>
      <c r="Q1355" s="17" t="s">
        <v>30</v>
      </c>
      <c r="R1355" s="5" t="str">
        <f aca="false">IF(OR(Q1355="Steel plate",Q1355="Concrete jacket"),"Steel plate or jacket",Q1355)</f>
        <v>Seal cracks</v>
      </c>
      <c r="S1355" s="5" t="str">
        <f aca="false">IF(O1355&lt;='Tree rules'!$C$4,IF(N1355&lt;='Tree rules'!$C$5,IF(P1355&lt;='Tree rules'!$C$6,"Monitor","Polymer laminate"),IF(P1355&lt;='Tree rules'!$C$7,"Seal cracks","Polymer laminate")),IF(O1355&lt;='Tree rules'!$C$8,IF(M1355&lt;='Tree rules'!$C$9,"Steel plate or jacket","Polymer laminate"),IF(L1355&lt;='Tree rules'!$C$10,"Steel plate or jacket","Polymer laminate")))</f>
        <v>Seal cracks</v>
      </c>
      <c r="T1355" s="5" t="str">
        <f aca="false">IF(S1355=R1355,"Yes","No")</f>
        <v>Yes</v>
      </c>
    </row>
    <row r="1356" customFormat="false" ht="15" hidden="false" customHeight="false" outlineLevel="0" collapsed="false">
      <c r="A1356" s="15" t="n">
        <v>1934</v>
      </c>
      <c r="B1356" s="16" t="n">
        <v>5.49462328853494</v>
      </c>
      <c r="C1356" s="15" t="n">
        <v>300</v>
      </c>
      <c r="D1356" s="15" t="n">
        <v>525</v>
      </c>
      <c r="E1356" s="15" t="n">
        <v>25</v>
      </c>
      <c r="F1356" s="16" t="n">
        <v>0.658614812073332</v>
      </c>
      <c r="G1356" s="17" t="s">
        <v>89</v>
      </c>
      <c r="H1356" s="18" t="n">
        <v>0.3</v>
      </c>
      <c r="I1356" s="18" t="n">
        <v>2</v>
      </c>
      <c r="J1356" s="19" t="n">
        <v>0.92922284415088</v>
      </c>
      <c r="K1356" s="19" t="n">
        <v>0.445058776231403</v>
      </c>
      <c r="L1356" s="16" t="n">
        <v>11.5191263910586</v>
      </c>
      <c r="M1356" s="19" t="n">
        <v>0.476507283069909</v>
      </c>
      <c r="N1356" s="19" t="n">
        <v>1.2280141879271</v>
      </c>
      <c r="O1356" s="19" t="n">
        <v>1.44488690643771</v>
      </c>
      <c r="P1356" s="19" t="n">
        <v>0.790842191708368</v>
      </c>
      <c r="Q1356" s="17" t="s">
        <v>92</v>
      </c>
      <c r="R1356" s="5" t="str">
        <f aca="false">IF(OR(Q1356="Steel plate",Q1356="Concrete jacket"),"Steel plate or jacket",Q1356)</f>
        <v>Steel plate or jacket</v>
      </c>
      <c r="S1356" s="5" t="str">
        <f aca="false">IF(O1356&lt;='Tree rules'!$C$4,IF(N1356&lt;='Tree rules'!$C$5,IF(P1356&lt;='Tree rules'!$C$6,"Monitor","Polymer laminate"),IF(P1356&lt;='Tree rules'!$C$7,"Seal cracks","Polymer laminate")),IF(O1356&lt;='Tree rules'!$C$8,IF(M1356&lt;='Tree rules'!$C$9,"Steel plate or jacket","Polymer laminate"),IF(L1356&lt;='Tree rules'!$C$10,"Steel plate or jacket","Polymer laminate")))</f>
        <v>Steel plate or jacket</v>
      </c>
      <c r="T1356" s="5" t="str">
        <f aca="false">IF(S1356=R1356,"Yes","No")</f>
        <v>Yes</v>
      </c>
    </row>
    <row r="1357" customFormat="false" ht="15" hidden="false" customHeight="false" outlineLevel="0" collapsed="false">
      <c r="A1357" s="15" t="n">
        <v>1937</v>
      </c>
      <c r="B1357" s="16" t="n">
        <v>3.73188942193452</v>
      </c>
      <c r="C1357" s="15" t="n">
        <v>230</v>
      </c>
      <c r="D1357" s="15" t="n">
        <v>325</v>
      </c>
      <c r="E1357" s="15" t="n">
        <v>20</v>
      </c>
      <c r="F1357" s="16" t="n">
        <v>0.626653981080713</v>
      </c>
      <c r="G1357" s="17" t="s">
        <v>89</v>
      </c>
      <c r="H1357" s="18" t="n">
        <v>0.3</v>
      </c>
      <c r="I1357" s="18" t="n">
        <v>2</v>
      </c>
      <c r="J1357" s="19" t="n">
        <v>0.942561775591932</v>
      </c>
      <c r="K1357" s="19" t="n">
        <v>0.636919773372347</v>
      </c>
      <c r="L1357" s="16" t="n">
        <v>13.3759477488692</v>
      </c>
      <c r="M1357" s="19" t="n">
        <v>0.944177887091686</v>
      </c>
      <c r="N1357" s="19" t="n">
        <v>1.11579712635651</v>
      </c>
      <c r="O1357" s="19" t="n">
        <v>1.28478731868441</v>
      </c>
      <c r="P1357" s="19" t="n">
        <v>0.446939155867856</v>
      </c>
      <c r="Q1357" s="17" t="s">
        <v>31</v>
      </c>
      <c r="R1357" s="5" t="str">
        <f aca="false">IF(OR(Q1357="Steel plate",Q1357="Concrete jacket"),"Steel plate or jacket",Q1357)</f>
        <v>Polymer laminate</v>
      </c>
      <c r="S1357" s="5" t="str">
        <f aca="false">IF(O1357&lt;='Tree rules'!$C$4,IF(N1357&lt;='Tree rules'!$C$5,IF(P1357&lt;='Tree rules'!$C$6,"Monitor","Polymer laminate"),IF(P1357&lt;='Tree rules'!$C$7,"Seal cracks","Polymer laminate")),IF(O1357&lt;='Tree rules'!$C$8,IF(M1357&lt;='Tree rules'!$C$9,"Steel plate or jacket","Polymer laminate"),IF(L1357&lt;='Tree rules'!$C$10,"Steel plate or jacket","Polymer laminate")))</f>
        <v>Polymer laminate</v>
      </c>
      <c r="T1357" s="5" t="str">
        <f aca="false">IF(S1357=R1357,"Yes","No")</f>
        <v>Yes</v>
      </c>
    </row>
    <row r="1358" customFormat="false" ht="15" hidden="false" customHeight="false" outlineLevel="0" collapsed="false">
      <c r="A1358" s="15" t="n">
        <v>1938</v>
      </c>
      <c r="B1358" s="16" t="n">
        <v>4.17634884648572</v>
      </c>
      <c r="C1358" s="15" t="n">
        <v>230</v>
      </c>
      <c r="D1358" s="15" t="n">
        <v>400</v>
      </c>
      <c r="E1358" s="15" t="n">
        <v>20</v>
      </c>
      <c r="F1358" s="16" t="n">
        <v>0.552502860426148</v>
      </c>
      <c r="G1358" s="17" t="s">
        <v>89</v>
      </c>
      <c r="H1358" s="18" t="n">
        <v>0.3</v>
      </c>
      <c r="I1358" s="18" t="n">
        <v>2</v>
      </c>
      <c r="J1358" s="19" t="n">
        <v>0.943906460096379</v>
      </c>
      <c r="K1358" s="19" t="n">
        <v>0.468724812677454</v>
      </c>
      <c r="L1358" s="16" t="n">
        <v>11.7313169845105</v>
      </c>
      <c r="M1358" s="19" t="n">
        <v>0.935696674610902</v>
      </c>
      <c r="N1358" s="19" t="n">
        <v>0.89398157616264</v>
      </c>
      <c r="O1358" s="19" t="n">
        <v>1.44538054149904</v>
      </c>
      <c r="P1358" s="19" t="n">
        <v>0.382147328915355</v>
      </c>
      <c r="Q1358" s="17" t="s">
        <v>31</v>
      </c>
      <c r="R1358" s="5" t="str">
        <f aca="false">IF(OR(Q1358="Steel plate",Q1358="Concrete jacket"),"Steel plate or jacket",Q1358)</f>
        <v>Polymer laminate</v>
      </c>
      <c r="S1358" s="5" t="str">
        <f aca="false">IF(O1358&lt;='Tree rules'!$C$4,IF(N1358&lt;='Tree rules'!$C$5,IF(P1358&lt;='Tree rules'!$C$6,"Monitor","Polymer laminate"),IF(P1358&lt;='Tree rules'!$C$7,"Seal cracks","Polymer laminate")),IF(O1358&lt;='Tree rules'!$C$8,IF(M1358&lt;='Tree rules'!$C$9,"Steel plate or jacket","Polymer laminate"),IF(L1358&lt;='Tree rules'!$C$10,"Steel plate or jacket","Polymer laminate")))</f>
        <v>Steel plate or jacket</v>
      </c>
      <c r="T1358" s="5" t="str">
        <f aca="false">IF(S1358=R1358,"Yes","No")</f>
        <v>No</v>
      </c>
    </row>
    <row r="1359" customFormat="false" ht="15" hidden="false" customHeight="false" outlineLevel="0" collapsed="false">
      <c r="A1359" s="15" t="n">
        <v>1939</v>
      </c>
      <c r="B1359" s="16" t="n">
        <v>6.42918985952878</v>
      </c>
      <c r="C1359" s="15" t="n">
        <v>300</v>
      </c>
      <c r="D1359" s="15" t="n">
        <v>600</v>
      </c>
      <c r="E1359" s="15" t="n">
        <v>20</v>
      </c>
      <c r="F1359" s="16" t="n">
        <v>0.725855342345656</v>
      </c>
      <c r="G1359" s="17" t="s">
        <v>91</v>
      </c>
      <c r="H1359" s="18" t="n">
        <v>0.2</v>
      </c>
      <c r="I1359" s="18" t="n">
        <v>1</v>
      </c>
      <c r="J1359" s="19" t="n">
        <v>0.976078263193157</v>
      </c>
      <c r="K1359" s="19" t="n">
        <v>0.402006569231899</v>
      </c>
      <c r="L1359" s="16" t="n">
        <v>11.6050358475249</v>
      </c>
      <c r="M1359" s="19" t="n">
        <v>0.381525410884731</v>
      </c>
      <c r="N1359" s="19" t="n">
        <v>0.924374559142674</v>
      </c>
      <c r="O1359" s="19" t="n">
        <v>0.976078263193157</v>
      </c>
      <c r="P1359" s="19" t="n">
        <v>0.909171233079017</v>
      </c>
      <c r="Q1359" s="17" t="s">
        <v>29</v>
      </c>
      <c r="R1359" s="5" t="str">
        <f aca="false">IF(OR(Q1359="Steel plate",Q1359="Concrete jacket"),"Steel plate or jacket",Q1359)</f>
        <v>Monitor</v>
      </c>
      <c r="S1359" s="5" t="str">
        <f aca="false">IF(O1359&lt;='Tree rules'!$C$4,IF(N1359&lt;='Tree rules'!$C$5,IF(P1359&lt;='Tree rules'!$C$6,"Monitor","Polymer laminate"),IF(P1359&lt;='Tree rules'!$C$7,"Seal cracks","Polymer laminate")),IF(O1359&lt;='Tree rules'!$C$8,IF(M1359&lt;='Tree rules'!$C$9,"Steel plate or jacket","Polymer laminate"),IF(L1359&lt;='Tree rules'!$C$10,"Steel plate or jacket","Polymer laminate")))</f>
        <v>Monitor</v>
      </c>
      <c r="T1359" s="5" t="str">
        <f aca="false">IF(S1359=R1359,"Yes","No")</f>
        <v>Yes</v>
      </c>
    </row>
    <row r="1360" customFormat="false" ht="15" hidden="false" customHeight="false" outlineLevel="0" collapsed="false">
      <c r="A1360" s="15" t="n">
        <v>1940</v>
      </c>
      <c r="B1360" s="16" t="n">
        <v>6.28002447223509</v>
      </c>
      <c r="C1360" s="15" t="n">
        <v>300</v>
      </c>
      <c r="D1360" s="15" t="n">
        <v>550</v>
      </c>
      <c r="E1360" s="15" t="n">
        <v>20</v>
      </c>
      <c r="F1360" s="16" t="n">
        <v>0.531909867274462</v>
      </c>
      <c r="G1360" s="17" t="s">
        <v>89</v>
      </c>
      <c r="H1360" s="18" t="n">
        <v>0.3</v>
      </c>
      <c r="I1360" s="18" t="n">
        <v>1</v>
      </c>
      <c r="J1360" s="19" t="n">
        <v>0.936792357913887</v>
      </c>
      <c r="K1360" s="19" t="n">
        <v>0.512477153701132</v>
      </c>
      <c r="L1360" s="16" t="n">
        <v>12.4603660163395</v>
      </c>
      <c r="M1360" s="19" t="n">
        <v>0.427490612502034</v>
      </c>
      <c r="N1360" s="19" t="n">
        <v>0.67206939670077</v>
      </c>
      <c r="O1360" s="19" t="n">
        <v>0.936792357913887</v>
      </c>
      <c r="P1360" s="19" t="n">
        <v>0.720681346687864</v>
      </c>
      <c r="Q1360" s="17" t="s">
        <v>29</v>
      </c>
      <c r="R1360" s="5" t="str">
        <f aca="false">IF(OR(Q1360="Steel plate",Q1360="Concrete jacket"),"Steel plate or jacket",Q1360)</f>
        <v>Monitor</v>
      </c>
      <c r="S1360" s="5" t="str">
        <f aca="false">IF(O1360&lt;='Tree rules'!$C$4,IF(N1360&lt;='Tree rules'!$C$5,IF(P1360&lt;='Tree rules'!$C$6,"Monitor","Polymer laminate"),IF(P1360&lt;='Tree rules'!$C$7,"Seal cracks","Polymer laminate")),IF(O1360&lt;='Tree rules'!$C$8,IF(M1360&lt;='Tree rules'!$C$9,"Steel plate or jacket","Polymer laminate"),IF(L1360&lt;='Tree rules'!$C$10,"Steel plate or jacket","Polymer laminate")))</f>
        <v>Monitor</v>
      </c>
      <c r="T1360" s="5" t="str">
        <f aca="false">IF(S1360=R1360,"Yes","No")</f>
        <v>Yes</v>
      </c>
    </row>
    <row r="1361" customFormat="false" ht="15" hidden="false" customHeight="false" outlineLevel="0" collapsed="false">
      <c r="A1361" s="15" t="n">
        <v>1941</v>
      </c>
      <c r="B1361" s="16" t="n">
        <v>4.68820509672889</v>
      </c>
      <c r="C1361" s="15" t="n">
        <v>230</v>
      </c>
      <c r="D1361" s="15" t="n">
        <v>375</v>
      </c>
      <c r="E1361" s="15" t="n">
        <v>20</v>
      </c>
      <c r="F1361" s="16" t="n">
        <v>0.531417813743219</v>
      </c>
      <c r="G1361" s="17" t="s">
        <v>89</v>
      </c>
      <c r="H1361" s="18" t="n">
        <v>0.3</v>
      </c>
      <c r="I1361" s="18" t="n">
        <v>1</v>
      </c>
      <c r="J1361" s="19" t="n">
        <v>0.858379829625809</v>
      </c>
      <c r="K1361" s="19" t="n">
        <v>0.547642072429043</v>
      </c>
      <c r="L1361" s="16" t="n">
        <v>14.2498635158933</v>
      </c>
      <c r="M1361" s="19" t="n">
        <v>0.337165979295903</v>
      </c>
      <c r="N1361" s="19" t="n">
        <v>0.838417961814104</v>
      </c>
      <c r="O1361" s="19" t="n">
        <v>0.858379829625809</v>
      </c>
      <c r="P1361" s="19" t="n">
        <v>0.850791970273958</v>
      </c>
      <c r="Q1361" s="17" t="s">
        <v>29</v>
      </c>
      <c r="R1361" s="5" t="str">
        <f aca="false">IF(OR(Q1361="Steel plate",Q1361="Concrete jacket"),"Steel plate or jacket",Q1361)</f>
        <v>Monitor</v>
      </c>
      <c r="S1361" s="5" t="str">
        <f aca="false">IF(O1361&lt;='Tree rules'!$C$4,IF(N1361&lt;='Tree rules'!$C$5,IF(P1361&lt;='Tree rules'!$C$6,"Monitor","Polymer laminate"),IF(P1361&lt;='Tree rules'!$C$7,"Seal cracks","Polymer laminate")),IF(O1361&lt;='Tree rules'!$C$8,IF(M1361&lt;='Tree rules'!$C$9,"Steel plate or jacket","Polymer laminate"),IF(L1361&lt;='Tree rules'!$C$10,"Steel plate or jacket","Polymer laminate")))</f>
        <v>Monitor</v>
      </c>
      <c r="T1361" s="5" t="str">
        <f aca="false">IF(S1361=R1361,"Yes","No")</f>
        <v>Yes</v>
      </c>
    </row>
    <row r="1362" customFormat="false" ht="15" hidden="false" customHeight="false" outlineLevel="0" collapsed="false">
      <c r="A1362" s="15" t="n">
        <v>1942</v>
      </c>
      <c r="B1362" s="16" t="n">
        <v>6.10731854806003</v>
      </c>
      <c r="C1362" s="15" t="n">
        <v>230</v>
      </c>
      <c r="D1362" s="15" t="n">
        <v>575</v>
      </c>
      <c r="E1362" s="15" t="n">
        <v>25</v>
      </c>
      <c r="F1362" s="16" t="n">
        <v>0.661007412935799</v>
      </c>
      <c r="G1362" s="17" t="s">
        <v>89</v>
      </c>
      <c r="H1362" s="18" t="n">
        <v>0.3</v>
      </c>
      <c r="I1362" s="18" t="n">
        <v>2</v>
      </c>
      <c r="J1362" s="19" t="n">
        <v>0.86066140458342</v>
      </c>
      <c r="K1362" s="19" t="n">
        <v>0.40796936857675</v>
      </c>
      <c r="L1362" s="16" t="n">
        <v>11.5450256106995</v>
      </c>
      <c r="M1362" s="19" t="n">
        <v>0.75504988829438</v>
      </c>
      <c r="N1362" s="19" t="n">
        <v>0.862989669910687</v>
      </c>
      <c r="O1362" s="19" t="n">
        <v>1.37019931938056</v>
      </c>
      <c r="P1362" s="19" t="n">
        <v>0.494677583955949</v>
      </c>
      <c r="Q1362" s="17" t="s">
        <v>92</v>
      </c>
      <c r="R1362" s="5" t="str">
        <f aca="false">IF(OR(Q1362="Steel plate",Q1362="Concrete jacket"),"Steel plate or jacket",Q1362)</f>
        <v>Steel plate or jacket</v>
      </c>
      <c r="S1362" s="5" t="str">
        <f aca="false">IF(O1362&lt;='Tree rules'!$C$4,IF(N1362&lt;='Tree rules'!$C$5,IF(P1362&lt;='Tree rules'!$C$6,"Monitor","Polymer laminate"),IF(P1362&lt;='Tree rules'!$C$7,"Seal cracks","Polymer laminate")),IF(O1362&lt;='Tree rules'!$C$8,IF(M1362&lt;='Tree rules'!$C$9,"Steel plate or jacket","Polymer laminate"),IF(L1362&lt;='Tree rules'!$C$10,"Steel plate or jacket","Polymer laminate")))</f>
        <v>Steel plate or jacket</v>
      </c>
      <c r="T1362" s="5" t="str">
        <f aca="false">IF(S1362=R1362,"Yes","No")</f>
        <v>Yes</v>
      </c>
    </row>
    <row r="1363" customFormat="false" ht="15" hidden="false" customHeight="false" outlineLevel="0" collapsed="false">
      <c r="A1363" s="15" t="n">
        <v>1943</v>
      </c>
      <c r="B1363" s="16" t="n">
        <v>6.37484830170972</v>
      </c>
      <c r="C1363" s="15" t="n">
        <v>300</v>
      </c>
      <c r="D1363" s="15" t="n">
        <v>575</v>
      </c>
      <c r="E1363" s="15" t="n">
        <v>30</v>
      </c>
      <c r="F1363" s="16" t="n">
        <v>0.613592315154257</v>
      </c>
      <c r="G1363" s="17" t="s">
        <v>90</v>
      </c>
      <c r="H1363" s="18" t="n">
        <v>0.1</v>
      </c>
      <c r="I1363" s="18" t="n">
        <v>1</v>
      </c>
      <c r="J1363" s="19" t="n">
        <v>0.956536821752724</v>
      </c>
      <c r="K1363" s="19" t="n">
        <v>0.442542586820825</v>
      </c>
      <c r="L1363" s="16" t="n">
        <v>12.4508755892768</v>
      </c>
      <c r="M1363" s="19" t="n">
        <v>0.507150101476577</v>
      </c>
      <c r="N1363" s="19" t="n">
        <v>2.82588482704876</v>
      </c>
      <c r="O1363" s="19" t="n">
        <v>0.956536821752724</v>
      </c>
      <c r="P1363" s="19" t="n">
        <v>0.535375135332405</v>
      </c>
      <c r="Q1363" s="17" t="s">
        <v>30</v>
      </c>
      <c r="R1363" s="5" t="str">
        <f aca="false">IF(OR(Q1363="Steel plate",Q1363="Concrete jacket"),"Steel plate or jacket",Q1363)</f>
        <v>Seal cracks</v>
      </c>
      <c r="S1363" s="5" t="str">
        <f aca="false">IF(O1363&lt;='Tree rules'!$C$4,IF(N1363&lt;='Tree rules'!$C$5,IF(P1363&lt;='Tree rules'!$C$6,"Monitor","Polymer laminate"),IF(P1363&lt;='Tree rules'!$C$7,"Seal cracks","Polymer laminate")),IF(O1363&lt;='Tree rules'!$C$8,IF(M1363&lt;='Tree rules'!$C$9,"Steel plate or jacket","Polymer laminate"),IF(L1363&lt;='Tree rules'!$C$10,"Steel plate or jacket","Polymer laminate")))</f>
        <v>Seal cracks</v>
      </c>
      <c r="T1363" s="5" t="str">
        <f aca="false">IF(S1363=R1363,"Yes","No")</f>
        <v>Yes</v>
      </c>
    </row>
    <row r="1364" customFormat="false" ht="15" hidden="false" customHeight="false" outlineLevel="0" collapsed="false">
      <c r="A1364" s="15" t="n">
        <v>1945</v>
      </c>
      <c r="B1364" s="16" t="n">
        <v>3.71372623814352</v>
      </c>
      <c r="C1364" s="15" t="n">
        <v>300</v>
      </c>
      <c r="D1364" s="15" t="n">
        <v>300</v>
      </c>
      <c r="E1364" s="15" t="n">
        <v>20</v>
      </c>
      <c r="F1364" s="16" t="n">
        <v>0.589048622548086</v>
      </c>
      <c r="G1364" s="17" t="s">
        <v>89</v>
      </c>
      <c r="H1364" s="18" t="n">
        <v>0.3</v>
      </c>
      <c r="I1364" s="18" t="n">
        <v>1</v>
      </c>
      <c r="J1364" s="19" t="n">
        <v>0.94132309725349</v>
      </c>
      <c r="K1364" s="19" t="n">
        <v>0.520706299135459</v>
      </c>
      <c r="L1364" s="16" t="n">
        <v>14.5067431177481</v>
      </c>
      <c r="M1364" s="19" t="n">
        <v>0.444780940558915</v>
      </c>
      <c r="N1364" s="19" t="n">
        <v>0.698460514433392</v>
      </c>
      <c r="O1364" s="19" t="n">
        <v>0.94132309725349</v>
      </c>
      <c r="P1364" s="19" t="n">
        <v>0.71688261811035</v>
      </c>
      <c r="Q1364" s="17" t="s">
        <v>29</v>
      </c>
      <c r="R1364" s="5" t="str">
        <f aca="false">IF(OR(Q1364="Steel plate",Q1364="Concrete jacket"),"Steel plate or jacket",Q1364)</f>
        <v>Monitor</v>
      </c>
      <c r="S1364" s="5" t="str">
        <f aca="false">IF(O1364&lt;='Tree rules'!$C$4,IF(N1364&lt;='Tree rules'!$C$5,IF(P1364&lt;='Tree rules'!$C$6,"Monitor","Polymer laminate"),IF(P1364&lt;='Tree rules'!$C$7,"Seal cracks","Polymer laminate")),IF(O1364&lt;='Tree rules'!$C$8,IF(M1364&lt;='Tree rules'!$C$9,"Steel plate or jacket","Polymer laminate"),IF(L1364&lt;='Tree rules'!$C$10,"Steel plate or jacket","Polymer laminate")))</f>
        <v>Monitor</v>
      </c>
      <c r="T1364" s="5" t="str">
        <f aca="false">IF(S1364=R1364,"Yes","No")</f>
        <v>Yes</v>
      </c>
    </row>
    <row r="1365" customFormat="false" ht="15" hidden="false" customHeight="false" outlineLevel="0" collapsed="false">
      <c r="A1365" s="15" t="n">
        <v>1946</v>
      </c>
      <c r="B1365" s="16" t="n">
        <v>4.45933720731828</v>
      </c>
      <c r="C1365" s="15" t="n">
        <v>230</v>
      </c>
      <c r="D1365" s="15" t="n">
        <v>350</v>
      </c>
      <c r="E1365" s="15" t="n">
        <v>20</v>
      </c>
      <c r="F1365" s="16" t="n">
        <v>0.64278110559382</v>
      </c>
      <c r="G1365" s="17" t="s">
        <v>91</v>
      </c>
      <c r="H1365" s="18" t="n">
        <v>0.2</v>
      </c>
      <c r="I1365" s="18" t="n">
        <v>1</v>
      </c>
      <c r="J1365" s="19" t="n">
        <v>0.915623311028323</v>
      </c>
      <c r="K1365" s="19" t="n">
        <v>0.434774447070569</v>
      </c>
      <c r="L1365" s="16" t="n">
        <v>14.5729974095369</v>
      </c>
      <c r="M1365" s="19" t="n">
        <v>0.884504733069317</v>
      </c>
      <c r="N1365" s="19" t="n">
        <v>0.825054131524482</v>
      </c>
      <c r="O1365" s="19" t="n">
        <v>0.915623311028323</v>
      </c>
      <c r="P1365" s="19" t="n">
        <v>0.399990424894955</v>
      </c>
      <c r="Q1365" s="17" t="s">
        <v>29</v>
      </c>
      <c r="R1365" s="5" t="str">
        <f aca="false">IF(OR(Q1365="Steel plate",Q1365="Concrete jacket"),"Steel plate or jacket",Q1365)</f>
        <v>Monitor</v>
      </c>
      <c r="S1365" s="5" t="str">
        <f aca="false">IF(O1365&lt;='Tree rules'!$C$4,IF(N1365&lt;='Tree rules'!$C$5,IF(P1365&lt;='Tree rules'!$C$6,"Monitor","Polymer laminate"),IF(P1365&lt;='Tree rules'!$C$7,"Seal cracks","Polymer laminate")),IF(O1365&lt;='Tree rules'!$C$8,IF(M1365&lt;='Tree rules'!$C$9,"Steel plate or jacket","Polymer laminate"),IF(L1365&lt;='Tree rules'!$C$10,"Steel plate or jacket","Polymer laminate")))</f>
        <v>Monitor</v>
      </c>
      <c r="T1365" s="5" t="str">
        <f aca="false">IF(S1365=R1365,"Yes","No")</f>
        <v>Yes</v>
      </c>
    </row>
    <row r="1366" customFormat="false" ht="15" hidden="false" customHeight="false" outlineLevel="0" collapsed="false">
      <c r="A1366" s="15" t="n">
        <v>1949</v>
      </c>
      <c r="B1366" s="16" t="n">
        <v>4.64434245236241</v>
      </c>
      <c r="C1366" s="15" t="n">
        <v>300</v>
      </c>
      <c r="D1366" s="15" t="n">
        <v>425</v>
      </c>
      <c r="E1366" s="15" t="n">
        <v>25</v>
      </c>
      <c r="F1366" s="16" t="n">
        <v>0.833313701217452</v>
      </c>
      <c r="G1366" s="17" t="s">
        <v>91</v>
      </c>
      <c r="H1366" s="18" t="n">
        <v>0.2</v>
      </c>
      <c r="I1366" s="18" t="n">
        <v>1</v>
      </c>
      <c r="J1366" s="19" t="n">
        <v>0.90985700633853</v>
      </c>
      <c r="K1366" s="19" t="n">
        <v>0.535292238374426</v>
      </c>
      <c r="L1366" s="16" t="n">
        <v>12.3192107489719</v>
      </c>
      <c r="M1366" s="19" t="n">
        <v>0.574426822459725</v>
      </c>
      <c r="N1366" s="19" t="n">
        <v>1.12057647859945</v>
      </c>
      <c r="O1366" s="19" t="n">
        <v>0.90985700633853</v>
      </c>
      <c r="P1366" s="19" t="n">
        <v>0.653269334379285</v>
      </c>
      <c r="Q1366" s="17" t="s">
        <v>30</v>
      </c>
      <c r="R1366" s="5" t="str">
        <f aca="false">IF(OR(Q1366="Steel plate",Q1366="Concrete jacket"),"Steel plate or jacket",Q1366)</f>
        <v>Seal cracks</v>
      </c>
      <c r="S1366" s="5" t="str">
        <f aca="false">IF(O1366&lt;='Tree rules'!$C$4,IF(N1366&lt;='Tree rules'!$C$5,IF(P1366&lt;='Tree rules'!$C$6,"Monitor","Polymer laminate"),IF(P1366&lt;='Tree rules'!$C$7,"Seal cracks","Polymer laminate")),IF(O1366&lt;='Tree rules'!$C$8,IF(M1366&lt;='Tree rules'!$C$9,"Steel plate or jacket","Polymer laminate"),IF(L1366&lt;='Tree rules'!$C$10,"Steel plate or jacket","Polymer laminate")))</f>
        <v>Seal cracks</v>
      </c>
      <c r="T1366" s="5" t="str">
        <f aca="false">IF(S1366=R1366,"Yes","No")</f>
        <v>Yes</v>
      </c>
    </row>
    <row r="1367" customFormat="false" ht="15" hidden="false" customHeight="false" outlineLevel="0" collapsed="false">
      <c r="A1367" s="15" t="n">
        <v>1951</v>
      </c>
      <c r="B1367" s="16" t="n">
        <v>3.29225484666882</v>
      </c>
      <c r="C1367" s="15" t="n">
        <v>230</v>
      </c>
      <c r="D1367" s="15" t="n">
        <v>300</v>
      </c>
      <c r="E1367" s="15" t="n">
        <v>30</v>
      </c>
      <c r="F1367" s="16" t="n">
        <v>1.0324987837885</v>
      </c>
      <c r="G1367" s="17" t="s">
        <v>91</v>
      </c>
      <c r="H1367" s="18" t="n">
        <v>0.2</v>
      </c>
      <c r="I1367" s="18" t="n">
        <v>1.5</v>
      </c>
      <c r="J1367" s="19" t="n">
        <v>0.869232670091056</v>
      </c>
      <c r="K1367" s="19" t="n">
        <v>0.475704913093096</v>
      </c>
      <c r="L1367" s="16" t="n">
        <v>12.9616332546016</v>
      </c>
      <c r="M1367" s="19" t="n">
        <v>0.367241866106785</v>
      </c>
      <c r="N1367" s="19" t="n">
        <v>1.28448038879265</v>
      </c>
      <c r="O1367" s="19" t="n">
        <v>1.09709987924491</v>
      </c>
      <c r="P1367" s="19" t="n">
        <v>1.05830815810265</v>
      </c>
      <c r="Q1367" s="17" t="s">
        <v>31</v>
      </c>
      <c r="R1367" s="5" t="str">
        <f aca="false">IF(OR(Q1367="Steel plate",Q1367="Concrete jacket"),"Steel plate or jacket",Q1367)</f>
        <v>Polymer laminate</v>
      </c>
      <c r="S1367" s="5" t="str">
        <f aca="false">IF(O1367&lt;='Tree rules'!$C$4,IF(N1367&lt;='Tree rules'!$C$5,IF(P1367&lt;='Tree rules'!$C$6,"Monitor","Polymer laminate"),IF(P1367&lt;='Tree rules'!$C$7,"Seal cracks","Polymer laminate")),IF(O1367&lt;='Tree rules'!$C$8,IF(M1367&lt;='Tree rules'!$C$9,"Steel plate or jacket","Polymer laminate"),IF(L1367&lt;='Tree rules'!$C$10,"Steel plate or jacket","Polymer laminate")))</f>
        <v>Polymer laminate</v>
      </c>
      <c r="T1367" s="5" t="str">
        <f aca="false">IF(S1367=R1367,"Yes","No")</f>
        <v>Yes</v>
      </c>
    </row>
    <row r="1368" customFormat="false" ht="15" hidden="false" customHeight="false" outlineLevel="0" collapsed="false">
      <c r="A1368" s="15" t="n">
        <v>1952</v>
      </c>
      <c r="B1368" s="16" t="n">
        <v>3.8948688829685</v>
      </c>
      <c r="C1368" s="15" t="n">
        <v>300</v>
      </c>
      <c r="D1368" s="15" t="n">
        <v>375</v>
      </c>
      <c r="E1368" s="15" t="n">
        <v>25</v>
      </c>
      <c r="F1368" s="16" t="n">
        <v>0.611130485804701</v>
      </c>
      <c r="G1368" s="17" t="s">
        <v>91</v>
      </c>
      <c r="H1368" s="18" t="n">
        <v>0.2</v>
      </c>
      <c r="I1368" s="18" t="n">
        <v>1</v>
      </c>
      <c r="J1368" s="19" t="n">
        <v>0.900798992922295</v>
      </c>
      <c r="K1368" s="19" t="n">
        <v>0.547726828615484</v>
      </c>
      <c r="L1368" s="16" t="n">
        <v>11.8385072430654</v>
      </c>
      <c r="M1368" s="19" t="n">
        <v>0.502599737266161</v>
      </c>
      <c r="N1368" s="19" t="n">
        <v>1.1285634449434</v>
      </c>
      <c r="O1368" s="19" t="n">
        <v>0.900798992922295</v>
      </c>
      <c r="P1368" s="19" t="n">
        <v>0.533839518354415</v>
      </c>
      <c r="Q1368" s="17" t="s">
        <v>30</v>
      </c>
      <c r="R1368" s="5" t="str">
        <f aca="false">IF(OR(Q1368="Steel plate",Q1368="Concrete jacket"),"Steel plate or jacket",Q1368)</f>
        <v>Seal cracks</v>
      </c>
      <c r="S1368" s="5" t="str">
        <f aca="false">IF(O1368&lt;='Tree rules'!$C$4,IF(N1368&lt;='Tree rules'!$C$5,IF(P1368&lt;='Tree rules'!$C$6,"Monitor","Polymer laminate"),IF(P1368&lt;='Tree rules'!$C$7,"Seal cracks","Polymer laminate")),IF(O1368&lt;='Tree rules'!$C$8,IF(M1368&lt;='Tree rules'!$C$9,"Steel plate or jacket","Polymer laminate"),IF(L1368&lt;='Tree rules'!$C$10,"Steel plate or jacket","Polymer laminate")))</f>
        <v>Seal cracks</v>
      </c>
      <c r="T1368" s="5" t="str">
        <f aca="false">IF(S1368=R1368,"Yes","No")</f>
        <v>Yes</v>
      </c>
    </row>
    <row r="1369" customFormat="false" ht="15" hidden="false" customHeight="false" outlineLevel="0" collapsed="false">
      <c r="A1369" s="15" t="n">
        <v>1953</v>
      </c>
      <c r="B1369" s="16" t="n">
        <v>3.01446349063027</v>
      </c>
      <c r="C1369" s="15" t="n">
        <v>230</v>
      </c>
      <c r="D1369" s="15" t="n">
        <v>300</v>
      </c>
      <c r="E1369" s="15" t="n">
        <v>25</v>
      </c>
      <c r="F1369" s="16" t="n">
        <v>0.688332522525665</v>
      </c>
      <c r="G1369" s="17" t="s">
        <v>89</v>
      </c>
      <c r="H1369" s="18" t="n">
        <v>0.3</v>
      </c>
      <c r="I1369" s="18" t="n">
        <v>1</v>
      </c>
      <c r="J1369" s="19" t="n">
        <v>0.948031120826693</v>
      </c>
      <c r="K1369" s="19" t="n">
        <v>0.441840017967183</v>
      </c>
      <c r="L1369" s="16" t="n">
        <v>11.8679664985444</v>
      </c>
      <c r="M1369" s="19" t="n">
        <v>0.610172370179674</v>
      </c>
      <c r="N1369" s="19" t="n">
        <v>0.86731794226351</v>
      </c>
      <c r="O1369" s="19" t="n">
        <v>0.948031120826693</v>
      </c>
      <c r="P1369" s="19" t="n">
        <v>0.421276120392746</v>
      </c>
      <c r="Q1369" s="17" t="s">
        <v>29</v>
      </c>
      <c r="R1369" s="5" t="str">
        <f aca="false">IF(OR(Q1369="Steel plate",Q1369="Concrete jacket"),"Steel plate or jacket",Q1369)</f>
        <v>Monitor</v>
      </c>
      <c r="S1369" s="5" t="str">
        <f aca="false">IF(O1369&lt;='Tree rules'!$C$4,IF(N1369&lt;='Tree rules'!$C$5,IF(P1369&lt;='Tree rules'!$C$6,"Monitor","Polymer laminate"),IF(P1369&lt;='Tree rules'!$C$7,"Seal cracks","Polymer laminate")),IF(O1369&lt;='Tree rules'!$C$8,IF(M1369&lt;='Tree rules'!$C$9,"Steel plate or jacket","Polymer laminate"),IF(L1369&lt;='Tree rules'!$C$10,"Steel plate or jacket","Polymer laminate")))</f>
        <v>Monitor</v>
      </c>
      <c r="T1369" s="5" t="str">
        <f aca="false">IF(S1369=R1369,"Yes","No")</f>
        <v>Yes</v>
      </c>
    </row>
    <row r="1370" customFormat="false" ht="15" hidden="false" customHeight="false" outlineLevel="0" collapsed="false">
      <c r="A1370" s="15" t="n">
        <v>1954</v>
      </c>
      <c r="B1370" s="16" t="n">
        <v>3.25788572887718</v>
      </c>
      <c r="C1370" s="15" t="n">
        <v>300</v>
      </c>
      <c r="D1370" s="15" t="n">
        <v>325</v>
      </c>
      <c r="E1370" s="15" t="n">
        <v>25</v>
      </c>
      <c r="F1370" s="16" t="n">
        <v>0.756099314943392</v>
      </c>
      <c r="G1370" s="17" t="s">
        <v>91</v>
      </c>
      <c r="H1370" s="18" t="n">
        <v>0.2</v>
      </c>
      <c r="I1370" s="18" t="n">
        <v>1</v>
      </c>
      <c r="J1370" s="19" t="n">
        <v>0.942297809751056</v>
      </c>
      <c r="K1370" s="19" t="n">
        <v>0.424648685209823</v>
      </c>
      <c r="L1370" s="16" t="n">
        <v>11.7613203208562</v>
      </c>
      <c r="M1370" s="19" t="n">
        <v>0.404896093769739</v>
      </c>
      <c r="N1370" s="19" t="n">
        <v>1.60448360119402</v>
      </c>
      <c r="O1370" s="19" t="n">
        <v>0.942297809751056</v>
      </c>
      <c r="P1370" s="19" t="n">
        <v>0.671052970854015</v>
      </c>
      <c r="Q1370" s="17" t="s">
        <v>30</v>
      </c>
      <c r="R1370" s="5" t="str">
        <f aca="false">IF(OR(Q1370="Steel plate",Q1370="Concrete jacket"),"Steel plate or jacket",Q1370)</f>
        <v>Seal cracks</v>
      </c>
      <c r="S1370" s="5" t="str">
        <f aca="false">IF(O1370&lt;='Tree rules'!$C$4,IF(N1370&lt;='Tree rules'!$C$5,IF(P1370&lt;='Tree rules'!$C$6,"Monitor","Polymer laminate"),IF(P1370&lt;='Tree rules'!$C$7,"Seal cracks","Polymer laminate")),IF(O1370&lt;='Tree rules'!$C$8,IF(M1370&lt;='Tree rules'!$C$9,"Steel plate or jacket","Polymer laminate"),IF(L1370&lt;='Tree rules'!$C$10,"Steel plate or jacket","Polymer laminate")))</f>
        <v>Seal cracks</v>
      </c>
      <c r="T1370" s="5" t="str">
        <f aca="false">IF(S1370=R1370,"Yes","No")</f>
        <v>Yes</v>
      </c>
    </row>
    <row r="1371" customFormat="false" ht="15" hidden="false" customHeight="false" outlineLevel="0" collapsed="false">
      <c r="A1371" s="15" t="n">
        <v>1955</v>
      </c>
      <c r="B1371" s="16" t="n">
        <v>4.21915357148023</v>
      </c>
      <c r="C1371" s="15" t="n">
        <v>230</v>
      </c>
      <c r="D1371" s="15" t="n">
        <v>350</v>
      </c>
      <c r="E1371" s="15" t="n">
        <v>30</v>
      </c>
      <c r="F1371" s="16" t="n">
        <v>0.907455678485392</v>
      </c>
      <c r="G1371" s="17" t="s">
        <v>90</v>
      </c>
      <c r="H1371" s="18" t="n">
        <v>0.1</v>
      </c>
      <c r="I1371" s="18" t="n">
        <v>1</v>
      </c>
      <c r="J1371" s="19" t="n">
        <v>0.876619000374495</v>
      </c>
      <c r="K1371" s="19" t="n">
        <v>0.574137102318273</v>
      </c>
      <c r="L1371" s="16" t="n">
        <v>14.59914730616</v>
      </c>
      <c r="M1371" s="19" t="n">
        <v>0.791338867800261</v>
      </c>
      <c r="N1371" s="19" t="n">
        <v>2.40150386241673</v>
      </c>
      <c r="O1371" s="19" t="n">
        <v>0.876619000374495</v>
      </c>
      <c r="P1371" s="19" t="n">
        <v>0.477034472906125</v>
      </c>
      <c r="Q1371" s="17" t="s">
        <v>30</v>
      </c>
      <c r="R1371" s="5" t="str">
        <f aca="false">IF(OR(Q1371="Steel plate",Q1371="Concrete jacket"),"Steel plate or jacket",Q1371)</f>
        <v>Seal cracks</v>
      </c>
      <c r="S1371" s="5" t="str">
        <f aca="false">IF(O1371&lt;='Tree rules'!$C$4,IF(N1371&lt;='Tree rules'!$C$5,IF(P1371&lt;='Tree rules'!$C$6,"Monitor","Polymer laminate"),IF(P1371&lt;='Tree rules'!$C$7,"Seal cracks","Polymer laminate")),IF(O1371&lt;='Tree rules'!$C$8,IF(M1371&lt;='Tree rules'!$C$9,"Steel plate or jacket","Polymer laminate"),IF(L1371&lt;='Tree rules'!$C$10,"Steel plate or jacket","Polymer laminate")))</f>
        <v>Seal cracks</v>
      </c>
      <c r="T1371" s="5" t="str">
        <f aca="false">IF(S1371=R1371,"Yes","No")</f>
        <v>Yes</v>
      </c>
    </row>
    <row r="1372" customFormat="false" ht="15" hidden="false" customHeight="false" outlineLevel="0" collapsed="false">
      <c r="A1372" s="15" t="n">
        <v>1956</v>
      </c>
      <c r="B1372" s="16" t="n">
        <v>6.94881546659804</v>
      </c>
      <c r="C1372" s="15" t="n">
        <v>300</v>
      </c>
      <c r="D1372" s="15" t="n">
        <v>600</v>
      </c>
      <c r="E1372" s="15" t="n">
        <v>25</v>
      </c>
      <c r="F1372" s="16" t="n">
        <v>0.725855342345656</v>
      </c>
      <c r="G1372" s="17" t="s">
        <v>91</v>
      </c>
      <c r="H1372" s="18" t="n">
        <v>0.2</v>
      </c>
      <c r="I1372" s="18" t="n">
        <v>1</v>
      </c>
      <c r="J1372" s="19" t="n">
        <v>0.87132267302814</v>
      </c>
      <c r="K1372" s="19" t="n">
        <v>0.530436884477973</v>
      </c>
      <c r="L1372" s="16" t="n">
        <v>12.5429882068557</v>
      </c>
      <c r="M1372" s="19" t="n">
        <v>0.927328349601251</v>
      </c>
      <c r="N1372" s="19" t="n">
        <v>0.735068564163262</v>
      </c>
      <c r="O1372" s="19" t="n">
        <v>0.87132267302814</v>
      </c>
      <c r="P1372" s="19" t="n">
        <v>0.415317410661706</v>
      </c>
      <c r="Q1372" s="17" t="s">
        <v>29</v>
      </c>
      <c r="R1372" s="5" t="str">
        <f aca="false">IF(OR(Q1372="Steel plate",Q1372="Concrete jacket"),"Steel plate or jacket",Q1372)</f>
        <v>Monitor</v>
      </c>
      <c r="S1372" s="5" t="str">
        <f aca="false">IF(O1372&lt;='Tree rules'!$C$4,IF(N1372&lt;='Tree rules'!$C$5,IF(P1372&lt;='Tree rules'!$C$6,"Monitor","Polymer laminate"),IF(P1372&lt;='Tree rules'!$C$7,"Seal cracks","Polymer laminate")),IF(O1372&lt;='Tree rules'!$C$8,IF(M1372&lt;='Tree rules'!$C$9,"Steel plate or jacket","Polymer laminate"),IF(L1372&lt;='Tree rules'!$C$10,"Steel plate or jacket","Polymer laminate")))</f>
        <v>Monitor</v>
      </c>
      <c r="T1372" s="5" t="str">
        <f aca="false">IF(S1372=R1372,"Yes","No")</f>
        <v>Yes</v>
      </c>
    </row>
    <row r="1373" customFormat="false" ht="15" hidden="false" customHeight="false" outlineLevel="0" collapsed="false">
      <c r="A1373" s="15" t="n">
        <v>1957</v>
      </c>
      <c r="B1373" s="16" t="n">
        <v>3.60267388855469</v>
      </c>
      <c r="C1373" s="15" t="n">
        <v>300</v>
      </c>
      <c r="D1373" s="15" t="n">
        <v>325</v>
      </c>
      <c r="E1373" s="15" t="n">
        <v>30</v>
      </c>
      <c r="F1373" s="16" t="n">
        <v>0.804963242200943</v>
      </c>
      <c r="G1373" s="17" t="s">
        <v>91</v>
      </c>
      <c r="H1373" s="18" t="n">
        <v>0.2</v>
      </c>
      <c r="I1373" s="18" t="n">
        <v>1</v>
      </c>
      <c r="J1373" s="19" t="n">
        <v>0.88897296570019</v>
      </c>
      <c r="K1373" s="19" t="n">
        <v>0.498991837042465</v>
      </c>
      <c r="L1373" s="16" t="n">
        <v>12.8209035179882</v>
      </c>
      <c r="M1373" s="19" t="n">
        <v>0.945580943286219</v>
      </c>
      <c r="N1373" s="19" t="n">
        <v>0.81560669060337</v>
      </c>
      <c r="O1373" s="19" t="n">
        <v>0.88897296570019</v>
      </c>
      <c r="P1373" s="19" t="n">
        <v>0.354628010927341</v>
      </c>
      <c r="Q1373" s="17" t="s">
        <v>29</v>
      </c>
      <c r="R1373" s="5" t="str">
        <f aca="false">IF(OR(Q1373="Steel plate",Q1373="Concrete jacket"),"Steel plate or jacket",Q1373)</f>
        <v>Monitor</v>
      </c>
      <c r="S1373" s="5" t="str">
        <f aca="false">IF(O1373&lt;='Tree rules'!$C$4,IF(N1373&lt;='Tree rules'!$C$5,IF(P1373&lt;='Tree rules'!$C$6,"Monitor","Polymer laminate"),IF(P1373&lt;='Tree rules'!$C$7,"Seal cracks","Polymer laminate")),IF(O1373&lt;='Tree rules'!$C$8,IF(M1373&lt;='Tree rules'!$C$9,"Steel plate or jacket","Polymer laminate"),IF(L1373&lt;='Tree rules'!$C$10,"Steel plate or jacket","Polymer laminate")))</f>
        <v>Monitor</v>
      </c>
      <c r="T1373" s="5" t="str">
        <f aca="false">IF(S1373=R1373,"Yes","No")</f>
        <v>Yes</v>
      </c>
    </row>
    <row r="1374" customFormat="false" ht="15" hidden="false" customHeight="false" outlineLevel="0" collapsed="false">
      <c r="A1374" s="15" t="n">
        <v>1958</v>
      </c>
      <c r="B1374" s="16" t="n">
        <v>3.60932974948109</v>
      </c>
      <c r="C1374" s="15" t="n">
        <v>230</v>
      </c>
      <c r="D1374" s="15" t="n">
        <v>325</v>
      </c>
      <c r="E1374" s="15" t="n">
        <v>25</v>
      </c>
      <c r="F1374" s="16" t="n">
        <v>0.739439918465071</v>
      </c>
      <c r="G1374" s="17" t="s">
        <v>90</v>
      </c>
      <c r="H1374" s="18" t="n">
        <v>0.1</v>
      </c>
      <c r="I1374" s="18" t="n">
        <v>1.5</v>
      </c>
      <c r="J1374" s="19" t="n">
        <v>0.938882632106153</v>
      </c>
      <c r="K1374" s="19" t="n">
        <v>0.631453336704768</v>
      </c>
      <c r="L1374" s="16" t="n">
        <v>13.5689088326357</v>
      </c>
      <c r="M1374" s="19" t="n">
        <v>0.644437152274445</v>
      </c>
      <c r="N1374" s="19" t="n">
        <v>3.05109511772386</v>
      </c>
      <c r="O1374" s="19" t="n">
        <v>1.11189366275044</v>
      </c>
      <c r="P1374" s="19" t="n">
        <v>0.555241681394561</v>
      </c>
      <c r="Q1374" s="17" t="s">
        <v>31</v>
      </c>
      <c r="R1374" s="5" t="str">
        <f aca="false">IF(OR(Q1374="Steel plate",Q1374="Concrete jacket"),"Steel plate or jacket",Q1374)</f>
        <v>Polymer laminate</v>
      </c>
      <c r="S1374" s="5" t="str">
        <f aca="false">IF(O1374&lt;='Tree rules'!$C$4,IF(N1374&lt;='Tree rules'!$C$5,IF(P1374&lt;='Tree rules'!$C$6,"Monitor","Polymer laminate"),IF(P1374&lt;='Tree rules'!$C$7,"Seal cracks","Polymer laminate")),IF(O1374&lt;='Tree rules'!$C$8,IF(M1374&lt;='Tree rules'!$C$9,"Steel plate or jacket","Polymer laminate"),IF(L1374&lt;='Tree rules'!$C$10,"Steel plate or jacket","Polymer laminate")))</f>
        <v>Polymer laminate</v>
      </c>
      <c r="T1374" s="5" t="str">
        <f aca="false">IF(S1374=R1374,"Yes","No")</f>
        <v>Yes</v>
      </c>
    </row>
    <row r="1375" customFormat="false" ht="15" hidden="false" customHeight="false" outlineLevel="0" collapsed="false">
      <c r="A1375" s="15" t="n">
        <v>1960</v>
      </c>
      <c r="B1375" s="16" t="n">
        <v>4.98221659900424</v>
      </c>
      <c r="C1375" s="15" t="n">
        <v>230</v>
      </c>
      <c r="D1375" s="15" t="n">
        <v>450</v>
      </c>
      <c r="E1375" s="15" t="n">
        <v>20</v>
      </c>
      <c r="F1375" s="16" t="n">
        <v>0.649145274956135</v>
      </c>
      <c r="G1375" s="17" t="s">
        <v>89</v>
      </c>
      <c r="H1375" s="18" t="n">
        <v>0.3</v>
      </c>
      <c r="I1375" s="18" t="n">
        <v>1</v>
      </c>
      <c r="J1375" s="19" t="n">
        <v>0.945448624651835</v>
      </c>
      <c r="K1375" s="19" t="n">
        <v>0.493821293356436</v>
      </c>
      <c r="L1375" s="16" t="n">
        <v>12.3322193044659</v>
      </c>
      <c r="M1375" s="19" t="n">
        <v>0.472275955409399</v>
      </c>
      <c r="N1375" s="19" t="n">
        <v>0.686245132517792</v>
      </c>
      <c r="O1375" s="19" t="n">
        <v>0.945448624651835</v>
      </c>
      <c r="P1375" s="19" t="n">
        <v>0.714356639443713</v>
      </c>
      <c r="Q1375" s="17" t="s">
        <v>29</v>
      </c>
      <c r="R1375" s="5" t="str">
        <f aca="false">IF(OR(Q1375="Steel plate",Q1375="Concrete jacket"),"Steel plate or jacket",Q1375)</f>
        <v>Monitor</v>
      </c>
      <c r="S1375" s="5" t="str">
        <f aca="false">IF(O1375&lt;='Tree rules'!$C$4,IF(N1375&lt;='Tree rules'!$C$5,IF(P1375&lt;='Tree rules'!$C$6,"Monitor","Polymer laminate"),IF(P1375&lt;='Tree rules'!$C$7,"Seal cracks","Polymer laminate")),IF(O1375&lt;='Tree rules'!$C$8,IF(M1375&lt;='Tree rules'!$C$9,"Steel plate or jacket","Polymer laminate"),IF(L1375&lt;='Tree rules'!$C$10,"Steel plate or jacket","Polymer laminate")))</f>
        <v>Monitor</v>
      </c>
      <c r="T1375" s="5" t="str">
        <f aca="false">IF(S1375=R1375,"Yes","No")</f>
        <v>Yes</v>
      </c>
    </row>
    <row r="1376" customFormat="false" ht="15" hidden="false" customHeight="false" outlineLevel="0" collapsed="false">
      <c r="A1376" s="15" t="n">
        <v>1961</v>
      </c>
      <c r="B1376" s="16" t="n">
        <v>5.20647139723468</v>
      </c>
      <c r="C1376" s="15" t="n">
        <v>230</v>
      </c>
      <c r="D1376" s="15" t="n">
        <v>425</v>
      </c>
      <c r="E1376" s="15" t="n">
        <v>25</v>
      </c>
      <c r="F1376" s="16" t="n">
        <v>0.754646325628103</v>
      </c>
      <c r="G1376" s="17" t="s">
        <v>90</v>
      </c>
      <c r="H1376" s="18" t="n">
        <v>0.1</v>
      </c>
      <c r="I1376" s="18" t="n">
        <v>1</v>
      </c>
      <c r="J1376" s="19" t="n">
        <v>0.870981084984342</v>
      </c>
      <c r="K1376" s="19" t="n">
        <v>0.589440191718056</v>
      </c>
      <c r="L1376" s="16" t="n">
        <v>14.382517671919</v>
      </c>
      <c r="M1376" s="19" t="n">
        <v>0.893012517398753</v>
      </c>
      <c r="N1376" s="19" t="n">
        <v>2.5002960947853</v>
      </c>
      <c r="O1376" s="19" t="n">
        <v>0.870981084984342</v>
      </c>
      <c r="P1376" s="19" t="n">
        <v>0.423942606146818</v>
      </c>
      <c r="Q1376" s="17" t="s">
        <v>30</v>
      </c>
      <c r="R1376" s="5" t="str">
        <f aca="false">IF(OR(Q1376="Steel plate",Q1376="Concrete jacket"),"Steel plate or jacket",Q1376)</f>
        <v>Seal cracks</v>
      </c>
      <c r="S1376" s="5" t="str">
        <f aca="false">IF(O1376&lt;='Tree rules'!$C$4,IF(N1376&lt;='Tree rules'!$C$5,IF(P1376&lt;='Tree rules'!$C$6,"Monitor","Polymer laminate"),IF(P1376&lt;='Tree rules'!$C$7,"Seal cracks","Polymer laminate")),IF(O1376&lt;='Tree rules'!$C$8,IF(M1376&lt;='Tree rules'!$C$9,"Steel plate or jacket","Polymer laminate"),IF(L1376&lt;='Tree rules'!$C$10,"Steel plate or jacket","Polymer laminate")))</f>
        <v>Seal cracks</v>
      </c>
      <c r="T1376" s="5" t="str">
        <f aca="false">IF(S1376=R1376,"Yes","No")</f>
        <v>Yes</v>
      </c>
    </row>
    <row r="1377" customFormat="false" ht="15" hidden="false" customHeight="false" outlineLevel="0" collapsed="false">
      <c r="A1377" s="15" t="n">
        <v>1962</v>
      </c>
      <c r="B1377" s="16" t="n">
        <v>6.54185727014471</v>
      </c>
      <c r="C1377" s="15" t="n">
        <v>300</v>
      </c>
      <c r="D1377" s="15" t="n">
        <v>575</v>
      </c>
      <c r="E1377" s="15" t="n">
        <v>30</v>
      </c>
      <c r="F1377" s="16" t="n">
        <v>0.633465437396808</v>
      </c>
      <c r="G1377" s="17" t="s">
        <v>91</v>
      </c>
      <c r="H1377" s="18" t="n">
        <v>0.2</v>
      </c>
      <c r="I1377" s="18" t="n">
        <v>2</v>
      </c>
      <c r="J1377" s="19" t="n">
        <v>0.897890542864494</v>
      </c>
      <c r="K1377" s="19" t="n">
        <v>0.561709445500647</v>
      </c>
      <c r="L1377" s="16" t="n">
        <v>12.3664598679484</v>
      </c>
      <c r="M1377" s="19" t="n">
        <v>0.941586787076096</v>
      </c>
      <c r="N1377" s="19" t="n">
        <v>1.20801797996393</v>
      </c>
      <c r="O1377" s="19" t="n">
        <v>1.2914274867763</v>
      </c>
      <c r="P1377" s="19" t="n">
        <v>0.428548669382534</v>
      </c>
      <c r="Q1377" s="17" t="s">
        <v>31</v>
      </c>
      <c r="R1377" s="5" t="str">
        <f aca="false">IF(OR(Q1377="Steel plate",Q1377="Concrete jacket"),"Steel plate or jacket",Q1377)</f>
        <v>Polymer laminate</v>
      </c>
      <c r="S1377" s="5" t="str">
        <f aca="false">IF(O1377&lt;='Tree rules'!$C$4,IF(N1377&lt;='Tree rules'!$C$5,IF(P1377&lt;='Tree rules'!$C$6,"Monitor","Polymer laminate"),IF(P1377&lt;='Tree rules'!$C$7,"Seal cracks","Polymer laminate")),IF(O1377&lt;='Tree rules'!$C$8,IF(M1377&lt;='Tree rules'!$C$9,"Steel plate or jacket","Polymer laminate"),IF(L1377&lt;='Tree rules'!$C$10,"Steel plate or jacket","Polymer laminate")))</f>
        <v>Polymer laminate</v>
      </c>
      <c r="T1377" s="5" t="str">
        <f aca="false">IF(S1377=R1377,"Yes","No")</f>
        <v>Yes</v>
      </c>
    </row>
    <row r="1378" customFormat="false" ht="15" hidden="false" customHeight="false" outlineLevel="0" collapsed="false">
      <c r="A1378" s="15" t="n">
        <v>1963</v>
      </c>
      <c r="B1378" s="16" t="n">
        <v>7.24661136852885</v>
      </c>
      <c r="C1378" s="15" t="n">
        <v>300</v>
      </c>
      <c r="D1378" s="15" t="n">
        <v>600</v>
      </c>
      <c r="E1378" s="15" t="n">
        <v>30</v>
      </c>
      <c r="F1378" s="16" t="n">
        <v>0.604879451954714</v>
      </c>
      <c r="G1378" s="17" t="s">
        <v>89</v>
      </c>
      <c r="H1378" s="18" t="n">
        <v>0.3</v>
      </c>
      <c r="I1378" s="18" t="n">
        <v>1</v>
      </c>
      <c r="J1378" s="19" t="n">
        <v>0.900641874863739</v>
      </c>
      <c r="K1378" s="19" t="n">
        <v>0.571106189004697</v>
      </c>
      <c r="L1378" s="16" t="n">
        <v>13.0805259359727</v>
      </c>
      <c r="M1378" s="19" t="n">
        <v>0.650626914928706</v>
      </c>
      <c r="N1378" s="19" t="n">
        <v>0.570369510202789</v>
      </c>
      <c r="O1378" s="19" t="n">
        <v>0.90064187486374</v>
      </c>
      <c r="P1378" s="19" t="n">
        <v>0.51399840184685</v>
      </c>
      <c r="Q1378" s="17" t="s">
        <v>29</v>
      </c>
      <c r="R1378" s="5" t="str">
        <f aca="false">IF(OR(Q1378="Steel plate",Q1378="Concrete jacket"),"Steel plate or jacket",Q1378)</f>
        <v>Monitor</v>
      </c>
      <c r="S1378" s="5" t="str">
        <f aca="false">IF(O1378&lt;='Tree rules'!$C$4,IF(N1378&lt;='Tree rules'!$C$5,IF(P1378&lt;='Tree rules'!$C$6,"Monitor","Polymer laminate"),IF(P1378&lt;='Tree rules'!$C$7,"Seal cracks","Polymer laminate")),IF(O1378&lt;='Tree rules'!$C$8,IF(M1378&lt;='Tree rules'!$C$9,"Steel plate or jacket","Polymer laminate"),IF(L1378&lt;='Tree rules'!$C$10,"Steel plate or jacket","Polymer laminate")))</f>
        <v>Monitor</v>
      </c>
      <c r="T1378" s="5" t="str">
        <f aca="false">IF(S1378=R1378,"Yes","No")</f>
        <v>Yes</v>
      </c>
    </row>
    <row r="1379" customFormat="false" ht="15" hidden="false" customHeight="false" outlineLevel="0" collapsed="false">
      <c r="A1379" s="15" t="n">
        <v>1964</v>
      </c>
      <c r="B1379" s="16" t="n">
        <v>3.77435054286182</v>
      </c>
      <c r="C1379" s="15" t="n">
        <v>300</v>
      </c>
      <c r="D1379" s="15" t="n">
        <v>325</v>
      </c>
      <c r="E1379" s="15" t="n">
        <v>25</v>
      </c>
      <c r="F1379" s="16" t="n">
        <v>0.756099314943392</v>
      </c>
      <c r="G1379" s="17" t="s">
        <v>89</v>
      </c>
      <c r="H1379" s="18" t="n">
        <v>0.3</v>
      </c>
      <c r="I1379" s="18" t="n">
        <v>1</v>
      </c>
      <c r="J1379" s="19" t="n">
        <v>0.93529699646478</v>
      </c>
      <c r="K1379" s="19" t="n">
        <v>0.513107243622553</v>
      </c>
      <c r="L1379" s="16" t="n">
        <v>13.6258142341582</v>
      </c>
      <c r="M1379" s="19" t="n">
        <v>0.443022454706869</v>
      </c>
      <c r="N1379" s="19" t="n">
        <v>1.05269086353064</v>
      </c>
      <c r="O1379" s="19" t="n">
        <v>0.93529699646478</v>
      </c>
      <c r="P1379" s="19" t="n">
        <v>0.765521740597917</v>
      </c>
      <c r="Q1379" s="17" t="s">
        <v>30</v>
      </c>
      <c r="R1379" s="5" t="str">
        <f aca="false">IF(OR(Q1379="Steel plate",Q1379="Concrete jacket"),"Steel plate or jacket",Q1379)</f>
        <v>Seal cracks</v>
      </c>
      <c r="S1379" s="5" t="str">
        <f aca="false">IF(O1379&lt;='Tree rules'!$C$4,IF(N1379&lt;='Tree rules'!$C$5,IF(P1379&lt;='Tree rules'!$C$6,"Monitor","Polymer laminate"),IF(P1379&lt;='Tree rules'!$C$7,"Seal cracks","Polymer laminate")),IF(O1379&lt;='Tree rules'!$C$8,IF(M1379&lt;='Tree rules'!$C$9,"Steel plate or jacket","Polymer laminate"),IF(L1379&lt;='Tree rules'!$C$10,"Steel plate or jacket","Polymer laminate")))</f>
        <v>Seal cracks</v>
      </c>
      <c r="T1379" s="5" t="str">
        <f aca="false">IF(S1379=R1379,"Yes","No")</f>
        <v>Yes</v>
      </c>
    </row>
    <row r="1380" customFormat="false" ht="15" hidden="false" customHeight="false" outlineLevel="0" collapsed="false">
      <c r="A1380" s="15" t="n">
        <v>1966</v>
      </c>
      <c r="B1380" s="16" t="n">
        <v>5.98614903208559</v>
      </c>
      <c r="C1380" s="15" t="n">
        <v>300</v>
      </c>
      <c r="D1380" s="15" t="n">
        <v>525</v>
      </c>
      <c r="E1380" s="15" t="n">
        <v>20</v>
      </c>
      <c r="F1380" s="16" t="n">
        <v>0.699589178252424</v>
      </c>
      <c r="G1380" s="17" t="s">
        <v>91</v>
      </c>
      <c r="H1380" s="18" t="n">
        <v>0.2</v>
      </c>
      <c r="I1380" s="18" t="n">
        <v>1</v>
      </c>
      <c r="J1380" s="19" t="n">
        <v>0.942526507339543</v>
      </c>
      <c r="K1380" s="19" t="n">
        <v>0.40191523749261</v>
      </c>
      <c r="L1380" s="16" t="n">
        <v>12.4971796076944</v>
      </c>
      <c r="M1380" s="19" t="n">
        <v>0.822327315408747</v>
      </c>
      <c r="N1380" s="19" t="n">
        <v>0.851500300717459</v>
      </c>
      <c r="O1380" s="19" t="n">
        <v>0.942526507339543</v>
      </c>
      <c r="P1380" s="19" t="n">
        <v>0.445197878284172</v>
      </c>
      <c r="Q1380" s="17" t="s">
        <v>29</v>
      </c>
      <c r="R1380" s="5" t="str">
        <f aca="false">IF(OR(Q1380="Steel plate",Q1380="Concrete jacket"),"Steel plate or jacket",Q1380)</f>
        <v>Monitor</v>
      </c>
      <c r="S1380" s="5" t="str">
        <f aca="false">IF(O1380&lt;='Tree rules'!$C$4,IF(N1380&lt;='Tree rules'!$C$5,IF(P1380&lt;='Tree rules'!$C$6,"Monitor","Polymer laminate"),IF(P1380&lt;='Tree rules'!$C$7,"Seal cracks","Polymer laminate")),IF(O1380&lt;='Tree rules'!$C$8,IF(M1380&lt;='Tree rules'!$C$9,"Steel plate or jacket","Polymer laminate"),IF(L1380&lt;='Tree rules'!$C$10,"Steel plate or jacket","Polymer laminate")))</f>
        <v>Monitor</v>
      </c>
      <c r="T1380" s="5" t="str">
        <f aca="false">IF(S1380=R1380,"Yes","No")</f>
        <v>Yes</v>
      </c>
    </row>
    <row r="1381" customFormat="false" ht="15" hidden="false" customHeight="false" outlineLevel="0" collapsed="false">
      <c r="A1381" s="15" t="n">
        <v>1968</v>
      </c>
      <c r="B1381" s="16" t="n">
        <v>4.62506418531229</v>
      </c>
      <c r="C1381" s="15" t="n">
        <v>300</v>
      </c>
      <c r="D1381" s="15" t="n">
        <v>400</v>
      </c>
      <c r="E1381" s="15" t="n">
        <v>30</v>
      </c>
      <c r="F1381" s="16" t="n">
        <v>0.932223339344152</v>
      </c>
      <c r="G1381" s="17" t="s">
        <v>90</v>
      </c>
      <c r="H1381" s="18" t="n">
        <v>0.1</v>
      </c>
      <c r="I1381" s="18" t="n">
        <v>1</v>
      </c>
      <c r="J1381" s="19" t="n">
        <v>0.85559184946703</v>
      </c>
      <c r="K1381" s="19" t="n">
        <v>0.469189956629497</v>
      </c>
      <c r="L1381" s="16" t="n">
        <v>13.724226069176</v>
      </c>
      <c r="M1381" s="19" t="n">
        <v>0.84734615218645</v>
      </c>
      <c r="N1381" s="19" t="n">
        <v>2.45677985238195</v>
      </c>
      <c r="O1381" s="19" t="n">
        <v>0.85559184946703</v>
      </c>
      <c r="P1381" s="19" t="n">
        <v>0.418984181690162</v>
      </c>
      <c r="Q1381" s="17" t="s">
        <v>30</v>
      </c>
      <c r="R1381" s="5" t="str">
        <f aca="false">IF(OR(Q1381="Steel plate",Q1381="Concrete jacket"),"Steel plate or jacket",Q1381)</f>
        <v>Seal cracks</v>
      </c>
      <c r="S1381" s="5" t="str">
        <f aca="false">IF(O1381&lt;='Tree rules'!$C$4,IF(N1381&lt;='Tree rules'!$C$5,IF(P1381&lt;='Tree rules'!$C$6,"Monitor","Polymer laminate"),IF(P1381&lt;='Tree rules'!$C$7,"Seal cracks","Polymer laminate")),IF(O1381&lt;='Tree rules'!$C$8,IF(M1381&lt;='Tree rules'!$C$9,"Steel plate or jacket","Polymer laminate"),IF(L1381&lt;='Tree rules'!$C$10,"Steel plate or jacket","Polymer laminate")))</f>
        <v>Seal cracks</v>
      </c>
      <c r="T1381" s="5" t="str">
        <f aca="false">IF(S1381=R1381,"Yes","No")</f>
        <v>Yes</v>
      </c>
    </row>
    <row r="1382" customFormat="false" ht="15" hidden="false" customHeight="false" outlineLevel="0" collapsed="false">
      <c r="A1382" s="15" t="n">
        <v>1970</v>
      </c>
      <c r="B1382" s="16" t="n">
        <v>6.78052584507467</v>
      </c>
      <c r="C1382" s="15" t="n">
        <v>300</v>
      </c>
      <c r="D1382" s="15" t="n">
        <v>575</v>
      </c>
      <c r="E1382" s="15" t="n">
        <v>25</v>
      </c>
      <c r="F1382" s="16" t="n">
        <v>0.596127638252333</v>
      </c>
      <c r="G1382" s="17" t="s">
        <v>89</v>
      </c>
      <c r="H1382" s="18" t="n">
        <v>0.3</v>
      </c>
      <c r="I1382" s="18" t="n">
        <v>1</v>
      </c>
      <c r="J1382" s="19" t="n">
        <v>0.937607766337047</v>
      </c>
      <c r="K1382" s="19" t="n">
        <v>0.493615169005055</v>
      </c>
      <c r="L1382" s="16" t="n">
        <v>12.8662729508058</v>
      </c>
      <c r="M1382" s="19" t="n">
        <v>0.353057327154793</v>
      </c>
      <c r="N1382" s="19" t="n">
        <v>0.805852111109256</v>
      </c>
      <c r="O1382" s="19" t="n">
        <v>0.937607766337047</v>
      </c>
      <c r="P1382" s="19" t="n">
        <v>0.893361741594987</v>
      </c>
      <c r="Q1382" s="17" t="s">
        <v>29</v>
      </c>
      <c r="R1382" s="5" t="str">
        <f aca="false">IF(OR(Q1382="Steel plate",Q1382="Concrete jacket"),"Steel plate or jacket",Q1382)</f>
        <v>Monitor</v>
      </c>
      <c r="S1382" s="5" t="str">
        <f aca="false">IF(O1382&lt;='Tree rules'!$C$4,IF(N1382&lt;='Tree rules'!$C$5,IF(P1382&lt;='Tree rules'!$C$6,"Monitor","Polymer laminate"),IF(P1382&lt;='Tree rules'!$C$7,"Seal cracks","Polymer laminate")),IF(O1382&lt;='Tree rules'!$C$8,IF(M1382&lt;='Tree rules'!$C$9,"Steel plate or jacket","Polymer laminate"),IF(L1382&lt;='Tree rules'!$C$10,"Steel plate or jacket","Polymer laminate")))</f>
        <v>Monitor</v>
      </c>
      <c r="T1382" s="5" t="str">
        <f aca="false">IF(S1382=R1382,"Yes","No")</f>
        <v>Yes</v>
      </c>
    </row>
    <row r="1383" customFormat="false" ht="15" hidden="false" customHeight="false" outlineLevel="0" collapsed="false">
      <c r="A1383" s="15" t="n">
        <v>1972</v>
      </c>
      <c r="B1383" s="16" t="n">
        <v>4.92816723777256</v>
      </c>
      <c r="C1383" s="15" t="n">
        <v>230</v>
      </c>
      <c r="D1383" s="15" t="n">
        <v>425</v>
      </c>
      <c r="E1383" s="15" t="n">
        <v>30</v>
      </c>
      <c r="F1383" s="16" t="n">
        <v>0.691964884122107</v>
      </c>
      <c r="G1383" s="17" t="s">
        <v>91</v>
      </c>
      <c r="H1383" s="18" t="n">
        <v>0.2</v>
      </c>
      <c r="I1383" s="18" t="n">
        <v>1</v>
      </c>
      <c r="J1383" s="19" t="n">
        <v>0.850819393186854</v>
      </c>
      <c r="K1383" s="19" t="n">
        <v>0.562222153629786</v>
      </c>
      <c r="L1383" s="16" t="n">
        <v>13.003079783041</v>
      </c>
      <c r="M1383" s="19" t="n">
        <v>0.573940692197823</v>
      </c>
      <c r="N1383" s="19" t="n">
        <v>0.915076178922622</v>
      </c>
      <c r="O1383" s="19" t="n">
        <v>0.850819393186854</v>
      </c>
      <c r="P1383" s="19" t="n">
        <v>0.541288368501853</v>
      </c>
      <c r="Q1383" s="17" t="s">
        <v>29</v>
      </c>
      <c r="R1383" s="5" t="str">
        <f aca="false">IF(OR(Q1383="Steel plate",Q1383="Concrete jacket"),"Steel plate or jacket",Q1383)</f>
        <v>Monitor</v>
      </c>
      <c r="S1383" s="5" t="str">
        <f aca="false">IF(O1383&lt;='Tree rules'!$C$4,IF(N1383&lt;='Tree rules'!$C$5,IF(P1383&lt;='Tree rules'!$C$6,"Monitor","Polymer laminate"),IF(P1383&lt;='Tree rules'!$C$7,"Seal cracks","Polymer laminate")),IF(O1383&lt;='Tree rules'!$C$8,IF(M1383&lt;='Tree rules'!$C$9,"Steel plate or jacket","Polymer laminate"),IF(L1383&lt;='Tree rules'!$C$10,"Steel plate or jacket","Polymer laminate")))</f>
        <v>Monitor</v>
      </c>
      <c r="T1383" s="5" t="str">
        <f aca="false">IF(S1383=R1383,"Yes","No")</f>
        <v>Yes</v>
      </c>
    </row>
    <row r="1384" customFormat="false" ht="15" hidden="false" customHeight="false" outlineLevel="0" collapsed="false">
      <c r="A1384" s="15" t="n">
        <v>1973</v>
      </c>
      <c r="B1384" s="16" t="n">
        <v>7.35591278743683</v>
      </c>
      <c r="C1384" s="15" t="n">
        <v>300</v>
      </c>
      <c r="D1384" s="15" t="n">
        <v>675</v>
      </c>
      <c r="E1384" s="15" t="n">
        <v>25</v>
      </c>
      <c r="F1384" s="16" t="n">
        <v>0.63930661313115</v>
      </c>
      <c r="G1384" s="17" t="s">
        <v>91</v>
      </c>
      <c r="H1384" s="18" t="n">
        <v>0.2</v>
      </c>
      <c r="I1384" s="18" t="n">
        <v>2</v>
      </c>
      <c r="J1384" s="19" t="n">
        <v>0.871223639540578</v>
      </c>
      <c r="K1384" s="19" t="n">
        <v>0.586938812121465</v>
      </c>
      <c r="L1384" s="16" t="n">
        <v>11.6946149243829</v>
      </c>
      <c r="M1384" s="19" t="n">
        <v>0.878491330631486</v>
      </c>
      <c r="N1384" s="19" t="n">
        <v>1.08149204310856</v>
      </c>
      <c r="O1384" s="19" t="n">
        <v>1.23109231099707</v>
      </c>
      <c r="P1384" s="19" t="n">
        <v>0.465883925525814</v>
      </c>
      <c r="Q1384" s="17" t="s">
        <v>31</v>
      </c>
      <c r="R1384" s="5" t="str">
        <f aca="false">IF(OR(Q1384="Steel plate",Q1384="Concrete jacket"),"Steel plate or jacket",Q1384)</f>
        <v>Polymer laminate</v>
      </c>
      <c r="S1384" s="5" t="str">
        <f aca="false">IF(O1384&lt;='Tree rules'!$C$4,IF(N1384&lt;='Tree rules'!$C$5,IF(P1384&lt;='Tree rules'!$C$6,"Monitor","Polymer laminate"),IF(P1384&lt;='Tree rules'!$C$7,"Seal cracks","Polymer laminate")),IF(O1384&lt;='Tree rules'!$C$8,IF(M1384&lt;='Tree rules'!$C$9,"Steel plate or jacket","Polymer laminate"),IF(L1384&lt;='Tree rules'!$C$10,"Steel plate or jacket","Polymer laminate")))</f>
        <v>Polymer laminate</v>
      </c>
      <c r="T1384" s="5" t="str">
        <f aca="false">IF(S1384=R1384,"Yes","No")</f>
        <v>Yes</v>
      </c>
    </row>
    <row r="1385" customFormat="false" ht="15" hidden="false" customHeight="false" outlineLevel="0" collapsed="false">
      <c r="A1385" s="15" t="n">
        <v>1976</v>
      </c>
      <c r="B1385" s="16" t="n">
        <v>4.97133454375344</v>
      </c>
      <c r="C1385" s="15" t="n">
        <v>300</v>
      </c>
      <c r="D1385" s="15" t="n">
        <v>400</v>
      </c>
      <c r="E1385" s="15" t="n">
        <v>30</v>
      </c>
      <c r="F1385" s="16" t="n">
        <v>0.594998608634431</v>
      </c>
      <c r="G1385" s="17" t="s">
        <v>89</v>
      </c>
      <c r="H1385" s="18" t="n">
        <v>0.3</v>
      </c>
      <c r="I1385" s="18" t="n">
        <v>1</v>
      </c>
      <c r="J1385" s="19" t="n">
        <v>0.876653646455865</v>
      </c>
      <c r="K1385" s="19" t="n">
        <v>0.484085321114849</v>
      </c>
      <c r="L1385" s="16" t="n">
        <v>14.1231094992995</v>
      </c>
      <c r="M1385" s="19" t="n">
        <v>0.94534737958206</v>
      </c>
      <c r="N1385" s="19" t="n">
        <v>0.878289950039344</v>
      </c>
      <c r="O1385" s="19" t="n">
        <v>0.876653646455865</v>
      </c>
      <c r="P1385" s="19" t="n">
        <v>0.313453479300143</v>
      </c>
      <c r="Q1385" s="17" t="s">
        <v>29</v>
      </c>
      <c r="R1385" s="5" t="str">
        <f aca="false">IF(OR(Q1385="Steel plate",Q1385="Concrete jacket"),"Steel plate or jacket",Q1385)</f>
        <v>Monitor</v>
      </c>
      <c r="S1385" s="5" t="str">
        <f aca="false">IF(O1385&lt;='Tree rules'!$C$4,IF(N1385&lt;='Tree rules'!$C$5,IF(P1385&lt;='Tree rules'!$C$6,"Monitor","Polymer laminate"),IF(P1385&lt;='Tree rules'!$C$7,"Seal cracks","Polymer laminate")),IF(O1385&lt;='Tree rules'!$C$8,IF(M1385&lt;='Tree rules'!$C$9,"Steel plate or jacket","Polymer laminate"),IF(L1385&lt;='Tree rules'!$C$10,"Steel plate or jacket","Polymer laminate")))</f>
        <v>Monitor</v>
      </c>
      <c r="T1385" s="5" t="str">
        <f aca="false">IF(S1385=R1385,"Yes","No")</f>
        <v>Yes</v>
      </c>
    </row>
    <row r="1386" customFormat="false" ht="15" hidden="false" customHeight="false" outlineLevel="0" collapsed="false">
      <c r="A1386" s="15" t="n">
        <v>1978</v>
      </c>
      <c r="B1386" s="16" t="n">
        <v>6.95714293182656</v>
      </c>
      <c r="C1386" s="15" t="n">
        <v>300</v>
      </c>
      <c r="D1386" s="15" t="n">
        <v>575</v>
      </c>
      <c r="E1386" s="15" t="n">
        <v>30</v>
      </c>
      <c r="F1386" s="16" t="n">
        <v>0.596127638252333</v>
      </c>
      <c r="G1386" s="17" t="s">
        <v>89</v>
      </c>
      <c r="H1386" s="18" t="n">
        <v>0.3</v>
      </c>
      <c r="I1386" s="18" t="n">
        <v>1</v>
      </c>
      <c r="J1386" s="19" t="n">
        <v>0.923871196542304</v>
      </c>
      <c r="K1386" s="19" t="n">
        <v>0.595336230376183</v>
      </c>
      <c r="L1386" s="16" t="n">
        <v>13.2014097378113</v>
      </c>
      <c r="M1386" s="19" t="n">
        <v>0.618211403275432</v>
      </c>
      <c r="N1386" s="19" t="n">
        <v>0.746526052767317</v>
      </c>
      <c r="O1386" s="19" t="n">
        <v>0.923871196542304</v>
      </c>
      <c r="P1386" s="19" t="n">
        <v>0.547929218746006</v>
      </c>
      <c r="Q1386" s="17" t="s">
        <v>29</v>
      </c>
      <c r="R1386" s="5" t="str">
        <f aca="false">IF(OR(Q1386="Steel plate",Q1386="Concrete jacket"),"Steel plate or jacket",Q1386)</f>
        <v>Monitor</v>
      </c>
      <c r="S1386" s="5" t="str">
        <f aca="false">IF(O1386&lt;='Tree rules'!$C$4,IF(N1386&lt;='Tree rules'!$C$5,IF(P1386&lt;='Tree rules'!$C$6,"Monitor","Polymer laminate"),IF(P1386&lt;='Tree rules'!$C$7,"Seal cracks","Polymer laminate")),IF(O1386&lt;='Tree rules'!$C$8,IF(M1386&lt;='Tree rules'!$C$9,"Steel plate or jacket","Polymer laminate"),IF(L1386&lt;='Tree rules'!$C$10,"Steel plate or jacket","Polymer laminate")))</f>
        <v>Monitor</v>
      </c>
      <c r="T1386" s="5" t="str">
        <f aca="false">IF(S1386=R1386,"Yes","No")</f>
        <v>Yes</v>
      </c>
    </row>
    <row r="1387" customFormat="false" ht="15" hidden="false" customHeight="false" outlineLevel="0" collapsed="false">
      <c r="A1387" s="15" t="n">
        <v>1979</v>
      </c>
      <c r="B1387" s="16" t="n">
        <v>5.37515392255449</v>
      </c>
      <c r="C1387" s="15" t="n">
        <v>300</v>
      </c>
      <c r="D1387" s="15" t="n">
        <v>450</v>
      </c>
      <c r="E1387" s="15" t="n">
        <v>30</v>
      </c>
      <c r="F1387" s="16" t="n">
        <v>0.663570725510715</v>
      </c>
      <c r="G1387" s="17" t="s">
        <v>89</v>
      </c>
      <c r="H1387" s="18" t="n">
        <v>0.3</v>
      </c>
      <c r="I1387" s="18" t="n">
        <v>1</v>
      </c>
      <c r="J1387" s="19" t="n">
        <v>0.997505850962337</v>
      </c>
      <c r="K1387" s="19" t="n">
        <v>0.464585563618115</v>
      </c>
      <c r="L1387" s="16" t="n">
        <v>13.3048364419666</v>
      </c>
      <c r="M1387" s="19" t="n">
        <v>0.425871616286066</v>
      </c>
      <c r="N1387" s="19" t="n">
        <v>0.74231138908133</v>
      </c>
      <c r="O1387" s="19" t="n">
        <v>0.997505850962337</v>
      </c>
      <c r="P1387" s="19" t="n">
        <v>0.773588607019367</v>
      </c>
      <c r="Q1387" s="17" t="s">
        <v>29</v>
      </c>
      <c r="R1387" s="5" t="str">
        <f aca="false">IF(OR(Q1387="Steel plate",Q1387="Concrete jacket"),"Steel plate or jacket",Q1387)</f>
        <v>Monitor</v>
      </c>
      <c r="S1387" s="5" t="str">
        <f aca="false">IF(O1387&lt;='Tree rules'!$C$4,IF(N1387&lt;='Tree rules'!$C$5,IF(P1387&lt;='Tree rules'!$C$6,"Monitor","Polymer laminate"),IF(P1387&lt;='Tree rules'!$C$7,"Seal cracks","Polymer laminate")),IF(O1387&lt;='Tree rules'!$C$8,IF(M1387&lt;='Tree rules'!$C$9,"Steel plate or jacket","Polymer laminate"),IF(L1387&lt;='Tree rules'!$C$10,"Steel plate or jacket","Polymer laminate")))</f>
        <v>Monitor</v>
      </c>
      <c r="T1387" s="5" t="str">
        <f aca="false">IF(S1387=R1387,"Yes","No")</f>
        <v>Yes</v>
      </c>
    </row>
    <row r="1388" customFormat="false" ht="15" hidden="false" customHeight="false" outlineLevel="0" collapsed="false">
      <c r="A1388" s="15" t="n">
        <v>1981</v>
      </c>
      <c r="B1388" s="16" t="n">
        <v>7.19203615492727</v>
      </c>
      <c r="C1388" s="15" t="n">
        <v>230</v>
      </c>
      <c r="D1388" s="15" t="n">
        <v>625</v>
      </c>
      <c r="E1388" s="15" t="n">
        <v>30</v>
      </c>
      <c r="F1388" s="16" t="n">
        <v>0.710178431223674</v>
      </c>
      <c r="G1388" s="17" t="s">
        <v>89</v>
      </c>
      <c r="H1388" s="18" t="n">
        <v>0.3</v>
      </c>
      <c r="I1388" s="18" t="n">
        <v>1</v>
      </c>
      <c r="J1388" s="19" t="n">
        <v>0.91483434247905</v>
      </c>
      <c r="K1388" s="19" t="n">
        <v>0.604000136895601</v>
      </c>
      <c r="L1388" s="16" t="n">
        <v>12.4645340639987</v>
      </c>
      <c r="M1388" s="19" t="n">
        <v>0.906287053479482</v>
      </c>
      <c r="N1388" s="19" t="n">
        <v>0.592368289143577</v>
      </c>
      <c r="O1388" s="19" t="n">
        <v>0.91483434247905</v>
      </c>
      <c r="P1388" s="19" t="n">
        <v>0.430425473428024</v>
      </c>
      <c r="Q1388" s="17" t="s">
        <v>29</v>
      </c>
      <c r="R1388" s="5" t="str">
        <f aca="false">IF(OR(Q1388="Steel plate",Q1388="Concrete jacket"),"Steel plate or jacket",Q1388)</f>
        <v>Monitor</v>
      </c>
      <c r="S1388" s="5" t="str">
        <f aca="false">IF(O1388&lt;='Tree rules'!$C$4,IF(N1388&lt;='Tree rules'!$C$5,IF(P1388&lt;='Tree rules'!$C$6,"Monitor","Polymer laminate"),IF(P1388&lt;='Tree rules'!$C$7,"Seal cracks","Polymer laminate")),IF(O1388&lt;='Tree rules'!$C$8,IF(M1388&lt;='Tree rules'!$C$9,"Steel plate or jacket","Polymer laminate"),IF(L1388&lt;='Tree rules'!$C$10,"Steel plate or jacket","Polymer laminate")))</f>
        <v>Monitor</v>
      </c>
      <c r="T1388" s="5" t="str">
        <f aca="false">IF(S1388=R1388,"Yes","No")</f>
        <v>Yes</v>
      </c>
    </row>
    <row r="1389" customFormat="false" ht="15" hidden="false" customHeight="false" outlineLevel="0" collapsed="false">
      <c r="A1389" s="15" t="n">
        <v>1982</v>
      </c>
      <c r="B1389" s="16" t="n">
        <v>5.52361620240771</v>
      </c>
      <c r="C1389" s="15" t="n">
        <v>300</v>
      </c>
      <c r="D1389" s="15" t="n">
        <v>475</v>
      </c>
      <c r="E1389" s="15" t="n">
        <v>30</v>
      </c>
      <c r="F1389" s="16" t="n">
        <v>0.624901102811956</v>
      </c>
      <c r="G1389" s="17" t="s">
        <v>91</v>
      </c>
      <c r="H1389" s="18" t="n">
        <v>0.2</v>
      </c>
      <c r="I1389" s="18" t="n">
        <v>1</v>
      </c>
      <c r="J1389" s="19" t="n">
        <v>0.854518100178081</v>
      </c>
      <c r="K1389" s="19" t="n">
        <v>0.431181673247028</v>
      </c>
      <c r="L1389" s="16" t="n">
        <v>12.8755622433746</v>
      </c>
      <c r="M1389" s="19" t="n">
        <v>0.443511032323009</v>
      </c>
      <c r="N1389" s="19" t="n">
        <v>0.938023204885932</v>
      </c>
      <c r="O1389" s="19" t="n">
        <v>0.854518100178081</v>
      </c>
      <c r="P1389" s="19" t="n">
        <v>0.587494767749711</v>
      </c>
      <c r="Q1389" s="17" t="s">
        <v>29</v>
      </c>
      <c r="R1389" s="5" t="str">
        <f aca="false">IF(OR(Q1389="Steel plate",Q1389="Concrete jacket"),"Steel plate or jacket",Q1389)</f>
        <v>Monitor</v>
      </c>
      <c r="S1389" s="5" t="str">
        <f aca="false">IF(O1389&lt;='Tree rules'!$C$4,IF(N1389&lt;='Tree rules'!$C$5,IF(P1389&lt;='Tree rules'!$C$6,"Monitor","Polymer laminate"),IF(P1389&lt;='Tree rules'!$C$7,"Seal cracks","Polymer laminate")),IF(O1389&lt;='Tree rules'!$C$8,IF(M1389&lt;='Tree rules'!$C$9,"Steel plate or jacket","Polymer laminate"),IF(L1389&lt;='Tree rules'!$C$10,"Steel plate or jacket","Polymer laminate")))</f>
        <v>Monitor</v>
      </c>
      <c r="T1389" s="5" t="str">
        <f aca="false">IF(S1389=R1389,"Yes","No")</f>
        <v>Yes</v>
      </c>
    </row>
    <row r="1390" customFormat="false" ht="15" hidden="false" customHeight="false" outlineLevel="0" collapsed="false">
      <c r="A1390" s="15" t="n">
        <v>1985</v>
      </c>
      <c r="B1390" s="16" t="n">
        <v>3.50068753586866</v>
      </c>
      <c r="C1390" s="15" t="n">
        <v>300</v>
      </c>
      <c r="D1390" s="15" t="n">
        <v>350</v>
      </c>
      <c r="E1390" s="15" t="n">
        <v>30</v>
      </c>
      <c r="F1390" s="16" t="n">
        <v>0.693508312050727</v>
      </c>
      <c r="G1390" s="17" t="s">
        <v>91</v>
      </c>
      <c r="H1390" s="18" t="n">
        <v>0.2</v>
      </c>
      <c r="I1390" s="18" t="n">
        <v>1.5</v>
      </c>
      <c r="J1390" s="19" t="n">
        <v>0.896360066248856</v>
      </c>
      <c r="K1390" s="19" t="n">
        <v>0.48546088785657</v>
      </c>
      <c r="L1390" s="16" t="n">
        <v>11.5916805823466</v>
      </c>
      <c r="M1390" s="19" t="n">
        <v>0.764734477585114</v>
      </c>
      <c r="N1390" s="19" t="n">
        <v>1.8422346597257</v>
      </c>
      <c r="O1390" s="19" t="n">
        <v>1.12696622257311</v>
      </c>
      <c r="P1390" s="19" t="n">
        <v>0.381672956703948</v>
      </c>
      <c r="Q1390" s="17" t="s">
        <v>31</v>
      </c>
      <c r="R1390" s="5" t="str">
        <f aca="false">IF(OR(Q1390="Steel plate",Q1390="Concrete jacket"),"Steel plate or jacket",Q1390)</f>
        <v>Polymer laminate</v>
      </c>
      <c r="S1390" s="5" t="str">
        <f aca="false">IF(O1390&lt;='Tree rules'!$C$4,IF(N1390&lt;='Tree rules'!$C$5,IF(P1390&lt;='Tree rules'!$C$6,"Monitor","Polymer laminate"),IF(P1390&lt;='Tree rules'!$C$7,"Seal cracks","Polymer laminate")),IF(O1390&lt;='Tree rules'!$C$8,IF(M1390&lt;='Tree rules'!$C$9,"Steel plate or jacket","Polymer laminate"),IF(L1390&lt;='Tree rules'!$C$10,"Steel plate or jacket","Polymer laminate")))</f>
        <v>Polymer laminate</v>
      </c>
      <c r="T1390" s="5" t="str">
        <f aca="false">IF(S1390=R1390,"Yes","No")</f>
        <v>Yes</v>
      </c>
    </row>
    <row r="1391" customFormat="false" ht="15" hidden="false" customHeight="false" outlineLevel="0" collapsed="false">
      <c r="A1391" s="15" t="n">
        <v>1986</v>
      </c>
      <c r="B1391" s="16" t="n">
        <v>5.55148014180897</v>
      </c>
      <c r="C1391" s="15" t="n">
        <v>230</v>
      </c>
      <c r="D1391" s="15" t="n">
        <v>525</v>
      </c>
      <c r="E1391" s="15" t="n">
        <v>20</v>
      </c>
      <c r="F1391" s="16" t="n">
        <v>0.565204075608359</v>
      </c>
      <c r="G1391" s="17" t="s">
        <v>90</v>
      </c>
      <c r="H1391" s="18" t="n">
        <v>0.1</v>
      </c>
      <c r="I1391" s="18" t="n">
        <v>2</v>
      </c>
      <c r="J1391" s="19" t="n">
        <v>0.898405962755129</v>
      </c>
      <c r="K1391" s="19" t="n">
        <v>0.474169009099978</v>
      </c>
      <c r="L1391" s="16" t="n">
        <v>11.9643968573469</v>
      </c>
      <c r="M1391" s="19" t="n">
        <v>0.914288168209376</v>
      </c>
      <c r="N1391" s="19" t="n">
        <v>3.43466858524398</v>
      </c>
      <c r="O1391" s="19" t="n">
        <v>1.37081566038115</v>
      </c>
      <c r="P1391" s="19" t="n">
        <v>0.385895181971108</v>
      </c>
      <c r="Q1391" s="17" t="s">
        <v>31</v>
      </c>
      <c r="R1391" s="5" t="str">
        <f aca="false">IF(OR(Q1391="Steel plate",Q1391="Concrete jacket"),"Steel plate or jacket",Q1391)</f>
        <v>Polymer laminate</v>
      </c>
      <c r="S1391" s="5" t="str">
        <f aca="false">IF(O1391&lt;='Tree rules'!$C$4,IF(N1391&lt;='Tree rules'!$C$5,IF(P1391&lt;='Tree rules'!$C$6,"Monitor","Polymer laminate"),IF(P1391&lt;='Tree rules'!$C$7,"Seal cracks","Polymer laminate")),IF(O1391&lt;='Tree rules'!$C$8,IF(M1391&lt;='Tree rules'!$C$9,"Steel plate or jacket","Polymer laminate"),IF(L1391&lt;='Tree rules'!$C$10,"Steel plate or jacket","Polymer laminate")))</f>
        <v>Steel plate or jacket</v>
      </c>
      <c r="T1391" s="5" t="str">
        <f aca="false">IF(S1391=R1391,"Yes","No")</f>
        <v>No</v>
      </c>
    </row>
    <row r="1392" customFormat="false" ht="15" hidden="false" customHeight="false" outlineLevel="0" collapsed="false">
      <c r="A1392" s="15" t="n">
        <v>1987</v>
      </c>
      <c r="B1392" s="16" t="n">
        <v>6.45358182757661</v>
      </c>
      <c r="C1392" s="15" t="n">
        <v>300</v>
      </c>
      <c r="D1392" s="15" t="n">
        <v>600</v>
      </c>
      <c r="E1392" s="15" t="n">
        <v>30</v>
      </c>
      <c r="F1392" s="16" t="n">
        <v>0.758838805214926</v>
      </c>
      <c r="G1392" s="17" t="s">
        <v>89</v>
      </c>
      <c r="H1392" s="18" t="n">
        <v>0.3</v>
      </c>
      <c r="I1392" s="18" t="n">
        <v>1</v>
      </c>
      <c r="J1392" s="19" t="n">
        <v>0.870766270324408</v>
      </c>
      <c r="K1392" s="19" t="n">
        <v>0.614133153084472</v>
      </c>
      <c r="L1392" s="16" t="n">
        <v>11.6912714267692</v>
      </c>
      <c r="M1392" s="19" t="n">
        <v>0.755644762009347</v>
      </c>
      <c r="N1392" s="19" t="n">
        <v>0.584986626669689</v>
      </c>
      <c r="O1392" s="19" t="n">
        <v>0.870766270324408</v>
      </c>
      <c r="P1392" s="19" t="n">
        <v>0.47856526478732</v>
      </c>
      <c r="Q1392" s="17" t="s">
        <v>29</v>
      </c>
      <c r="R1392" s="5" t="str">
        <f aca="false">IF(OR(Q1392="Steel plate",Q1392="Concrete jacket"),"Steel plate or jacket",Q1392)</f>
        <v>Monitor</v>
      </c>
      <c r="S1392" s="5" t="str">
        <f aca="false">IF(O1392&lt;='Tree rules'!$C$4,IF(N1392&lt;='Tree rules'!$C$5,IF(P1392&lt;='Tree rules'!$C$6,"Monitor","Polymer laminate"),IF(P1392&lt;='Tree rules'!$C$7,"Seal cracks","Polymer laminate")),IF(O1392&lt;='Tree rules'!$C$8,IF(M1392&lt;='Tree rules'!$C$9,"Steel plate or jacket","Polymer laminate"),IF(L1392&lt;='Tree rules'!$C$10,"Steel plate or jacket","Polymer laminate")))</f>
        <v>Monitor</v>
      </c>
      <c r="T1392" s="5" t="str">
        <f aca="false">IF(S1392=R1392,"Yes","No")</f>
        <v>Yes</v>
      </c>
    </row>
    <row r="1393" customFormat="false" ht="15" hidden="false" customHeight="false" outlineLevel="0" collapsed="false">
      <c r="A1393" s="15" t="n">
        <v>1988</v>
      </c>
      <c r="B1393" s="16" t="n">
        <v>5.03757735259328</v>
      </c>
      <c r="C1393" s="15" t="n">
        <v>230</v>
      </c>
      <c r="D1393" s="15" t="n">
        <v>475</v>
      </c>
      <c r="E1393" s="15" t="n">
        <v>30</v>
      </c>
      <c r="F1393" s="16" t="n">
        <v>0.639770421258486</v>
      </c>
      <c r="G1393" s="17" t="s">
        <v>89</v>
      </c>
      <c r="H1393" s="18" t="n">
        <v>0.3</v>
      </c>
      <c r="I1393" s="18" t="n">
        <v>1</v>
      </c>
      <c r="J1393" s="19" t="n">
        <v>0.943698384931719</v>
      </c>
      <c r="K1393" s="19" t="n">
        <v>0.598740637829037</v>
      </c>
      <c r="L1393" s="16" t="n">
        <v>11.7976050412021</v>
      </c>
      <c r="M1393" s="19" t="n">
        <v>0.34816662063306</v>
      </c>
      <c r="N1393" s="19" t="n">
        <v>0.935998873575118</v>
      </c>
      <c r="O1393" s="19" t="n">
        <v>0.943698384931719</v>
      </c>
      <c r="P1393" s="19" t="n">
        <v>0.851263041231264</v>
      </c>
      <c r="Q1393" s="17" t="s">
        <v>29</v>
      </c>
      <c r="R1393" s="5" t="str">
        <f aca="false">IF(OR(Q1393="Steel plate",Q1393="Concrete jacket"),"Steel plate or jacket",Q1393)</f>
        <v>Monitor</v>
      </c>
      <c r="S1393" s="5" t="str">
        <f aca="false">IF(O1393&lt;='Tree rules'!$C$4,IF(N1393&lt;='Tree rules'!$C$5,IF(P1393&lt;='Tree rules'!$C$6,"Monitor","Polymer laminate"),IF(P1393&lt;='Tree rules'!$C$7,"Seal cracks","Polymer laminate")),IF(O1393&lt;='Tree rules'!$C$8,IF(M1393&lt;='Tree rules'!$C$9,"Steel plate or jacket","Polymer laminate"),IF(L1393&lt;='Tree rules'!$C$10,"Steel plate or jacket","Polymer laminate")))</f>
        <v>Monitor</v>
      </c>
      <c r="T1393" s="5" t="str">
        <f aca="false">IF(S1393=R1393,"Yes","No")</f>
        <v>Yes</v>
      </c>
    </row>
    <row r="1394" customFormat="false" ht="15" hidden="false" customHeight="false" outlineLevel="0" collapsed="false">
      <c r="A1394" s="15" t="n">
        <v>1989</v>
      </c>
      <c r="B1394" s="16" t="n">
        <v>4.73007737914023</v>
      </c>
      <c r="C1394" s="15" t="n">
        <v>230</v>
      </c>
      <c r="D1394" s="15" t="n">
        <v>450</v>
      </c>
      <c r="E1394" s="15" t="n">
        <v>20</v>
      </c>
      <c r="F1394" s="16" t="n">
        <v>0.649145274956135</v>
      </c>
      <c r="G1394" s="17" t="s">
        <v>91</v>
      </c>
      <c r="H1394" s="18" t="n">
        <v>0.2</v>
      </c>
      <c r="I1394" s="18" t="n">
        <v>1.5</v>
      </c>
      <c r="J1394" s="19" t="n">
        <v>0.921937148711392</v>
      </c>
      <c r="K1394" s="19" t="n">
        <v>0.583453029084019</v>
      </c>
      <c r="L1394" s="16" t="n">
        <v>11.7081123246045</v>
      </c>
      <c r="M1394" s="19" t="n">
        <v>0.566428258197429</v>
      </c>
      <c r="N1394" s="19" t="n">
        <v>1.19740184110372</v>
      </c>
      <c r="O1394" s="19" t="n">
        <v>1.11395221204672</v>
      </c>
      <c r="P1394" s="19" t="n">
        <v>0.660891177218419</v>
      </c>
      <c r="Q1394" s="17" t="s">
        <v>31</v>
      </c>
      <c r="R1394" s="5" t="str">
        <f aca="false">IF(OR(Q1394="Steel plate",Q1394="Concrete jacket"),"Steel plate or jacket",Q1394)</f>
        <v>Polymer laminate</v>
      </c>
      <c r="S1394" s="5" t="str">
        <f aca="false">IF(O1394&lt;='Tree rules'!$C$4,IF(N1394&lt;='Tree rules'!$C$5,IF(P1394&lt;='Tree rules'!$C$6,"Monitor","Polymer laminate"),IF(P1394&lt;='Tree rules'!$C$7,"Seal cracks","Polymer laminate")),IF(O1394&lt;='Tree rules'!$C$8,IF(M1394&lt;='Tree rules'!$C$9,"Steel plate or jacket","Polymer laminate"),IF(L1394&lt;='Tree rules'!$C$10,"Steel plate or jacket","Polymer laminate")))</f>
        <v>Polymer laminate</v>
      </c>
      <c r="T1394" s="5" t="str">
        <f aca="false">IF(S1394=R1394,"Yes","No")</f>
        <v>Yes</v>
      </c>
    </row>
    <row r="1395" customFormat="false" ht="15" hidden="false" customHeight="false" outlineLevel="0" collapsed="false">
      <c r="A1395" s="15" t="n">
        <v>1990</v>
      </c>
      <c r="B1395" s="16" t="n">
        <v>4.27768838000347</v>
      </c>
      <c r="C1395" s="15" t="n">
        <v>230</v>
      </c>
      <c r="D1395" s="15" t="n">
        <v>325</v>
      </c>
      <c r="E1395" s="15" t="n">
        <v>25</v>
      </c>
      <c r="F1395" s="16" t="n">
        <v>0.626653981080713</v>
      </c>
      <c r="G1395" s="17" t="s">
        <v>89</v>
      </c>
      <c r="H1395" s="18" t="n">
        <v>0.3</v>
      </c>
      <c r="I1395" s="18" t="n">
        <v>1.5</v>
      </c>
      <c r="J1395" s="19" t="n">
        <v>0.952101824182136</v>
      </c>
      <c r="K1395" s="19" t="n">
        <v>0.609736143709278</v>
      </c>
      <c r="L1395" s="16" t="n">
        <v>15.332216415783</v>
      </c>
      <c r="M1395" s="19" t="n">
        <v>0.866161390035335</v>
      </c>
      <c r="N1395" s="19" t="n">
        <v>0.998789201308743</v>
      </c>
      <c r="O1395" s="19" t="n">
        <v>1.13788728892551</v>
      </c>
      <c r="P1395" s="19" t="n">
        <v>0.475450772370762</v>
      </c>
      <c r="Q1395" s="17" t="s">
        <v>31</v>
      </c>
      <c r="R1395" s="5" t="str">
        <f aca="false">IF(OR(Q1395="Steel plate",Q1395="Concrete jacket"),"Steel plate or jacket",Q1395)</f>
        <v>Polymer laminate</v>
      </c>
      <c r="S1395" s="5" t="str">
        <f aca="false">IF(O1395&lt;='Tree rules'!$C$4,IF(N1395&lt;='Tree rules'!$C$5,IF(P1395&lt;='Tree rules'!$C$6,"Monitor","Polymer laminate"),IF(P1395&lt;='Tree rules'!$C$7,"Seal cracks","Polymer laminate")),IF(O1395&lt;='Tree rules'!$C$8,IF(M1395&lt;='Tree rules'!$C$9,"Steel plate or jacket","Polymer laminate"),IF(L1395&lt;='Tree rules'!$C$10,"Steel plate or jacket","Polymer laminate")))</f>
        <v>Polymer laminate</v>
      </c>
      <c r="T1395" s="5" t="str">
        <f aca="false">IF(S1395=R1395,"Yes","No")</f>
        <v>Yes</v>
      </c>
    </row>
    <row r="1396" customFormat="false" ht="15" hidden="false" customHeight="false" outlineLevel="0" collapsed="false">
      <c r="A1396" s="15" t="n">
        <v>1991</v>
      </c>
      <c r="B1396" s="16" t="n">
        <v>3.16402055975005</v>
      </c>
      <c r="C1396" s="15" t="n">
        <v>230</v>
      </c>
      <c r="D1396" s="15" t="n">
        <v>300</v>
      </c>
      <c r="E1396" s="15" t="n">
        <v>30</v>
      </c>
      <c r="F1396" s="16" t="n">
        <v>0.576243217710084</v>
      </c>
      <c r="G1396" s="17" t="s">
        <v>89</v>
      </c>
      <c r="H1396" s="18" t="n">
        <v>0.3</v>
      </c>
      <c r="I1396" s="18" t="n">
        <v>1.5</v>
      </c>
      <c r="J1396" s="19" t="n">
        <v>0.890937127794361</v>
      </c>
      <c r="K1396" s="19" t="n">
        <v>0.480688260648768</v>
      </c>
      <c r="L1396" s="16" t="n">
        <v>12.3594553115236</v>
      </c>
      <c r="M1396" s="19" t="n">
        <v>0.88431324260542</v>
      </c>
      <c r="N1396" s="19" t="n">
        <v>0.770361317822762</v>
      </c>
      <c r="O1396" s="19" t="n">
        <v>1.1222741825381</v>
      </c>
      <c r="P1396" s="19" t="n">
        <v>0.28276467875059</v>
      </c>
      <c r="Q1396" s="17" t="s">
        <v>31</v>
      </c>
      <c r="R1396" s="5" t="str">
        <f aca="false">IF(OR(Q1396="Steel plate",Q1396="Concrete jacket"),"Steel plate or jacket",Q1396)</f>
        <v>Polymer laminate</v>
      </c>
      <c r="S1396" s="5" t="str">
        <f aca="false">IF(O1396&lt;='Tree rules'!$C$4,IF(N1396&lt;='Tree rules'!$C$5,IF(P1396&lt;='Tree rules'!$C$6,"Monitor","Polymer laminate"),IF(P1396&lt;='Tree rules'!$C$7,"Seal cracks","Polymer laminate")),IF(O1396&lt;='Tree rules'!$C$8,IF(M1396&lt;='Tree rules'!$C$9,"Steel plate or jacket","Polymer laminate"),IF(L1396&lt;='Tree rules'!$C$10,"Steel plate or jacket","Polymer laminate")))</f>
        <v>Polymer laminate</v>
      </c>
      <c r="T1396" s="5" t="str">
        <f aca="false">IF(S1396=R1396,"Yes","No")</f>
        <v>Yes</v>
      </c>
    </row>
    <row r="1397" customFormat="false" ht="15" hidden="false" customHeight="false" outlineLevel="0" collapsed="false">
      <c r="A1397" s="15" t="n">
        <v>1992</v>
      </c>
      <c r="B1397" s="16" t="n">
        <v>7.7344344390697</v>
      </c>
      <c r="C1397" s="15" t="n">
        <v>300</v>
      </c>
      <c r="D1397" s="15" t="n">
        <v>750</v>
      </c>
      <c r="E1397" s="15" t="n">
        <v>25</v>
      </c>
      <c r="F1397" s="16" t="n">
        <v>0.745867201706978</v>
      </c>
      <c r="G1397" s="17" t="s">
        <v>91</v>
      </c>
      <c r="H1397" s="18" t="n">
        <v>0.2</v>
      </c>
      <c r="I1397" s="18" t="n">
        <v>1</v>
      </c>
      <c r="J1397" s="19" t="n">
        <v>0.873153713205718</v>
      </c>
      <c r="K1397" s="19" t="n">
        <v>0.55535766176974</v>
      </c>
      <c r="L1397" s="16" t="n">
        <v>11.0177128761677</v>
      </c>
      <c r="M1397" s="19" t="n">
        <v>0.690446965094463</v>
      </c>
      <c r="N1397" s="19" t="n">
        <v>0.799474048115388</v>
      </c>
      <c r="O1397" s="19" t="n">
        <v>0.873153713205718</v>
      </c>
      <c r="P1397" s="19" t="n">
        <v>0.509226568967328</v>
      </c>
      <c r="Q1397" s="17" t="s">
        <v>29</v>
      </c>
      <c r="R1397" s="5" t="str">
        <f aca="false">IF(OR(Q1397="Steel plate",Q1397="Concrete jacket"),"Steel plate or jacket",Q1397)</f>
        <v>Monitor</v>
      </c>
      <c r="S1397" s="5" t="str">
        <f aca="false">IF(O1397&lt;='Tree rules'!$C$4,IF(N1397&lt;='Tree rules'!$C$5,IF(P1397&lt;='Tree rules'!$C$6,"Monitor","Polymer laminate"),IF(P1397&lt;='Tree rules'!$C$7,"Seal cracks","Polymer laminate")),IF(O1397&lt;='Tree rules'!$C$8,IF(M1397&lt;='Tree rules'!$C$9,"Steel plate or jacket","Polymer laminate"),IF(L1397&lt;='Tree rules'!$C$10,"Steel plate or jacket","Polymer laminate")))</f>
        <v>Monitor</v>
      </c>
      <c r="T1397" s="5" t="str">
        <f aca="false">IF(S1397=R1397,"Yes","No")</f>
        <v>Yes</v>
      </c>
    </row>
    <row r="1398" customFormat="false" ht="15" hidden="false" customHeight="false" outlineLevel="0" collapsed="false">
      <c r="A1398" s="15" t="n">
        <v>1994</v>
      </c>
      <c r="B1398" s="16" t="n">
        <v>6.50030508686803</v>
      </c>
      <c r="C1398" s="15" t="n">
        <v>300</v>
      </c>
      <c r="D1398" s="15" t="n">
        <v>625</v>
      </c>
      <c r="E1398" s="15" t="n">
        <v>25</v>
      </c>
      <c r="F1398" s="16" t="n">
        <v>0.725960174139756</v>
      </c>
      <c r="G1398" s="17" t="s">
        <v>89</v>
      </c>
      <c r="H1398" s="18" t="n">
        <v>0.3</v>
      </c>
      <c r="I1398" s="18" t="n">
        <v>1</v>
      </c>
      <c r="J1398" s="19" t="n">
        <v>0.967146364012643</v>
      </c>
      <c r="K1398" s="19" t="n">
        <v>0.440751968835445</v>
      </c>
      <c r="L1398" s="16" t="n">
        <v>11.2656933914524</v>
      </c>
      <c r="M1398" s="19" t="n">
        <v>0.830500510888017</v>
      </c>
      <c r="N1398" s="19" t="n">
        <v>0.632746612856683</v>
      </c>
      <c r="O1398" s="19" t="n">
        <v>0.967146364012643</v>
      </c>
      <c r="P1398" s="19" t="n">
        <v>0.419111632845431</v>
      </c>
      <c r="Q1398" s="17" t="s">
        <v>29</v>
      </c>
      <c r="R1398" s="5" t="str">
        <f aca="false">IF(OR(Q1398="Steel plate",Q1398="Concrete jacket"),"Steel plate or jacket",Q1398)</f>
        <v>Monitor</v>
      </c>
      <c r="S1398" s="5" t="str">
        <f aca="false">IF(O1398&lt;='Tree rules'!$C$4,IF(N1398&lt;='Tree rules'!$C$5,IF(P1398&lt;='Tree rules'!$C$6,"Monitor","Polymer laminate"),IF(P1398&lt;='Tree rules'!$C$7,"Seal cracks","Polymer laminate")),IF(O1398&lt;='Tree rules'!$C$8,IF(M1398&lt;='Tree rules'!$C$9,"Steel plate or jacket","Polymer laminate"),IF(L1398&lt;='Tree rules'!$C$10,"Steel plate or jacket","Polymer laminate")))</f>
        <v>Monitor</v>
      </c>
      <c r="T1398" s="5" t="str">
        <f aca="false">IF(S1398=R1398,"Yes","No")</f>
        <v>Yes</v>
      </c>
    </row>
    <row r="1399" customFormat="false" ht="15" hidden="false" customHeight="false" outlineLevel="0" collapsed="false">
      <c r="A1399" s="15" t="n">
        <v>1995</v>
      </c>
      <c r="B1399" s="16" t="n">
        <v>4.17484258838283</v>
      </c>
      <c r="C1399" s="15" t="n">
        <v>230</v>
      </c>
      <c r="D1399" s="15" t="n">
        <v>425</v>
      </c>
      <c r="E1399" s="15" t="n">
        <v>25</v>
      </c>
      <c r="F1399" s="16" t="n">
        <v>0.724620609754306</v>
      </c>
      <c r="G1399" s="17" t="s">
        <v>89</v>
      </c>
      <c r="H1399" s="18" t="n">
        <v>0.3</v>
      </c>
      <c r="I1399" s="18" t="n">
        <v>1.5</v>
      </c>
      <c r="J1399" s="19" t="n">
        <v>0.866007520328035</v>
      </c>
      <c r="K1399" s="19" t="n">
        <v>0.468450231340425</v>
      </c>
      <c r="L1399" s="16" t="n">
        <v>11.0738530195831</v>
      </c>
      <c r="M1399" s="19" t="n">
        <v>0.47857378861622</v>
      </c>
      <c r="N1399" s="19" t="n">
        <v>1.05327776216919</v>
      </c>
      <c r="O1399" s="19" t="n">
        <v>1.09617056887195</v>
      </c>
      <c r="P1399" s="19" t="n">
        <v>0.639670291585765</v>
      </c>
      <c r="Q1399" s="17" t="s">
        <v>31</v>
      </c>
      <c r="R1399" s="5" t="str">
        <f aca="false">IF(OR(Q1399="Steel plate",Q1399="Concrete jacket"),"Steel plate or jacket",Q1399)</f>
        <v>Polymer laminate</v>
      </c>
      <c r="S1399" s="5" t="str">
        <f aca="false">IF(O1399&lt;='Tree rules'!$C$4,IF(N1399&lt;='Tree rules'!$C$5,IF(P1399&lt;='Tree rules'!$C$6,"Monitor","Polymer laminate"),IF(P1399&lt;='Tree rules'!$C$7,"Seal cracks","Polymer laminate")),IF(O1399&lt;='Tree rules'!$C$8,IF(M1399&lt;='Tree rules'!$C$9,"Steel plate or jacket","Polymer laminate"),IF(L1399&lt;='Tree rules'!$C$10,"Steel plate or jacket","Polymer laminate")))</f>
        <v>Polymer laminate</v>
      </c>
      <c r="T1399" s="5" t="str">
        <f aca="false">IF(S1399=R1399,"Yes","No")</f>
        <v>Yes</v>
      </c>
    </row>
    <row r="1400" customFormat="false" ht="15" hidden="false" customHeight="false" outlineLevel="0" collapsed="false">
      <c r="A1400" s="15" t="n">
        <v>1996</v>
      </c>
      <c r="B1400" s="16" t="n">
        <v>3.44514723116433</v>
      </c>
      <c r="C1400" s="15" t="n">
        <v>230</v>
      </c>
      <c r="D1400" s="15" t="n">
        <v>300</v>
      </c>
      <c r="E1400" s="15" t="n">
        <v>20</v>
      </c>
      <c r="F1400" s="16" t="n">
        <v>0.688332522525665</v>
      </c>
      <c r="G1400" s="17" t="s">
        <v>89</v>
      </c>
      <c r="H1400" s="18" t="n">
        <v>0.3</v>
      </c>
      <c r="I1400" s="18" t="n">
        <v>1</v>
      </c>
      <c r="J1400" s="19" t="n">
        <v>0.899733027298712</v>
      </c>
      <c r="K1400" s="19" t="n">
        <v>0.526332258443959</v>
      </c>
      <c r="L1400" s="16" t="n">
        <v>13.5635717762375</v>
      </c>
      <c r="M1400" s="19" t="n">
        <v>0.928130267233743</v>
      </c>
      <c r="N1400" s="19" t="n">
        <v>0.74188850179255</v>
      </c>
      <c r="O1400" s="19" t="n">
        <v>0.899733027298712</v>
      </c>
      <c r="P1400" s="19" t="n">
        <v>0.362808995696657</v>
      </c>
      <c r="Q1400" s="17" t="s">
        <v>29</v>
      </c>
      <c r="R1400" s="5" t="str">
        <f aca="false">IF(OR(Q1400="Steel plate",Q1400="Concrete jacket"),"Steel plate or jacket",Q1400)</f>
        <v>Monitor</v>
      </c>
      <c r="S1400" s="5" t="str">
        <f aca="false">IF(O1400&lt;='Tree rules'!$C$4,IF(N1400&lt;='Tree rules'!$C$5,IF(P1400&lt;='Tree rules'!$C$6,"Monitor","Polymer laminate"),IF(P1400&lt;='Tree rules'!$C$7,"Seal cracks","Polymer laminate")),IF(O1400&lt;='Tree rules'!$C$8,IF(M1400&lt;='Tree rules'!$C$9,"Steel plate or jacket","Polymer laminate"),IF(L1400&lt;='Tree rules'!$C$10,"Steel plate or jacket","Polymer laminate")))</f>
        <v>Monitor</v>
      </c>
      <c r="T1400" s="5" t="str">
        <f aca="false">IF(S1400=R1400,"Yes","No")</f>
        <v>Yes</v>
      </c>
    </row>
    <row r="1401" customFormat="false" ht="15" hidden="false" customHeight="false" outlineLevel="0" collapsed="false">
      <c r="A1401" s="15" t="n">
        <v>1997</v>
      </c>
      <c r="B1401" s="16" t="n">
        <v>6.37919516729751</v>
      </c>
      <c r="C1401" s="15" t="n">
        <v>230</v>
      </c>
      <c r="D1401" s="15" t="n">
        <v>625</v>
      </c>
      <c r="E1401" s="15" t="n">
        <v>20</v>
      </c>
      <c r="F1401" s="16" t="n">
        <v>0.603925598347216</v>
      </c>
      <c r="G1401" s="17" t="s">
        <v>89</v>
      </c>
      <c r="H1401" s="18" t="n">
        <v>0.3</v>
      </c>
      <c r="I1401" s="18" t="n">
        <v>1</v>
      </c>
      <c r="J1401" s="19" t="n">
        <v>0.959942764743643</v>
      </c>
      <c r="K1401" s="19" t="n">
        <v>0.648414046980179</v>
      </c>
      <c r="L1401" s="16" t="n">
        <v>11.0176082336745</v>
      </c>
      <c r="M1401" s="19" t="n">
        <v>0.783175101825754</v>
      </c>
      <c r="N1401" s="19" t="n">
        <v>0.563420030863556</v>
      </c>
      <c r="O1401" s="19" t="n">
        <v>0.959942764743643</v>
      </c>
      <c r="P1401" s="19" t="n">
        <v>0.469764821804883</v>
      </c>
      <c r="Q1401" s="17" t="s">
        <v>29</v>
      </c>
      <c r="R1401" s="5" t="str">
        <f aca="false">IF(OR(Q1401="Steel plate",Q1401="Concrete jacket"),"Steel plate or jacket",Q1401)</f>
        <v>Monitor</v>
      </c>
      <c r="S1401" s="5" t="str">
        <f aca="false">IF(O1401&lt;='Tree rules'!$C$4,IF(N1401&lt;='Tree rules'!$C$5,IF(P1401&lt;='Tree rules'!$C$6,"Monitor","Polymer laminate"),IF(P1401&lt;='Tree rules'!$C$7,"Seal cracks","Polymer laminate")),IF(O1401&lt;='Tree rules'!$C$8,IF(M1401&lt;='Tree rules'!$C$9,"Steel plate or jacket","Polymer laminate"),IF(L1401&lt;='Tree rules'!$C$10,"Steel plate or jacket","Polymer laminate")))</f>
        <v>Monitor</v>
      </c>
      <c r="T1401" s="5" t="str">
        <f aca="false">IF(S1401=R1401,"Yes","No")</f>
        <v>Yes</v>
      </c>
    </row>
    <row r="1402" customFormat="false" ht="15" hidden="false" customHeight="false" outlineLevel="0" collapsed="false">
      <c r="A1402" s="15" t="n">
        <v>1998</v>
      </c>
      <c r="B1402" s="16" t="n">
        <v>4.68789258955693</v>
      </c>
      <c r="C1402" s="15" t="n">
        <v>300</v>
      </c>
      <c r="D1402" s="15" t="n">
        <v>425</v>
      </c>
      <c r="E1402" s="15" t="n">
        <v>30</v>
      </c>
      <c r="F1402" s="16" t="n">
        <v>0.707341881547042</v>
      </c>
      <c r="G1402" s="17" t="s">
        <v>89</v>
      </c>
      <c r="H1402" s="18" t="n">
        <v>0.3</v>
      </c>
      <c r="I1402" s="18" t="n">
        <v>1</v>
      </c>
      <c r="J1402" s="19" t="n">
        <v>0.956116366147002</v>
      </c>
      <c r="K1402" s="19" t="n">
        <v>0.583041882723582</v>
      </c>
      <c r="L1402" s="16" t="n">
        <v>12.3691097349787</v>
      </c>
      <c r="M1402" s="19" t="n">
        <v>0.472186199871139</v>
      </c>
      <c r="N1402" s="19" t="n">
        <v>0.707091032218961</v>
      </c>
      <c r="O1402" s="19" t="n">
        <v>0.956116366147002</v>
      </c>
      <c r="P1402" s="19" t="n">
        <v>0.715312687398427</v>
      </c>
      <c r="Q1402" s="17" t="s">
        <v>29</v>
      </c>
      <c r="R1402" s="5" t="str">
        <f aca="false">IF(OR(Q1402="Steel plate",Q1402="Concrete jacket"),"Steel plate or jacket",Q1402)</f>
        <v>Monitor</v>
      </c>
      <c r="S1402" s="5" t="str">
        <f aca="false">IF(O1402&lt;='Tree rules'!$C$4,IF(N1402&lt;='Tree rules'!$C$5,IF(P1402&lt;='Tree rules'!$C$6,"Monitor","Polymer laminate"),IF(P1402&lt;='Tree rules'!$C$7,"Seal cracks","Polymer laminate")),IF(O1402&lt;='Tree rules'!$C$8,IF(M1402&lt;='Tree rules'!$C$9,"Steel plate or jacket","Polymer laminate"),IF(L1402&lt;='Tree rules'!$C$10,"Steel plate or jacket","Polymer laminate")))</f>
        <v>Monitor</v>
      </c>
      <c r="T1402" s="5" t="str">
        <f aca="false">IF(S1402=R1402,"Yes","No")</f>
        <v>Yes</v>
      </c>
    </row>
    <row r="1403" customFormat="false" ht="15" hidden="false" customHeight="false" outlineLevel="0" collapsed="false">
      <c r="A1403" s="15" t="n">
        <v>2001</v>
      </c>
      <c r="B1403" s="16" t="n">
        <v>3.62044006587702</v>
      </c>
      <c r="C1403" s="15" t="n">
        <v>230</v>
      </c>
      <c r="D1403" s="15" t="n">
        <v>350</v>
      </c>
      <c r="E1403" s="15" t="n">
        <v>20</v>
      </c>
      <c r="F1403" s="16" t="n">
        <v>0.64278110559382</v>
      </c>
      <c r="G1403" s="17" t="s">
        <v>91</v>
      </c>
      <c r="H1403" s="18" t="n">
        <v>0.2</v>
      </c>
      <c r="I1403" s="18" t="n">
        <v>1.5</v>
      </c>
      <c r="J1403" s="19" t="n">
        <v>0.962308642391981</v>
      </c>
      <c r="K1403" s="19" t="n">
        <v>0.485826579919998</v>
      </c>
      <c r="L1403" s="16" t="n">
        <v>11.8315034832582</v>
      </c>
      <c r="M1403" s="19" t="n">
        <v>0.663064598978832</v>
      </c>
      <c r="N1403" s="19" t="n">
        <v>1.19151713104848</v>
      </c>
      <c r="O1403" s="19" t="n">
        <v>1.2097054053076</v>
      </c>
      <c r="P1403" s="19" t="n">
        <v>0.521320227381024</v>
      </c>
      <c r="Q1403" s="17" t="s">
        <v>31</v>
      </c>
      <c r="R1403" s="5" t="str">
        <f aca="false">IF(OR(Q1403="Steel plate",Q1403="Concrete jacket"),"Steel plate or jacket",Q1403)</f>
        <v>Polymer laminate</v>
      </c>
      <c r="S1403" s="5" t="str">
        <f aca="false">IF(O1403&lt;='Tree rules'!$C$4,IF(N1403&lt;='Tree rules'!$C$5,IF(P1403&lt;='Tree rules'!$C$6,"Monitor","Polymer laminate"),IF(P1403&lt;='Tree rules'!$C$7,"Seal cracks","Polymer laminate")),IF(O1403&lt;='Tree rules'!$C$8,IF(M1403&lt;='Tree rules'!$C$9,"Steel plate or jacket","Polymer laminate"),IF(L1403&lt;='Tree rules'!$C$10,"Steel plate or jacket","Polymer laminate")))</f>
        <v>Polymer laminate</v>
      </c>
      <c r="T1403" s="5" t="str">
        <f aca="false">IF(S1403=R1403,"Yes","No")</f>
        <v>Yes</v>
      </c>
    </row>
    <row r="1404" customFormat="false" ht="15" hidden="false" customHeight="false" outlineLevel="0" collapsed="false">
      <c r="A1404" s="15" t="n">
        <v>2003</v>
      </c>
      <c r="B1404" s="16" t="n">
        <v>6.56219771539388</v>
      </c>
      <c r="C1404" s="15" t="n">
        <v>230</v>
      </c>
      <c r="D1404" s="15" t="n">
        <v>600</v>
      </c>
      <c r="E1404" s="15" t="n">
        <v>30</v>
      </c>
      <c r="F1404" s="16" t="n">
        <v>0.63117855856144</v>
      </c>
      <c r="G1404" s="17" t="s">
        <v>89</v>
      </c>
      <c r="H1404" s="18" t="n">
        <v>0.3</v>
      </c>
      <c r="I1404" s="18" t="n">
        <v>1</v>
      </c>
      <c r="J1404" s="19" t="n">
        <v>0.973428085486579</v>
      </c>
      <c r="K1404" s="19" t="n">
        <v>0.553656573228114</v>
      </c>
      <c r="L1404" s="16" t="n">
        <v>11.8451222299529</v>
      </c>
      <c r="M1404" s="19" t="n">
        <v>0.377241460002803</v>
      </c>
      <c r="N1404" s="19" t="n">
        <v>0.65010071324191</v>
      </c>
      <c r="O1404" s="19" t="n">
        <v>0.973428085486579</v>
      </c>
      <c r="P1404" s="19" t="n">
        <v>0.841880897187388</v>
      </c>
      <c r="Q1404" s="17" t="s">
        <v>29</v>
      </c>
      <c r="R1404" s="5" t="str">
        <f aca="false">IF(OR(Q1404="Steel plate",Q1404="Concrete jacket"),"Steel plate or jacket",Q1404)</f>
        <v>Monitor</v>
      </c>
      <c r="S1404" s="5" t="str">
        <f aca="false">IF(O1404&lt;='Tree rules'!$C$4,IF(N1404&lt;='Tree rules'!$C$5,IF(P1404&lt;='Tree rules'!$C$6,"Monitor","Polymer laminate"),IF(P1404&lt;='Tree rules'!$C$7,"Seal cracks","Polymer laminate")),IF(O1404&lt;='Tree rules'!$C$8,IF(M1404&lt;='Tree rules'!$C$9,"Steel plate or jacket","Polymer laminate"),IF(L1404&lt;='Tree rules'!$C$10,"Steel plate or jacket","Polymer laminate")))</f>
        <v>Monitor</v>
      </c>
      <c r="T1404" s="5" t="str">
        <f aca="false">IF(S1404=R1404,"Yes","No")</f>
        <v>Yes</v>
      </c>
    </row>
    <row r="1405" customFormat="false" ht="15" hidden="false" customHeight="false" outlineLevel="0" collapsed="false">
      <c r="A1405" s="15" t="n">
        <v>2004</v>
      </c>
      <c r="B1405" s="16" t="n">
        <v>4.36583707247374</v>
      </c>
      <c r="C1405" s="15" t="n">
        <v>230</v>
      </c>
      <c r="D1405" s="15" t="n">
        <v>350</v>
      </c>
      <c r="E1405" s="15" t="n">
        <v>30</v>
      </c>
      <c r="F1405" s="16" t="n">
        <v>0.64278110559382</v>
      </c>
      <c r="G1405" s="17" t="s">
        <v>89</v>
      </c>
      <c r="H1405" s="18" t="n">
        <v>0.3</v>
      </c>
      <c r="I1405" s="18" t="n">
        <v>1</v>
      </c>
      <c r="J1405" s="19" t="n">
        <v>0.878380284002538</v>
      </c>
      <c r="K1405" s="19" t="n">
        <v>0.478970586412663</v>
      </c>
      <c r="L1405" s="16" t="n">
        <v>14.2674414133129</v>
      </c>
      <c r="M1405" s="19" t="n">
        <v>0.532378176238426</v>
      </c>
      <c r="N1405" s="19" t="n">
        <v>0.58651187353402</v>
      </c>
      <c r="O1405" s="19" t="n">
        <v>0.878380284002538</v>
      </c>
      <c r="P1405" s="19" t="n">
        <v>0.538225563099815</v>
      </c>
      <c r="Q1405" s="17" t="s">
        <v>29</v>
      </c>
      <c r="R1405" s="5" t="str">
        <f aca="false">IF(OR(Q1405="Steel plate",Q1405="Concrete jacket"),"Steel plate or jacket",Q1405)</f>
        <v>Monitor</v>
      </c>
      <c r="S1405" s="5" t="str">
        <f aca="false">IF(O1405&lt;='Tree rules'!$C$4,IF(N1405&lt;='Tree rules'!$C$5,IF(P1405&lt;='Tree rules'!$C$6,"Monitor","Polymer laminate"),IF(P1405&lt;='Tree rules'!$C$7,"Seal cracks","Polymer laminate")),IF(O1405&lt;='Tree rules'!$C$8,IF(M1405&lt;='Tree rules'!$C$9,"Steel plate or jacket","Polymer laminate"),IF(L1405&lt;='Tree rules'!$C$10,"Steel plate or jacket","Polymer laminate")))</f>
        <v>Monitor</v>
      </c>
      <c r="T1405" s="5" t="str">
        <f aca="false">IF(S1405=R1405,"Yes","No")</f>
        <v>Yes</v>
      </c>
    </row>
    <row r="1406" customFormat="false" ht="15" hidden="false" customHeight="false" outlineLevel="0" collapsed="false">
      <c r="A1406" s="15" t="n">
        <v>2005</v>
      </c>
      <c r="B1406" s="16" t="n">
        <v>6.00167753128812</v>
      </c>
      <c r="C1406" s="15" t="n">
        <v>300</v>
      </c>
      <c r="D1406" s="15" t="n">
        <v>525</v>
      </c>
      <c r="E1406" s="15" t="n">
        <v>20</v>
      </c>
      <c r="F1406" s="16" t="n">
        <v>0.55967134260194</v>
      </c>
      <c r="G1406" s="17" t="s">
        <v>91</v>
      </c>
      <c r="H1406" s="18" t="n">
        <v>0.2</v>
      </c>
      <c r="I1406" s="18" t="n">
        <v>1</v>
      </c>
      <c r="J1406" s="19" t="n">
        <v>0.961576738813507</v>
      </c>
      <c r="K1406" s="19" t="n">
        <v>0.474187229282554</v>
      </c>
      <c r="L1406" s="16" t="n">
        <v>12.5295981864053</v>
      </c>
      <c r="M1406" s="19" t="n">
        <v>0.769824892296901</v>
      </c>
      <c r="N1406" s="19" t="n">
        <v>0.943358176155849</v>
      </c>
      <c r="O1406" s="19" t="n">
        <v>0.961576738813507</v>
      </c>
      <c r="P1406" s="19" t="n">
        <v>0.431753172066255</v>
      </c>
      <c r="Q1406" s="17" t="s">
        <v>29</v>
      </c>
      <c r="R1406" s="5" t="str">
        <f aca="false">IF(OR(Q1406="Steel plate",Q1406="Concrete jacket"),"Steel plate or jacket",Q1406)</f>
        <v>Monitor</v>
      </c>
      <c r="S1406" s="5" t="str">
        <f aca="false">IF(O1406&lt;='Tree rules'!$C$4,IF(N1406&lt;='Tree rules'!$C$5,IF(P1406&lt;='Tree rules'!$C$6,"Monitor","Polymer laminate"),IF(P1406&lt;='Tree rules'!$C$7,"Seal cracks","Polymer laminate")),IF(O1406&lt;='Tree rules'!$C$8,IF(M1406&lt;='Tree rules'!$C$9,"Steel plate or jacket","Polymer laminate"),IF(L1406&lt;='Tree rules'!$C$10,"Steel plate or jacket","Polymer laminate")))</f>
        <v>Monitor</v>
      </c>
      <c r="T1406" s="5" t="str">
        <f aca="false">IF(S1406=R1406,"Yes","No")</f>
        <v>Yes</v>
      </c>
    </row>
    <row r="1407" customFormat="false" ht="15" hidden="false" customHeight="false" outlineLevel="0" collapsed="false">
      <c r="A1407" s="15" t="n">
        <v>2007</v>
      </c>
      <c r="B1407" s="16" t="n">
        <v>4.04432610706694</v>
      </c>
      <c r="C1407" s="15" t="n">
        <v>300</v>
      </c>
      <c r="D1407" s="15" t="n">
        <v>375</v>
      </c>
      <c r="E1407" s="15" t="n">
        <v>30</v>
      </c>
      <c r="F1407" s="16" t="n">
        <v>0.640487798897002</v>
      </c>
      <c r="G1407" s="17" t="s">
        <v>89</v>
      </c>
      <c r="H1407" s="18" t="n">
        <v>0.3</v>
      </c>
      <c r="I1407" s="18" t="n">
        <v>2</v>
      </c>
      <c r="J1407" s="19" t="n">
        <v>0.907043192084308</v>
      </c>
      <c r="K1407" s="19" t="n">
        <v>0.40692853392831</v>
      </c>
      <c r="L1407" s="16" t="n">
        <v>12.3679697463821</v>
      </c>
      <c r="M1407" s="19" t="n">
        <v>0.93152999687289</v>
      </c>
      <c r="N1407" s="19" t="n">
        <v>1.57920574805612</v>
      </c>
      <c r="O1407" s="19" t="n">
        <v>1.44498462780409</v>
      </c>
      <c r="P1407" s="19" t="n">
        <v>0.363439234865884</v>
      </c>
      <c r="Q1407" s="17" t="s">
        <v>31</v>
      </c>
      <c r="R1407" s="5" t="str">
        <f aca="false">IF(OR(Q1407="Steel plate",Q1407="Concrete jacket"),"Steel plate or jacket",Q1407)</f>
        <v>Polymer laminate</v>
      </c>
      <c r="S1407" s="5" t="str">
        <f aca="false">IF(O1407&lt;='Tree rules'!$C$4,IF(N1407&lt;='Tree rules'!$C$5,IF(P1407&lt;='Tree rules'!$C$6,"Monitor","Polymer laminate"),IF(P1407&lt;='Tree rules'!$C$7,"Seal cracks","Polymer laminate")),IF(O1407&lt;='Tree rules'!$C$8,IF(M1407&lt;='Tree rules'!$C$9,"Steel plate or jacket","Polymer laminate"),IF(L1407&lt;='Tree rules'!$C$10,"Steel plate or jacket","Polymer laminate")))</f>
        <v>Steel plate or jacket</v>
      </c>
      <c r="T1407" s="5" t="str">
        <f aca="false">IF(S1407=R1407,"Yes","No")</f>
        <v>No</v>
      </c>
    </row>
    <row r="1408" customFormat="false" ht="15" hidden="false" customHeight="false" outlineLevel="0" collapsed="false">
      <c r="A1408" s="15" t="n">
        <v>2009</v>
      </c>
      <c r="B1408" s="16" t="n">
        <v>5.0079447462999</v>
      </c>
      <c r="C1408" s="15" t="n">
        <v>300</v>
      </c>
      <c r="D1408" s="15" t="n">
        <v>450</v>
      </c>
      <c r="E1408" s="15" t="n">
        <v>30</v>
      </c>
      <c r="F1408" s="16" t="n">
        <v>1.04198761313094</v>
      </c>
      <c r="G1408" s="17" t="s">
        <v>91</v>
      </c>
      <c r="H1408" s="18" t="n">
        <v>0.2</v>
      </c>
      <c r="I1408" s="18" t="n">
        <v>1</v>
      </c>
      <c r="J1408" s="19" t="n">
        <v>0.866062867318249</v>
      </c>
      <c r="K1408" s="19" t="n">
        <v>0.413118766901016</v>
      </c>
      <c r="L1408" s="16" t="n">
        <v>12.4575739957709</v>
      </c>
      <c r="M1408" s="19" t="n">
        <v>0.909572218133799</v>
      </c>
      <c r="N1408" s="19" t="n">
        <v>0.872303236775799</v>
      </c>
      <c r="O1408" s="19" t="n">
        <v>0.866062867318249</v>
      </c>
      <c r="P1408" s="19" t="n">
        <v>0.436517635435699</v>
      </c>
      <c r="Q1408" s="17" t="s">
        <v>29</v>
      </c>
      <c r="R1408" s="5" t="str">
        <f aca="false">IF(OR(Q1408="Steel plate",Q1408="Concrete jacket"),"Steel plate or jacket",Q1408)</f>
        <v>Monitor</v>
      </c>
      <c r="S1408" s="5" t="str">
        <f aca="false">IF(O1408&lt;='Tree rules'!$C$4,IF(N1408&lt;='Tree rules'!$C$5,IF(P1408&lt;='Tree rules'!$C$6,"Monitor","Polymer laminate"),IF(P1408&lt;='Tree rules'!$C$7,"Seal cracks","Polymer laminate")),IF(O1408&lt;='Tree rules'!$C$8,IF(M1408&lt;='Tree rules'!$C$9,"Steel plate or jacket","Polymer laminate"),IF(L1408&lt;='Tree rules'!$C$10,"Steel plate or jacket","Polymer laminate")))</f>
        <v>Monitor</v>
      </c>
      <c r="T1408" s="5" t="str">
        <f aca="false">IF(S1408=R1408,"Yes","No")</f>
        <v>Yes</v>
      </c>
    </row>
    <row r="1409" customFormat="false" ht="15" hidden="false" customHeight="false" outlineLevel="0" collapsed="false">
      <c r="A1409" s="15" t="n">
        <v>2010</v>
      </c>
      <c r="B1409" s="16" t="n">
        <v>6.30144112204592</v>
      </c>
      <c r="C1409" s="15" t="n">
        <v>230</v>
      </c>
      <c r="D1409" s="15" t="n">
        <v>525</v>
      </c>
      <c r="E1409" s="15" t="n">
        <v>20</v>
      </c>
      <c r="F1409" s="16" t="n">
        <v>0.57270853223768</v>
      </c>
      <c r="G1409" s="17" t="s">
        <v>89</v>
      </c>
      <c r="H1409" s="18" t="n">
        <v>0.3</v>
      </c>
      <c r="I1409" s="18" t="n">
        <v>1</v>
      </c>
      <c r="J1409" s="19" t="n">
        <v>0.914252542489302</v>
      </c>
      <c r="K1409" s="19" t="n">
        <v>0.441158035063252</v>
      </c>
      <c r="L1409" s="16" t="n">
        <v>13.2105683900334</v>
      </c>
      <c r="M1409" s="19" t="n">
        <v>0.342209579774002</v>
      </c>
      <c r="N1409" s="19" t="n">
        <v>0.898533401521659</v>
      </c>
      <c r="O1409" s="19" t="n">
        <v>0.914252542489302</v>
      </c>
      <c r="P1409" s="19" t="n">
        <v>0.89835004118027</v>
      </c>
      <c r="Q1409" s="17" t="s">
        <v>29</v>
      </c>
      <c r="R1409" s="5" t="str">
        <f aca="false">IF(OR(Q1409="Steel plate",Q1409="Concrete jacket"),"Steel plate or jacket",Q1409)</f>
        <v>Monitor</v>
      </c>
      <c r="S1409" s="5" t="str">
        <f aca="false">IF(O1409&lt;='Tree rules'!$C$4,IF(N1409&lt;='Tree rules'!$C$5,IF(P1409&lt;='Tree rules'!$C$6,"Monitor","Polymer laminate"),IF(P1409&lt;='Tree rules'!$C$7,"Seal cracks","Polymer laminate")),IF(O1409&lt;='Tree rules'!$C$8,IF(M1409&lt;='Tree rules'!$C$9,"Steel plate or jacket","Polymer laminate"),IF(L1409&lt;='Tree rules'!$C$10,"Steel plate or jacket","Polymer laminate")))</f>
        <v>Monitor</v>
      </c>
      <c r="T1409" s="5" t="str">
        <f aca="false">IF(S1409=R1409,"Yes","No")</f>
        <v>Yes</v>
      </c>
    </row>
    <row r="1410" customFormat="false" ht="15" hidden="false" customHeight="false" outlineLevel="0" collapsed="false">
      <c r="A1410" s="15" t="n">
        <v>2011</v>
      </c>
      <c r="B1410" s="16" t="n">
        <v>4.71592249388131</v>
      </c>
      <c r="C1410" s="15" t="n">
        <v>300</v>
      </c>
      <c r="D1410" s="15" t="n">
        <v>425</v>
      </c>
      <c r="E1410" s="15" t="n">
        <v>25</v>
      </c>
      <c r="F1410" s="16" t="n">
        <v>0.555542467478301</v>
      </c>
      <c r="G1410" s="17" t="s">
        <v>89</v>
      </c>
      <c r="H1410" s="18" t="n">
        <v>0.3</v>
      </c>
      <c r="I1410" s="18" t="n">
        <v>2</v>
      </c>
      <c r="J1410" s="19" t="n">
        <v>0.897607041780405</v>
      </c>
      <c r="K1410" s="19" t="n">
        <v>0.629972144467955</v>
      </c>
      <c r="L1410" s="16" t="n">
        <v>12.5090782331069</v>
      </c>
      <c r="M1410" s="19" t="n">
        <v>0.933558423496763</v>
      </c>
      <c r="N1410" s="19" t="n">
        <v>1.30766313763732</v>
      </c>
      <c r="O1410" s="19" t="n">
        <v>1.22974665056087</v>
      </c>
      <c r="P1410" s="19" t="n">
        <v>0.37969889514219</v>
      </c>
      <c r="Q1410" s="17" t="s">
        <v>31</v>
      </c>
      <c r="R1410" s="5" t="str">
        <f aca="false">IF(OR(Q1410="Steel plate",Q1410="Concrete jacket"),"Steel plate or jacket",Q1410)</f>
        <v>Polymer laminate</v>
      </c>
      <c r="S1410" s="5" t="str">
        <f aca="false">IF(O1410&lt;='Tree rules'!$C$4,IF(N1410&lt;='Tree rules'!$C$5,IF(P1410&lt;='Tree rules'!$C$6,"Monitor","Polymer laminate"),IF(P1410&lt;='Tree rules'!$C$7,"Seal cracks","Polymer laminate")),IF(O1410&lt;='Tree rules'!$C$8,IF(M1410&lt;='Tree rules'!$C$9,"Steel plate or jacket","Polymer laminate"),IF(L1410&lt;='Tree rules'!$C$10,"Steel plate or jacket","Polymer laminate")))</f>
        <v>Polymer laminate</v>
      </c>
      <c r="T1410" s="5" t="str">
        <f aca="false">IF(S1410=R1410,"Yes","No")</f>
        <v>Yes</v>
      </c>
    </row>
    <row r="1411" customFormat="false" ht="15" hidden="false" customHeight="false" outlineLevel="0" collapsed="false">
      <c r="A1411" s="15" t="n">
        <v>2012</v>
      </c>
      <c r="B1411" s="16" t="n">
        <v>7.19716488094423</v>
      </c>
      <c r="C1411" s="15" t="n">
        <v>230</v>
      </c>
      <c r="D1411" s="15" t="n">
        <v>575</v>
      </c>
      <c r="E1411" s="15" t="n">
        <v>30</v>
      </c>
      <c r="F1411" s="16" t="n">
        <v>0.661007412935799</v>
      </c>
      <c r="G1411" s="17" t="s">
        <v>89</v>
      </c>
      <c r="H1411" s="18" t="n">
        <v>0.3</v>
      </c>
      <c r="I1411" s="18" t="n">
        <v>1</v>
      </c>
      <c r="J1411" s="19" t="n">
        <v>0.882315463586056</v>
      </c>
      <c r="K1411" s="19" t="n">
        <v>0.408990357380116</v>
      </c>
      <c r="L1411" s="16" t="n">
        <v>13.605226618042</v>
      </c>
      <c r="M1411" s="19" t="n">
        <v>0.894999552746275</v>
      </c>
      <c r="N1411" s="19" t="n">
        <v>0.517289848589856</v>
      </c>
      <c r="O1411" s="19" t="n">
        <v>0.882315463586056</v>
      </c>
      <c r="P1411" s="19" t="n">
        <v>0.37012007877987</v>
      </c>
      <c r="Q1411" s="17" t="s">
        <v>29</v>
      </c>
      <c r="R1411" s="5" t="str">
        <f aca="false">IF(OR(Q1411="Steel plate",Q1411="Concrete jacket"),"Steel plate or jacket",Q1411)</f>
        <v>Monitor</v>
      </c>
      <c r="S1411" s="5" t="str">
        <f aca="false">IF(O1411&lt;='Tree rules'!$C$4,IF(N1411&lt;='Tree rules'!$C$5,IF(P1411&lt;='Tree rules'!$C$6,"Monitor","Polymer laminate"),IF(P1411&lt;='Tree rules'!$C$7,"Seal cracks","Polymer laminate")),IF(O1411&lt;='Tree rules'!$C$8,IF(M1411&lt;='Tree rules'!$C$9,"Steel plate or jacket","Polymer laminate"),IF(L1411&lt;='Tree rules'!$C$10,"Steel plate or jacket","Polymer laminate")))</f>
        <v>Monitor</v>
      </c>
      <c r="T1411" s="5" t="str">
        <f aca="false">IF(S1411=R1411,"Yes","No")</f>
        <v>Yes</v>
      </c>
    </row>
    <row r="1412" customFormat="false" ht="15" hidden="false" customHeight="false" outlineLevel="0" collapsed="false">
      <c r="A1412" s="15" t="n">
        <v>2013</v>
      </c>
      <c r="B1412" s="16" t="n">
        <v>4.07708499835044</v>
      </c>
      <c r="C1412" s="15" t="n">
        <v>300</v>
      </c>
      <c r="D1412" s="15" t="n">
        <v>375</v>
      </c>
      <c r="E1412" s="15" t="n">
        <v>20</v>
      </c>
      <c r="F1412" s="16" t="n">
        <v>0.569472988566126</v>
      </c>
      <c r="G1412" s="17" t="s">
        <v>89</v>
      </c>
      <c r="H1412" s="18" t="n">
        <v>0.3</v>
      </c>
      <c r="I1412" s="18" t="n">
        <v>1</v>
      </c>
      <c r="J1412" s="19" t="n">
        <v>0.905157536411133</v>
      </c>
      <c r="K1412" s="19" t="n">
        <v>0.595033936923301</v>
      </c>
      <c r="L1412" s="16" t="n">
        <v>12.3174773364062</v>
      </c>
      <c r="M1412" s="19" t="n">
        <v>0.947469519749577</v>
      </c>
      <c r="N1412" s="19" t="n">
        <v>0.525880965013813</v>
      </c>
      <c r="O1412" s="19" t="n">
        <v>0.905157536411133</v>
      </c>
      <c r="P1412" s="19" t="n">
        <v>0.336512829344482</v>
      </c>
      <c r="Q1412" s="17" t="s">
        <v>29</v>
      </c>
      <c r="R1412" s="5" t="str">
        <f aca="false">IF(OR(Q1412="Steel plate",Q1412="Concrete jacket"),"Steel plate or jacket",Q1412)</f>
        <v>Monitor</v>
      </c>
      <c r="S1412" s="5" t="str">
        <f aca="false">IF(O1412&lt;='Tree rules'!$C$4,IF(N1412&lt;='Tree rules'!$C$5,IF(P1412&lt;='Tree rules'!$C$6,"Monitor","Polymer laminate"),IF(P1412&lt;='Tree rules'!$C$7,"Seal cracks","Polymer laminate")),IF(O1412&lt;='Tree rules'!$C$8,IF(M1412&lt;='Tree rules'!$C$9,"Steel plate or jacket","Polymer laminate"),IF(L1412&lt;='Tree rules'!$C$10,"Steel plate or jacket","Polymer laminate")))</f>
        <v>Monitor</v>
      </c>
      <c r="T1412" s="5" t="str">
        <f aca="false">IF(S1412=R1412,"Yes","No")</f>
        <v>Yes</v>
      </c>
    </row>
    <row r="1413" customFormat="false" ht="15" hidden="false" customHeight="false" outlineLevel="0" collapsed="false">
      <c r="A1413" s="15" t="n">
        <v>2014</v>
      </c>
      <c r="B1413" s="16" t="n">
        <v>7.49888819873227</v>
      </c>
      <c r="C1413" s="15" t="n">
        <v>300</v>
      </c>
      <c r="D1413" s="15" t="n">
        <v>600</v>
      </c>
      <c r="E1413" s="15" t="n">
        <v>25</v>
      </c>
      <c r="F1413" s="16" t="n">
        <v>0.604879451954714</v>
      </c>
      <c r="G1413" s="17" t="s">
        <v>89</v>
      </c>
      <c r="H1413" s="18" t="n">
        <v>0.3</v>
      </c>
      <c r="I1413" s="18" t="n">
        <v>1</v>
      </c>
      <c r="J1413" s="19" t="n">
        <v>0.859545503762182</v>
      </c>
      <c r="K1413" s="19" t="n">
        <v>0.531987643301395</v>
      </c>
      <c r="L1413" s="16" t="n">
        <v>13.53589927569</v>
      </c>
      <c r="M1413" s="19" t="n">
        <v>0.923177870600114</v>
      </c>
      <c r="N1413" s="19" t="n">
        <v>0.493655256889778</v>
      </c>
      <c r="O1413" s="19" t="n">
        <v>0.859545503762182</v>
      </c>
      <c r="P1413" s="19" t="n">
        <v>0.386817747546055</v>
      </c>
      <c r="Q1413" s="17" t="s">
        <v>29</v>
      </c>
      <c r="R1413" s="5" t="str">
        <f aca="false">IF(OR(Q1413="Steel plate",Q1413="Concrete jacket"),"Steel plate or jacket",Q1413)</f>
        <v>Monitor</v>
      </c>
      <c r="S1413" s="5" t="str">
        <f aca="false">IF(O1413&lt;='Tree rules'!$C$4,IF(N1413&lt;='Tree rules'!$C$5,IF(P1413&lt;='Tree rules'!$C$6,"Monitor","Polymer laminate"),IF(P1413&lt;='Tree rules'!$C$7,"Seal cracks","Polymer laminate")),IF(O1413&lt;='Tree rules'!$C$8,IF(M1413&lt;='Tree rules'!$C$9,"Steel plate or jacket","Polymer laminate"),IF(L1413&lt;='Tree rules'!$C$10,"Steel plate or jacket","Polymer laminate")))</f>
        <v>Monitor</v>
      </c>
      <c r="T1413" s="5" t="str">
        <f aca="false">IF(S1413=R1413,"Yes","No")</f>
        <v>Yes</v>
      </c>
    </row>
    <row r="1414" customFormat="false" ht="15" hidden="false" customHeight="false" outlineLevel="0" collapsed="false">
      <c r="A1414" s="15" t="n">
        <v>2016</v>
      </c>
      <c r="B1414" s="16" t="n">
        <v>4.4857867149534</v>
      </c>
      <c r="C1414" s="15" t="n">
        <v>300</v>
      </c>
      <c r="D1414" s="15" t="n">
        <v>400</v>
      </c>
      <c r="E1414" s="15" t="n">
        <v>25</v>
      </c>
      <c r="F1414" s="16" t="n">
        <v>0.55277290092489</v>
      </c>
      <c r="G1414" s="17" t="s">
        <v>90</v>
      </c>
      <c r="H1414" s="18" t="n">
        <v>0.1</v>
      </c>
      <c r="I1414" s="18" t="n">
        <v>1.5</v>
      </c>
      <c r="J1414" s="19" t="n">
        <v>0.92659245824096</v>
      </c>
      <c r="K1414" s="19" t="n">
        <v>0.553762410918591</v>
      </c>
      <c r="L1414" s="16" t="n">
        <v>13.1547997505965</v>
      </c>
      <c r="M1414" s="19" t="n">
        <v>0.416855284178299</v>
      </c>
      <c r="N1414" s="19" t="n">
        <v>3.1533512565027</v>
      </c>
      <c r="O1414" s="19" t="n">
        <v>1.13333265055419</v>
      </c>
      <c r="P1414" s="19" t="n">
        <v>0.684907628791397</v>
      </c>
      <c r="Q1414" s="17" t="s">
        <v>31</v>
      </c>
      <c r="R1414" s="5" t="str">
        <f aca="false">IF(OR(Q1414="Steel plate",Q1414="Concrete jacket"),"Steel plate or jacket",Q1414)</f>
        <v>Polymer laminate</v>
      </c>
      <c r="S1414" s="5" t="str">
        <f aca="false">IF(O1414&lt;='Tree rules'!$C$4,IF(N1414&lt;='Tree rules'!$C$5,IF(P1414&lt;='Tree rules'!$C$6,"Monitor","Polymer laminate"),IF(P1414&lt;='Tree rules'!$C$7,"Seal cracks","Polymer laminate")),IF(O1414&lt;='Tree rules'!$C$8,IF(M1414&lt;='Tree rules'!$C$9,"Steel plate or jacket","Polymer laminate"),IF(L1414&lt;='Tree rules'!$C$10,"Steel plate or jacket","Polymer laminate")))</f>
        <v>Polymer laminate</v>
      </c>
      <c r="T1414" s="5" t="str">
        <f aca="false">IF(S1414=R1414,"Yes","No")</f>
        <v>Yes</v>
      </c>
    </row>
    <row r="1415" customFormat="false" ht="15" hidden="false" customHeight="false" outlineLevel="0" collapsed="false">
      <c r="A1415" s="15" t="n">
        <v>2017</v>
      </c>
      <c r="B1415" s="16" t="n">
        <v>3.16037528790212</v>
      </c>
      <c r="C1415" s="15" t="n">
        <v>300</v>
      </c>
      <c r="D1415" s="15" t="n">
        <v>300</v>
      </c>
      <c r="E1415" s="15" t="n">
        <v>25</v>
      </c>
      <c r="F1415" s="16" t="n">
        <v>0.841263304726974</v>
      </c>
      <c r="G1415" s="17" t="s">
        <v>90</v>
      </c>
      <c r="H1415" s="18" t="n">
        <v>0.1</v>
      </c>
      <c r="I1415" s="18" t="n">
        <v>1</v>
      </c>
      <c r="J1415" s="19" t="n">
        <v>0.858203303192996</v>
      </c>
      <c r="K1415" s="19" t="n">
        <v>0.564897053383055</v>
      </c>
      <c r="L1415" s="16" t="n">
        <v>13.223327564444</v>
      </c>
      <c r="M1415" s="19" t="n">
        <v>0.232288932690451</v>
      </c>
      <c r="N1415" s="19" t="n">
        <v>2.86540713657428</v>
      </c>
      <c r="O1415" s="19" t="n">
        <v>0.858203303192996</v>
      </c>
      <c r="P1415" s="19" t="n">
        <v>1.18355764830757</v>
      </c>
      <c r="Q1415" s="17" t="s">
        <v>31</v>
      </c>
      <c r="R1415" s="5" t="str">
        <f aca="false">IF(OR(Q1415="Steel plate",Q1415="Concrete jacket"),"Steel plate or jacket",Q1415)</f>
        <v>Polymer laminate</v>
      </c>
      <c r="S1415" s="5" t="str">
        <f aca="false">IF(O1415&lt;='Tree rules'!$C$4,IF(N1415&lt;='Tree rules'!$C$5,IF(P1415&lt;='Tree rules'!$C$6,"Monitor","Polymer laminate"),IF(P1415&lt;='Tree rules'!$C$7,"Seal cracks","Polymer laminate")),IF(O1415&lt;='Tree rules'!$C$8,IF(M1415&lt;='Tree rules'!$C$9,"Steel plate or jacket","Polymer laminate"),IF(L1415&lt;='Tree rules'!$C$10,"Steel plate or jacket","Polymer laminate")))</f>
        <v>Polymer laminate</v>
      </c>
      <c r="T1415" s="5" t="str">
        <f aca="false">IF(S1415=R1415,"Yes","No")</f>
        <v>Yes</v>
      </c>
    </row>
    <row r="1416" customFormat="false" ht="15" hidden="false" customHeight="false" outlineLevel="0" collapsed="false">
      <c r="A1416" s="15" t="n">
        <v>2018</v>
      </c>
      <c r="B1416" s="16" t="n">
        <v>3.18350723661154</v>
      </c>
      <c r="C1416" s="15" t="n">
        <v>230</v>
      </c>
      <c r="D1416" s="15" t="n">
        <v>300</v>
      </c>
      <c r="E1416" s="15" t="n">
        <v>25</v>
      </c>
      <c r="F1416" s="16" t="n">
        <v>0.688332522525665</v>
      </c>
      <c r="G1416" s="17" t="s">
        <v>91</v>
      </c>
      <c r="H1416" s="18" t="n">
        <v>0.2</v>
      </c>
      <c r="I1416" s="18" t="n">
        <v>1.5</v>
      </c>
      <c r="J1416" s="19" t="n">
        <v>0.986203949746106</v>
      </c>
      <c r="K1416" s="19" t="n">
        <v>0.4901491219207</v>
      </c>
      <c r="L1416" s="16" t="n">
        <v>12.5334930575258</v>
      </c>
      <c r="M1416" s="19" t="n">
        <v>0.32694234803805</v>
      </c>
      <c r="N1416" s="19" t="n">
        <v>1.82500587147672</v>
      </c>
      <c r="O1416" s="19" t="n">
        <v>1.23761242461777</v>
      </c>
      <c r="P1416" s="19" t="n">
        <v>0.98408369501496</v>
      </c>
      <c r="Q1416" s="17" t="s">
        <v>31</v>
      </c>
      <c r="R1416" s="5" t="str">
        <f aca="false">IF(OR(Q1416="Steel plate",Q1416="Concrete jacket"),"Steel plate or jacket",Q1416)</f>
        <v>Polymer laminate</v>
      </c>
      <c r="S1416" s="5" t="str">
        <f aca="false">IF(O1416&lt;='Tree rules'!$C$4,IF(N1416&lt;='Tree rules'!$C$5,IF(P1416&lt;='Tree rules'!$C$6,"Monitor","Polymer laminate"),IF(P1416&lt;='Tree rules'!$C$7,"Seal cracks","Polymer laminate")),IF(O1416&lt;='Tree rules'!$C$8,IF(M1416&lt;='Tree rules'!$C$9,"Steel plate or jacket","Polymer laminate"),IF(L1416&lt;='Tree rules'!$C$10,"Steel plate or jacket","Polymer laminate")))</f>
        <v>Polymer laminate</v>
      </c>
      <c r="T1416" s="5" t="str">
        <f aca="false">IF(S1416=R1416,"Yes","No")</f>
        <v>Yes</v>
      </c>
    </row>
    <row r="1417" customFormat="false" ht="15" hidden="false" customHeight="false" outlineLevel="0" collapsed="false">
      <c r="A1417" s="15" t="n">
        <v>2020</v>
      </c>
      <c r="B1417" s="16" t="n">
        <v>3.30242255658103</v>
      </c>
      <c r="C1417" s="15" t="n">
        <v>300</v>
      </c>
      <c r="D1417" s="15" t="n">
        <v>300</v>
      </c>
      <c r="E1417" s="15" t="n">
        <v>30</v>
      </c>
      <c r="F1417" s="16" t="n">
        <v>0.736310778185108</v>
      </c>
      <c r="G1417" s="17" t="s">
        <v>91</v>
      </c>
      <c r="H1417" s="18" t="n">
        <v>0.2</v>
      </c>
      <c r="I1417" s="18" t="n">
        <v>1</v>
      </c>
      <c r="J1417" s="19" t="n">
        <v>0.947079520649543</v>
      </c>
      <c r="K1417" s="19" t="n">
        <v>0.542532227941947</v>
      </c>
      <c r="L1417" s="16" t="n">
        <v>12.9000881116447</v>
      </c>
      <c r="M1417" s="19" t="n">
        <v>0.690125176004759</v>
      </c>
      <c r="N1417" s="19" t="n">
        <v>0.962598139895802</v>
      </c>
      <c r="O1417" s="19" t="n">
        <v>0.947079520649543</v>
      </c>
      <c r="P1417" s="19" t="n">
        <v>0.458673367497164</v>
      </c>
      <c r="Q1417" s="17" t="s">
        <v>29</v>
      </c>
      <c r="R1417" s="5" t="str">
        <f aca="false">IF(OR(Q1417="Steel plate",Q1417="Concrete jacket"),"Steel plate or jacket",Q1417)</f>
        <v>Monitor</v>
      </c>
      <c r="S1417" s="5" t="str">
        <f aca="false">IF(O1417&lt;='Tree rules'!$C$4,IF(N1417&lt;='Tree rules'!$C$5,IF(P1417&lt;='Tree rules'!$C$6,"Monitor","Polymer laminate"),IF(P1417&lt;='Tree rules'!$C$7,"Seal cracks","Polymer laminate")),IF(O1417&lt;='Tree rules'!$C$8,IF(M1417&lt;='Tree rules'!$C$9,"Steel plate or jacket","Polymer laminate"),IF(L1417&lt;='Tree rules'!$C$10,"Steel plate or jacket","Polymer laminate")))</f>
        <v>Monitor</v>
      </c>
      <c r="T1417" s="5" t="str">
        <f aca="false">IF(S1417=R1417,"Yes","No")</f>
        <v>Yes</v>
      </c>
    </row>
    <row r="1418" customFormat="false" ht="15" hidden="false" customHeight="false" outlineLevel="0" collapsed="false">
      <c r="A1418" s="15" t="n">
        <v>2022</v>
      </c>
      <c r="B1418" s="16" t="n">
        <v>7.12055978092547</v>
      </c>
      <c r="C1418" s="15" t="n">
        <v>230</v>
      </c>
      <c r="D1418" s="15" t="n">
        <v>600</v>
      </c>
      <c r="E1418" s="15" t="n">
        <v>30</v>
      </c>
      <c r="F1418" s="16" t="n">
        <v>0.742342309449384</v>
      </c>
      <c r="G1418" s="17" t="s">
        <v>91</v>
      </c>
      <c r="H1418" s="18" t="n">
        <v>0.2</v>
      </c>
      <c r="I1418" s="18" t="n">
        <v>1</v>
      </c>
      <c r="J1418" s="19" t="n">
        <v>0.855606336278744</v>
      </c>
      <c r="K1418" s="19" t="n">
        <v>0.478802044701781</v>
      </c>
      <c r="L1418" s="16" t="n">
        <v>12.8995648205172</v>
      </c>
      <c r="M1418" s="19" t="n">
        <v>0.549541393621786</v>
      </c>
      <c r="N1418" s="19" t="n">
        <v>0.90352532659695</v>
      </c>
      <c r="O1418" s="19" t="n">
        <v>0.855606336278744</v>
      </c>
      <c r="P1418" s="19" t="n">
        <v>0.611013150134228</v>
      </c>
      <c r="Q1418" s="17" t="s">
        <v>29</v>
      </c>
      <c r="R1418" s="5" t="str">
        <f aca="false">IF(OR(Q1418="Steel plate",Q1418="Concrete jacket"),"Steel plate or jacket",Q1418)</f>
        <v>Monitor</v>
      </c>
      <c r="S1418" s="5" t="str">
        <f aca="false">IF(O1418&lt;='Tree rules'!$C$4,IF(N1418&lt;='Tree rules'!$C$5,IF(P1418&lt;='Tree rules'!$C$6,"Monitor","Polymer laminate"),IF(P1418&lt;='Tree rules'!$C$7,"Seal cracks","Polymer laminate")),IF(O1418&lt;='Tree rules'!$C$8,IF(M1418&lt;='Tree rules'!$C$9,"Steel plate or jacket","Polymer laminate"),IF(L1418&lt;='Tree rules'!$C$10,"Steel plate or jacket","Polymer laminate")))</f>
        <v>Monitor</v>
      </c>
      <c r="T1418" s="5" t="str">
        <f aca="false">IF(S1418=R1418,"Yes","No")</f>
        <v>Yes</v>
      </c>
    </row>
    <row r="1419" customFormat="false" ht="15" hidden="false" customHeight="false" outlineLevel="0" collapsed="false">
      <c r="A1419" s="15" t="n">
        <v>2023</v>
      </c>
      <c r="B1419" s="16" t="n">
        <v>4.02656066885753</v>
      </c>
      <c r="C1419" s="15" t="n">
        <v>230</v>
      </c>
      <c r="D1419" s="15" t="n">
        <v>350</v>
      </c>
      <c r="E1419" s="15" t="n">
        <v>25</v>
      </c>
      <c r="F1419" s="16" t="n">
        <v>0.575119936583944</v>
      </c>
      <c r="G1419" s="17" t="s">
        <v>89</v>
      </c>
      <c r="H1419" s="18" t="n">
        <v>0.3</v>
      </c>
      <c r="I1419" s="18" t="n">
        <v>1.5</v>
      </c>
      <c r="J1419" s="19" t="n">
        <v>0.867973013202563</v>
      </c>
      <c r="K1419" s="19" t="n">
        <v>0.439056228822353</v>
      </c>
      <c r="L1419" s="16" t="n">
        <v>13.245265358084</v>
      </c>
      <c r="M1419" s="19" t="n">
        <v>0.649570081367123</v>
      </c>
      <c r="N1419" s="19" t="n">
        <v>1.02032819475624</v>
      </c>
      <c r="O1419" s="19" t="n">
        <v>1.1114150408557</v>
      </c>
      <c r="P1419" s="19" t="n">
        <v>0.434969304109172</v>
      </c>
      <c r="Q1419" s="17" t="s">
        <v>31</v>
      </c>
      <c r="R1419" s="5" t="str">
        <f aca="false">IF(OR(Q1419="Steel plate",Q1419="Concrete jacket"),"Steel plate or jacket",Q1419)</f>
        <v>Polymer laminate</v>
      </c>
      <c r="S1419" s="5" t="str">
        <f aca="false">IF(O1419&lt;='Tree rules'!$C$4,IF(N1419&lt;='Tree rules'!$C$5,IF(P1419&lt;='Tree rules'!$C$6,"Monitor","Polymer laminate"),IF(P1419&lt;='Tree rules'!$C$7,"Seal cracks","Polymer laminate")),IF(O1419&lt;='Tree rules'!$C$8,IF(M1419&lt;='Tree rules'!$C$9,"Steel plate or jacket","Polymer laminate"),IF(L1419&lt;='Tree rules'!$C$10,"Steel plate or jacket","Polymer laminate")))</f>
        <v>Polymer laminate</v>
      </c>
      <c r="T1419" s="5" t="str">
        <f aca="false">IF(S1419=R1419,"Yes","No")</f>
        <v>Yes</v>
      </c>
    </row>
    <row r="1420" customFormat="false" ht="15" hidden="false" customHeight="false" outlineLevel="0" collapsed="false">
      <c r="A1420" s="15" t="n">
        <v>2024</v>
      </c>
      <c r="B1420" s="16" t="n">
        <v>4.61090602369903</v>
      </c>
      <c r="C1420" s="15" t="n">
        <v>300</v>
      </c>
      <c r="D1420" s="15" t="n">
        <v>450</v>
      </c>
      <c r="E1420" s="15" t="n">
        <v>30</v>
      </c>
      <c r="F1420" s="16" t="n">
        <v>0.995356088266073</v>
      </c>
      <c r="G1420" s="17" t="s">
        <v>91</v>
      </c>
      <c r="H1420" s="18" t="n">
        <v>0.2</v>
      </c>
      <c r="I1420" s="18" t="n">
        <v>2</v>
      </c>
      <c r="J1420" s="19" t="n">
        <v>0.895065042515814</v>
      </c>
      <c r="K1420" s="19" t="n">
        <v>0.583735226928719</v>
      </c>
      <c r="L1420" s="16" t="n">
        <v>11.4131337220273</v>
      </c>
      <c r="M1420" s="19" t="n">
        <v>0.76635518203516</v>
      </c>
      <c r="N1420" s="19" t="n">
        <v>1.20898174577111</v>
      </c>
      <c r="O1420" s="19" t="n">
        <v>1.2676490893227</v>
      </c>
      <c r="P1420" s="19" t="n">
        <v>0.63510390735047</v>
      </c>
      <c r="Q1420" s="17" t="s">
        <v>31</v>
      </c>
      <c r="R1420" s="5" t="str">
        <f aca="false">IF(OR(Q1420="Steel plate",Q1420="Concrete jacket"),"Steel plate or jacket",Q1420)</f>
        <v>Polymer laminate</v>
      </c>
      <c r="S1420" s="5" t="str">
        <f aca="false">IF(O1420&lt;='Tree rules'!$C$4,IF(N1420&lt;='Tree rules'!$C$5,IF(P1420&lt;='Tree rules'!$C$6,"Monitor","Polymer laminate"),IF(P1420&lt;='Tree rules'!$C$7,"Seal cracks","Polymer laminate")),IF(O1420&lt;='Tree rules'!$C$8,IF(M1420&lt;='Tree rules'!$C$9,"Steel plate or jacket","Polymer laminate"),IF(L1420&lt;='Tree rules'!$C$10,"Steel plate or jacket","Polymer laminate")))</f>
        <v>Polymer laminate</v>
      </c>
      <c r="T1420" s="5" t="str">
        <f aca="false">IF(S1420=R1420,"Yes","No")</f>
        <v>Yes</v>
      </c>
    </row>
    <row r="1421" customFormat="false" ht="15" hidden="false" customHeight="false" outlineLevel="0" collapsed="false">
      <c r="A1421" s="15" t="n">
        <v>2025</v>
      </c>
      <c r="B1421" s="16" t="n">
        <v>3.30479689130342</v>
      </c>
      <c r="C1421" s="15" t="n">
        <v>230</v>
      </c>
      <c r="D1421" s="15" t="n">
        <v>300</v>
      </c>
      <c r="E1421" s="15" t="n">
        <v>20</v>
      </c>
      <c r="F1421" s="16" t="n">
        <v>0.731533308458238</v>
      </c>
      <c r="G1421" s="17" t="s">
        <v>90</v>
      </c>
      <c r="H1421" s="18" t="n">
        <v>0.1</v>
      </c>
      <c r="I1421" s="18" t="n">
        <v>1.5</v>
      </c>
      <c r="J1421" s="19" t="n">
        <v>0.978217611207849</v>
      </c>
      <c r="K1421" s="19" t="n">
        <v>0.614564735161627</v>
      </c>
      <c r="L1421" s="16" t="n">
        <v>13.8276020556628</v>
      </c>
      <c r="M1421" s="19" t="n">
        <v>0.470890774371594</v>
      </c>
      <c r="N1421" s="19" t="n">
        <v>3.82941426886463</v>
      </c>
      <c r="O1421" s="19" t="n">
        <v>1.16673739323058</v>
      </c>
      <c r="P1421" s="19" t="n">
        <v>0.770108424514608</v>
      </c>
      <c r="Q1421" s="17" t="s">
        <v>31</v>
      </c>
      <c r="R1421" s="5" t="str">
        <f aca="false">IF(OR(Q1421="Steel plate",Q1421="Concrete jacket"),"Steel plate or jacket",Q1421)</f>
        <v>Polymer laminate</v>
      </c>
      <c r="S1421" s="5" t="str">
        <f aca="false">IF(O1421&lt;='Tree rules'!$C$4,IF(N1421&lt;='Tree rules'!$C$5,IF(P1421&lt;='Tree rules'!$C$6,"Monitor","Polymer laminate"),IF(P1421&lt;='Tree rules'!$C$7,"Seal cracks","Polymer laminate")),IF(O1421&lt;='Tree rules'!$C$8,IF(M1421&lt;='Tree rules'!$C$9,"Steel plate or jacket","Polymer laminate"),IF(L1421&lt;='Tree rules'!$C$10,"Steel plate or jacket","Polymer laminate")))</f>
        <v>Polymer laminate</v>
      </c>
      <c r="T1421" s="5" t="str">
        <f aca="false">IF(S1421=R1421,"Yes","No")</f>
        <v>Yes</v>
      </c>
    </row>
    <row r="1422" customFormat="false" ht="15" hidden="false" customHeight="false" outlineLevel="0" collapsed="false">
      <c r="A1422" s="15" t="n">
        <v>2027</v>
      </c>
      <c r="B1422" s="16" t="n">
        <v>6.50041023441701</v>
      </c>
      <c r="C1422" s="15" t="n">
        <v>300</v>
      </c>
      <c r="D1422" s="15" t="n">
        <v>600</v>
      </c>
      <c r="E1422" s="15" t="n">
        <v>25</v>
      </c>
      <c r="F1422" s="16" t="n">
        <v>0.604879451954714</v>
      </c>
      <c r="G1422" s="17" t="s">
        <v>89</v>
      </c>
      <c r="H1422" s="18" t="n">
        <v>0.3</v>
      </c>
      <c r="I1422" s="18" t="n">
        <v>2</v>
      </c>
      <c r="J1422" s="19" t="n">
        <v>0.966270956971591</v>
      </c>
      <c r="K1422" s="19" t="n">
        <v>0.559094425823492</v>
      </c>
      <c r="L1422" s="16" t="n">
        <v>11.7335924808971</v>
      </c>
      <c r="M1422" s="19" t="n">
        <v>0.352027900930713</v>
      </c>
      <c r="N1422" s="19" t="n">
        <v>0.953035143540467</v>
      </c>
      <c r="O1422" s="19" t="n">
        <v>1.39230520806524</v>
      </c>
      <c r="P1422" s="19" t="n">
        <v>1.11663350957578</v>
      </c>
      <c r="Q1422" s="17" t="s">
        <v>31</v>
      </c>
      <c r="R1422" s="5" t="str">
        <f aca="false">IF(OR(Q1422="Steel plate",Q1422="Concrete jacket"),"Steel plate or jacket",Q1422)</f>
        <v>Polymer laminate</v>
      </c>
      <c r="S1422" s="5" t="str">
        <f aca="false">IF(O1422&lt;='Tree rules'!$C$4,IF(N1422&lt;='Tree rules'!$C$5,IF(P1422&lt;='Tree rules'!$C$6,"Monitor","Polymer laminate"),IF(P1422&lt;='Tree rules'!$C$7,"Seal cracks","Polymer laminate")),IF(O1422&lt;='Tree rules'!$C$8,IF(M1422&lt;='Tree rules'!$C$9,"Steel plate or jacket","Polymer laminate"),IF(L1422&lt;='Tree rules'!$C$10,"Steel plate or jacket","Polymer laminate")))</f>
        <v>Steel plate or jacket</v>
      </c>
      <c r="T1422" s="5" t="str">
        <f aca="false">IF(S1422=R1422,"Yes","No")</f>
        <v>No</v>
      </c>
    </row>
    <row r="1423" customFormat="false" ht="15" hidden="false" customHeight="false" outlineLevel="0" collapsed="false">
      <c r="A1423" s="15" t="n">
        <v>2028</v>
      </c>
      <c r="B1423" s="16" t="n">
        <v>5.77858209237099</v>
      </c>
      <c r="C1423" s="15" t="n">
        <v>300</v>
      </c>
      <c r="D1423" s="15" t="n">
        <v>575</v>
      </c>
      <c r="E1423" s="15" t="n">
        <v>20</v>
      </c>
      <c r="F1423" s="16" t="n">
        <v>0.760158524876169</v>
      </c>
      <c r="G1423" s="17" t="s">
        <v>89</v>
      </c>
      <c r="H1423" s="18" t="n">
        <v>0.3</v>
      </c>
      <c r="I1423" s="18" t="n">
        <v>1</v>
      </c>
      <c r="J1423" s="19" t="n">
        <v>0.986305649333326</v>
      </c>
      <c r="K1423" s="19" t="n">
        <v>0.431394996635289</v>
      </c>
      <c r="L1423" s="16" t="n">
        <v>10.9235956377524</v>
      </c>
      <c r="M1423" s="19" t="n">
        <v>0.633998642297155</v>
      </c>
      <c r="N1423" s="19" t="n">
        <v>0.590699537561481</v>
      </c>
      <c r="O1423" s="19" t="n">
        <v>0.986305649333326</v>
      </c>
      <c r="P1423" s="19" t="n">
        <v>0.567519087476418</v>
      </c>
      <c r="Q1423" s="17" t="s">
        <v>29</v>
      </c>
      <c r="R1423" s="5" t="str">
        <f aca="false">IF(OR(Q1423="Steel plate",Q1423="Concrete jacket"),"Steel plate or jacket",Q1423)</f>
        <v>Monitor</v>
      </c>
      <c r="S1423" s="5" t="str">
        <f aca="false">IF(O1423&lt;='Tree rules'!$C$4,IF(N1423&lt;='Tree rules'!$C$5,IF(P1423&lt;='Tree rules'!$C$6,"Monitor","Polymer laminate"),IF(P1423&lt;='Tree rules'!$C$7,"Seal cracks","Polymer laminate")),IF(O1423&lt;='Tree rules'!$C$8,IF(M1423&lt;='Tree rules'!$C$9,"Steel plate or jacket","Polymer laminate"),IF(L1423&lt;='Tree rules'!$C$10,"Steel plate or jacket","Polymer laminate")))</f>
        <v>Monitor</v>
      </c>
      <c r="T1423" s="5" t="str">
        <f aca="false">IF(S1423=R1423,"Yes","No")</f>
        <v>Yes</v>
      </c>
    </row>
    <row r="1424" customFormat="false" ht="15" hidden="false" customHeight="false" outlineLevel="0" collapsed="false">
      <c r="A1424" s="15" t="n">
        <v>2029</v>
      </c>
      <c r="B1424" s="16" t="n">
        <v>3.1586719740898</v>
      </c>
      <c r="C1424" s="15" t="n">
        <v>300</v>
      </c>
      <c r="D1424" s="15" t="n">
        <v>300</v>
      </c>
      <c r="E1424" s="15" t="n">
        <v>30</v>
      </c>
      <c r="F1424" s="16" t="n">
        <v>0.831109167616348</v>
      </c>
      <c r="G1424" s="17" t="s">
        <v>91</v>
      </c>
      <c r="H1424" s="18" t="n">
        <v>0.2</v>
      </c>
      <c r="I1424" s="18" t="n">
        <v>1</v>
      </c>
      <c r="J1424" s="19" t="n">
        <v>0.979647604162304</v>
      </c>
      <c r="K1424" s="19" t="n">
        <v>0.56438081251282</v>
      </c>
      <c r="L1424" s="16" t="n">
        <v>12.5344125955944</v>
      </c>
      <c r="M1424" s="19" t="n">
        <v>0.614947039870802</v>
      </c>
      <c r="N1424" s="19" t="n">
        <v>1.60119923415975</v>
      </c>
      <c r="O1424" s="19" t="n">
        <v>0.979647604162304</v>
      </c>
      <c r="P1424" s="19" t="n">
        <v>0.551873728992304</v>
      </c>
      <c r="Q1424" s="17" t="s">
        <v>30</v>
      </c>
      <c r="R1424" s="5" t="str">
        <f aca="false">IF(OR(Q1424="Steel plate",Q1424="Concrete jacket"),"Steel plate or jacket",Q1424)</f>
        <v>Seal cracks</v>
      </c>
      <c r="S1424" s="5" t="str">
        <f aca="false">IF(O1424&lt;='Tree rules'!$C$4,IF(N1424&lt;='Tree rules'!$C$5,IF(P1424&lt;='Tree rules'!$C$6,"Monitor","Polymer laminate"),IF(P1424&lt;='Tree rules'!$C$7,"Seal cracks","Polymer laminate")),IF(O1424&lt;='Tree rules'!$C$8,IF(M1424&lt;='Tree rules'!$C$9,"Steel plate or jacket","Polymer laminate"),IF(L1424&lt;='Tree rules'!$C$10,"Steel plate or jacket","Polymer laminate")))</f>
        <v>Seal cracks</v>
      </c>
      <c r="T1424" s="5" t="str">
        <f aca="false">IF(S1424=R1424,"Yes","No")</f>
        <v>Yes</v>
      </c>
    </row>
    <row r="1425" customFormat="false" ht="15" hidden="false" customHeight="false" outlineLevel="0" collapsed="false">
      <c r="A1425" s="15" t="n">
        <v>2030</v>
      </c>
      <c r="B1425" s="16" t="n">
        <v>4.58669578135462</v>
      </c>
      <c r="C1425" s="15" t="n">
        <v>230</v>
      </c>
      <c r="D1425" s="15" t="n">
        <v>375</v>
      </c>
      <c r="E1425" s="15" t="n">
        <v>25</v>
      </c>
      <c r="F1425" s="16" t="n">
        <v>0.594232683721175</v>
      </c>
      <c r="G1425" s="17" t="s">
        <v>91</v>
      </c>
      <c r="H1425" s="18" t="n">
        <v>0.2</v>
      </c>
      <c r="I1425" s="18" t="n">
        <v>1</v>
      </c>
      <c r="J1425" s="19" t="n">
        <v>0.970579913214575</v>
      </c>
      <c r="K1425" s="19" t="n">
        <v>0.562081764798609</v>
      </c>
      <c r="L1425" s="16" t="n">
        <v>13.857086952733</v>
      </c>
      <c r="M1425" s="19" t="n">
        <v>0.250070476637892</v>
      </c>
      <c r="N1425" s="19" t="n">
        <v>1.0336969699688</v>
      </c>
      <c r="O1425" s="19" t="n">
        <v>0.970579913214575</v>
      </c>
      <c r="P1425" s="19" t="n">
        <v>1.29452611241978</v>
      </c>
      <c r="Q1425" s="17" t="s">
        <v>31</v>
      </c>
      <c r="R1425" s="5" t="str">
        <f aca="false">IF(OR(Q1425="Steel plate",Q1425="Concrete jacket"),"Steel plate or jacket",Q1425)</f>
        <v>Polymer laminate</v>
      </c>
      <c r="S1425" s="5" t="str">
        <f aca="false">IF(O1425&lt;='Tree rules'!$C$4,IF(N1425&lt;='Tree rules'!$C$5,IF(P1425&lt;='Tree rules'!$C$6,"Monitor","Polymer laminate"),IF(P1425&lt;='Tree rules'!$C$7,"Seal cracks","Polymer laminate")),IF(O1425&lt;='Tree rules'!$C$8,IF(M1425&lt;='Tree rules'!$C$9,"Steel plate or jacket","Polymer laminate"),IF(L1425&lt;='Tree rules'!$C$10,"Steel plate or jacket","Polymer laminate")))</f>
        <v>Polymer laminate</v>
      </c>
      <c r="T1425" s="5" t="str">
        <f aca="false">IF(S1425=R1425,"Yes","No")</f>
        <v>Yes</v>
      </c>
    </row>
    <row r="1426" customFormat="false" ht="15" hidden="false" customHeight="false" outlineLevel="0" collapsed="false">
      <c r="A1426" s="15" t="n">
        <v>2031</v>
      </c>
      <c r="B1426" s="16" t="n">
        <v>6.1229029011222</v>
      </c>
      <c r="C1426" s="15" t="n">
        <v>300</v>
      </c>
      <c r="D1426" s="15" t="n">
        <v>600</v>
      </c>
      <c r="E1426" s="15" t="n">
        <v>30</v>
      </c>
      <c r="F1426" s="16" t="n">
        <v>0.758838805214926</v>
      </c>
      <c r="G1426" s="17" t="s">
        <v>89</v>
      </c>
      <c r="H1426" s="18" t="n">
        <v>0.3</v>
      </c>
      <c r="I1426" s="18" t="n">
        <v>1</v>
      </c>
      <c r="J1426" s="19" t="n">
        <v>0.864110966782816</v>
      </c>
      <c r="K1426" s="19" t="n">
        <v>0.532846755481804</v>
      </c>
      <c r="L1426" s="16" t="n">
        <v>11.0922154005837</v>
      </c>
      <c r="M1426" s="19" t="n">
        <v>0.954202283601888</v>
      </c>
      <c r="N1426" s="19" t="n">
        <v>0.552574460458887</v>
      </c>
      <c r="O1426" s="19" t="n">
        <v>0.864110966782816</v>
      </c>
      <c r="P1426" s="19" t="n">
        <v>0.347357871997998</v>
      </c>
      <c r="Q1426" s="17" t="s">
        <v>29</v>
      </c>
      <c r="R1426" s="5" t="str">
        <f aca="false">IF(OR(Q1426="Steel plate",Q1426="Concrete jacket"),"Steel plate or jacket",Q1426)</f>
        <v>Monitor</v>
      </c>
      <c r="S1426" s="5" t="str">
        <f aca="false">IF(O1426&lt;='Tree rules'!$C$4,IF(N1426&lt;='Tree rules'!$C$5,IF(P1426&lt;='Tree rules'!$C$6,"Monitor","Polymer laminate"),IF(P1426&lt;='Tree rules'!$C$7,"Seal cracks","Polymer laminate")),IF(O1426&lt;='Tree rules'!$C$8,IF(M1426&lt;='Tree rules'!$C$9,"Steel plate or jacket","Polymer laminate"),IF(L1426&lt;='Tree rules'!$C$10,"Steel plate or jacket","Polymer laminate")))</f>
        <v>Monitor</v>
      </c>
      <c r="T1426" s="5" t="str">
        <f aca="false">IF(S1426=R1426,"Yes","No")</f>
        <v>Yes</v>
      </c>
    </row>
    <row r="1427" customFormat="false" ht="15" hidden="false" customHeight="false" outlineLevel="0" collapsed="false">
      <c r="A1427" s="15" t="n">
        <v>2032</v>
      </c>
      <c r="B1427" s="16" t="n">
        <v>4.78920167294077</v>
      </c>
      <c r="C1427" s="15" t="n">
        <v>300</v>
      </c>
      <c r="D1427" s="15" t="n">
        <v>450</v>
      </c>
      <c r="E1427" s="15" t="n">
        <v>25</v>
      </c>
      <c r="F1427" s="16" t="n">
        <v>0.781490709848207</v>
      </c>
      <c r="G1427" s="17" t="s">
        <v>89</v>
      </c>
      <c r="H1427" s="18" t="n">
        <v>0.3</v>
      </c>
      <c r="I1427" s="18" t="n">
        <v>1</v>
      </c>
      <c r="J1427" s="19" t="n">
        <v>0.980729856129253</v>
      </c>
      <c r="K1427" s="19" t="n">
        <v>0.402806229129583</v>
      </c>
      <c r="L1427" s="16" t="n">
        <v>11.9134369973651</v>
      </c>
      <c r="M1427" s="19" t="n">
        <v>0.880160708949859</v>
      </c>
      <c r="N1427" s="19" t="n">
        <v>0.75767832079934</v>
      </c>
      <c r="O1427" s="19" t="n">
        <v>0.980729856129253</v>
      </c>
      <c r="P1427" s="19" t="n">
        <v>0.401761550926223</v>
      </c>
      <c r="Q1427" s="17" t="s">
        <v>29</v>
      </c>
      <c r="R1427" s="5" t="str">
        <f aca="false">IF(OR(Q1427="Steel plate",Q1427="Concrete jacket"),"Steel plate or jacket",Q1427)</f>
        <v>Monitor</v>
      </c>
      <c r="S1427" s="5" t="str">
        <f aca="false">IF(O1427&lt;='Tree rules'!$C$4,IF(N1427&lt;='Tree rules'!$C$5,IF(P1427&lt;='Tree rules'!$C$6,"Monitor","Polymer laminate"),IF(P1427&lt;='Tree rules'!$C$7,"Seal cracks","Polymer laminate")),IF(O1427&lt;='Tree rules'!$C$8,IF(M1427&lt;='Tree rules'!$C$9,"Steel plate or jacket","Polymer laminate"),IF(L1427&lt;='Tree rules'!$C$10,"Steel plate or jacket","Polymer laminate")))</f>
        <v>Monitor</v>
      </c>
      <c r="T1427" s="5" t="str">
        <f aca="false">IF(S1427=R1427,"Yes","No")</f>
        <v>Yes</v>
      </c>
    </row>
    <row r="1428" customFormat="false" ht="15" hidden="false" customHeight="false" outlineLevel="0" collapsed="false">
      <c r="A1428" s="15" t="n">
        <v>2033</v>
      </c>
      <c r="B1428" s="16" t="n">
        <v>3.08705976096274</v>
      </c>
      <c r="C1428" s="15" t="n">
        <v>230</v>
      </c>
      <c r="D1428" s="15" t="n">
        <v>300</v>
      </c>
      <c r="E1428" s="15" t="n">
        <v>20</v>
      </c>
      <c r="F1428" s="16" t="n">
        <v>0.688332522525665</v>
      </c>
      <c r="G1428" s="17" t="s">
        <v>91</v>
      </c>
      <c r="H1428" s="18" t="n">
        <v>0.2</v>
      </c>
      <c r="I1428" s="18" t="n">
        <v>2</v>
      </c>
      <c r="J1428" s="19" t="n">
        <v>0.95017929618513</v>
      </c>
      <c r="K1428" s="19" t="n">
        <v>0.475599398932595</v>
      </c>
      <c r="L1428" s="16" t="n">
        <v>12.1537785864675</v>
      </c>
      <c r="M1428" s="19" t="n">
        <v>0.785762773058283</v>
      </c>
      <c r="N1428" s="19" t="n">
        <v>1.97001192913302</v>
      </c>
      <c r="O1428" s="19" t="n">
        <v>1.44845389022642</v>
      </c>
      <c r="P1428" s="19" t="n">
        <v>0.483877070769637</v>
      </c>
      <c r="Q1428" s="17" t="s">
        <v>31</v>
      </c>
      <c r="R1428" s="5" t="str">
        <f aca="false">IF(OR(Q1428="Steel plate",Q1428="Concrete jacket"),"Steel plate or jacket",Q1428)</f>
        <v>Polymer laminate</v>
      </c>
      <c r="S1428" s="5" t="str">
        <f aca="false">IF(O1428&lt;='Tree rules'!$C$4,IF(N1428&lt;='Tree rules'!$C$5,IF(P1428&lt;='Tree rules'!$C$6,"Monitor","Polymer laminate"),IF(P1428&lt;='Tree rules'!$C$7,"Seal cracks","Polymer laminate")),IF(O1428&lt;='Tree rules'!$C$8,IF(M1428&lt;='Tree rules'!$C$9,"Steel plate or jacket","Polymer laminate"),IF(L1428&lt;='Tree rules'!$C$10,"Steel plate or jacket","Polymer laminate")))</f>
        <v>Steel plate or jacket</v>
      </c>
      <c r="T1428" s="5" t="str">
        <f aca="false">IF(S1428=R1428,"Yes","No")</f>
        <v>No</v>
      </c>
    </row>
    <row r="1429" customFormat="false" ht="15" hidden="false" customHeight="false" outlineLevel="0" collapsed="false">
      <c r="A1429" s="15" t="n">
        <v>2035</v>
      </c>
      <c r="B1429" s="16" t="n">
        <v>3.08478677192277</v>
      </c>
      <c r="C1429" s="15" t="n">
        <v>300</v>
      </c>
      <c r="D1429" s="15" t="n">
        <v>300</v>
      </c>
      <c r="E1429" s="15" t="n">
        <v>25</v>
      </c>
      <c r="F1429" s="16" t="n">
        <v>0.883572933822129</v>
      </c>
      <c r="G1429" s="17" t="s">
        <v>91</v>
      </c>
      <c r="H1429" s="18" t="n">
        <v>0.2</v>
      </c>
      <c r="I1429" s="18" t="n">
        <v>1</v>
      </c>
      <c r="J1429" s="19" t="n">
        <v>0.902364893056351</v>
      </c>
      <c r="K1429" s="19" t="n">
        <v>0.451494579437387</v>
      </c>
      <c r="L1429" s="16" t="n">
        <v>12.0499483278233</v>
      </c>
      <c r="M1429" s="19" t="n">
        <v>0.340468079136621</v>
      </c>
      <c r="N1429" s="19" t="n">
        <v>0.947342655942127</v>
      </c>
      <c r="O1429" s="19" t="n">
        <v>0.902364893056351</v>
      </c>
      <c r="P1429" s="19" t="n">
        <v>0.901625584684968</v>
      </c>
      <c r="Q1429" s="17" t="s">
        <v>29</v>
      </c>
      <c r="R1429" s="5" t="str">
        <f aca="false">IF(OR(Q1429="Steel plate",Q1429="Concrete jacket"),"Steel plate or jacket",Q1429)</f>
        <v>Monitor</v>
      </c>
      <c r="S1429" s="5" t="str">
        <f aca="false">IF(O1429&lt;='Tree rules'!$C$4,IF(N1429&lt;='Tree rules'!$C$5,IF(P1429&lt;='Tree rules'!$C$6,"Monitor","Polymer laminate"),IF(P1429&lt;='Tree rules'!$C$7,"Seal cracks","Polymer laminate")),IF(O1429&lt;='Tree rules'!$C$8,IF(M1429&lt;='Tree rules'!$C$9,"Steel plate or jacket","Polymer laminate"),IF(L1429&lt;='Tree rules'!$C$10,"Steel plate or jacket","Polymer laminate")))</f>
        <v>Monitor</v>
      </c>
      <c r="T1429" s="5" t="str">
        <f aca="false">IF(S1429=R1429,"Yes","No")</f>
        <v>Yes</v>
      </c>
    </row>
    <row r="1430" customFormat="false" ht="15" hidden="false" customHeight="false" outlineLevel="0" collapsed="false">
      <c r="A1430" s="15" t="n">
        <v>2038</v>
      </c>
      <c r="B1430" s="16" t="n">
        <v>3.03409285069505</v>
      </c>
      <c r="C1430" s="15" t="n">
        <v>230</v>
      </c>
      <c r="D1430" s="15" t="n">
        <v>300</v>
      </c>
      <c r="E1430" s="15" t="n">
        <v>25</v>
      </c>
      <c r="F1430" s="16" t="n">
        <v>0.688332522525665</v>
      </c>
      <c r="G1430" s="17" t="s">
        <v>91</v>
      </c>
      <c r="H1430" s="18" t="n">
        <v>0.2</v>
      </c>
      <c r="I1430" s="18" t="n">
        <v>1</v>
      </c>
      <c r="J1430" s="19" t="n">
        <v>0.894694519869612</v>
      </c>
      <c r="K1430" s="19" t="n">
        <v>0.444458403835692</v>
      </c>
      <c r="L1430" s="16" t="n">
        <v>11.9452474436813</v>
      </c>
      <c r="M1430" s="19" t="n">
        <v>0.476054103388714</v>
      </c>
      <c r="N1430" s="19" t="n">
        <v>1.26375623918578</v>
      </c>
      <c r="O1430" s="19" t="n">
        <v>0.894694519869612</v>
      </c>
      <c r="P1430" s="19" t="n">
        <v>0.506823240735617</v>
      </c>
      <c r="Q1430" s="17" t="s">
        <v>30</v>
      </c>
      <c r="R1430" s="5" t="str">
        <f aca="false">IF(OR(Q1430="Steel plate",Q1430="Concrete jacket"),"Steel plate or jacket",Q1430)</f>
        <v>Seal cracks</v>
      </c>
      <c r="S1430" s="5" t="str">
        <f aca="false">IF(O1430&lt;='Tree rules'!$C$4,IF(N1430&lt;='Tree rules'!$C$5,IF(P1430&lt;='Tree rules'!$C$6,"Monitor","Polymer laminate"),IF(P1430&lt;='Tree rules'!$C$7,"Seal cracks","Polymer laminate")),IF(O1430&lt;='Tree rules'!$C$8,IF(M1430&lt;='Tree rules'!$C$9,"Steel plate or jacket","Polymer laminate"),IF(L1430&lt;='Tree rules'!$C$10,"Steel plate or jacket","Polymer laminate")))</f>
        <v>Seal cracks</v>
      </c>
      <c r="T1430" s="5" t="str">
        <f aca="false">IF(S1430=R1430,"Yes","No")</f>
        <v>Yes</v>
      </c>
    </row>
    <row r="1431" customFormat="false" ht="15" hidden="false" customHeight="false" outlineLevel="0" collapsed="false">
      <c r="A1431" s="15" t="n">
        <v>2040</v>
      </c>
      <c r="B1431" s="16" t="n">
        <v>7.82708872179774</v>
      </c>
      <c r="C1431" s="15" t="n">
        <v>300</v>
      </c>
      <c r="D1431" s="15" t="n">
        <v>650</v>
      </c>
      <c r="E1431" s="15" t="n">
        <v>25</v>
      </c>
      <c r="F1431" s="16" t="n">
        <v>0.521859244782358</v>
      </c>
      <c r="G1431" s="17" t="s">
        <v>89</v>
      </c>
      <c r="H1431" s="18" t="n">
        <v>0.3</v>
      </c>
      <c r="I1431" s="18" t="n">
        <v>1</v>
      </c>
      <c r="J1431" s="19" t="n">
        <v>0.946929351299475</v>
      </c>
      <c r="K1431" s="19" t="n">
        <v>0.410181193580253</v>
      </c>
      <c r="L1431" s="16" t="n">
        <v>13.0018085079697</v>
      </c>
      <c r="M1431" s="19" t="n">
        <v>0.602905233974688</v>
      </c>
      <c r="N1431" s="19" t="n">
        <v>0.755064521250674</v>
      </c>
      <c r="O1431" s="19" t="n">
        <v>0.946929351299475</v>
      </c>
      <c r="P1431" s="19" t="n">
        <v>0.477871542029813</v>
      </c>
      <c r="Q1431" s="17" t="s">
        <v>29</v>
      </c>
      <c r="R1431" s="5" t="str">
        <f aca="false">IF(OR(Q1431="Steel plate",Q1431="Concrete jacket"),"Steel plate or jacket",Q1431)</f>
        <v>Monitor</v>
      </c>
      <c r="S1431" s="5" t="str">
        <f aca="false">IF(O1431&lt;='Tree rules'!$C$4,IF(N1431&lt;='Tree rules'!$C$5,IF(P1431&lt;='Tree rules'!$C$6,"Monitor","Polymer laminate"),IF(P1431&lt;='Tree rules'!$C$7,"Seal cracks","Polymer laminate")),IF(O1431&lt;='Tree rules'!$C$8,IF(M1431&lt;='Tree rules'!$C$9,"Steel plate or jacket","Polymer laminate"),IF(L1431&lt;='Tree rules'!$C$10,"Steel plate or jacket","Polymer laminate")))</f>
        <v>Monitor</v>
      </c>
      <c r="T1431" s="5" t="str">
        <f aca="false">IF(S1431=R1431,"Yes","No")</f>
        <v>Yes</v>
      </c>
    </row>
    <row r="1432" customFormat="false" ht="15" hidden="false" customHeight="false" outlineLevel="0" collapsed="false">
      <c r="A1432" s="15" t="n">
        <v>2042</v>
      </c>
      <c r="B1432" s="16" t="n">
        <v>5.01114685154061</v>
      </c>
      <c r="C1432" s="15" t="n">
        <v>230</v>
      </c>
      <c r="D1432" s="15" t="n">
        <v>475</v>
      </c>
      <c r="E1432" s="15" t="n">
        <v>20</v>
      </c>
      <c r="F1432" s="16" t="n">
        <v>0.633465437396808</v>
      </c>
      <c r="G1432" s="17" t="s">
        <v>90</v>
      </c>
      <c r="H1432" s="18" t="n">
        <v>0.1</v>
      </c>
      <c r="I1432" s="18" t="n">
        <v>2</v>
      </c>
      <c r="J1432" s="19" t="n">
        <v>0.912118395344762</v>
      </c>
      <c r="K1432" s="19" t="n">
        <v>0.592267927033735</v>
      </c>
      <c r="L1432" s="16" t="n">
        <v>12.1042194481657</v>
      </c>
      <c r="M1432" s="19" t="n">
        <v>0.394628778270017</v>
      </c>
      <c r="N1432" s="19" t="n">
        <v>3.60330988607118</v>
      </c>
      <c r="O1432" s="19" t="n">
        <v>1.28401831946935</v>
      </c>
      <c r="P1432" s="19" t="n">
        <v>0.938284647410311</v>
      </c>
      <c r="Q1432" s="17" t="s">
        <v>31</v>
      </c>
      <c r="R1432" s="5" t="str">
        <f aca="false">IF(OR(Q1432="Steel plate",Q1432="Concrete jacket"),"Steel plate or jacket",Q1432)</f>
        <v>Polymer laminate</v>
      </c>
      <c r="S1432" s="5" t="str">
        <f aca="false">IF(O1432&lt;='Tree rules'!$C$4,IF(N1432&lt;='Tree rules'!$C$5,IF(P1432&lt;='Tree rules'!$C$6,"Monitor","Polymer laminate"),IF(P1432&lt;='Tree rules'!$C$7,"Seal cracks","Polymer laminate")),IF(O1432&lt;='Tree rules'!$C$8,IF(M1432&lt;='Tree rules'!$C$9,"Steel plate or jacket","Polymer laminate"),IF(L1432&lt;='Tree rules'!$C$10,"Steel plate or jacket","Polymer laminate")))</f>
        <v>Polymer laminate</v>
      </c>
      <c r="T1432" s="5" t="str">
        <f aca="false">IF(S1432=R1432,"Yes","No")</f>
        <v>Yes</v>
      </c>
    </row>
    <row r="1433" customFormat="false" ht="15" hidden="false" customHeight="false" outlineLevel="0" collapsed="false">
      <c r="A1433" s="15" t="n">
        <v>2044</v>
      </c>
      <c r="B1433" s="16" t="n">
        <v>4.5828364911224</v>
      </c>
      <c r="C1433" s="15" t="n">
        <v>300</v>
      </c>
      <c r="D1433" s="15" t="n">
        <v>400</v>
      </c>
      <c r="E1433" s="15" t="n">
        <v>30</v>
      </c>
      <c r="F1433" s="16" t="n">
        <v>0.757295404255167</v>
      </c>
      <c r="G1433" s="17" t="s">
        <v>89</v>
      </c>
      <c r="H1433" s="18" t="n">
        <v>0.3</v>
      </c>
      <c r="I1433" s="18" t="n">
        <v>1</v>
      </c>
      <c r="J1433" s="19" t="n">
        <v>0.954125748494034</v>
      </c>
      <c r="K1433" s="19" t="n">
        <v>0.530013517920371</v>
      </c>
      <c r="L1433" s="16" t="n">
        <v>12.9458657941311</v>
      </c>
      <c r="M1433" s="19" t="n">
        <v>0.722247558255286</v>
      </c>
      <c r="N1433" s="19" t="n">
        <v>0.673368303600773</v>
      </c>
      <c r="O1433" s="19" t="n">
        <v>0.954125748494034</v>
      </c>
      <c r="P1433" s="19" t="n">
        <v>0.503899119417623</v>
      </c>
      <c r="Q1433" s="17" t="s">
        <v>29</v>
      </c>
      <c r="R1433" s="5" t="str">
        <f aca="false">IF(OR(Q1433="Steel plate",Q1433="Concrete jacket"),"Steel plate or jacket",Q1433)</f>
        <v>Monitor</v>
      </c>
      <c r="S1433" s="5" t="str">
        <f aca="false">IF(O1433&lt;='Tree rules'!$C$4,IF(N1433&lt;='Tree rules'!$C$5,IF(P1433&lt;='Tree rules'!$C$6,"Monitor","Polymer laminate"),IF(P1433&lt;='Tree rules'!$C$7,"Seal cracks","Polymer laminate")),IF(O1433&lt;='Tree rules'!$C$8,IF(M1433&lt;='Tree rules'!$C$9,"Steel plate or jacket","Polymer laminate"),IF(L1433&lt;='Tree rules'!$C$10,"Steel plate or jacket","Polymer laminate")))</f>
        <v>Monitor</v>
      </c>
      <c r="T1433" s="5" t="str">
        <f aca="false">IF(S1433=R1433,"Yes","No")</f>
        <v>Yes</v>
      </c>
    </row>
    <row r="1434" customFormat="false" ht="15" hidden="false" customHeight="false" outlineLevel="0" collapsed="false">
      <c r="A1434" s="15" t="n">
        <v>2046</v>
      </c>
      <c r="B1434" s="16" t="n">
        <v>6.78205544849265</v>
      </c>
      <c r="C1434" s="15" t="n">
        <v>300</v>
      </c>
      <c r="D1434" s="15" t="n">
        <v>525</v>
      </c>
      <c r="E1434" s="15" t="n">
        <v>25</v>
      </c>
      <c r="F1434" s="16" t="n">
        <v>0.699589178252424</v>
      </c>
      <c r="G1434" s="17" t="s">
        <v>89</v>
      </c>
      <c r="H1434" s="18" t="n">
        <v>0.3</v>
      </c>
      <c r="I1434" s="18" t="n">
        <v>1</v>
      </c>
      <c r="J1434" s="19" t="n">
        <v>0.862379930284745</v>
      </c>
      <c r="K1434" s="19" t="n">
        <v>0.48894923600678</v>
      </c>
      <c r="L1434" s="16" t="n">
        <v>14.1587796419471</v>
      </c>
      <c r="M1434" s="19" t="n">
        <v>0.766300089517567</v>
      </c>
      <c r="N1434" s="19" t="n">
        <v>0.532641145015982</v>
      </c>
      <c r="O1434" s="19" t="n">
        <v>0.862379930284745</v>
      </c>
      <c r="P1434" s="19" t="n">
        <v>0.500959032568031</v>
      </c>
      <c r="Q1434" s="17" t="s">
        <v>29</v>
      </c>
      <c r="R1434" s="5" t="str">
        <f aca="false">IF(OR(Q1434="Steel plate",Q1434="Concrete jacket"),"Steel plate or jacket",Q1434)</f>
        <v>Monitor</v>
      </c>
      <c r="S1434" s="5" t="str">
        <f aca="false">IF(O1434&lt;='Tree rules'!$C$4,IF(N1434&lt;='Tree rules'!$C$5,IF(P1434&lt;='Tree rules'!$C$6,"Monitor","Polymer laminate"),IF(P1434&lt;='Tree rules'!$C$7,"Seal cracks","Polymer laminate")),IF(O1434&lt;='Tree rules'!$C$8,IF(M1434&lt;='Tree rules'!$C$9,"Steel plate or jacket","Polymer laminate"),IF(L1434&lt;='Tree rules'!$C$10,"Steel plate or jacket","Polymer laminate")))</f>
        <v>Monitor</v>
      </c>
      <c r="T1434" s="5" t="str">
        <f aca="false">IF(S1434=R1434,"Yes","No")</f>
        <v>Yes</v>
      </c>
    </row>
    <row r="1435" customFormat="false" ht="15" hidden="false" customHeight="false" outlineLevel="0" collapsed="false">
      <c r="A1435" s="15" t="n">
        <v>2047</v>
      </c>
      <c r="B1435" s="16" t="n">
        <v>4.6094384150801</v>
      </c>
      <c r="C1435" s="15" t="n">
        <v>300</v>
      </c>
      <c r="D1435" s="15" t="n">
        <v>425</v>
      </c>
      <c r="E1435" s="15" t="n">
        <v>25</v>
      </c>
      <c r="F1435" s="16" t="n">
        <v>0.707341881547042</v>
      </c>
      <c r="G1435" s="17" t="s">
        <v>91</v>
      </c>
      <c r="H1435" s="18" t="n">
        <v>0.2</v>
      </c>
      <c r="I1435" s="18" t="n">
        <v>1.5</v>
      </c>
      <c r="J1435" s="19" t="n">
        <v>0.95958555373313</v>
      </c>
      <c r="K1435" s="19" t="n">
        <v>0.424344485035383</v>
      </c>
      <c r="L1435" s="16" t="n">
        <v>12.1621066360952</v>
      </c>
      <c r="M1435" s="19" t="n">
        <v>0.490201427982898</v>
      </c>
      <c r="N1435" s="19" t="n">
        <v>1.36898830813327</v>
      </c>
      <c r="O1435" s="19" t="n">
        <v>1.23578091177656</v>
      </c>
      <c r="P1435" s="19" t="n">
        <v>0.737271826793913</v>
      </c>
      <c r="Q1435" s="17" t="s">
        <v>31</v>
      </c>
      <c r="R1435" s="5" t="str">
        <f aca="false">IF(OR(Q1435="Steel plate",Q1435="Concrete jacket"),"Steel plate or jacket",Q1435)</f>
        <v>Polymer laminate</v>
      </c>
      <c r="S1435" s="5" t="str">
        <f aca="false">IF(O1435&lt;='Tree rules'!$C$4,IF(N1435&lt;='Tree rules'!$C$5,IF(P1435&lt;='Tree rules'!$C$6,"Monitor","Polymer laminate"),IF(P1435&lt;='Tree rules'!$C$7,"Seal cracks","Polymer laminate")),IF(O1435&lt;='Tree rules'!$C$8,IF(M1435&lt;='Tree rules'!$C$9,"Steel plate or jacket","Polymer laminate"),IF(L1435&lt;='Tree rules'!$C$10,"Steel plate or jacket","Polymer laminate")))</f>
        <v>Polymer laminate</v>
      </c>
      <c r="T1435" s="5" t="str">
        <f aca="false">IF(S1435=R1435,"Yes","No")</f>
        <v>Yes</v>
      </c>
    </row>
    <row r="1436" customFormat="false" ht="15" hidden="false" customHeight="false" outlineLevel="0" collapsed="false">
      <c r="A1436" s="15" t="n">
        <v>2048</v>
      </c>
      <c r="B1436" s="16" t="n">
        <v>4.54771943808278</v>
      </c>
      <c r="C1436" s="15" t="n">
        <v>300</v>
      </c>
      <c r="D1436" s="15" t="n">
        <v>425</v>
      </c>
      <c r="E1436" s="15" t="n">
        <v>25</v>
      </c>
      <c r="F1436" s="16" t="n">
        <v>0.833313701217452</v>
      </c>
      <c r="G1436" s="17" t="s">
        <v>89</v>
      </c>
      <c r="H1436" s="18" t="n">
        <v>0.3</v>
      </c>
      <c r="I1436" s="18" t="n">
        <v>1</v>
      </c>
      <c r="J1436" s="19" t="n">
        <v>0.912264770710588</v>
      </c>
      <c r="K1436" s="19" t="n">
        <v>0.490137087490502</v>
      </c>
      <c r="L1436" s="16" t="n">
        <v>12.0629162813867</v>
      </c>
      <c r="M1436" s="19" t="n">
        <v>0.415452645410469</v>
      </c>
      <c r="N1436" s="19" t="n">
        <v>0.773929807577016</v>
      </c>
      <c r="O1436" s="19" t="n">
        <v>0.912264770710588</v>
      </c>
      <c r="P1436" s="19" t="n">
        <v>0.834020692430206</v>
      </c>
      <c r="Q1436" s="17" t="s">
        <v>29</v>
      </c>
      <c r="R1436" s="5" t="str">
        <f aca="false">IF(OR(Q1436="Steel plate",Q1436="Concrete jacket"),"Steel plate or jacket",Q1436)</f>
        <v>Monitor</v>
      </c>
      <c r="S1436" s="5" t="str">
        <f aca="false">IF(O1436&lt;='Tree rules'!$C$4,IF(N1436&lt;='Tree rules'!$C$5,IF(P1436&lt;='Tree rules'!$C$6,"Monitor","Polymer laminate"),IF(P1436&lt;='Tree rules'!$C$7,"Seal cracks","Polymer laminate")),IF(O1436&lt;='Tree rules'!$C$8,IF(M1436&lt;='Tree rules'!$C$9,"Steel plate or jacket","Polymer laminate"),IF(L1436&lt;='Tree rules'!$C$10,"Steel plate or jacket","Polymer laminate")))</f>
        <v>Monitor</v>
      </c>
      <c r="T1436" s="5" t="str">
        <f aca="false">IF(S1436=R1436,"Yes","No")</f>
        <v>Yes</v>
      </c>
    </row>
    <row r="1437" customFormat="false" ht="15" hidden="false" customHeight="false" outlineLevel="0" collapsed="false">
      <c r="A1437" s="15" t="n">
        <v>2052</v>
      </c>
      <c r="B1437" s="16" t="n">
        <v>6.48682313745393</v>
      </c>
      <c r="C1437" s="15" t="n">
        <v>300</v>
      </c>
      <c r="D1437" s="15" t="n">
        <v>575</v>
      </c>
      <c r="E1437" s="15" t="n">
        <v>25</v>
      </c>
      <c r="F1437" s="16" t="n">
        <v>0.79483685100311</v>
      </c>
      <c r="G1437" s="17" t="s">
        <v>89</v>
      </c>
      <c r="H1437" s="18" t="n">
        <v>0.3</v>
      </c>
      <c r="I1437" s="18" t="n">
        <v>1.5</v>
      </c>
      <c r="J1437" s="19" t="n">
        <v>0.859693161599771</v>
      </c>
      <c r="K1437" s="19" t="n">
        <v>0.53141790846033</v>
      </c>
      <c r="L1437" s="16" t="n">
        <v>12.3089623101593</v>
      </c>
      <c r="M1437" s="19" t="n">
        <v>0.747572503777362</v>
      </c>
      <c r="N1437" s="19" t="n">
        <v>0.718071075849319</v>
      </c>
      <c r="O1437" s="19" t="n">
        <v>1.06111157147216</v>
      </c>
      <c r="P1437" s="19" t="n">
        <v>0.568336908533211</v>
      </c>
      <c r="Q1437" s="17" t="s">
        <v>31</v>
      </c>
      <c r="R1437" s="5" t="str">
        <f aca="false">IF(OR(Q1437="Steel plate",Q1437="Concrete jacket"),"Steel plate or jacket",Q1437)</f>
        <v>Polymer laminate</v>
      </c>
      <c r="S1437" s="5" t="str">
        <f aca="false">IF(O1437&lt;='Tree rules'!$C$4,IF(N1437&lt;='Tree rules'!$C$5,IF(P1437&lt;='Tree rules'!$C$6,"Monitor","Polymer laminate"),IF(P1437&lt;='Tree rules'!$C$7,"Seal cracks","Polymer laminate")),IF(O1437&lt;='Tree rules'!$C$8,IF(M1437&lt;='Tree rules'!$C$9,"Steel plate or jacket","Polymer laminate"),IF(L1437&lt;='Tree rules'!$C$10,"Steel plate or jacket","Polymer laminate")))</f>
        <v>Polymer laminate</v>
      </c>
      <c r="T1437" s="5" t="str">
        <f aca="false">IF(S1437=R1437,"Yes","No")</f>
        <v>Yes</v>
      </c>
    </row>
    <row r="1438" customFormat="false" ht="15" hidden="false" customHeight="false" outlineLevel="0" collapsed="false">
      <c r="A1438" s="15" t="n">
        <v>2057</v>
      </c>
      <c r="B1438" s="16" t="n">
        <v>4.47768680594456</v>
      </c>
      <c r="C1438" s="15" t="n">
        <v>300</v>
      </c>
      <c r="D1438" s="15" t="n">
        <v>425</v>
      </c>
      <c r="E1438" s="15" t="n">
        <v>20</v>
      </c>
      <c r="F1438" s="16" t="n">
        <v>0.593686800678386</v>
      </c>
      <c r="G1438" s="17" t="s">
        <v>89</v>
      </c>
      <c r="H1438" s="18" t="n">
        <v>0.3</v>
      </c>
      <c r="I1438" s="18" t="n">
        <v>1</v>
      </c>
      <c r="J1438" s="19" t="n">
        <v>0.85633652208533</v>
      </c>
      <c r="K1438" s="19" t="n">
        <v>0.525257385547691</v>
      </c>
      <c r="L1438" s="16" t="n">
        <v>11.7524588082535</v>
      </c>
      <c r="M1438" s="19" t="n">
        <v>0.513841089975915</v>
      </c>
      <c r="N1438" s="19" t="n">
        <v>0.542666248560637</v>
      </c>
      <c r="O1438" s="19" t="n">
        <v>0.85633652208533</v>
      </c>
      <c r="P1438" s="19" t="n">
        <v>0.546335678807342</v>
      </c>
      <c r="Q1438" s="17" t="s">
        <v>29</v>
      </c>
      <c r="R1438" s="5" t="str">
        <f aca="false">IF(OR(Q1438="Steel plate",Q1438="Concrete jacket"),"Steel plate or jacket",Q1438)</f>
        <v>Monitor</v>
      </c>
      <c r="S1438" s="5" t="str">
        <f aca="false">IF(O1438&lt;='Tree rules'!$C$4,IF(N1438&lt;='Tree rules'!$C$5,IF(P1438&lt;='Tree rules'!$C$6,"Monitor","Polymer laminate"),IF(P1438&lt;='Tree rules'!$C$7,"Seal cracks","Polymer laminate")),IF(O1438&lt;='Tree rules'!$C$8,IF(M1438&lt;='Tree rules'!$C$9,"Steel plate or jacket","Polymer laminate"),IF(L1438&lt;='Tree rules'!$C$10,"Steel plate or jacket","Polymer laminate")))</f>
        <v>Monitor</v>
      </c>
      <c r="T1438" s="5" t="str">
        <f aca="false">IF(S1438=R1438,"Yes","No")</f>
        <v>Yes</v>
      </c>
    </row>
    <row r="1439" customFormat="false" ht="15" hidden="false" customHeight="false" outlineLevel="0" collapsed="false">
      <c r="A1439" s="15" t="n">
        <v>2058</v>
      </c>
      <c r="B1439" s="16" t="n">
        <v>7.99477579160397</v>
      </c>
      <c r="C1439" s="15" t="n">
        <v>300</v>
      </c>
      <c r="D1439" s="15" t="n">
        <v>750</v>
      </c>
      <c r="E1439" s="15" t="n">
        <v>25</v>
      </c>
      <c r="F1439" s="16" t="n">
        <v>0.571198664289053</v>
      </c>
      <c r="G1439" s="17" t="s">
        <v>89</v>
      </c>
      <c r="H1439" s="18" t="n">
        <v>0.3</v>
      </c>
      <c r="I1439" s="18" t="n">
        <v>1</v>
      </c>
      <c r="J1439" s="19" t="n">
        <v>0.857354325210065</v>
      </c>
      <c r="K1439" s="19" t="n">
        <v>0.446678548760615</v>
      </c>
      <c r="L1439" s="16" t="n">
        <v>11.3562156130738</v>
      </c>
      <c r="M1439" s="19" t="n">
        <v>0.929776066779339</v>
      </c>
      <c r="N1439" s="19" t="n">
        <v>0.458121571169491</v>
      </c>
      <c r="O1439" s="19" t="n">
        <v>0.857354325210065</v>
      </c>
      <c r="P1439" s="19" t="n">
        <v>0.301365229558404</v>
      </c>
      <c r="Q1439" s="17" t="s">
        <v>29</v>
      </c>
      <c r="R1439" s="5" t="str">
        <f aca="false">IF(OR(Q1439="Steel plate",Q1439="Concrete jacket"),"Steel plate or jacket",Q1439)</f>
        <v>Monitor</v>
      </c>
      <c r="S1439" s="5" t="str">
        <f aca="false">IF(O1439&lt;='Tree rules'!$C$4,IF(N1439&lt;='Tree rules'!$C$5,IF(P1439&lt;='Tree rules'!$C$6,"Monitor","Polymer laminate"),IF(P1439&lt;='Tree rules'!$C$7,"Seal cracks","Polymer laminate")),IF(O1439&lt;='Tree rules'!$C$8,IF(M1439&lt;='Tree rules'!$C$9,"Steel plate or jacket","Polymer laminate"),IF(L1439&lt;='Tree rules'!$C$10,"Steel plate or jacket","Polymer laminate")))</f>
        <v>Monitor</v>
      </c>
      <c r="T1439" s="5" t="str">
        <f aca="false">IF(S1439=R1439,"Yes","No")</f>
        <v>Yes</v>
      </c>
    </row>
    <row r="1440" customFormat="false" ht="15" hidden="false" customHeight="false" outlineLevel="0" collapsed="false">
      <c r="A1440" s="15" t="n">
        <v>2062</v>
      </c>
      <c r="B1440" s="16" t="n">
        <v>3.88745492611054</v>
      </c>
      <c r="C1440" s="15" t="n">
        <v>300</v>
      </c>
      <c r="D1440" s="15" t="n">
        <v>375</v>
      </c>
      <c r="E1440" s="15" t="n">
        <v>30</v>
      </c>
      <c r="F1440" s="16" t="n">
        <v>1.06720769548698</v>
      </c>
      <c r="G1440" s="17" t="s">
        <v>90</v>
      </c>
      <c r="H1440" s="18" t="n">
        <v>0.1</v>
      </c>
      <c r="I1440" s="18" t="n">
        <v>2</v>
      </c>
      <c r="J1440" s="19" t="n">
        <v>0.863080009794296</v>
      </c>
      <c r="K1440" s="19" t="n">
        <v>0.500509915006669</v>
      </c>
      <c r="L1440" s="16" t="n">
        <v>12.380429700989</v>
      </c>
      <c r="M1440" s="19" t="n">
        <v>0.826247778333492</v>
      </c>
      <c r="N1440" s="19" t="n">
        <v>3.55120212618564</v>
      </c>
      <c r="O1440" s="19" t="n">
        <v>1.29417991724249</v>
      </c>
      <c r="P1440" s="19" t="n">
        <v>0.538170074220248</v>
      </c>
      <c r="Q1440" s="17" t="s">
        <v>31</v>
      </c>
      <c r="R1440" s="5" t="str">
        <f aca="false">IF(OR(Q1440="Steel plate",Q1440="Concrete jacket"),"Steel plate or jacket",Q1440)</f>
        <v>Polymer laminate</v>
      </c>
      <c r="S1440" s="5" t="str">
        <f aca="false">IF(O1440&lt;='Tree rules'!$C$4,IF(N1440&lt;='Tree rules'!$C$5,IF(P1440&lt;='Tree rules'!$C$6,"Monitor","Polymer laminate"),IF(P1440&lt;='Tree rules'!$C$7,"Seal cracks","Polymer laminate")),IF(O1440&lt;='Tree rules'!$C$8,IF(M1440&lt;='Tree rules'!$C$9,"Steel plate or jacket","Polymer laminate"),IF(L1440&lt;='Tree rules'!$C$10,"Steel plate or jacket","Polymer laminate")))</f>
        <v>Polymer laminate</v>
      </c>
      <c r="T1440" s="5" t="str">
        <f aca="false">IF(S1440=R1440,"Yes","No")</f>
        <v>Yes</v>
      </c>
    </row>
    <row r="1441" customFormat="false" ht="15" hidden="false" customHeight="false" outlineLevel="0" collapsed="false">
      <c r="A1441" s="15" t="n">
        <v>2063</v>
      </c>
      <c r="B1441" s="16" t="n">
        <v>3.92995159172424</v>
      </c>
      <c r="C1441" s="15" t="n">
        <v>300</v>
      </c>
      <c r="D1441" s="15" t="n">
        <v>350</v>
      </c>
      <c r="E1441" s="15" t="n">
        <v>20</v>
      </c>
      <c r="F1441" s="16" t="n">
        <v>0.693508312050727</v>
      </c>
      <c r="G1441" s="17" t="s">
        <v>91</v>
      </c>
      <c r="H1441" s="18" t="n">
        <v>0.2</v>
      </c>
      <c r="I1441" s="18" t="n">
        <v>1</v>
      </c>
      <c r="J1441" s="19" t="n">
        <v>0.926466759176121</v>
      </c>
      <c r="K1441" s="19" t="n">
        <v>0.512029824089239</v>
      </c>
      <c r="L1441" s="16" t="n">
        <v>13.0130847408087</v>
      </c>
      <c r="M1441" s="19" t="n">
        <v>0.503544854524083</v>
      </c>
      <c r="N1441" s="19" t="n">
        <v>1.53760575169919</v>
      </c>
      <c r="O1441" s="19" t="n">
        <v>0.926466759176121</v>
      </c>
      <c r="P1441" s="19" t="n">
        <v>0.668466863830942</v>
      </c>
      <c r="Q1441" s="17" t="s">
        <v>30</v>
      </c>
      <c r="R1441" s="5" t="str">
        <f aca="false">IF(OR(Q1441="Steel plate",Q1441="Concrete jacket"),"Steel plate or jacket",Q1441)</f>
        <v>Seal cracks</v>
      </c>
      <c r="S1441" s="5" t="str">
        <f aca="false">IF(O1441&lt;='Tree rules'!$C$4,IF(N1441&lt;='Tree rules'!$C$5,IF(P1441&lt;='Tree rules'!$C$6,"Monitor","Polymer laminate"),IF(P1441&lt;='Tree rules'!$C$7,"Seal cracks","Polymer laminate")),IF(O1441&lt;='Tree rules'!$C$8,IF(M1441&lt;='Tree rules'!$C$9,"Steel plate or jacket","Polymer laminate"),IF(L1441&lt;='Tree rules'!$C$10,"Steel plate or jacket","Polymer laminate")))</f>
        <v>Seal cracks</v>
      </c>
      <c r="T1441" s="5" t="str">
        <f aca="false">IF(S1441=R1441,"Yes","No")</f>
        <v>Yes</v>
      </c>
    </row>
    <row r="1442" customFormat="false" ht="15" hidden="false" customHeight="false" outlineLevel="0" collapsed="false">
      <c r="A1442" s="15" t="n">
        <v>2064</v>
      </c>
      <c r="B1442" s="16" t="n">
        <v>5.46238804525759</v>
      </c>
      <c r="C1442" s="15" t="n">
        <v>230</v>
      </c>
      <c r="D1442" s="15" t="n">
        <v>425</v>
      </c>
      <c r="E1442" s="15" t="n">
        <v>25</v>
      </c>
      <c r="F1442" s="16" t="n">
        <v>0.691964884122107</v>
      </c>
      <c r="G1442" s="17" t="s">
        <v>89</v>
      </c>
      <c r="H1442" s="18" t="n">
        <v>0.3</v>
      </c>
      <c r="I1442" s="18" t="n">
        <v>2</v>
      </c>
      <c r="J1442" s="19" t="n">
        <v>0.912780088610399</v>
      </c>
      <c r="K1442" s="19" t="n">
        <v>0.402909406297191</v>
      </c>
      <c r="L1442" s="16" t="n">
        <v>14.4126333647958</v>
      </c>
      <c r="M1442" s="19" t="n">
        <v>0.716834079747403</v>
      </c>
      <c r="N1442" s="19" t="n">
        <v>1.0508416658801</v>
      </c>
      <c r="O1442" s="19" t="n">
        <v>1.45779249363888</v>
      </c>
      <c r="P1442" s="19" t="n">
        <v>0.647213097802214</v>
      </c>
      <c r="Q1442" s="17" t="s">
        <v>31</v>
      </c>
      <c r="R1442" s="5" t="str">
        <f aca="false">IF(OR(Q1442="Steel plate",Q1442="Concrete jacket"),"Steel plate or jacket",Q1442)</f>
        <v>Polymer laminate</v>
      </c>
      <c r="S1442" s="5" t="str">
        <f aca="false">IF(O1442&lt;='Tree rules'!$C$4,IF(N1442&lt;='Tree rules'!$C$5,IF(P1442&lt;='Tree rules'!$C$6,"Monitor","Polymer laminate"),IF(P1442&lt;='Tree rules'!$C$7,"Seal cracks","Polymer laminate")),IF(O1442&lt;='Tree rules'!$C$8,IF(M1442&lt;='Tree rules'!$C$9,"Steel plate or jacket","Polymer laminate"),IF(L1442&lt;='Tree rules'!$C$10,"Steel plate or jacket","Polymer laminate")))</f>
        <v>Polymer laminate</v>
      </c>
      <c r="T1442" s="5" t="str">
        <f aca="false">IF(S1442=R1442,"Yes","No")</f>
        <v>Yes</v>
      </c>
    </row>
    <row r="1443" customFormat="false" ht="15" hidden="false" customHeight="false" outlineLevel="0" collapsed="false">
      <c r="A1443" s="15" t="n">
        <v>2066</v>
      </c>
      <c r="B1443" s="16" t="n">
        <v>3.32862595595899</v>
      </c>
      <c r="C1443" s="15" t="n">
        <v>230</v>
      </c>
      <c r="D1443" s="15" t="n">
        <v>300</v>
      </c>
      <c r="E1443" s="15" t="n">
        <v>25</v>
      </c>
      <c r="F1443" s="16" t="n">
        <v>0.688332522525665</v>
      </c>
      <c r="G1443" s="17" t="s">
        <v>89</v>
      </c>
      <c r="H1443" s="18" t="n">
        <v>0.3</v>
      </c>
      <c r="I1443" s="18" t="n">
        <v>1.5</v>
      </c>
      <c r="J1443" s="19" t="n">
        <v>0.997747749947175</v>
      </c>
      <c r="K1443" s="19" t="n">
        <v>0.628417059558789</v>
      </c>
      <c r="L1443" s="16" t="n">
        <v>13.1048265982637</v>
      </c>
      <c r="M1443" s="19" t="n">
        <v>0.614000422123764</v>
      </c>
      <c r="N1443" s="19" t="n">
        <v>1.10132464711782</v>
      </c>
      <c r="O1443" s="19" t="n">
        <v>1.18312077131916</v>
      </c>
      <c r="P1443" s="19" t="n">
        <v>0.611592344825749</v>
      </c>
      <c r="Q1443" s="17" t="s">
        <v>31</v>
      </c>
      <c r="R1443" s="5" t="str">
        <f aca="false">IF(OR(Q1443="Steel plate",Q1443="Concrete jacket"),"Steel plate or jacket",Q1443)</f>
        <v>Polymer laminate</v>
      </c>
      <c r="S1443" s="5" t="str">
        <f aca="false">IF(O1443&lt;='Tree rules'!$C$4,IF(N1443&lt;='Tree rules'!$C$5,IF(P1443&lt;='Tree rules'!$C$6,"Monitor","Polymer laminate"),IF(P1443&lt;='Tree rules'!$C$7,"Seal cracks","Polymer laminate")),IF(O1443&lt;='Tree rules'!$C$8,IF(M1443&lt;='Tree rules'!$C$9,"Steel plate or jacket","Polymer laminate"),IF(L1443&lt;='Tree rules'!$C$10,"Steel plate or jacket","Polymer laminate")))</f>
        <v>Polymer laminate</v>
      </c>
      <c r="T1443" s="5" t="str">
        <f aca="false">IF(S1443=R1443,"Yes","No")</f>
        <v>Yes</v>
      </c>
    </row>
    <row r="1444" customFormat="false" ht="15" hidden="false" customHeight="false" outlineLevel="0" collapsed="false">
      <c r="A1444" s="15" t="n">
        <v>2067</v>
      </c>
      <c r="B1444" s="16" t="n">
        <v>4.52458634932427</v>
      </c>
      <c r="C1444" s="15" t="n">
        <v>230</v>
      </c>
      <c r="D1444" s="15" t="n">
        <v>450</v>
      </c>
      <c r="E1444" s="15" t="n">
        <v>20</v>
      </c>
      <c r="F1444" s="16" t="n">
        <v>0.649145274956135</v>
      </c>
      <c r="G1444" s="17" t="s">
        <v>89</v>
      </c>
      <c r="H1444" s="18" t="n">
        <v>0.3</v>
      </c>
      <c r="I1444" s="18" t="n">
        <v>1</v>
      </c>
      <c r="J1444" s="19" t="n">
        <v>0.950019583275215</v>
      </c>
      <c r="K1444" s="19" t="n">
        <v>0.546409230659618</v>
      </c>
      <c r="L1444" s="16" t="n">
        <v>11.1994711616937</v>
      </c>
      <c r="M1444" s="19" t="n">
        <v>0.528162743185849</v>
      </c>
      <c r="N1444" s="19" t="n">
        <v>0.68029667908933</v>
      </c>
      <c r="O1444" s="19" t="n">
        <v>0.950019583275215</v>
      </c>
      <c r="P1444" s="19" t="n">
        <v>0.612694522766047</v>
      </c>
      <c r="Q1444" s="17" t="s">
        <v>29</v>
      </c>
      <c r="R1444" s="5" t="str">
        <f aca="false">IF(OR(Q1444="Steel plate",Q1444="Concrete jacket"),"Steel plate or jacket",Q1444)</f>
        <v>Monitor</v>
      </c>
      <c r="S1444" s="5" t="str">
        <f aca="false">IF(O1444&lt;='Tree rules'!$C$4,IF(N1444&lt;='Tree rules'!$C$5,IF(P1444&lt;='Tree rules'!$C$6,"Monitor","Polymer laminate"),IF(P1444&lt;='Tree rules'!$C$7,"Seal cracks","Polymer laminate")),IF(O1444&lt;='Tree rules'!$C$8,IF(M1444&lt;='Tree rules'!$C$9,"Steel plate or jacket","Polymer laminate"),IF(L1444&lt;='Tree rules'!$C$10,"Steel plate or jacket","Polymer laminate")))</f>
        <v>Monitor</v>
      </c>
      <c r="T1444" s="5" t="str">
        <f aca="false">IF(S1444=R1444,"Yes","No")</f>
        <v>Yes</v>
      </c>
    </row>
    <row r="1445" customFormat="false" ht="15" hidden="false" customHeight="false" outlineLevel="0" collapsed="false">
      <c r="A1445" s="15" t="n">
        <v>2068</v>
      </c>
      <c r="B1445" s="16" t="n">
        <v>7.30703872953752</v>
      </c>
      <c r="C1445" s="15" t="n">
        <v>300</v>
      </c>
      <c r="D1445" s="15" t="n">
        <v>625</v>
      </c>
      <c r="E1445" s="15" t="n">
        <v>25</v>
      </c>
      <c r="F1445" s="16" t="n">
        <v>0.559002251528433</v>
      </c>
      <c r="G1445" s="17" t="s">
        <v>90</v>
      </c>
      <c r="H1445" s="18" t="n">
        <v>0.1</v>
      </c>
      <c r="I1445" s="18" t="n">
        <v>1</v>
      </c>
      <c r="J1445" s="19" t="n">
        <v>0.953360808423073</v>
      </c>
      <c r="K1445" s="19" t="n">
        <v>0.646824553972413</v>
      </c>
      <c r="L1445" s="16" t="n">
        <v>13.0018482731984</v>
      </c>
      <c r="M1445" s="19" t="n">
        <v>0.699171538499342</v>
      </c>
      <c r="N1445" s="19" t="n">
        <v>2.61776569584187</v>
      </c>
      <c r="O1445" s="19" t="n">
        <v>0.953360808423073</v>
      </c>
      <c r="P1445" s="19" t="n">
        <v>0.494824523919865</v>
      </c>
      <c r="Q1445" s="17" t="s">
        <v>30</v>
      </c>
      <c r="R1445" s="5" t="str">
        <f aca="false">IF(OR(Q1445="Steel plate",Q1445="Concrete jacket"),"Steel plate or jacket",Q1445)</f>
        <v>Seal cracks</v>
      </c>
      <c r="S1445" s="5" t="str">
        <f aca="false">IF(O1445&lt;='Tree rules'!$C$4,IF(N1445&lt;='Tree rules'!$C$5,IF(P1445&lt;='Tree rules'!$C$6,"Monitor","Polymer laminate"),IF(P1445&lt;='Tree rules'!$C$7,"Seal cracks","Polymer laminate")),IF(O1445&lt;='Tree rules'!$C$8,IF(M1445&lt;='Tree rules'!$C$9,"Steel plate or jacket","Polymer laminate"),IF(L1445&lt;='Tree rules'!$C$10,"Steel plate or jacket","Polymer laminate")))</f>
        <v>Seal cracks</v>
      </c>
      <c r="T1445" s="5" t="str">
        <f aca="false">IF(S1445=R1445,"Yes","No")</f>
        <v>Yes</v>
      </c>
    </row>
    <row r="1446" customFormat="false" ht="15" hidden="false" customHeight="false" outlineLevel="0" collapsed="false">
      <c r="A1446" s="15" t="n">
        <v>2069</v>
      </c>
      <c r="B1446" s="16" t="n">
        <v>3.64958485688629</v>
      </c>
      <c r="C1446" s="15" t="n">
        <v>230</v>
      </c>
      <c r="D1446" s="15" t="n">
        <v>350</v>
      </c>
      <c r="E1446" s="15" t="n">
        <v>30</v>
      </c>
      <c r="F1446" s="16" t="n">
        <v>0.575119936583944</v>
      </c>
      <c r="G1446" s="17" t="s">
        <v>89</v>
      </c>
      <c r="H1446" s="18" t="n">
        <v>0.3</v>
      </c>
      <c r="I1446" s="18" t="n">
        <v>2</v>
      </c>
      <c r="J1446" s="19" t="n">
        <v>0.978239087323301</v>
      </c>
      <c r="K1446" s="19" t="n">
        <v>0.490946809770769</v>
      </c>
      <c r="L1446" s="16" t="n">
        <v>12.0052133450207</v>
      </c>
      <c r="M1446" s="19" t="n">
        <v>0.271580203133913</v>
      </c>
      <c r="N1446" s="19" t="n">
        <v>1.49292416545935</v>
      </c>
      <c r="O1446" s="19" t="n">
        <v>1.47621481553216</v>
      </c>
      <c r="P1446" s="19" t="n">
        <v>1.08282539602883</v>
      </c>
      <c r="Q1446" s="17" t="s">
        <v>31</v>
      </c>
      <c r="R1446" s="5" t="str">
        <f aca="false">IF(OR(Q1446="Steel plate",Q1446="Concrete jacket"),"Steel plate or jacket",Q1446)</f>
        <v>Polymer laminate</v>
      </c>
      <c r="S1446" s="5" t="str">
        <f aca="false">IF(O1446&lt;='Tree rules'!$C$4,IF(N1446&lt;='Tree rules'!$C$5,IF(P1446&lt;='Tree rules'!$C$6,"Monitor","Polymer laminate"),IF(P1446&lt;='Tree rules'!$C$7,"Seal cracks","Polymer laminate")),IF(O1446&lt;='Tree rules'!$C$8,IF(M1446&lt;='Tree rules'!$C$9,"Steel plate or jacket","Polymer laminate"),IF(L1446&lt;='Tree rules'!$C$10,"Steel plate or jacket","Polymer laminate")))</f>
        <v>Steel plate or jacket</v>
      </c>
      <c r="T1446" s="5" t="str">
        <f aca="false">IF(S1446=R1446,"Yes","No")</f>
        <v>No</v>
      </c>
    </row>
    <row r="1447" customFormat="false" ht="15" hidden="false" customHeight="false" outlineLevel="0" collapsed="false">
      <c r="A1447" s="15" t="n">
        <v>2070</v>
      </c>
      <c r="B1447" s="16" t="n">
        <v>3.13225665837744</v>
      </c>
      <c r="C1447" s="15" t="n">
        <v>230</v>
      </c>
      <c r="D1447" s="15" t="n">
        <v>300</v>
      </c>
      <c r="E1447" s="15" t="n">
        <v>25</v>
      </c>
      <c r="F1447" s="16" t="n">
        <v>0.768324290280112</v>
      </c>
      <c r="G1447" s="17" t="s">
        <v>89</v>
      </c>
      <c r="H1447" s="18" t="n">
        <v>0.3</v>
      </c>
      <c r="I1447" s="18" t="n">
        <v>1</v>
      </c>
      <c r="J1447" s="19" t="n">
        <v>0.89430272804303</v>
      </c>
      <c r="K1447" s="19" t="n">
        <v>0.543569389199273</v>
      </c>
      <c r="L1447" s="16" t="n">
        <v>12.2353775717869</v>
      </c>
      <c r="M1447" s="19" t="n">
        <v>0.486098376661747</v>
      </c>
      <c r="N1447" s="19" t="n">
        <v>0.61796367558965</v>
      </c>
      <c r="O1447" s="19" t="n">
        <v>0.89430272804303</v>
      </c>
      <c r="P1447" s="19" t="n">
        <v>0.620739293903369</v>
      </c>
      <c r="Q1447" s="17" t="s">
        <v>29</v>
      </c>
      <c r="R1447" s="5" t="str">
        <f aca="false">IF(OR(Q1447="Steel plate",Q1447="Concrete jacket"),"Steel plate or jacket",Q1447)</f>
        <v>Monitor</v>
      </c>
      <c r="S1447" s="5" t="str">
        <f aca="false">IF(O1447&lt;='Tree rules'!$C$4,IF(N1447&lt;='Tree rules'!$C$5,IF(P1447&lt;='Tree rules'!$C$6,"Monitor","Polymer laminate"),IF(P1447&lt;='Tree rules'!$C$7,"Seal cracks","Polymer laminate")),IF(O1447&lt;='Tree rules'!$C$8,IF(M1447&lt;='Tree rules'!$C$9,"Steel plate or jacket","Polymer laminate"),IF(L1447&lt;='Tree rules'!$C$10,"Steel plate or jacket","Polymer laminate")))</f>
        <v>Monitor</v>
      </c>
      <c r="T1447" s="5" t="str">
        <f aca="false">IF(S1447=R1447,"Yes","No")</f>
        <v>Yes</v>
      </c>
    </row>
    <row r="1448" customFormat="false" ht="15" hidden="false" customHeight="false" outlineLevel="0" collapsed="false">
      <c r="A1448" s="15" t="n">
        <v>2071</v>
      </c>
      <c r="B1448" s="16" t="n">
        <v>6.5630058006229</v>
      </c>
      <c r="C1448" s="15" t="n">
        <v>230</v>
      </c>
      <c r="D1448" s="15" t="n">
        <v>600</v>
      </c>
      <c r="E1448" s="15" t="n">
        <v>20</v>
      </c>
      <c r="F1448" s="16" t="n">
        <v>0.63117855856144</v>
      </c>
      <c r="G1448" s="17" t="s">
        <v>91</v>
      </c>
      <c r="H1448" s="18" t="n">
        <v>0.2</v>
      </c>
      <c r="I1448" s="18" t="n">
        <v>1</v>
      </c>
      <c r="J1448" s="19" t="n">
        <v>0.895141490644029</v>
      </c>
      <c r="K1448" s="19" t="n">
        <v>0.606498451608742</v>
      </c>
      <c r="L1448" s="16" t="n">
        <v>11.8465808675504</v>
      </c>
      <c r="M1448" s="19" t="n">
        <v>0.525821874825623</v>
      </c>
      <c r="N1448" s="19" t="n">
        <v>0.844029756505429</v>
      </c>
      <c r="O1448" s="19" t="n">
        <v>0.895141490644029</v>
      </c>
      <c r="P1448" s="19" t="n">
        <v>0.679535865689752</v>
      </c>
      <c r="Q1448" s="17" t="s">
        <v>29</v>
      </c>
      <c r="R1448" s="5" t="str">
        <f aca="false">IF(OR(Q1448="Steel plate",Q1448="Concrete jacket"),"Steel plate or jacket",Q1448)</f>
        <v>Monitor</v>
      </c>
      <c r="S1448" s="5" t="str">
        <f aca="false">IF(O1448&lt;='Tree rules'!$C$4,IF(N1448&lt;='Tree rules'!$C$5,IF(P1448&lt;='Tree rules'!$C$6,"Monitor","Polymer laminate"),IF(P1448&lt;='Tree rules'!$C$7,"Seal cracks","Polymer laminate")),IF(O1448&lt;='Tree rules'!$C$8,IF(M1448&lt;='Tree rules'!$C$9,"Steel plate or jacket","Polymer laminate"),IF(L1448&lt;='Tree rules'!$C$10,"Steel plate or jacket","Polymer laminate")))</f>
        <v>Monitor</v>
      </c>
      <c r="T1448" s="5" t="str">
        <f aca="false">IF(S1448=R1448,"Yes","No")</f>
        <v>Yes</v>
      </c>
    </row>
    <row r="1449" customFormat="false" ht="15" hidden="false" customHeight="false" outlineLevel="0" collapsed="false">
      <c r="A1449" s="15" t="n">
        <v>2073</v>
      </c>
      <c r="B1449" s="16" t="n">
        <v>3.02050387927544</v>
      </c>
      <c r="C1449" s="15" t="n">
        <v>300</v>
      </c>
      <c r="D1449" s="15" t="n">
        <v>300</v>
      </c>
      <c r="E1449" s="15" t="n">
        <v>25</v>
      </c>
      <c r="F1449" s="16" t="n">
        <v>0.831109167616348</v>
      </c>
      <c r="G1449" s="17" t="s">
        <v>89</v>
      </c>
      <c r="H1449" s="18" t="n">
        <v>0.3</v>
      </c>
      <c r="I1449" s="18" t="n">
        <v>1</v>
      </c>
      <c r="J1449" s="19" t="n">
        <v>0.969197419099138</v>
      </c>
      <c r="K1449" s="19" t="n">
        <v>0.576703569945672</v>
      </c>
      <c r="L1449" s="16" t="n">
        <v>11.9861265050613</v>
      </c>
      <c r="M1449" s="19" t="n">
        <v>0.618759919069327</v>
      </c>
      <c r="N1449" s="19" t="n">
        <v>1.03941125485511</v>
      </c>
      <c r="O1449" s="19" t="n">
        <v>0.969197419099138</v>
      </c>
      <c r="P1449" s="19" t="n">
        <v>0.556518479503531</v>
      </c>
      <c r="Q1449" s="17" t="s">
        <v>30</v>
      </c>
      <c r="R1449" s="5" t="str">
        <f aca="false">IF(OR(Q1449="Steel plate",Q1449="Concrete jacket"),"Steel plate or jacket",Q1449)</f>
        <v>Seal cracks</v>
      </c>
      <c r="S1449" s="5" t="str">
        <f aca="false">IF(O1449&lt;='Tree rules'!$C$4,IF(N1449&lt;='Tree rules'!$C$5,IF(P1449&lt;='Tree rules'!$C$6,"Monitor","Polymer laminate"),IF(P1449&lt;='Tree rules'!$C$7,"Seal cracks","Polymer laminate")),IF(O1449&lt;='Tree rules'!$C$8,IF(M1449&lt;='Tree rules'!$C$9,"Steel plate or jacket","Polymer laminate"),IF(L1449&lt;='Tree rules'!$C$10,"Steel plate or jacket","Polymer laminate")))</f>
        <v>Seal cracks</v>
      </c>
      <c r="T1449" s="5" t="str">
        <f aca="false">IF(S1449=R1449,"Yes","No")</f>
        <v>Yes</v>
      </c>
    </row>
    <row r="1450" customFormat="false" ht="15" hidden="false" customHeight="false" outlineLevel="0" collapsed="false">
      <c r="A1450" s="15" t="n">
        <v>2075</v>
      </c>
      <c r="B1450" s="16" t="n">
        <v>3.04128220187885</v>
      </c>
      <c r="C1450" s="15" t="n">
        <v>230</v>
      </c>
      <c r="D1450" s="15" t="n">
        <v>300</v>
      </c>
      <c r="E1450" s="15" t="n">
        <v>25</v>
      </c>
      <c r="F1450" s="16" t="n">
        <v>0.688332522525665</v>
      </c>
      <c r="G1450" s="17" t="s">
        <v>89</v>
      </c>
      <c r="H1450" s="18" t="n">
        <v>0.3</v>
      </c>
      <c r="I1450" s="18" t="n">
        <v>1</v>
      </c>
      <c r="J1450" s="19" t="n">
        <v>0.900706648883629</v>
      </c>
      <c r="K1450" s="19" t="n">
        <v>0.498412560347528</v>
      </c>
      <c r="L1450" s="16" t="n">
        <v>11.973551975901</v>
      </c>
      <c r="M1450" s="19" t="n">
        <v>0.922967601499919</v>
      </c>
      <c r="N1450" s="19" t="n">
        <v>0.75366922168094</v>
      </c>
      <c r="O1450" s="19" t="n">
        <v>0.900706648883629</v>
      </c>
      <c r="P1450" s="19" t="n">
        <v>0.292826624972092</v>
      </c>
      <c r="Q1450" s="17" t="s">
        <v>29</v>
      </c>
      <c r="R1450" s="5" t="str">
        <f aca="false">IF(OR(Q1450="Steel plate",Q1450="Concrete jacket"),"Steel plate or jacket",Q1450)</f>
        <v>Monitor</v>
      </c>
      <c r="S1450" s="5" t="str">
        <f aca="false">IF(O1450&lt;='Tree rules'!$C$4,IF(N1450&lt;='Tree rules'!$C$5,IF(P1450&lt;='Tree rules'!$C$6,"Monitor","Polymer laminate"),IF(P1450&lt;='Tree rules'!$C$7,"Seal cracks","Polymer laminate")),IF(O1450&lt;='Tree rules'!$C$8,IF(M1450&lt;='Tree rules'!$C$9,"Steel plate or jacket","Polymer laminate"),IF(L1450&lt;='Tree rules'!$C$10,"Steel plate or jacket","Polymer laminate")))</f>
        <v>Monitor</v>
      </c>
      <c r="T1450" s="5" t="str">
        <f aca="false">IF(S1450=R1450,"Yes","No")</f>
        <v>Yes</v>
      </c>
    </row>
    <row r="1451" customFormat="false" ht="15" hidden="false" customHeight="false" outlineLevel="0" collapsed="false">
      <c r="A1451" s="15" t="n">
        <v>2076</v>
      </c>
      <c r="B1451" s="16" t="n">
        <v>6.5666716385992</v>
      </c>
      <c r="C1451" s="15" t="n">
        <v>230</v>
      </c>
      <c r="D1451" s="15" t="n">
        <v>525</v>
      </c>
      <c r="E1451" s="15" t="n">
        <v>25</v>
      </c>
      <c r="F1451" s="16" t="n">
        <v>0.57270853223768</v>
      </c>
      <c r="G1451" s="17" t="s">
        <v>91</v>
      </c>
      <c r="H1451" s="18" t="n">
        <v>0.2</v>
      </c>
      <c r="I1451" s="18" t="n">
        <v>1</v>
      </c>
      <c r="J1451" s="19" t="n">
        <v>0.963723424435025</v>
      </c>
      <c r="K1451" s="19" t="n">
        <v>0.462150233225395</v>
      </c>
      <c r="L1451" s="16" t="n">
        <v>13.7666072088034</v>
      </c>
      <c r="M1451" s="19" t="n">
        <v>0.618897836845663</v>
      </c>
      <c r="N1451" s="19" t="n">
        <v>1.33288726099212</v>
      </c>
      <c r="O1451" s="19" t="n">
        <v>0.963723424435025</v>
      </c>
      <c r="P1451" s="19" t="n">
        <v>0.533060591086759</v>
      </c>
      <c r="Q1451" s="17" t="s">
        <v>30</v>
      </c>
      <c r="R1451" s="5" t="str">
        <f aca="false">IF(OR(Q1451="Steel plate",Q1451="Concrete jacket"),"Steel plate or jacket",Q1451)</f>
        <v>Seal cracks</v>
      </c>
      <c r="S1451" s="5" t="str">
        <f aca="false">IF(O1451&lt;='Tree rules'!$C$4,IF(N1451&lt;='Tree rules'!$C$5,IF(P1451&lt;='Tree rules'!$C$6,"Monitor","Polymer laminate"),IF(P1451&lt;='Tree rules'!$C$7,"Seal cracks","Polymer laminate")),IF(O1451&lt;='Tree rules'!$C$8,IF(M1451&lt;='Tree rules'!$C$9,"Steel plate or jacket","Polymer laminate"),IF(L1451&lt;='Tree rules'!$C$10,"Steel plate or jacket","Polymer laminate")))</f>
        <v>Seal cracks</v>
      </c>
      <c r="T1451" s="5" t="str">
        <f aca="false">IF(S1451=R1451,"Yes","No")</f>
        <v>Yes</v>
      </c>
    </row>
    <row r="1452" customFormat="false" ht="15" hidden="false" customHeight="false" outlineLevel="0" collapsed="false">
      <c r="A1452" s="15" t="n">
        <v>2077</v>
      </c>
      <c r="B1452" s="16" t="n">
        <v>6.16675837329502</v>
      </c>
      <c r="C1452" s="15" t="n">
        <v>230</v>
      </c>
      <c r="D1452" s="15" t="n">
        <v>525</v>
      </c>
      <c r="E1452" s="15" t="n">
        <v>20</v>
      </c>
      <c r="F1452" s="16" t="n">
        <v>0.547504574284506</v>
      </c>
      <c r="G1452" s="17" t="s">
        <v>91</v>
      </c>
      <c r="H1452" s="18" t="n">
        <v>0.2</v>
      </c>
      <c r="I1452" s="18" t="n">
        <v>2</v>
      </c>
      <c r="J1452" s="19" t="n">
        <v>0.984968426309161</v>
      </c>
      <c r="K1452" s="19" t="n">
        <v>0.457520837545596</v>
      </c>
      <c r="L1452" s="16" t="n">
        <v>12.8742345997808</v>
      </c>
      <c r="M1452" s="19" t="n">
        <v>0.378985287957734</v>
      </c>
      <c r="N1452" s="19" t="n">
        <v>1.69377590705478</v>
      </c>
      <c r="O1452" s="19" t="n">
        <v>1.51929327325739</v>
      </c>
      <c r="P1452" s="19" t="n">
        <v>1.09366517503549</v>
      </c>
      <c r="Q1452" s="17" t="s">
        <v>92</v>
      </c>
      <c r="R1452" s="5" t="str">
        <f aca="false">IF(OR(Q1452="Steel plate",Q1452="Concrete jacket"),"Steel plate or jacket",Q1452)</f>
        <v>Steel plate or jacket</v>
      </c>
      <c r="S1452" s="5" t="str">
        <f aca="false">IF(O1452&lt;='Tree rules'!$C$4,IF(N1452&lt;='Tree rules'!$C$5,IF(P1452&lt;='Tree rules'!$C$6,"Monitor","Polymer laminate"),IF(P1452&lt;='Tree rules'!$C$7,"Seal cracks","Polymer laminate")),IF(O1452&lt;='Tree rules'!$C$8,IF(M1452&lt;='Tree rules'!$C$9,"Steel plate or jacket","Polymer laminate"),IF(L1452&lt;='Tree rules'!$C$10,"Steel plate or jacket","Polymer laminate")))</f>
        <v>Steel plate or jacket</v>
      </c>
      <c r="T1452" s="5" t="str">
        <f aca="false">IF(S1452=R1452,"Yes","No")</f>
        <v>Yes</v>
      </c>
    </row>
    <row r="1453" customFormat="false" ht="15" hidden="false" customHeight="false" outlineLevel="0" collapsed="false">
      <c r="A1453" s="15" t="n">
        <v>2078</v>
      </c>
      <c r="B1453" s="16" t="n">
        <v>4.60498487401914</v>
      </c>
      <c r="C1453" s="15" t="n">
        <v>230</v>
      </c>
      <c r="D1453" s="15" t="n">
        <v>450</v>
      </c>
      <c r="E1453" s="15" t="n">
        <v>30</v>
      </c>
      <c r="F1453" s="16" t="n">
        <v>0.649145274956135</v>
      </c>
      <c r="G1453" s="17" t="s">
        <v>89</v>
      </c>
      <c r="H1453" s="18" t="n">
        <v>0.3</v>
      </c>
      <c r="I1453" s="18" t="n">
        <v>2</v>
      </c>
      <c r="J1453" s="19" t="n">
        <v>0.932227877496083</v>
      </c>
      <c r="K1453" s="19" t="n">
        <v>0.539994352556771</v>
      </c>
      <c r="L1453" s="16" t="n">
        <v>11.3984774109385</v>
      </c>
      <c r="M1453" s="19" t="n">
        <v>0.909484774090201</v>
      </c>
      <c r="N1453" s="19" t="n">
        <v>0.944897016268849</v>
      </c>
      <c r="O1453" s="19" t="n">
        <v>1.3610579658483</v>
      </c>
      <c r="P1453" s="19" t="n">
        <v>0.394267890949998</v>
      </c>
      <c r="Q1453" s="17" t="s">
        <v>31</v>
      </c>
      <c r="R1453" s="5" t="str">
        <f aca="false">IF(OR(Q1453="Steel plate",Q1453="Concrete jacket"),"Steel plate or jacket",Q1453)</f>
        <v>Polymer laminate</v>
      </c>
      <c r="S1453" s="5" t="str">
        <f aca="false">IF(O1453&lt;='Tree rules'!$C$4,IF(N1453&lt;='Tree rules'!$C$5,IF(P1453&lt;='Tree rules'!$C$6,"Monitor","Polymer laminate"),IF(P1453&lt;='Tree rules'!$C$7,"Seal cracks","Polymer laminate")),IF(O1453&lt;='Tree rules'!$C$8,IF(M1453&lt;='Tree rules'!$C$9,"Steel plate or jacket","Polymer laminate"),IF(L1453&lt;='Tree rules'!$C$10,"Steel plate or jacket","Polymer laminate")))</f>
        <v>Steel plate or jacket</v>
      </c>
      <c r="T1453" s="5" t="str">
        <f aca="false">IF(S1453=R1453,"Yes","No")</f>
        <v>No</v>
      </c>
    </row>
    <row r="1454" customFormat="false" ht="15" hidden="false" customHeight="false" outlineLevel="0" collapsed="false">
      <c r="A1454" s="15" t="n">
        <v>2079</v>
      </c>
      <c r="B1454" s="16" t="n">
        <v>6.16572904487896</v>
      </c>
      <c r="C1454" s="15" t="n">
        <v>300</v>
      </c>
      <c r="D1454" s="15" t="n">
        <v>550</v>
      </c>
      <c r="E1454" s="15" t="n">
        <v>25</v>
      </c>
      <c r="F1454" s="16" t="n">
        <v>0.645090893960943</v>
      </c>
      <c r="G1454" s="17" t="s">
        <v>90</v>
      </c>
      <c r="H1454" s="18" t="n">
        <v>0.1</v>
      </c>
      <c r="I1454" s="18" t="n">
        <v>1</v>
      </c>
      <c r="J1454" s="19" t="n">
        <v>0.936245372162647</v>
      </c>
      <c r="K1454" s="19" t="n">
        <v>0.420674546823892</v>
      </c>
      <c r="L1454" s="16" t="n">
        <v>12.6606345890739</v>
      </c>
      <c r="M1454" s="19" t="n">
        <v>0.670851167448257</v>
      </c>
      <c r="N1454" s="19" t="n">
        <v>2.64327270649173</v>
      </c>
      <c r="O1454" s="19" t="n">
        <v>0.936245372162647</v>
      </c>
      <c r="P1454" s="19" t="n">
        <v>0.444769531877557</v>
      </c>
      <c r="Q1454" s="17" t="s">
        <v>30</v>
      </c>
      <c r="R1454" s="5" t="str">
        <f aca="false">IF(OR(Q1454="Steel plate",Q1454="Concrete jacket"),"Steel plate or jacket",Q1454)</f>
        <v>Seal cracks</v>
      </c>
      <c r="S1454" s="5" t="str">
        <f aca="false">IF(O1454&lt;='Tree rules'!$C$4,IF(N1454&lt;='Tree rules'!$C$5,IF(P1454&lt;='Tree rules'!$C$6,"Monitor","Polymer laminate"),IF(P1454&lt;='Tree rules'!$C$7,"Seal cracks","Polymer laminate")),IF(O1454&lt;='Tree rules'!$C$8,IF(M1454&lt;='Tree rules'!$C$9,"Steel plate or jacket","Polymer laminate"),IF(L1454&lt;='Tree rules'!$C$10,"Steel plate or jacket","Polymer laminate")))</f>
        <v>Seal cracks</v>
      </c>
      <c r="T1454" s="5" t="str">
        <f aca="false">IF(S1454=R1454,"Yes","No")</f>
        <v>Yes</v>
      </c>
    </row>
    <row r="1455" customFormat="false" ht="15" hidden="false" customHeight="false" outlineLevel="0" collapsed="false">
      <c r="A1455" s="15" t="n">
        <v>2080</v>
      </c>
      <c r="B1455" s="16" t="n">
        <v>3.22758781915078</v>
      </c>
      <c r="C1455" s="15" t="n">
        <v>230</v>
      </c>
      <c r="D1455" s="15" t="n">
        <v>300</v>
      </c>
      <c r="E1455" s="15" t="n">
        <v>25</v>
      </c>
      <c r="F1455" s="16" t="n">
        <v>0.768324290280112</v>
      </c>
      <c r="G1455" s="17" t="s">
        <v>91</v>
      </c>
      <c r="H1455" s="18" t="n">
        <v>0.2</v>
      </c>
      <c r="I1455" s="18" t="n">
        <v>1</v>
      </c>
      <c r="J1455" s="19" t="n">
        <v>0.914105420529094</v>
      </c>
      <c r="K1455" s="19" t="n">
        <v>0.425692810842383</v>
      </c>
      <c r="L1455" s="16" t="n">
        <v>12.6077649185577</v>
      </c>
      <c r="M1455" s="19" t="n">
        <v>0.744653824731096</v>
      </c>
      <c r="N1455" s="19" t="n">
        <v>0.894030867913567</v>
      </c>
      <c r="O1455" s="19" t="n">
        <v>0.914105420529094</v>
      </c>
      <c r="P1455" s="19" t="n">
        <v>0.400359958982407</v>
      </c>
      <c r="Q1455" s="17" t="s">
        <v>29</v>
      </c>
      <c r="R1455" s="5" t="str">
        <f aca="false">IF(OR(Q1455="Steel plate",Q1455="Concrete jacket"),"Steel plate or jacket",Q1455)</f>
        <v>Monitor</v>
      </c>
      <c r="S1455" s="5" t="str">
        <f aca="false">IF(O1455&lt;='Tree rules'!$C$4,IF(N1455&lt;='Tree rules'!$C$5,IF(P1455&lt;='Tree rules'!$C$6,"Monitor","Polymer laminate"),IF(P1455&lt;='Tree rules'!$C$7,"Seal cracks","Polymer laminate")),IF(O1455&lt;='Tree rules'!$C$8,IF(M1455&lt;='Tree rules'!$C$9,"Steel plate or jacket","Polymer laminate"),IF(L1455&lt;='Tree rules'!$C$10,"Steel plate or jacket","Polymer laminate")))</f>
        <v>Monitor</v>
      </c>
      <c r="T1455" s="5" t="str">
        <f aca="false">IF(S1455=R1455,"Yes","No")</f>
        <v>Yes</v>
      </c>
    </row>
    <row r="1456" customFormat="false" ht="15" hidden="false" customHeight="false" outlineLevel="0" collapsed="false">
      <c r="A1456" s="15" t="n">
        <v>2084</v>
      </c>
      <c r="B1456" s="16" t="n">
        <v>3.96352043297014</v>
      </c>
      <c r="C1456" s="15" t="n">
        <v>300</v>
      </c>
      <c r="D1456" s="15" t="n">
        <v>325</v>
      </c>
      <c r="E1456" s="15" t="n">
        <v>20</v>
      </c>
      <c r="F1456" s="16" t="n">
        <v>0.756099314943392</v>
      </c>
      <c r="G1456" s="17" t="s">
        <v>89</v>
      </c>
      <c r="H1456" s="18" t="n">
        <v>0.3</v>
      </c>
      <c r="I1456" s="18" t="n">
        <v>2</v>
      </c>
      <c r="J1456" s="19" t="n">
        <v>0.860860494664298</v>
      </c>
      <c r="K1456" s="19" t="n">
        <v>0.545322281239563</v>
      </c>
      <c r="L1456" s="16" t="n">
        <v>14.3087380251629</v>
      </c>
      <c r="M1456" s="19" t="n">
        <v>0.473532184376173</v>
      </c>
      <c r="N1456" s="19" t="n">
        <v>1.39267103101072</v>
      </c>
      <c r="O1456" s="19" t="n">
        <v>1.25227458054924</v>
      </c>
      <c r="P1456" s="19" t="n">
        <v>0.946619238297661</v>
      </c>
      <c r="Q1456" s="17" t="s">
        <v>31</v>
      </c>
      <c r="R1456" s="5" t="str">
        <f aca="false">IF(OR(Q1456="Steel plate",Q1456="Concrete jacket"),"Steel plate or jacket",Q1456)</f>
        <v>Polymer laminate</v>
      </c>
      <c r="S1456" s="5" t="str">
        <f aca="false">IF(O1456&lt;='Tree rules'!$C$4,IF(N1456&lt;='Tree rules'!$C$5,IF(P1456&lt;='Tree rules'!$C$6,"Monitor","Polymer laminate"),IF(P1456&lt;='Tree rules'!$C$7,"Seal cracks","Polymer laminate")),IF(O1456&lt;='Tree rules'!$C$8,IF(M1456&lt;='Tree rules'!$C$9,"Steel plate or jacket","Polymer laminate"),IF(L1456&lt;='Tree rules'!$C$10,"Steel plate or jacket","Polymer laminate")))</f>
        <v>Polymer laminate</v>
      </c>
      <c r="T1456" s="5" t="str">
        <f aca="false">IF(S1456=R1456,"Yes","No")</f>
        <v>Yes</v>
      </c>
    </row>
    <row r="1457" customFormat="false" ht="15" hidden="false" customHeight="false" outlineLevel="0" collapsed="false">
      <c r="A1457" s="15" t="n">
        <v>2085</v>
      </c>
      <c r="B1457" s="16" t="n">
        <v>7.38960626890181</v>
      </c>
      <c r="C1457" s="15" t="n">
        <v>230</v>
      </c>
      <c r="D1457" s="15" t="n">
        <v>650</v>
      </c>
      <c r="E1457" s="15" t="n">
        <v>30</v>
      </c>
      <c r="F1457" s="16" t="n">
        <v>0.680685971455249</v>
      </c>
      <c r="G1457" s="17" t="s">
        <v>89</v>
      </c>
      <c r="H1457" s="18" t="n">
        <v>0.3</v>
      </c>
      <c r="I1457" s="18" t="n">
        <v>1</v>
      </c>
      <c r="J1457" s="19" t="n">
        <v>0.885646273356209</v>
      </c>
      <c r="K1457" s="19" t="n">
        <v>0.507372208387808</v>
      </c>
      <c r="L1457" s="16" t="n">
        <v>12.2750934699366</v>
      </c>
      <c r="M1457" s="19" t="n">
        <v>0.939719850174031</v>
      </c>
      <c r="N1457" s="19" t="n">
        <v>0.561441287223416</v>
      </c>
      <c r="O1457" s="19" t="n">
        <v>0.885646273356209</v>
      </c>
      <c r="P1457" s="19" t="n">
        <v>0.362946962693109</v>
      </c>
      <c r="Q1457" s="17" t="s">
        <v>29</v>
      </c>
      <c r="R1457" s="5" t="str">
        <f aca="false">IF(OR(Q1457="Steel plate",Q1457="Concrete jacket"),"Steel plate or jacket",Q1457)</f>
        <v>Monitor</v>
      </c>
      <c r="S1457" s="5" t="str">
        <f aca="false">IF(O1457&lt;='Tree rules'!$C$4,IF(N1457&lt;='Tree rules'!$C$5,IF(P1457&lt;='Tree rules'!$C$6,"Monitor","Polymer laminate"),IF(P1457&lt;='Tree rules'!$C$7,"Seal cracks","Polymer laminate")),IF(O1457&lt;='Tree rules'!$C$8,IF(M1457&lt;='Tree rules'!$C$9,"Steel plate or jacket","Polymer laminate"),IF(L1457&lt;='Tree rules'!$C$10,"Steel plate or jacket","Polymer laminate")))</f>
        <v>Monitor</v>
      </c>
      <c r="T1457" s="5" t="str">
        <f aca="false">IF(S1457=R1457,"Yes","No")</f>
        <v>Yes</v>
      </c>
    </row>
    <row r="1458" customFormat="false" ht="15" hidden="false" customHeight="false" outlineLevel="0" collapsed="false">
      <c r="A1458" s="15" t="n">
        <v>2086</v>
      </c>
      <c r="B1458" s="16" t="n">
        <v>5.89773200418145</v>
      </c>
      <c r="C1458" s="15" t="n">
        <v>300</v>
      </c>
      <c r="D1458" s="15" t="n">
        <v>525</v>
      </c>
      <c r="E1458" s="15" t="n">
        <v>20</v>
      </c>
      <c r="F1458" s="16" t="n">
        <v>0.658614812073332</v>
      </c>
      <c r="G1458" s="17" t="s">
        <v>89</v>
      </c>
      <c r="H1458" s="18" t="n">
        <v>0.3</v>
      </c>
      <c r="I1458" s="18" t="n">
        <v>1</v>
      </c>
      <c r="J1458" s="19" t="n">
        <v>0.86491518565419</v>
      </c>
      <c r="K1458" s="19" t="n">
        <v>0.418819035122797</v>
      </c>
      <c r="L1458" s="16" t="n">
        <v>12.3642180381162</v>
      </c>
      <c r="M1458" s="19" t="n">
        <v>0.890047660686398</v>
      </c>
      <c r="N1458" s="19" t="n">
        <v>0.629354813702901</v>
      </c>
      <c r="O1458" s="19" t="n">
        <v>0.86491518565419</v>
      </c>
      <c r="P1458" s="19" t="n">
        <v>0.366603595030675</v>
      </c>
      <c r="Q1458" s="17" t="s">
        <v>29</v>
      </c>
      <c r="R1458" s="5" t="str">
        <f aca="false">IF(OR(Q1458="Steel plate",Q1458="Concrete jacket"),"Steel plate or jacket",Q1458)</f>
        <v>Monitor</v>
      </c>
      <c r="S1458" s="5" t="str">
        <f aca="false">IF(O1458&lt;='Tree rules'!$C$4,IF(N1458&lt;='Tree rules'!$C$5,IF(P1458&lt;='Tree rules'!$C$6,"Monitor","Polymer laminate"),IF(P1458&lt;='Tree rules'!$C$7,"Seal cracks","Polymer laminate")),IF(O1458&lt;='Tree rules'!$C$8,IF(M1458&lt;='Tree rules'!$C$9,"Steel plate or jacket","Polymer laminate"),IF(L1458&lt;='Tree rules'!$C$10,"Steel plate or jacket","Polymer laminate")))</f>
        <v>Monitor</v>
      </c>
      <c r="T1458" s="5" t="str">
        <f aca="false">IF(S1458=R1458,"Yes","No")</f>
        <v>Yes</v>
      </c>
    </row>
    <row r="1459" customFormat="false" ht="15" hidden="false" customHeight="false" outlineLevel="0" collapsed="false">
      <c r="A1459" s="15" t="n">
        <v>2087</v>
      </c>
      <c r="B1459" s="16" t="n">
        <v>7.17053419268348</v>
      </c>
      <c r="C1459" s="15" t="n">
        <v>300</v>
      </c>
      <c r="D1459" s="15" t="n">
        <v>675</v>
      </c>
      <c r="E1459" s="15" t="n">
        <v>25</v>
      </c>
      <c r="F1459" s="16" t="n">
        <v>0.835085766504464</v>
      </c>
      <c r="G1459" s="17" t="s">
        <v>91</v>
      </c>
      <c r="H1459" s="18" t="n">
        <v>0.2</v>
      </c>
      <c r="I1459" s="18" t="n">
        <v>1</v>
      </c>
      <c r="J1459" s="19" t="n">
        <v>0.897138394729225</v>
      </c>
      <c r="K1459" s="19" t="n">
        <v>0.440290395617038</v>
      </c>
      <c r="L1459" s="16" t="n">
        <v>11.4362586805159</v>
      </c>
      <c r="M1459" s="19" t="n">
        <v>0.898597143944916</v>
      </c>
      <c r="N1459" s="19" t="n">
        <v>0.792147103618197</v>
      </c>
      <c r="O1459" s="19" t="n">
        <v>0.897138394729225</v>
      </c>
      <c r="P1459" s="19" t="n">
        <v>0.418151978567226</v>
      </c>
      <c r="Q1459" s="17" t="s">
        <v>29</v>
      </c>
      <c r="R1459" s="5" t="str">
        <f aca="false">IF(OR(Q1459="Steel plate",Q1459="Concrete jacket"),"Steel plate or jacket",Q1459)</f>
        <v>Monitor</v>
      </c>
      <c r="S1459" s="5" t="str">
        <f aca="false">IF(O1459&lt;='Tree rules'!$C$4,IF(N1459&lt;='Tree rules'!$C$5,IF(P1459&lt;='Tree rules'!$C$6,"Monitor","Polymer laminate"),IF(P1459&lt;='Tree rules'!$C$7,"Seal cracks","Polymer laminate")),IF(O1459&lt;='Tree rules'!$C$8,IF(M1459&lt;='Tree rules'!$C$9,"Steel plate or jacket","Polymer laminate"),IF(L1459&lt;='Tree rules'!$C$10,"Steel plate or jacket","Polymer laminate")))</f>
        <v>Monitor</v>
      </c>
      <c r="T1459" s="5" t="str">
        <f aca="false">IF(S1459=R1459,"Yes","No")</f>
        <v>Yes</v>
      </c>
    </row>
    <row r="1460" customFormat="false" ht="15" hidden="false" customHeight="false" outlineLevel="0" collapsed="false">
      <c r="A1460" s="15" t="n">
        <v>2089</v>
      </c>
      <c r="B1460" s="16" t="n">
        <v>3.78002325884024</v>
      </c>
      <c r="C1460" s="15" t="n">
        <v>300</v>
      </c>
      <c r="D1460" s="15" t="n">
        <v>325</v>
      </c>
      <c r="E1460" s="15" t="n">
        <v>30</v>
      </c>
      <c r="F1460" s="16" t="n">
        <v>0.799387443661525</v>
      </c>
      <c r="G1460" s="17" t="s">
        <v>90</v>
      </c>
      <c r="H1460" s="18" t="n">
        <v>0.1</v>
      </c>
      <c r="I1460" s="18" t="n">
        <v>1</v>
      </c>
      <c r="J1460" s="19" t="n">
        <v>0.964207067256113</v>
      </c>
      <c r="K1460" s="19" t="n">
        <v>0.575806673572084</v>
      </c>
      <c r="L1460" s="16" t="n">
        <v>14.4275696902299</v>
      </c>
      <c r="M1460" s="19" t="n">
        <v>0.663746322676484</v>
      </c>
      <c r="N1460" s="19" t="n">
        <v>3.54285680739704</v>
      </c>
      <c r="O1460" s="19" t="n">
        <v>0.964207067256113</v>
      </c>
      <c r="P1460" s="19" t="n">
        <v>0.51162824708254</v>
      </c>
      <c r="Q1460" s="17" t="s">
        <v>30</v>
      </c>
      <c r="R1460" s="5" t="str">
        <f aca="false">IF(OR(Q1460="Steel plate",Q1460="Concrete jacket"),"Steel plate or jacket",Q1460)</f>
        <v>Seal cracks</v>
      </c>
      <c r="S1460" s="5" t="str">
        <f aca="false">IF(O1460&lt;='Tree rules'!$C$4,IF(N1460&lt;='Tree rules'!$C$5,IF(P1460&lt;='Tree rules'!$C$6,"Monitor","Polymer laminate"),IF(P1460&lt;='Tree rules'!$C$7,"Seal cracks","Polymer laminate")),IF(O1460&lt;='Tree rules'!$C$8,IF(M1460&lt;='Tree rules'!$C$9,"Steel plate or jacket","Polymer laminate"),IF(L1460&lt;='Tree rules'!$C$10,"Steel plate or jacket","Polymer laminate")))</f>
        <v>Seal cracks</v>
      </c>
      <c r="T1460" s="5" t="str">
        <f aca="false">IF(S1460=R1460,"Yes","No")</f>
        <v>Yes</v>
      </c>
    </row>
    <row r="1461" customFormat="false" ht="15" hidden="false" customHeight="false" outlineLevel="0" collapsed="false">
      <c r="A1461" s="15" t="n">
        <v>2090</v>
      </c>
      <c r="B1461" s="16" t="n">
        <v>5.81262580142496</v>
      </c>
      <c r="C1461" s="15" t="n">
        <v>300</v>
      </c>
      <c r="D1461" s="15" t="n">
        <v>525</v>
      </c>
      <c r="E1461" s="15" t="n">
        <v>25</v>
      </c>
      <c r="F1461" s="16" t="n">
        <v>0.658614812073332</v>
      </c>
      <c r="G1461" s="17" t="s">
        <v>91</v>
      </c>
      <c r="H1461" s="18" t="n">
        <v>0.2</v>
      </c>
      <c r="I1461" s="18" t="n">
        <v>1.5</v>
      </c>
      <c r="J1461" s="19" t="n">
        <v>0.973529939180091</v>
      </c>
      <c r="K1461" s="19" t="n">
        <v>0.540375311081083</v>
      </c>
      <c r="L1461" s="16" t="n">
        <v>12.1857983258385</v>
      </c>
      <c r="M1461" s="19" t="n">
        <v>0.376080013282805</v>
      </c>
      <c r="N1461" s="19" t="n">
        <v>1.54489067496407</v>
      </c>
      <c r="O1461" s="19" t="n">
        <v>1.19725913690454</v>
      </c>
      <c r="P1461" s="19" t="n">
        <v>1.01455784099611</v>
      </c>
      <c r="Q1461" s="17" t="s">
        <v>31</v>
      </c>
      <c r="R1461" s="5" t="str">
        <f aca="false">IF(OR(Q1461="Steel plate",Q1461="Concrete jacket"),"Steel plate or jacket",Q1461)</f>
        <v>Polymer laminate</v>
      </c>
      <c r="S1461" s="5" t="str">
        <f aca="false">IF(O1461&lt;='Tree rules'!$C$4,IF(N1461&lt;='Tree rules'!$C$5,IF(P1461&lt;='Tree rules'!$C$6,"Monitor","Polymer laminate"),IF(P1461&lt;='Tree rules'!$C$7,"Seal cracks","Polymer laminate")),IF(O1461&lt;='Tree rules'!$C$8,IF(M1461&lt;='Tree rules'!$C$9,"Steel plate or jacket","Polymer laminate"),IF(L1461&lt;='Tree rules'!$C$10,"Steel plate or jacket","Polymer laminate")))</f>
        <v>Polymer laminate</v>
      </c>
      <c r="T1461" s="5" t="str">
        <f aca="false">IF(S1461=R1461,"Yes","No")</f>
        <v>Yes</v>
      </c>
    </row>
    <row r="1462" customFormat="false" ht="15" hidden="false" customHeight="false" outlineLevel="0" collapsed="false">
      <c r="A1462" s="15" t="n">
        <v>2091</v>
      </c>
      <c r="B1462" s="16" t="n">
        <v>4.22699133813794</v>
      </c>
      <c r="C1462" s="15" t="n">
        <v>230</v>
      </c>
      <c r="D1462" s="15" t="n">
        <v>425</v>
      </c>
      <c r="E1462" s="15" t="n">
        <v>25</v>
      </c>
      <c r="F1462" s="16" t="n">
        <v>0.691964884122107</v>
      </c>
      <c r="G1462" s="17" t="s">
        <v>91</v>
      </c>
      <c r="H1462" s="18" t="n">
        <v>0.2</v>
      </c>
      <c r="I1462" s="18" t="n">
        <v>1</v>
      </c>
      <c r="J1462" s="19" t="n">
        <v>0.882084923266885</v>
      </c>
      <c r="K1462" s="19" t="n">
        <v>0.530888692167457</v>
      </c>
      <c r="L1462" s="16" t="n">
        <v>11.1530114462742</v>
      </c>
      <c r="M1462" s="19" t="n">
        <v>0.338614109835725</v>
      </c>
      <c r="N1462" s="19" t="n">
        <v>1.00179401062579</v>
      </c>
      <c r="O1462" s="19" t="n">
        <v>0.882084923266885</v>
      </c>
      <c r="P1462" s="19" t="n">
        <v>0.816880230949156</v>
      </c>
      <c r="Q1462" s="17" t="s">
        <v>30</v>
      </c>
      <c r="R1462" s="5" t="str">
        <f aca="false">IF(OR(Q1462="Steel plate",Q1462="Concrete jacket"),"Steel plate or jacket",Q1462)</f>
        <v>Seal cracks</v>
      </c>
      <c r="S1462" s="5" t="str">
        <f aca="false">IF(O1462&lt;='Tree rules'!$C$4,IF(N1462&lt;='Tree rules'!$C$5,IF(P1462&lt;='Tree rules'!$C$6,"Monitor","Polymer laminate"),IF(P1462&lt;='Tree rules'!$C$7,"Seal cracks","Polymer laminate")),IF(O1462&lt;='Tree rules'!$C$8,IF(M1462&lt;='Tree rules'!$C$9,"Steel plate or jacket","Polymer laminate"),IF(L1462&lt;='Tree rules'!$C$10,"Steel plate or jacket","Polymer laminate")))</f>
        <v>Seal cracks</v>
      </c>
      <c r="T1462" s="5" t="str">
        <f aca="false">IF(S1462=R1462,"Yes","No")</f>
        <v>Yes</v>
      </c>
    </row>
    <row r="1463" customFormat="false" ht="15" hidden="false" customHeight="false" outlineLevel="0" collapsed="false">
      <c r="A1463" s="15" t="n">
        <v>2092</v>
      </c>
      <c r="B1463" s="16" t="n">
        <v>7.79186719949179</v>
      </c>
      <c r="C1463" s="15" t="n">
        <v>230</v>
      </c>
      <c r="D1463" s="15" t="n">
        <v>650</v>
      </c>
      <c r="E1463" s="15" t="n">
        <v>30</v>
      </c>
      <c r="F1463" s="16" t="n">
        <v>0.680685971455249</v>
      </c>
      <c r="G1463" s="17" t="s">
        <v>89</v>
      </c>
      <c r="H1463" s="18" t="n">
        <v>0.3</v>
      </c>
      <c r="I1463" s="18" t="n">
        <v>1.5</v>
      </c>
      <c r="J1463" s="19" t="n">
        <v>0.852523248384878</v>
      </c>
      <c r="K1463" s="19" t="n">
        <v>0.446912508849417</v>
      </c>
      <c r="L1463" s="16" t="n">
        <v>12.9433009958335</v>
      </c>
      <c r="M1463" s="19" t="n">
        <v>0.682052675171217</v>
      </c>
      <c r="N1463" s="19" t="n">
        <v>0.751019636513506</v>
      </c>
      <c r="O1463" s="19" t="n">
        <v>1.08828322068325</v>
      </c>
      <c r="P1463" s="19" t="n">
        <v>0.532462516981447</v>
      </c>
      <c r="Q1463" s="17" t="s">
        <v>31</v>
      </c>
      <c r="R1463" s="5" t="str">
        <f aca="false">IF(OR(Q1463="Steel plate",Q1463="Concrete jacket"),"Steel plate or jacket",Q1463)</f>
        <v>Polymer laminate</v>
      </c>
      <c r="S1463" s="5" t="str">
        <f aca="false">IF(O1463&lt;='Tree rules'!$C$4,IF(N1463&lt;='Tree rules'!$C$5,IF(P1463&lt;='Tree rules'!$C$6,"Monitor","Polymer laminate"),IF(P1463&lt;='Tree rules'!$C$7,"Seal cracks","Polymer laminate")),IF(O1463&lt;='Tree rules'!$C$8,IF(M1463&lt;='Tree rules'!$C$9,"Steel plate or jacket","Polymer laminate"),IF(L1463&lt;='Tree rules'!$C$10,"Steel plate or jacket","Polymer laminate")))</f>
        <v>Polymer laminate</v>
      </c>
      <c r="T1463" s="5" t="str">
        <f aca="false">IF(S1463=R1463,"Yes","No")</f>
        <v>Yes</v>
      </c>
    </row>
    <row r="1464" customFormat="false" ht="15" hidden="false" customHeight="false" outlineLevel="0" collapsed="false">
      <c r="A1464" s="15" t="n">
        <v>2093</v>
      </c>
      <c r="B1464" s="16" t="n">
        <v>4.01287224472706</v>
      </c>
      <c r="C1464" s="15" t="n">
        <v>230</v>
      </c>
      <c r="D1464" s="15" t="n">
        <v>375</v>
      </c>
      <c r="E1464" s="15" t="n">
        <v>30</v>
      </c>
      <c r="F1464" s="16" t="n">
        <v>0.835418868126524</v>
      </c>
      <c r="G1464" s="17" t="s">
        <v>91</v>
      </c>
      <c r="H1464" s="18" t="n">
        <v>0.2</v>
      </c>
      <c r="I1464" s="18" t="n">
        <v>1</v>
      </c>
      <c r="J1464" s="19" t="n">
        <v>0.952624869081013</v>
      </c>
      <c r="K1464" s="19" t="n">
        <v>0.553375826188026</v>
      </c>
      <c r="L1464" s="16" t="n">
        <v>12.2717805649146</v>
      </c>
      <c r="M1464" s="19" t="n">
        <v>0.945937659592775</v>
      </c>
      <c r="N1464" s="19" t="n">
        <v>1.25043809753135</v>
      </c>
      <c r="O1464" s="19" t="n">
        <v>0.952624869081013</v>
      </c>
      <c r="P1464" s="19" t="n">
        <v>0.394658786545113</v>
      </c>
      <c r="Q1464" s="17" t="s">
        <v>30</v>
      </c>
      <c r="R1464" s="5" t="str">
        <f aca="false">IF(OR(Q1464="Steel plate",Q1464="Concrete jacket"),"Steel plate or jacket",Q1464)</f>
        <v>Seal cracks</v>
      </c>
      <c r="S1464" s="5" t="str">
        <f aca="false">IF(O1464&lt;='Tree rules'!$C$4,IF(N1464&lt;='Tree rules'!$C$5,IF(P1464&lt;='Tree rules'!$C$6,"Monitor","Polymer laminate"),IF(P1464&lt;='Tree rules'!$C$7,"Seal cracks","Polymer laminate")),IF(O1464&lt;='Tree rules'!$C$8,IF(M1464&lt;='Tree rules'!$C$9,"Steel plate or jacket","Polymer laminate"),IF(L1464&lt;='Tree rules'!$C$10,"Steel plate or jacket","Polymer laminate")))</f>
        <v>Seal cracks</v>
      </c>
      <c r="T1464" s="5" t="str">
        <f aca="false">IF(S1464=R1464,"Yes","No")</f>
        <v>Yes</v>
      </c>
    </row>
    <row r="1465" customFormat="false" ht="15" hidden="false" customHeight="false" outlineLevel="0" collapsed="false">
      <c r="A1465" s="15" t="n">
        <v>2094</v>
      </c>
      <c r="B1465" s="16" t="n">
        <v>4.58531261992889</v>
      </c>
      <c r="C1465" s="15" t="n">
        <v>300</v>
      </c>
      <c r="D1465" s="15" t="n">
        <v>450</v>
      </c>
      <c r="E1465" s="15" t="n">
        <v>30</v>
      </c>
      <c r="F1465" s="16" t="n">
        <v>0.781490709848207</v>
      </c>
      <c r="G1465" s="17" t="s">
        <v>91</v>
      </c>
      <c r="H1465" s="18" t="n">
        <v>0.2</v>
      </c>
      <c r="I1465" s="18" t="n">
        <v>1.5</v>
      </c>
      <c r="J1465" s="19" t="n">
        <v>0.900532303617173</v>
      </c>
      <c r="K1465" s="19" t="n">
        <v>0.507093025260996</v>
      </c>
      <c r="L1465" s="16" t="n">
        <v>11.4062502983306</v>
      </c>
      <c r="M1465" s="19" t="n">
        <v>0.532040454593012</v>
      </c>
      <c r="N1465" s="19" t="n">
        <v>1.42572604562526</v>
      </c>
      <c r="O1465" s="19" t="n">
        <v>1.12247163033252</v>
      </c>
      <c r="P1465" s="19" t="n">
        <v>0.647157704165754</v>
      </c>
      <c r="Q1465" s="17" t="s">
        <v>31</v>
      </c>
      <c r="R1465" s="5" t="str">
        <f aca="false">IF(OR(Q1465="Steel plate",Q1465="Concrete jacket"),"Steel plate or jacket",Q1465)</f>
        <v>Polymer laminate</v>
      </c>
      <c r="S1465" s="5" t="str">
        <f aca="false">IF(O1465&lt;='Tree rules'!$C$4,IF(N1465&lt;='Tree rules'!$C$5,IF(P1465&lt;='Tree rules'!$C$6,"Monitor","Polymer laminate"),IF(P1465&lt;='Tree rules'!$C$7,"Seal cracks","Polymer laminate")),IF(O1465&lt;='Tree rules'!$C$8,IF(M1465&lt;='Tree rules'!$C$9,"Steel plate or jacket","Polymer laminate"),IF(L1465&lt;='Tree rules'!$C$10,"Steel plate or jacket","Polymer laminate")))</f>
        <v>Polymer laminate</v>
      </c>
      <c r="T1465" s="5" t="str">
        <f aca="false">IF(S1465=R1465,"Yes","No")</f>
        <v>Yes</v>
      </c>
    </row>
    <row r="1466" customFormat="false" ht="15" hidden="false" customHeight="false" outlineLevel="0" collapsed="false">
      <c r="A1466" s="15" t="n">
        <v>2095</v>
      </c>
      <c r="B1466" s="16" t="n">
        <v>3.09092730626343</v>
      </c>
      <c r="C1466" s="15" t="n">
        <v>230</v>
      </c>
      <c r="D1466" s="15" t="n">
        <v>300</v>
      </c>
      <c r="E1466" s="15" t="n">
        <v>25</v>
      </c>
      <c r="F1466" s="16" t="n">
        <v>0.768324290280112</v>
      </c>
      <c r="G1466" s="17" t="s">
        <v>91</v>
      </c>
      <c r="H1466" s="18" t="n">
        <v>0.2</v>
      </c>
      <c r="I1466" s="18" t="n">
        <v>1</v>
      </c>
      <c r="J1466" s="19" t="n">
        <v>0.928205061385173</v>
      </c>
      <c r="K1466" s="19" t="n">
        <v>0.49820985718752</v>
      </c>
      <c r="L1466" s="16" t="n">
        <v>12.0739347900915</v>
      </c>
      <c r="M1466" s="19" t="n">
        <v>0.909577345568606</v>
      </c>
      <c r="N1466" s="19" t="n">
        <v>0.874635668574491</v>
      </c>
      <c r="O1466" s="19" t="n">
        <v>0.928205061385173</v>
      </c>
      <c r="P1466" s="19" t="n">
        <v>0.345158480136737</v>
      </c>
      <c r="Q1466" s="17" t="s">
        <v>29</v>
      </c>
      <c r="R1466" s="5" t="str">
        <f aca="false">IF(OR(Q1466="Steel plate",Q1466="Concrete jacket"),"Steel plate or jacket",Q1466)</f>
        <v>Monitor</v>
      </c>
      <c r="S1466" s="5" t="str">
        <f aca="false">IF(O1466&lt;='Tree rules'!$C$4,IF(N1466&lt;='Tree rules'!$C$5,IF(P1466&lt;='Tree rules'!$C$6,"Monitor","Polymer laminate"),IF(P1466&lt;='Tree rules'!$C$7,"Seal cracks","Polymer laminate")),IF(O1466&lt;='Tree rules'!$C$8,IF(M1466&lt;='Tree rules'!$C$9,"Steel plate or jacket","Polymer laminate"),IF(L1466&lt;='Tree rules'!$C$10,"Steel plate or jacket","Polymer laminate")))</f>
        <v>Monitor</v>
      </c>
      <c r="T1466" s="5" t="str">
        <f aca="false">IF(S1466=R1466,"Yes","No")</f>
        <v>Yes</v>
      </c>
    </row>
    <row r="1467" customFormat="false" ht="15" hidden="false" customHeight="false" outlineLevel="0" collapsed="false">
      <c r="A1467" s="15" t="n">
        <v>2096</v>
      </c>
      <c r="B1467" s="16" t="n">
        <v>5.5681858464479</v>
      </c>
      <c r="C1467" s="15" t="n">
        <v>300</v>
      </c>
      <c r="D1467" s="15" t="n">
        <v>500</v>
      </c>
      <c r="E1467" s="15" t="n">
        <v>20</v>
      </c>
      <c r="F1467" s="16" t="n">
        <v>0.695042622475618</v>
      </c>
      <c r="G1467" s="17" t="s">
        <v>89</v>
      </c>
      <c r="H1467" s="18" t="n">
        <v>0.3</v>
      </c>
      <c r="I1467" s="18" t="n">
        <v>1.5</v>
      </c>
      <c r="J1467" s="19" t="n">
        <v>0.939879316098676</v>
      </c>
      <c r="K1467" s="19" t="n">
        <v>0.474764402861902</v>
      </c>
      <c r="L1467" s="16" t="n">
        <v>12.3189952355042</v>
      </c>
      <c r="M1467" s="19" t="n">
        <v>0.781651088993153</v>
      </c>
      <c r="N1467" s="19" t="n">
        <v>0.927366680258884</v>
      </c>
      <c r="O1467" s="19" t="n">
        <v>1.18670835301309</v>
      </c>
      <c r="P1467" s="19" t="n">
        <v>0.536247718044073</v>
      </c>
      <c r="Q1467" s="17" t="s">
        <v>31</v>
      </c>
      <c r="R1467" s="5" t="str">
        <f aca="false">IF(OR(Q1467="Steel plate",Q1467="Concrete jacket"),"Steel plate or jacket",Q1467)</f>
        <v>Polymer laminate</v>
      </c>
      <c r="S1467" s="5" t="str">
        <f aca="false">IF(O1467&lt;='Tree rules'!$C$4,IF(N1467&lt;='Tree rules'!$C$5,IF(P1467&lt;='Tree rules'!$C$6,"Monitor","Polymer laminate"),IF(P1467&lt;='Tree rules'!$C$7,"Seal cracks","Polymer laminate")),IF(O1467&lt;='Tree rules'!$C$8,IF(M1467&lt;='Tree rules'!$C$9,"Steel plate or jacket","Polymer laminate"),IF(L1467&lt;='Tree rules'!$C$10,"Steel plate or jacket","Polymer laminate")))</f>
        <v>Polymer laminate</v>
      </c>
      <c r="T1467" s="5" t="str">
        <f aca="false">IF(S1467=R1467,"Yes","No")</f>
        <v>Yes</v>
      </c>
    </row>
    <row r="1468" customFormat="false" ht="15" hidden="false" customHeight="false" outlineLevel="0" collapsed="false">
      <c r="A1468" s="15" t="n">
        <v>2098</v>
      </c>
      <c r="B1468" s="16" t="n">
        <v>6.1617007937112</v>
      </c>
      <c r="C1468" s="15" t="n">
        <v>300</v>
      </c>
      <c r="D1468" s="15" t="n">
        <v>575</v>
      </c>
      <c r="E1468" s="15" t="n">
        <v>30</v>
      </c>
      <c r="F1468" s="16" t="n">
        <v>0.760158524876169</v>
      </c>
      <c r="G1468" s="17" t="s">
        <v>91</v>
      </c>
      <c r="H1468" s="18" t="n">
        <v>0.2</v>
      </c>
      <c r="I1468" s="18" t="n">
        <v>1</v>
      </c>
      <c r="J1468" s="19" t="n">
        <v>0.907131668021043</v>
      </c>
      <c r="K1468" s="19" t="n">
        <v>0.643551707374356</v>
      </c>
      <c r="L1468" s="16" t="n">
        <v>11.6478275873558</v>
      </c>
      <c r="M1468" s="19" t="n">
        <v>0.878887261390764</v>
      </c>
      <c r="N1468" s="19" t="n">
        <v>0.798099644613676</v>
      </c>
      <c r="O1468" s="19" t="n">
        <v>0.907131668021043</v>
      </c>
      <c r="P1468" s="19" t="n">
        <v>0.442034029620605</v>
      </c>
      <c r="Q1468" s="17" t="s">
        <v>29</v>
      </c>
      <c r="R1468" s="5" t="str">
        <f aca="false">IF(OR(Q1468="Steel plate",Q1468="Concrete jacket"),"Steel plate or jacket",Q1468)</f>
        <v>Monitor</v>
      </c>
      <c r="S1468" s="5" t="str">
        <f aca="false">IF(O1468&lt;='Tree rules'!$C$4,IF(N1468&lt;='Tree rules'!$C$5,IF(P1468&lt;='Tree rules'!$C$6,"Monitor","Polymer laminate"),IF(P1468&lt;='Tree rules'!$C$7,"Seal cracks","Polymer laminate")),IF(O1468&lt;='Tree rules'!$C$8,IF(M1468&lt;='Tree rules'!$C$9,"Steel plate or jacket","Polymer laminate"),IF(L1468&lt;='Tree rules'!$C$10,"Steel plate or jacket","Polymer laminate")))</f>
        <v>Monitor</v>
      </c>
      <c r="T1468" s="5" t="str">
        <f aca="false">IF(S1468=R1468,"Yes","No")</f>
        <v>Yes</v>
      </c>
    </row>
    <row r="1469" customFormat="false" ht="15" hidden="false" customHeight="false" outlineLevel="0" collapsed="false">
      <c r="A1469" s="15" t="n">
        <v>2099</v>
      </c>
      <c r="B1469" s="16" t="n">
        <v>4.87088848939462</v>
      </c>
      <c r="C1469" s="15" t="n">
        <v>300</v>
      </c>
      <c r="D1469" s="15" t="n">
        <v>450</v>
      </c>
      <c r="E1469" s="15" t="n">
        <v>25</v>
      </c>
      <c r="F1469" s="16" t="n">
        <v>0.663570725510715</v>
      </c>
      <c r="G1469" s="17" t="s">
        <v>89</v>
      </c>
      <c r="H1469" s="18" t="n">
        <v>0.3</v>
      </c>
      <c r="I1469" s="18" t="n">
        <v>1.5</v>
      </c>
      <c r="J1469" s="19" t="n">
        <v>0.860223613823888</v>
      </c>
      <c r="K1469" s="19" t="n">
        <v>0.610142131952904</v>
      </c>
      <c r="L1469" s="16" t="n">
        <v>12.0566546767194</v>
      </c>
      <c r="M1469" s="19" t="n">
        <v>0.431922370064649</v>
      </c>
      <c r="N1469" s="19" t="n">
        <v>0.759408368492334</v>
      </c>
      <c r="O1469" s="19" t="n">
        <v>1.02790608588846</v>
      </c>
      <c r="P1469" s="19" t="n">
        <v>0.788402865731454</v>
      </c>
      <c r="Q1469" s="17" t="s">
        <v>31</v>
      </c>
      <c r="R1469" s="5" t="str">
        <f aca="false">IF(OR(Q1469="Steel plate",Q1469="Concrete jacket"),"Steel plate or jacket",Q1469)</f>
        <v>Polymer laminate</v>
      </c>
      <c r="S1469" s="5" t="str">
        <f aca="false">IF(O1469&lt;='Tree rules'!$C$4,IF(N1469&lt;='Tree rules'!$C$5,IF(P1469&lt;='Tree rules'!$C$6,"Monitor","Polymer laminate"),IF(P1469&lt;='Tree rules'!$C$7,"Seal cracks","Polymer laminate")),IF(O1469&lt;='Tree rules'!$C$8,IF(M1469&lt;='Tree rules'!$C$9,"Steel plate or jacket","Polymer laminate"),IF(L1469&lt;='Tree rules'!$C$10,"Steel plate or jacket","Polymer laminate")))</f>
        <v>Polymer laminate</v>
      </c>
      <c r="T1469" s="5" t="str">
        <f aca="false">IF(S1469=R1469,"Yes","No")</f>
        <v>Yes</v>
      </c>
    </row>
    <row r="1470" customFormat="false" ht="15" hidden="false" customHeight="false" outlineLevel="0" collapsed="false">
      <c r="A1470" s="15" t="n">
        <v>2100</v>
      </c>
      <c r="B1470" s="16" t="n">
        <v>3.84731385720449</v>
      </c>
      <c r="C1470" s="15" t="n">
        <v>300</v>
      </c>
      <c r="D1470" s="15" t="n">
        <v>350</v>
      </c>
      <c r="E1470" s="15" t="n">
        <v>25</v>
      </c>
      <c r="F1470" s="16" t="n">
        <v>0.61599855952741</v>
      </c>
      <c r="G1470" s="17" t="s">
        <v>89</v>
      </c>
      <c r="H1470" s="18" t="n">
        <v>0.3</v>
      </c>
      <c r="I1470" s="18" t="n">
        <v>2</v>
      </c>
      <c r="J1470" s="19" t="n">
        <v>0.884385587307043</v>
      </c>
      <c r="K1470" s="19" t="n">
        <v>0.552653455552149</v>
      </c>
      <c r="L1470" s="16" t="n">
        <v>12.5729211019755</v>
      </c>
      <c r="M1470" s="19" t="n">
        <v>0.483990101296583</v>
      </c>
      <c r="N1470" s="19" t="n">
        <v>0.894165102383745</v>
      </c>
      <c r="O1470" s="19" t="n">
        <v>1.28001242374833</v>
      </c>
      <c r="P1470" s="19" t="n">
        <v>0.702293750001524</v>
      </c>
      <c r="Q1470" s="17" t="s">
        <v>31</v>
      </c>
      <c r="R1470" s="5" t="str">
        <f aca="false">IF(OR(Q1470="Steel plate",Q1470="Concrete jacket"),"Steel plate or jacket",Q1470)</f>
        <v>Polymer laminate</v>
      </c>
      <c r="S1470" s="5" t="str">
        <f aca="false">IF(O1470&lt;='Tree rules'!$C$4,IF(N1470&lt;='Tree rules'!$C$5,IF(P1470&lt;='Tree rules'!$C$6,"Monitor","Polymer laminate"),IF(P1470&lt;='Tree rules'!$C$7,"Seal cracks","Polymer laminate")),IF(O1470&lt;='Tree rules'!$C$8,IF(M1470&lt;='Tree rules'!$C$9,"Steel plate or jacket","Polymer laminate"),IF(L1470&lt;='Tree rules'!$C$10,"Steel plate or jacket","Polymer laminate")))</f>
        <v>Polymer laminate</v>
      </c>
      <c r="T1470" s="5" t="str">
        <f aca="false">IF(S1470=R1470,"Yes","No")</f>
        <v>Yes</v>
      </c>
    </row>
    <row r="1471" customFormat="false" ht="15" hidden="false" customHeight="false" outlineLevel="0" collapsed="false">
      <c r="A1471" s="15" t="n">
        <v>2102</v>
      </c>
      <c r="B1471" s="16" t="n">
        <v>5.72314114830769</v>
      </c>
      <c r="C1471" s="15" t="n">
        <v>300</v>
      </c>
      <c r="D1471" s="15" t="n">
        <v>550</v>
      </c>
      <c r="E1471" s="15" t="n">
        <v>25</v>
      </c>
      <c r="F1471" s="16" t="n">
        <v>0.664887334093078</v>
      </c>
      <c r="G1471" s="17" t="s">
        <v>91</v>
      </c>
      <c r="H1471" s="18" t="n">
        <v>0.2</v>
      </c>
      <c r="I1471" s="18" t="n">
        <v>1</v>
      </c>
      <c r="J1471" s="19" t="n">
        <v>0.89585103673281</v>
      </c>
      <c r="K1471" s="19" t="n">
        <v>0.406916999358953</v>
      </c>
      <c r="L1471" s="16" t="n">
        <v>11.3554387863248</v>
      </c>
      <c r="M1471" s="19" t="n">
        <v>0.77593796267606</v>
      </c>
      <c r="N1471" s="19" t="n">
        <v>0.825567258188833</v>
      </c>
      <c r="O1471" s="19" t="n">
        <v>0.89585103673281</v>
      </c>
      <c r="P1471" s="19" t="n">
        <v>0.373669137324849</v>
      </c>
      <c r="Q1471" s="17" t="s">
        <v>29</v>
      </c>
      <c r="R1471" s="5" t="str">
        <f aca="false">IF(OR(Q1471="Steel plate",Q1471="Concrete jacket"),"Steel plate or jacket",Q1471)</f>
        <v>Monitor</v>
      </c>
      <c r="S1471" s="5" t="str">
        <f aca="false">IF(O1471&lt;='Tree rules'!$C$4,IF(N1471&lt;='Tree rules'!$C$5,IF(P1471&lt;='Tree rules'!$C$6,"Monitor","Polymer laminate"),IF(P1471&lt;='Tree rules'!$C$7,"Seal cracks","Polymer laminate")),IF(O1471&lt;='Tree rules'!$C$8,IF(M1471&lt;='Tree rules'!$C$9,"Steel plate or jacket","Polymer laminate"),IF(L1471&lt;='Tree rules'!$C$10,"Steel plate or jacket","Polymer laminate")))</f>
        <v>Monitor</v>
      </c>
      <c r="T1471" s="5" t="str">
        <f aca="false">IF(S1471=R1471,"Yes","No")</f>
        <v>Yes</v>
      </c>
    </row>
    <row r="1472" customFormat="false" ht="15" hidden="false" customHeight="false" outlineLevel="0" collapsed="false">
      <c r="A1472" s="15" t="n">
        <v>2103</v>
      </c>
      <c r="B1472" s="16" t="n">
        <v>3.42015429980034</v>
      </c>
      <c r="C1472" s="15" t="n">
        <v>300</v>
      </c>
      <c r="D1472" s="15" t="n">
        <v>325</v>
      </c>
      <c r="E1472" s="15" t="n">
        <v>25</v>
      </c>
      <c r="F1472" s="16" t="n">
        <v>0.72065207824282</v>
      </c>
      <c r="G1472" s="17" t="s">
        <v>91</v>
      </c>
      <c r="H1472" s="18" t="n">
        <v>0.2</v>
      </c>
      <c r="I1472" s="18" t="n">
        <v>2</v>
      </c>
      <c r="J1472" s="19" t="n">
        <v>0.999952754517083</v>
      </c>
      <c r="K1472" s="19" t="n">
        <v>0.466623549657481</v>
      </c>
      <c r="L1472" s="16" t="n">
        <v>12.2586175620084</v>
      </c>
      <c r="M1472" s="19" t="n">
        <v>0.948190160248101</v>
      </c>
      <c r="N1472" s="19" t="n">
        <v>1.86235859566944</v>
      </c>
      <c r="O1472" s="19" t="n">
        <v>1.53330400523163</v>
      </c>
      <c r="P1472" s="19" t="n">
        <v>0.438362846590919</v>
      </c>
      <c r="Q1472" s="17" t="s">
        <v>31</v>
      </c>
      <c r="R1472" s="5" t="str">
        <f aca="false">IF(OR(Q1472="Steel plate",Q1472="Concrete jacket"),"Steel plate or jacket",Q1472)</f>
        <v>Polymer laminate</v>
      </c>
      <c r="S1472" s="5" t="str">
        <f aca="false">IF(O1472&lt;='Tree rules'!$C$4,IF(N1472&lt;='Tree rules'!$C$5,IF(P1472&lt;='Tree rules'!$C$6,"Monitor","Polymer laminate"),IF(P1472&lt;='Tree rules'!$C$7,"Seal cracks","Polymer laminate")),IF(O1472&lt;='Tree rules'!$C$8,IF(M1472&lt;='Tree rules'!$C$9,"Steel plate or jacket","Polymer laminate"),IF(L1472&lt;='Tree rules'!$C$10,"Steel plate or jacket","Polymer laminate")))</f>
        <v>Steel plate or jacket</v>
      </c>
      <c r="T1472" s="5" t="str">
        <f aca="false">IF(S1472=R1472,"Yes","No")</f>
        <v>No</v>
      </c>
    </row>
    <row r="1473" customFormat="false" ht="15" hidden="false" customHeight="false" outlineLevel="0" collapsed="false">
      <c r="A1473" s="15" t="n">
        <v>2104</v>
      </c>
      <c r="B1473" s="16" t="n">
        <v>3.76910201089743</v>
      </c>
      <c r="C1473" s="15" t="n">
        <v>230</v>
      </c>
      <c r="D1473" s="15" t="n">
        <v>325</v>
      </c>
      <c r="E1473" s="15" t="n">
        <v>20</v>
      </c>
      <c r="F1473" s="16" t="n">
        <v>0.626653981080713</v>
      </c>
      <c r="G1473" s="17" t="s">
        <v>89</v>
      </c>
      <c r="H1473" s="18" t="n">
        <v>0.3</v>
      </c>
      <c r="I1473" s="18" t="n">
        <v>1</v>
      </c>
      <c r="J1473" s="19" t="n">
        <v>0.954933367890599</v>
      </c>
      <c r="K1473" s="19" t="n">
        <v>0.622502556854447</v>
      </c>
      <c r="L1473" s="16" t="n">
        <v>13.5093262039334</v>
      </c>
      <c r="M1473" s="19" t="n">
        <v>0.939553531470538</v>
      </c>
      <c r="N1473" s="19" t="n">
        <v>0.788798510486402</v>
      </c>
      <c r="O1473" s="19" t="n">
        <v>0.954933367890599</v>
      </c>
      <c r="P1473" s="19" t="n">
        <v>0.390622942155813</v>
      </c>
      <c r="Q1473" s="17" t="s">
        <v>29</v>
      </c>
      <c r="R1473" s="5" t="str">
        <f aca="false">IF(OR(Q1473="Steel plate",Q1473="Concrete jacket"),"Steel plate or jacket",Q1473)</f>
        <v>Monitor</v>
      </c>
      <c r="S1473" s="5" t="str">
        <f aca="false">IF(O1473&lt;='Tree rules'!$C$4,IF(N1473&lt;='Tree rules'!$C$5,IF(P1473&lt;='Tree rules'!$C$6,"Monitor","Polymer laminate"),IF(P1473&lt;='Tree rules'!$C$7,"Seal cracks","Polymer laminate")),IF(O1473&lt;='Tree rules'!$C$8,IF(M1473&lt;='Tree rules'!$C$9,"Steel plate or jacket","Polymer laminate"),IF(L1473&lt;='Tree rules'!$C$10,"Steel plate or jacket","Polymer laminate")))</f>
        <v>Monitor</v>
      </c>
      <c r="T1473" s="5" t="str">
        <f aca="false">IF(S1473=R1473,"Yes","No")</f>
        <v>Yes</v>
      </c>
    </row>
    <row r="1474" customFormat="false" ht="15" hidden="false" customHeight="false" outlineLevel="0" collapsed="false">
      <c r="A1474" s="15" t="n">
        <v>2105</v>
      </c>
      <c r="B1474" s="16" t="n">
        <v>6.08868265673305</v>
      </c>
      <c r="C1474" s="15" t="n">
        <v>300</v>
      </c>
      <c r="D1474" s="15" t="n">
        <v>575</v>
      </c>
      <c r="E1474" s="15" t="n">
        <v>25</v>
      </c>
      <c r="F1474" s="16" t="n">
        <v>0.596127638252333</v>
      </c>
      <c r="G1474" s="17" t="s">
        <v>89</v>
      </c>
      <c r="H1474" s="18" t="n">
        <v>0.3</v>
      </c>
      <c r="I1474" s="18" t="n">
        <v>2</v>
      </c>
      <c r="J1474" s="19" t="n">
        <v>0.892464527253567</v>
      </c>
      <c r="K1474" s="19" t="n">
        <v>0.486454042424489</v>
      </c>
      <c r="L1474" s="16" t="n">
        <v>11.5534775270077</v>
      </c>
      <c r="M1474" s="19" t="n">
        <v>0.944030518900629</v>
      </c>
      <c r="N1474" s="19" t="n">
        <v>1.049534523605</v>
      </c>
      <c r="O1474" s="19" t="n">
        <v>1.35078607750418</v>
      </c>
      <c r="P1474" s="19" t="n">
        <v>0.390708764847641</v>
      </c>
      <c r="Q1474" s="17" t="s">
        <v>31</v>
      </c>
      <c r="R1474" s="5" t="str">
        <f aca="false">IF(OR(Q1474="Steel plate",Q1474="Concrete jacket"),"Steel plate or jacket",Q1474)</f>
        <v>Polymer laminate</v>
      </c>
      <c r="S1474" s="5" t="str">
        <f aca="false">IF(O1474&lt;='Tree rules'!$C$4,IF(N1474&lt;='Tree rules'!$C$5,IF(P1474&lt;='Tree rules'!$C$6,"Monitor","Polymer laminate"),IF(P1474&lt;='Tree rules'!$C$7,"Seal cracks","Polymer laminate")),IF(O1474&lt;='Tree rules'!$C$8,IF(M1474&lt;='Tree rules'!$C$9,"Steel plate or jacket","Polymer laminate"),IF(L1474&lt;='Tree rules'!$C$10,"Steel plate or jacket","Polymer laminate")))</f>
        <v>Steel plate or jacket</v>
      </c>
      <c r="T1474" s="5" t="str">
        <f aca="false">IF(S1474=R1474,"Yes","No")</f>
        <v>No</v>
      </c>
    </row>
    <row r="1475" customFormat="false" ht="15" hidden="false" customHeight="false" outlineLevel="0" collapsed="false">
      <c r="A1475" s="15" t="n">
        <v>2107</v>
      </c>
      <c r="B1475" s="16" t="n">
        <v>3.4976651507925</v>
      </c>
      <c r="C1475" s="15" t="n">
        <v>230</v>
      </c>
      <c r="D1475" s="15" t="n">
        <v>300</v>
      </c>
      <c r="E1475" s="15" t="n">
        <v>30</v>
      </c>
      <c r="F1475" s="16" t="n">
        <v>0.768324290280112</v>
      </c>
      <c r="G1475" s="17" t="s">
        <v>91</v>
      </c>
      <c r="H1475" s="18" t="n">
        <v>0.2</v>
      </c>
      <c r="I1475" s="18" t="n">
        <v>2</v>
      </c>
      <c r="J1475" s="19" t="n">
        <v>0.941501914243808</v>
      </c>
      <c r="K1475" s="19" t="n">
        <v>0.614561388022433</v>
      </c>
      <c r="L1475" s="16" t="n">
        <v>13.6627544952832</v>
      </c>
      <c r="M1475" s="19" t="n">
        <v>0.422979973120437</v>
      </c>
      <c r="N1475" s="19" t="n">
        <v>1.39765683769867</v>
      </c>
      <c r="O1475" s="19" t="n">
        <v>1.30439310524416</v>
      </c>
      <c r="P1475" s="19" t="n">
        <v>0.973840199116665</v>
      </c>
      <c r="Q1475" s="17" t="s">
        <v>31</v>
      </c>
      <c r="R1475" s="5" t="str">
        <f aca="false">IF(OR(Q1475="Steel plate",Q1475="Concrete jacket"),"Steel plate or jacket",Q1475)</f>
        <v>Polymer laminate</v>
      </c>
      <c r="S1475" s="5" t="str">
        <f aca="false">IF(O1475&lt;='Tree rules'!$C$4,IF(N1475&lt;='Tree rules'!$C$5,IF(P1475&lt;='Tree rules'!$C$6,"Monitor","Polymer laminate"),IF(P1475&lt;='Tree rules'!$C$7,"Seal cracks","Polymer laminate")),IF(O1475&lt;='Tree rules'!$C$8,IF(M1475&lt;='Tree rules'!$C$9,"Steel plate or jacket","Polymer laminate"),IF(L1475&lt;='Tree rules'!$C$10,"Steel plate or jacket","Polymer laminate")))</f>
        <v>Polymer laminate</v>
      </c>
      <c r="T1475" s="5" t="str">
        <f aca="false">IF(S1475=R1475,"Yes","No")</f>
        <v>Yes</v>
      </c>
    </row>
    <row r="1476" customFormat="false" ht="15" hidden="false" customHeight="false" outlineLevel="0" collapsed="false">
      <c r="A1476" s="15" t="n">
        <v>2108</v>
      </c>
      <c r="B1476" s="16" t="n">
        <v>3.93317421847503</v>
      </c>
      <c r="C1476" s="15" t="n">
        <v>300</v>
      </c>
      <c r="D1476" s="15" t="n">
        <v>350</v>
      </c>
      <c r="E1476" s="15" t="n">
        <v>20</v>
      </c>
      <c r="F1476" s="16" t="n">
        <v>0.661387927071535</v>
      </c>
      <c r="G1476" s="17" t="s">
        <v>89</v>
      </c>
      <c r="H1476" s="18" t="n">
        <v>0.3</v>
      </c>
      <c r="I1476" s="18" t="n">
        <v>1</v>
      </c>
      <c r="J1476" s="19" t="n">
        <v>0.86956173161625</v>
      </c>
      <c r="K1476" s="19" t="n">
        <v>0.632338834583633</v>
      </c>
      <c r="L1476" s="16" t="n">
        <v>12.9380730870889</v>
      </c>
      <c r="M1476" s="19" t="n">
        <v>0.545479539412693</v>
      </c>
      <c r="N1476" s="19" t="n">
        <v>0.711427644120647</v>
      </c>
      <c r="O1476" s="19" t="n">
        <v>0.86956173161625</v>
      </c>
      <c r="P1476" s="19" t="n">
        <v>0.6249591804702</v>
      </c>
      <c r="Q1476" s="17" t="s">
        <v>29</v>
      </c>
      <c r="R1476" s="5" t="str">
        <f aca="false">IF(OR(Q1476="Steel plate",Q1476="Concrete jacket"),"Steel plate or jacket",Q1476)</f>
        <v>Monitor</v>
      </c>
      <c r="S1476" s="5" t="str">
        <f aca="false">IF(O1476&lt;='Tree rules'!$C$4,IF(N1476&lt;='Tree rules'!$C$5,IF(P1476&lt;='Tree rules'!$C$6,"Monitor","Polymer laminate"),IF(P1476&lt;='Tree rules'!$C$7,"Seal cracks","Polymer laminate")),IF(O1476&lt;='Tree rules'!$C$8,IF(M1476&lt;='Tree rules'!$C$9,"Steel plate or jacket","Polymer laminate"),IF(L1476&lt;='Tree rules'!$C$10,"Steel plate or jacket","Polymer laminate")))</f>
        <v>Monitor</v>
      </c>
      <c r="T1476" s="5" t="str">
        <f aca="false">IF(S1476=R1476,"Yes","No")</f>
        <v>Yes</v>
      </c>
    </row>
    <row r="1477" customFormat="false" ht="15" hidden="false" customHeight="false" outlineLevel="0" collapsed="false">
      <c r="A1477" s="15" t="n">
        <v>2109</v>
      </c>
      <c r="B1477" s="16" t="n">
        <v>6.38595312241923</v>
      </c>
      <c r="C1477" s="15" t="n">
        <v>300</v>
      </c>
      <c r="D1477" s="15" t="n">
        <v>575</v>
      </c>
      <c r="E1477" s="15" t="n">
        <v>30</v>
      </c>
      <c r="F1477" s="16" t="n">
        <v>0.760158524876169</v>
      </c>
      <c r="G1477" s="17" t="s">
        <v>89</v>
      </c>
      <c r="H1477" s="18" t="n">
        <v>0.3</v>
      </c>
      <c r="I1477" s="18" t="n">
        <v>2</v>
      </c>
      <c r="J1477" s="19" t="n">
        <v>0.854888064866488</v>
      </c>
      <c r="K1477" s="19" t="n">
        <v>0.477451105047779</v>
      </c>
      <c r="L1477" s="16" t="n">
        <v>12.0717450329286</v>
      </c>
      <c r="M1477" s="19" t="n">
        <v>0.920759418493723</v>
      </c>
      <c r="N1477" s="19" t="n">
        <v>0.789448377875424</v>
      </c>
      <c r="O1477" s="19" t="n">
        <v>1.30160887847031</v>
      </c>
      <c r="P1477" s="19" t="n">
        <v>0.46348231833407</v>
      </c>
      <c r="Q1477" s="17" t="s">
        <v>31</v>
      </c>
      <c r="R1477" s="5" t="str">
        <f aca="false">IF(OR(Q1477="Steel plate",Q1477="Concrete jacket"),"Steel plate or jacket",Q1477)</f>
        <v>Polymer laminate</v>
      </c>
      <c r="S1477" s="5" t="str">
        <f aca="false">IF(O1477&lt;='Tree rules'!$C$4,IF(N1477&lt;='Tree rules'!$C$5,IF(P1477&lt;='Tree rules'!$C$6,"Monitor","Polymer laminate"),IF(P1477&lt;='Tree rules'!$C$7,"Seal cracks","Polymer laminate")),IF(O1477&lt;='Tree rules'!$C$8,IF(M1477&lt;='Tree rules'!$C$9,"Steel plate or jacket","Polymer laminate"),IF(L1477&lt;='Tree rules'!$C$10,"Steel plate or jacket","Polymer laminate")))</f>
        <v>Steel plate or jacket</v>
      </c>
      <c r="T1477" s="5" t="str">
        <f aca="false">IF(S1477=R1477,"Yes","No")</f>
        <v>No</v>
      </c>
    </row>
    <row r="1478" customFormat="false" ht="15" hidden="false" customHeight="false" outlineLevel="0" collapsed="false">
      <c r="A1478" s="15" t="n">
        <v>2111</v>
      </c>
      <c r="B1478" s="16" t="n">
        <v>6.3090293221789</v>
      </c>
      <c r="C1478" s="15" t="n">
        <v>300</v>
      </c>
      <c r="D1478" s="15" t="n">
        <v>575</v>
      </c>
      <c r="E1478" s="15" t="n">
        <v>25</v>
      </c>
      <c r="F1478" s="16" t="n">
        <v>0.596127638252333</v>
      </c>
      <c r="G1478" s="17" t="s">
        <v>89</v>
      </c>
      <c r="H1478" s="18" t="n">
        <v>0.3</v>
      </c>
      <c r="I1478" s="18" t="n">
        <v>1</v>
      </c>
      <c r="J1478" s="19" t="n">
        <v>0.917898887242332</v>
      </c>
      <c r="K1478" s="19" t="n">
        <v>0.46139541952398</v>
      </c>
      <c r="L1478" s="16" t="n">
        <v>11.9715926417057</v>
      </c>
      <c r="M1478" s="19" t="n">
        <v>0.726893412805762</v>
      </c>
      <c r="N1478" s="19" t="n">
        <v>0.713009931219985</v>
      </c>
      <c r="O1478" s="19" t="n">
        <v>0.917898887242332</v>
      </c>
      <c r="P1478" s="19" t="n">
        <v>0.409514549252013</v>
      </c>
      <c r="Q1478" s="17" t="s">
        <v>29</v>
      </c>
      <c r="R1478" s="5" t="str">
        <f aca="false">IF(OR(Q1478="Steel plate",Q1478="Concrete jacket"),"Steel plate or jacket",Q1478)</f>
        <v>Monitor</v>
      </c>
      <c r="S1478" s="5" t="str">
        <f aca="false">IF(O1478&lt;='Tree rules'!$C$4,IF(N1478&lt;='Tree rules'!$C$5,IF(P1478&lt;='Tree rules'!$C$6,"Monitor","Polymer laminate"),IF(P1478&lt;='Tree rules'!$C$7,"Seal cracks","Polymer laminate")),IF(O1478&lt;='Tree rules'!$C$8,IF(M1478&lt;='Tree rules'!$C$9,"Steel plate or jacket","Polymer laminate"),IF(L1478&lt;='Tree rules'!$C$10,"Steel plate or jacket","Polymer laminate")))</f>
        <v>Monitor</v>
      </c>
      <c r="T1478" s="5" t="str">
        <f aca="false">IF(S1478=R1478,"Yes","No")</f>
        <v>Yes</v>
      </c>
    </row>
    <row r="1479" customFormat="false" ht="15" hidden="false" customHeight="false" outlineLevel="0" collapsed="false">
      <c r="A1479" s="15" t="n">
        <v>2113</v>
      </c>
      <c r="B1479" s="16" t="n">
        <v>3.17952355489368</v>
      </c>
      <c r="C1479" s="15" t="n">
        <v>300</v>
      </c>
      <c r="D1479" s="15" t="n">
        <v>300</v>
      </c>
      <c r="E1479" s="15" t="n">
        <v>30</v>
      </c>
      <c r="F1479" s="16" t="n">
        <v>0.791582400904515</v>
      </c>
      <c r="G1479" s="17" t="s">
        <v>89</v>
      </c>
      <c r="H1479" s="18" t="n">
        <v>0.3</v>
      </c>
      <c r="I1479" s="18" t="n">
        <v>1</v>
      </c>
      <c r="J1479" s="19" t="n">
        <v>0.869275315002907</v>
      </c>
      <c r="K1479" s="19" t="n">
        <v>0.555278479536376</v>
      </c>
      <c r="L1479" s="16" t="n">
        <v>12.517809271235</v>
      </c>
      <c r="M1479" s="19" t="n">
        <v>0.307929364722704</v>
      </c>
      <c r="N1479" s="19" t="n">
        <v>0.772912487245211</v>
      </c>
      <c r="O1479" s="19" t="n">
        <v>0.869275315002907</v>
      </c>
      <c r="P1479" s="19" t="n">
        <v>0.913775248116632</v>
      </c>
      <c r="Q1479" s="17" t="s">
        <v>29</v>
      </c>
      <c r="R1479" s="5" t="str">
        <f aca="false">IF(OR(Q1479="Steel plate",Q1479="Concrete jacket"),"Steel plate or jacket",Q1479)</f>
        <v>Monitor</v>
      </c>
      <c r="S1479" s="5" t="str">
        <f aca="false">IF(O1479&lt;='Tree rules'!$C$4,IF(N1479&lt;='Tree rules'!$C$5,IF(P1479&lt;='Tree rules'!$C$6,"Monitor","Polymer laminate"),IF(P1479&lt;='Tree rules'!$C$7,"Seal cracks","Polymer laminate")),IF(O1479&lt;='Tree rules'!$C$8,IF(M1479&lt;='Tree rules'!$C$9,"Steel plate or jacket","Polymer laminate"),IF(L1479&lt;='Tree rules'!$C$10,"Steel plate or jacket","Polymer laminate")))</f>
        <v>Monitor</v>
      </c>
      <c r="T1479" s="5" t="str">
        <f aca="false">IF(S1479=R1479,"Yes","No")</f>
        <v>Yes</v>
      </c>
    </row>
    <row r="1480" customFormat="false" ht="15" hidden="false" customHeight="false" outlineLevel="0" collapsed="false">
      <c r="A1480" s="15" t="n">
        <v>2115</v>
      </c>
      <c r="B1480" s="16" t="n">
        <v>3.12294728636268</v>
      </c>
      <c r="C1480" s="15" t="n">
        <v>300</v>
      </c>
      <c r="D1480" s="15" t="n">
        <v>300</v>
      </c>
      <c r="E1480" s="15" t="n">
        <v>30</v>
      </c>
      <c r="F1480" s="16" t="n">
        <v>0.625711399885104</v>
      </c>
      <c r="G1480" s="17" t="s">
        <v>90</v>
      </c>
      <c r="H1480" s="18" t="n">
        <v>0.1</v>
      </c>
      <c r="I1480" s="18" t="n">
        <v>1</v>
      </c>
      <c r="J1480" s="19" t="n">
        <v>0.946536688940406</v>
      </c>
      <c r="K1480" s="19" t="n">
        <v>0.617749730380063</v>
      </c>
      <c r="L1480" s="16" t="n">
        <v>12.9582874952808</v>
      </c>
      <c r="M1480" s="19" t="n">
        <v>0.286747142574744</v>
      </c>
      <c r="N1480" s="19" t="n">
        <v>2.97124607708435</v>
      </c>
      <c r="O1480" s="19" t="n">
        <v>0.946536688940406</v>
      </c>
      <c r="P1480" s="19" t="n">
        <v>0.816737158800711</v>
      </c>
      <c r="Q1480" s="17" t="s">
        <v>30</v>
      </c>
      <c r="R1480" s="5" t="str">
        <f aca="false">IF(OR(Q1480="Steel plate",Q1480="Concrete jacket"),"Steel plate or jacket",Q1480)</f>
        <v>Seal cracks</v>
      </c>
      <c r="S1480" s="5" t="str">
        <f aca="false">IF(O1480&lt;='Tree rules'!$C$4,IF(N1480&lt;='Tree rules'!$C$5,IF(P1480&lt;='Tree rules'!$C$6,"Monitor","Polymer laminate"),IF(P1480&lt;='Tree rules'!$C$7,"Seal cracks","Polymer laminate")),IF(O1480&lt;='Tree rules'!$C$8,IF(M1480&lt;='Tree rules'!$C$9,"Steel plate or jacket","Polymer laminate"),IF(L1480&lt;='Tree rules'!$C$10,"Steel plate or jacket","Polymer laminate")))</f>
        <v>Seal cracks</v>
      </c>
      <c r="T1480" s="5" t="str">
        <f aca="false">IF(S1480=R1480,"Yes","No")</f>
        <v>Yes</v>
      </c>
    </row>
    <row r="1481" customFormat="false" ht="15" hidden="false" customHeight="false" outlineLevel="0" collapsed="false">
      <c r="A1481" s="15" t="n">
        <v>2116</v>
      </c>
      <c r="B1481" s="16" t="n">
        <v>5.41406882424642</v>
      </c>
      <c r="C1481" s="15" t="n">
        <v>300</v>
      </c>
      <c r="D1481" s="15" t="n">
        <v>550</v>
      </c>
      <c r="E1481" s="15" t="n">
        <v>30</v>
      </c>
      <c r="F1481" s="16" t="n">
        <v>1.043025449399</v>
      </c>
      <c r="G1481" s="17" t="s">
        <v>91</v>
      </c>
      <c r="H1481" s="18" t="n">
        <v>0.2</v>
      </c>
      <c r="I1481" s="18" t="n">
        <v>1.5</v>
      </c>
      <c r="J1481" s="19" t="n">
        <v>0.967987255663478</v>
      </c>
      <c r="K1481" s="19" t="n">
        <v>0.450430696603806</v>
      </c>
      <c r="L1481" s="16" t="n">
        <v>10.7849976578614</v>
      </c>
      <c r="M1481" s="19" t="n">
        <v>0.463109118914247</v>
      </c>
      <c r="N1481" s="19" t="n">
        <v>1.23410964639143</v>
      </c>
      <c r="O1481" s="19" t="n">
        <v>1.23397529655916</v>
      </c>
      <c r="P1481" s="19" t="n">
        <v>0.94948972998157</v>
      </c>
      <c r="Q1481" s="17" t="s">
        <v>31</v>
      </c>
      <c r="R1481" s="5" t="str">
        <f aca="false">IF(OR(Q1481="Steel plate",Q1481="Concrete jacket"),"Steel plate or jacket",Q1481)</f>
        <v>Polymer laminate</v>
      </c>
      <c r="S1481" s="5" t="str">
        <f aca="false">IF(O1481&lt;='Tree rules'!$C$4,IF(N1481&lt;='Tree rules'!$C$5,IF(P1481&lt;='Tree rules'!$C$6,"Monitor","Polymer laminate"),IF(P1481&lt;='Tree rules'!$C$7,"Seal cracks","Polymer laminate")),IF(O1481&lt;='Tree rules'!$C$8,IF(M1481&lt;='Tree rules'!$C$9,"Steel plate or jacket","Polymer laminate"),IF(L1481&lt;='Tree rules'!$C$10,"Steel plate or jacket","Polymer laminate")))</f>
        <v>Polymer laminate</v>
      </c>
      <c r="T1481" s="5" t="str">
        <f aca="false">IF(S1481=R1481,"Yes","No")</f>
        <v>Yes</v>
      </c>
    </row>
    <row r="1482" customFormat="false" ht="15" hidden="false" customHeight="false" outlineLevel="0" collapsed="false">
      <c r="A1482" s="15" t="n">
        <v>2117</v>
      </c>
      <c r="B1482" s="16" t="n">
        <v>7.68269803628779</v>
      </c>
      <c r="C1482" s="15" t="n">
        <v>300</v>
      </c>
      <c r="D1482" s="15" t="n">
        <v>625</v>
      </c>
      <c r="E1482" s="15" t="n">
        <v>25</v>
      </c>
      <c r="F1482" s="16" t="n">
        <v>0.544470130604817</v>
      </c>
      <c r="G1482" s="17" t="s">
        <v>91</v>
      </c>
      <c r="H1482" s="18" t="n">
        <v>0.2</v>
      </c>
      <c r="I1482" s="18" t="n">
        <v>1</v>
      </c>
      <c r="J1482" s="19" t="n">
        <v>0.881513314137705</v>
      </c>
      <c r="K1482" s="19" t="n">
        <v>0.503624716233681</v>
      </c>
      <c r="L1482" s="16" t="n">
        <v>13.314901276062</v>
      </c>
      <c r="M1482" s="19" t="n">
        <v>0.898363376854066</v>
      </c>
      <c r="N1482" s="19" t="n">
        <v>0.954302833700549</v>
      </c>
      <c r="O1482" s="19" t="n">
        <v>0.881513314137705</v>
      </c>
      <c r="P1482" s="19" t="n">
        <v>0.358373218255438</v>
      </c>
      <c r="Q1482" s="17" t="s">
        <v>29</v>
      </c>
      <c r="R1482" s="5" t="str">
        <f aca="false">IF(OR(Q1482="Steel plate",Q1482="Concrete jacket"),"Steel plate or jacket",Q1482)</f>
        <v>Monitor</v>
      </c>
      <c r="S1482" s="5" t="str">
        <f aca="false">IF(O1482&lt;='Tree rules'!$C$4,IF(N1482&lt;='Tree rules'!$C$5,IF(P1482&lt;='Tree rules'!$C$6,"Monitor","Polymer laminate"),IF(P1482&lt;='Tree rules'!$C$7,"Seal cracks","Polymer laminate")),IF(O1482&lt;='Tree rules'!$C$8,IF(M1482&lt;='Tree rules'!$C$9,"Steel plate or jacket","Polymer laminate"),IF(L1482&lt;='Tree rules'!$C$10,"Steel plate or jacket","Polymer laminate")))</f>
        <v>Monitor</v>
      </c>
      <c r="T1482" s="5" t="str">
        <f aca="false">IF(S1482=R1482,"Yes","No")</f>
        <v>Yes</v>
      </c>
    </row>
    <row r="1483" customFormat="false" ht="15" hidden="false" customHeight="false" outlineLevel="0" collapsed="false">
      <c r="A1483" s="15" t="n">
        <v>2118</v>
      </c>
      <c r="B1483" s="16" t="n">
        <v>6.53164738930733</v>
      </c>
      <c r="C1483" s="15" t="n">
        <v>230</v>
      </c>
      <c r="D1483" s="15" t="n">
        <v>625</v>
      </c>
      <c r="E1483" s="15" t="n">
        <v>30</v>
      </c>
      <c r="F1483" s="16" t="n">
        <v>0.603925598347216</v>
      </c>
      <c r="G1483" s="17" t="s">
        <v>89</v>
      </c>
      <c r="H1483" s="18" t="n">
        <v>0.3</v>
      </c>
      <c r="I1483" s="18" t="n">
        <v>1.5</v>
      </c>
      <c r="J1483" s="19" t="n">
        <v>0.99651260128742</v>
      </c>
      <c r="K1483" s="19" t="n">
        <v>0.567670410422276</v>
      </c>
      <c r="L1483" s="16" t="n">
        <v>11.2809108623615</v>
      </c>
      <c r="M1483" s="19" t="n">
        <v>0.55951010026788</v>
      </c>
      <c r="N1483" s="19" t="n">
        <v>0.783024710053016</v>
      </c>
      <c r="O1483" s="19" t="n">
        <v>1.21192354324923</v>
      </c>
      <c r="P1483" s="19" t="n">
        <v>0.616284559383666</v>
      </c>
      <c r="Q1483" s="17" t="s">
        <v>31</v>
      </c>
      <c r="R1483" s="5" t="str">
        <f aca="false">IF(OR(Q1483="Steel plate",Q1483="Concrete jacket"),"Steel plate or jacket",Q1483)</f>
        <v>Polymer laminate</v>
      </c>
      <c r="S1483" s="5" t="str">
        <f aca="false">IF(O1483&lt;='Tree rules'!$C$4,IF(N1483&lt;='Tree rules'!$C$5,IF(P1483&lt;='Tree rules'!$C$6,"Monitor","Polymer laminate"),IF(P1483&lt;='Tree rules'!$C$7,"Seal cracks","Polymer laminate")),IF(O1483&lt;='Tree rules'!$C$8,IF(M1483&lt;='Tree rules'!$C$9,"Steel plate or jacket","Polymer laminate"),IF(L1483&lt;='Tree rules'!$C$10,"Steel plate or jacket","Polymer laminate")))</f>
        <v>Polymer laminate</v>
      </c>
      <c r="T1483" s="5" t="str">
        <f aca="false">IF(S1483=R1483,"Yes","No")</f>
        <v>Yes</v>
      </c>
    </row>
    <row r="1484" customFormat="false" ht="15" hidden="false" customHeight="false" outlineLevel="0" collapsed="false">
      <c r="A1484" s="15" t="n">
        <v>2121</v>
      </c>
      <c r="B1484" s="16" t="n">
        <v>3.30294648574041</v>
      </c>
      <c r="C1484" s="15" t="n">
        <v>230</v>
      </c>
      <c r="D1484" s="15" t="n">
        <v>300</v>
      </c>
      <c r="E1484" s="15" t="n">
        <v>25</v>
      </c>
      <c r="F1484" s="16" t="n">
        <v>0.612108978148471</v>
      </c>
      <c r="G1484" s="17" t="s">
        <v>90</v>
      </c>
      <c r="H1484" s="18" t="n">
        <v>0.1</v>
      </c>
      <c r="I1484" s="18" t="n">
        <v>1</v>
      </c>
      <c r="J1484" s="19" t="n">
        <v>0.860835463535954</v>
      </c>
      <c r="K1484" s="19" t="n">
        <v>0.595212391189802</v>
      </c>
      <c r="L1484" s="16" t="n">
        <v>13.7051721400017</v>
      </c>
      <c r="M1484" s="19" t="n">
        <v>0.469519951843801</v>
      </c>
      <c r="N1484" s="19" t="n">
        <v>2.49399314513859</v>
      </c>
      <c r="O1484" s="19" t="n">
        <v>0.860835463535954</v>
      </c>
      <c r="P1484" s="19" t="n">
        <v>0.499973194493064</v>
      </c>
      <c r="Q1484" s="17" t="s">
        <v>30</v>
      </c>
      <c r="R1484" s="5" t="str">
        <f aca="false">IF(OR(Q1484="Steel plate",Q1484="Concrete jacket"),"Steel plate or jacket",Q1484)</f>
        <v>Seal cracks</v>
      </c>
      <c r="S1484" s="5" t="str">
        <f aca="false">IF(O1484&lt;='Tree rules'!$C$4,IF(N1484&lt;='Tree rules'!$C$5,IF(P1484&lt;='Tree rules'!$C$6,"Monitor","Polymer laminate"),IF(P1484&lt;='Tree rules'!$C$7,"Seal cracks","Polymer laminate")),IF(O1484&lt;='Tree rules'!$C$8,IF(M1484&lt;='Tree rules'!$C$9,"Steel plate or jacket","Polymer laminate"),IF(L1484&lt;='Tree rules'!$C$10,"Steel plate or jacket","Polymer laminate")))</f>
        <v>Seal cracks</v>
      </c>
      <c r="T1484" s="5" t="str">
        <f aca="false">IF(S1484=R1484,"Yes","No")</f>
        <v>Yes</v>
      </c>
    </row>
    <row r="1485" customFormat="false" ht="15" hidden="false" customHeight="false" outlineLevel="0" collapsed="false">
      <c r="A1485" s="15" t="n">
        <v>2122</v>
      </c>
      <c r="B1485" s="16" t="n">
        <v>4.10076058709981</v>
      </c>
      <c r="C1485" s="15" t="n">
        <v>230</v>
      </c>
      <c r="D1485" s="15" t="n">
        <v>375</v>
      </c>
      <c r="E1485" s="15" t="n">
        <v>30</v>
      </c>
      <c r="F1485" s="16" t="n">
        <v>0.835418868126524</v>
      </c>
      <c r="G1485" s="17" t="s">
        <v>91</v>
      </c>
      <c r="H1485" s="18" t="n">
        <v>0.2</v>
      </c>
      <c r="I1485" s="18" t="n">
        <v>2</v>
      </c>
      <c r="J1485" s="19" t="n">
        <v>0.961969673652421</v>
      </c>
      <c r="K1485" s="19" t="n">
        <v>0.452596123152162</v>
      </c>
      <c r="L1485" s="16" t="n">
        <v>12.5405522541278</v>
      </c>
      <c r="M1485" s="19" t="n">
        <v>0.890669290257145</v>
      </c>
      <c r="N1485" s="19" t="n">
        <v>2.06659526573204</v>
      </c>
      <c r="O1485" s="19" t="n">
        <v>1.48855560241981</v>
      </c>
      <c r="P1485" s="19" t="n">
        <v>0.506336637464557</v>
      </c>
      <c r="Q1485" s="17" t="s">
        <v>31</v>
      </c>
      <c r="R1485" s="5" t="str">
        <f aca="false">IF(OR(Q1485="Steel plate",Q1485="Concrete jacket"),"Steel plate or jacket",Q1485)</f>
        <v>Polymer laminate</v>
      </c>
      <c r="S1485" s="5" t="str">
        <f aca="false">IF(O1485&lt;='Tree rules'!$C$4,IF(N1485&lt;='Tree rules'!$C$5,IF(P1485&lt;='Tree rules'!$C$6,"Monitor","Polymer laminate"),IF(P1485&lt;='Tree rules'!$C$7,"Seal cracks","Polymer laminate")),IF(O1485&lt;='Tree rules'!$C$8,IF(M1485&lt;='Tree rules'!$C$9,"Steel plate or jacket","Polymer laminate"),IF(L1485&lt;='Tree rules'!$C$10,"Steel plate or jacket","Polymer laminate")))</f>
        <v>Steel plate or jacket</v>
      </c>
      <c r="T1485" s="5" t="str">
        <f aca="false">IF(S1485=R1485,"Yes","No")</f>
        <v>No</v>
      </c>
    </row>
    <row r="1486" customFormat="false" ht="15" hidden="false" customHeight="false" outlineLevel="0" collapsed="false">
      <c r="A1486" s="15" t="n">
        <v>2123</v>
      </c>
      <c r="B1486" s="16" t="n">
        <v>3.6456714469996</v>
      </c>
      <c r="C1486" s="15" t="n">
        <v>300</v>
      </c>
      <c r="D1486" s="15" t="n">
        <v>300</v>
      </c>
      <c r="E1486" s="15" t="n">
        <v>30</v>
      </c>
      <c r="F1486" s="16" t="n">
        <v>0.883572933822129</v>
      </c>
      <c r="G1486" s="17" t="s">
        <v>91</v>
      </c>
      <c r="H1486" s="18" t="n">
        <v>0.2</v>
      </c>
      <c r="I1486" s="18" t="n">
        <v>1</v>
      </c>
      <c r="J1486" s="19" t="n">
        <v>0.896202135673337</v>
      </c>
      <c r="K1486" s="19" t="n">
        <v>0.419809766728177</v>
      </c>
      <c r="L1486" s="16" t="n">
        <v>14.2409040898422</v>
      </c>
      <c r="M1486" s="19" t="n">
        <v>0.845922820068742</v>
      </c>
      <c r="N1486" s="19" t="n">
        <v>0.858510955001049</v>
      </c>
      <c r="O1486" s="19" t="n">
        <v>0.896202135673337</v>
      </c>
      <c r="P1486" s="19" t="n">
        <v>0.425947157041135</v>
      </c>
      <c r="Q1486" s="17" t="s">
        <v>29</v>
      </c>
      <c r="R1486" s="5" t="str">
        <f aca="false">IF(OR(Q1486="Steel plate",Q1486="Concrete jacket"),"Steel plate or jacket",Q1486)</f>
        <v>Monitor</v>
      </c>
      <c r="S1486" s="5" t="str">
        <f aca="false">IF(O1486&lt;='Tree rules'!$C$4,IF(N1486&lt;='Tree rules'!$C$5,IF(P1486&lt;='Tree rules'!$C$6,"Monitor","Polymer laminate"),IF(P1486&lt;='Tree rules'!$C$7,"Seal cracks","Polymer laminate")),IF(O1486&lt;='Tree rules'!$C$8,IF(M1486&lt;='Tree rules'!$C$9,"Steel plate or jacket","Polymer laminate"),IF(L1486&lt;='Tree rules'!$C$10,"Steel plate or jacket","Polymer laminate")))</f>
        <v>Monitor</v>
      </c>
      <c r="T1486" s="5" t="str">
        <f aca="false">IF(S1486=R1486,"Yes","No")</f>
        <v>Yes</v>
      </c>
    </row>
    <row r="1487" customFormat="false" ht="15" hidden="false" customHeight="false" outlineLevel="0" collapsed="false">
      <c r="A1487" s="15" t="n">
        <v>2124</v>
      </c>
      <c r="B1487" s="16" t="n">
        <v>4.24354278625404</v>
      </c>
      <c r="C1487" s="15" t="n">
        <v>230</v>
      </c>
      <c r="D1487" s="15" t="n">
        <v>375</v>
      </c>
      <c r="E1487" s="15" t="n">
        <v>25</v>
      </c>
      <c r="F1487" s="16" t="n">
        <v>0.594232683721175</v>
      </c>
      <c r="G1487" s="17" t="s">
        <v>91</v>
      </c>
      <c r="H1487" s="18" t="n">
        <v>0.2</v>
      </c>
      <c r="I1487" s="18" t="n">
        <v>1.5</v>
      </c>
      <c r="J1487" s="19" t="n">
        <v>0.932674252909628</v>
      </c>
      <c r="K1487" s="19" t="n">
        <v>0.43260312150405</v>
      </c>
      <c r="L1487" s="16" t="n">
        <v>12.8203709554503</v>
      </c>
      <c r="M1487" s="19" t="n">
        <v>0.607941097400092</v>
      </c>
      <c r="N1487" s="19" t="n">
        <v>1.18631310760312</v>
      </c>
      <c r="O1487" s="19" t="n">
        <v>1.19727248278686</v>
      </c>
      <c r="P1487" s="19" t="n">
        <v>0.515119045600965</v>
      </c>
      <c r="Q1487" s="17" t="s">
        <v>31</v>
      </c>
      <c r="R1487" s="5" t="str">
        <f aca="false">IF(OR(Q1487="Steel plate",Q1487="Concrete jacket"),"Steel plate or jacket",Q1487)</f>
        <v>Polymer laminate</v>
      </c>
      <c r="S1487" s="5" t="str">
        <f aca="false">IF(O1487&lt;='Tree rules'!$C$4,IF(N1487&lt;='Tree rules'!$C$5,IF(P1487&lt;='Tree rules'!$C$6,"Monitor","Polymer laminate"),IF(P1487&lt;='Tree rules'!$C$7,"Seal cracks","Polymer laminate")),IF(O1487&lt;='Tree rules'!$C$8,IF(M1487&lt;='Tree rules'!$C$9,"Steel plate or jacket","Polymer laminate"),IF(L1487&lt;='Tree rules'!$C$10,"Steel plate or jacket","Polymer laminate")))</f>
        <v>Polymer laminate</v>
      </c>
      <c r="T1487" s="5" t="str">
        <f aca="false">IF(S1487=R1487,"Yes","No")</f>
        <v>Yes</v>
      </c>
    </row>
    <row r="1488" customFormat="false" ht="15" hidden="false" customHeight="false" outlineLevel="0" collapsed="false">
      <c r="A1488" s="15" t="n">
        <v>2125</v>
      </c>
      <c r="B1488" s="16" t="n">
        <v>6.14146394796229</v>
      </c>
      <c r="C1488" s="15" t="n">
        <v>230</v>
      </c>
      <c r="D1488" s="15" t="n">
        <v>525</v>
      </c>
      <c r="E1488" s="15" t="n">
        <v>30</v>
      </c>
      <c r="F1488" s="16" t="n">
        <v>0.730006099046008</v>
      </c>
      <c r="G1488" s="17" t="s">
        <v>89</v>
      </c>
      <c r="H1488" s="18" t="n">
        <v>0.3</v>
      </c>
      <c r="I1488" s="18" t="n">
        <v>1</v>
      </c>
      <c r="J1488" s="19" t="n">
        <v>0.878990818679979</v>
      </c>
      <c r="K1488" s="19" t="n">
        <v>0.494118393089686</v>
      </c>
      <c r="L1488" s="16" t="n">
        <v>12.8214278663096</v>
      </c>
      <c r="M1488" s="19" t="n">
        <v>0.532950871351888</v>
      </c>
      <c r="N1488" s="19" t="n">
        <v>0.573068931801963</v>
      </c>
      <c r="O1488" s="19" t="n">
        <v>0.878990818679979</v>
      </c>
      <c r="P1488" s="19" t="n">
        <v>0.624514198837642</v>
      </c>
      <c r="Q1488" s="17" t="s">
        <v>29</v>
      </c>
      <c r="R1488" s="5" t="str">
        <f aca="false">IF(OR(Q1488="Steel plate",Q1488="Concrete jacket"),"Steel plate or jacket",Q1488)</f>
        <v>Monitor</v>
      </c>
      <c r="S1488" s="5" t="str">
        <f aca="false">IF(O1488&lt;='Tree rules'!$C$4,IF(N1488&lt;='Tree rules'!$C$5,IF(P1488&lt;='Tree rules'!$C$6,"Monitor","Polymer laminate"),IF(P1488&lt;='Tree rules'!$C$7,"Seal cracks","Polymer laminate")),IF(O1488&lt;='Tree rules'!$C$8,IF(M1488&lt;='Tree rules'!$C$9,"Steel plate or jacket","Polymer laminate"),IF(L1488&lt;='Tree rules'!$C$10,"Steel plate or jacket","Polymer laminate")))</f>
        <v>Monitor</v>
      </c>
      <c r="T1488" s="5" t="str">
        <f aca="false">IF(S1488=R1488,"Yes","No")</f>
        <v>Yes</v>
      </c>
    </row>
    <row r="1489" customFormat="false" ht="15" hidden="false" customHeight="false" outlineLevel="0" collapsed="false">
      <c r="A1489" s="15" t="n">
        <v>2126</v>
      </c>
      <c r="B1489" s="16" t="n">
        <v>3.83408932794804</v>
      </c>
      <c r="C1489" s="15" t="n">
        <v>300</v>
      </c>
      <c r="D1489" s="15" t="n">
        <v>375</v>
      </c>
      <c r="E1489" s="15" t="n">
        <v>20</v>
      </c>
      <c r="F1489" s="16" t="n">
        <v>0.640487798897002</v>
      </c>
      <c r="G1489" s="17" t="s">
        <v>91</v>
      </c>
      <c r="H1489" s="18" t="n">
        <v>0.2</v>
      </c>
      <c r="I1489" s="18" t="n">
        <v>1.5</v>
      </c>
      <c r="J1489" s="19" t="n">
        <v>0.892925181281577</v>
      </c>
      <c r="K1489" s="19" t="n">
        <v>0.552117434408931</v>
      </c>
      <c r="L1489" s="16" t="n">
        <v>11.7250438163549</v>
      </c>
      <c r="M1489" s="19" t="n">
        <v>0.599510254911977</v>
      </c>
      <c r="N1489" s="19" t="n">
        <v>1.81231578610407</v>
      </c>
      <c r="O1489" s="19" t="n">
        <v>1.09288799181821</v>
      </c>
      <c r="P1489" s="19" t="n">
        <v>0.548536783252402</v>
      </c>
      <c r="Q1489" s="17" t="s">
        <v>31</v>
      </c>
      <c r="R1489" s="5" t="str">
        <f aca="false">IF(OR(Q1489="Steel plate",Q1489="Concrete jacket"),"Steel plate or jacket",Q1489)</f>
        <v>Polymer laminate</v>
      </c>
      <c r="S1489" s="5" t="str">
        <f aca="false">IF(O1489&lt;='Tree rules'!$C$4,IF(N1489&lt;='Tree rules'!$C$5,IF(P1489&lt;='Tree rules'!$C$6,"Monitor","Polymer laminate"),IF(P1489&lt;='Tree rules'!$C$7,"Seal cracks","Polymer laminate")),IF(O1489&lt;='Tree rules'!$C$8,IF(M1489&lt;='Tree rules'!$C$9,"Steel plate or jacket","Polymer laminate"),IF(L1489&lt;='Tree rules'!$C$10,"Steel plate or jacket","Polymer laminate")))</f>
        <v>Polymer laminate</v>
      </c>
      <c r="T1489" s="5" t="str">
        <f aca="false">IF(S1489=R1489,"Yes","No")</f>
        <v>Yes</v>
      </c>
    </row>
    <row r="1490" customFormat="false" ht="15" hidden="false" customHeight="false" outlineLevel="0" collapsed="false">
      <c r="A1490" s="15" t="n">
        <v>2127</v>
      </c>
      <c r="B1490" s="16" t="n">
        <v>3.8741469849999</v>
      </c>
      <c r="C1490" s="15" t="n">
        <v>300</v>
      </c>
      <c r="D1490" s="15" t="n">
        <v>325</v>
      </c>
      <c r="E1490" s="15" t="n">
        <v>30</v>
      </c>
      <c r="F1490" s="16" t="n">
        <v>0.72065207824282</v>
      </c>
      <c r="G1490" s="17" t="s">
        <v>91</v>
      </c>
      <c r="H1490" s="18" t="n">
        <v>0.2</v>
      </c>
      <c r="I1490" s="18" t="n">
        <v>2</v>
      </c>
      <c r="J1490" s="19" t="n">
        <v>0.951588819503671</v>
      </c>
      <c r="K1490" s="19" t="n">
        <v>0.54233615230896</v>
      </c>
      <c r="L1490" s="16" t="n">
        <v>13.8858314874548</v>
      </c>
      <c r="M1490" s="19" t="n">
        <v>0.27282820089092</v>
      </c>
      <c r="N1490" s="19" t="n">
        <v>1.86779296414738</v>
      </c>
      <c r="O1490" s="19" t="n">
        <v>1.3870966200575</v>
      </c>
      <c r="P1490" s="19" t="n">
        <v>1.45697922968062</v>
      </c>
      <c r="Q1490" s="17" t="s">
        <v>31</v>
      </c>
      <c r="R1490" s="5" t="str">
        <f aca="false">IF(OR(Q1490="Steel plate",Q1490="Concrete jacket"),"Steel plate or jacket",Q1490)</f>
        <v>Polymer laminate</v>
      </c>
      <c r="S1490" s="5" t="str">
        <f aca="false">IF(O1490&lt;='Tree rules'!$C$4,IF(N1490&lt;='Tree rules'!$C$5,IF(P1490&lt;='Tree rules'!$C$6,"Monitor","Polymer laminate"),IF(P1490&lt;='Tree rules'!$C$7,"Seal cracks","Polymer laminate")),IF(O1490&lt;='Tree rules'!$C$8,IF(M1490&lt;='Tree rules'!$C$9,"Steel plate or jacket","Polymer laminate"),IF(L1490&lt;='Tree rules'!$C$10,"Steel plate or jacket","Polymer laminate")))</f>
        <v>Polymer laminate</v>
      </c>
      <c r="T1490" s="5" t="str">
        <f aca="false">IF(S1490=R1490,"Yes","No")</f>
        <v>Yes</v>
      </c>
    </row>
    <row r="1491" customFormat="false" ht="15" hidden="false" customHeight="false" outlineLevel="0" collapsed="false">
      <c r="A1491" s="15" t="n">
        <v>2128</v>
      </c>
      <c r="B1491" s="16" t="n">
        <v>3.60066489341415</v>
      </c>
      <c r="C1491" s="15" t="n">
        <v>230</v>
      </c>
      <c r="D1491" s="15" t="n">
        <v>325</v>
      </c>
      <c r="E1491" s="15" t="n">
        <v>25</v>
      </c>
      <c r="F1491" s="16" t="n">
        <v>0.699968036696473</v>
      </c>
      <c r="G1491" s="17" t="s">
        <v>89</v>
      </c>
      <c r="H1491" s="18" t="n">
        <v>0.3</v>
      </c>
      <c r="I1491" s="18" t="n">
        <v>2</v>
      </c>
      <c r="J1491" s="19" t="n">
        <v>0.944409817946484</v>
      </c>
      <c r="K1491" s="19" t="n">
        <v>0.402162828029483</v>
      </c>
      <c r="L1491" s="16" t="n">
        <v>12.8137540690895</v>
      </c>
      <c r="M1491" s="19" t="n">
        <v>0.556869384947845</v>
      </c>
      <c r="N1491" s="19" t="n">
        <v>1.04259544616206</v>
      </c>
      <c r="O1491" s="19" t="n">
        <v>1.5090131126888</v>
      </c>
      <c r="P1491" s="19" t="n">
        <v>0.686727550028167</v>
      </c>
      <c r="Q1491" s="17" t="s">
        <v>31</v>
      </c>
      <c r="R1491" s="5" t="str">
        <f aca="false">IF(OR(Q1491="Steel plate",Q1491="Concrete jacket"),"Steel plate or jacket",Q1491)</f>
        <v>Polymer laminate</v>
      </c>
      <c r="S1491" s="5" t="str">
        <f aca="false">IF(O1491&lt;='Tree rules'!$C$4,IF(N1491&lt;='Tree rules'!$C$5,IF(P1491&lt;='Tree rules'!$C$6,"Monitor","Polymer laminate"),IF(P1491&lt;='Tree rules'!$C$7,"Seal cracks","Polymer laminate")),IF(O1491&lt;='Tree rules'!$C$8,IF(M1491&lt;='Tree rules'!$C$9,"Steel plate or jacket","Polymer laminate"),IF(L1491&lt;='Tree rules'!$C$10,"Steel plate or jacket","Polymer laminate")))</f>
        <v>Steel plate or jacket</v>
      </c>
      <c r="T1491" s="5" t="str">
        <f aca="false">IF(S1491=R1491,"Yes","No")</f>
        <v>No</v>
      </c>
    </row>
    <row r="1492" customFormat="false" ht="15" hidden="false" customHeight="false" outlineLevel="0" collapsed="false">
      <c r="A1492" s="15" t="n">
        <v>2131</v>
      </c>
      <c r="B1492" s="16" t="n">
        <v>3.99570366397136</v>
      </c>
      <c r="C1492" s="15" t="n">
        <v>230</v>
      </c>
      <c r="D1492" s="15" t="n">
        <v>400</v>
      </c>
      <c r="E1492" s="15" t="n">
        <v>25</v>
      </c>
      <c r="F1492" s="16" t="n">
        <v>0.740832460684402</v>
      </c>
      <c r="G1492" s="17" t="s">
        <v>89</v>
      </c>
      <c r="H1492" s="18" t="n">
        <v>0.3</v>
      </c>
      <c r="I1492" s="18" t="n">
        <v>2</v>
      </c>
      <c r="J1492" s="19" t="n">
        <v>0.998144144110462</v>
      </c>
      <c r="K1492" s="19" t="n">
        <v>0.551516814952027</v>
      </c>
      <c r="L1492" s="16" t="n">
        <v>11.2872984857948</v>
      </c>
      <c r="M1492" s="19" t="n">
        <v>0.812845850029611</v>
      </c>
      <c r="N1492" s="19" t="n">
        <v>1.0336678024882</v>
      </c>
      <c r="O1492" s="19" t="n">
        <v>1.4457950089981</v>
      </c>
      <c r="P1492" s="19" t="n">
        <v>0.525614198822988</v>
      </c>
      <c r="Q1492" s="17" t="s">
        <v>31</v>
      </c>
      <c r="R1492" s="5" t="str">
        <f aca="false">IF(OR(Q1492="Steel plate",Q1492="Concrete jacket"),"Steel plate or jacket",Q1492)</f>
        <v>Polymer laminate</v>
      </c>
      <c r="S1492" s="5" t="str">
        <f aca="false">IF(O1492&lt;='Tree rules'!$C$4,IF(N1492&lt;='Tree rules'!$C$5,IF(P1492&lt;='Tree rules'!$C$6,"Monitor","Polymer laminate"),IF(P1492&lt;='Tree rules'!$C$7,"Seal cracks","Polymer laminate")),IF(O1492&lt;='Tree rules'!$C$8,IF(M1492&lt;='Tree rules'!$C$9,"Steel plate or jacket","Polymer laminate"),IF(L1492&lt;='Tree rules'!$C$10,"Steel plate or jacket","Polymer laminate")))</f>
        <v>Steel plate or jacket</v>
      </c>
      <c r="T1492" s="5" t="str">
        <f aca="false">IF(S1492=R1492,"Yes","No")</f>
        <v>No</v>
      </c>
    </row>
    <row r="1493" customFormat="false" ht="15" hidden="false" customHeight="false" outlineLevel="0" collapsed="false">
      <c r="A1493" s="15" t="n">
        <v>2133</v>
      </c>
      <c r="B1493" s="16" t="n">
        <v>3.66641080740207</v>
      </c>
      <c r="C1493" s="15" t="n">
        <v>300</v>
      </c>
      <c r="D1493" s="15" t="n">
        <v>375</v>
      </c>
      <c r="E1493" s="15" t="n">
        <v>20</v>
      </c>
      <c r="F1493" s="16" t="n">
        <v>0.611130485804701</v>
      </c>
      <c r="G1493" s="17" t="s">
        <v>89</v>
      </c>
      <c r="H1493" s="18" t="n">
        <v>0.3</v>
      </c>
      <c r="I1493" s="18" t="n">
        <v>1</v>
      </c>
      <c r="J1493" s="19" t="n">
        <v>0.945228748450488</v>
      </c>
      <c r="K1493" s="19" t="n">
        <v>0.587857158585159</v>
      </c>
      <c r="L1493" s="16" t="n">
        <v>11.1441057975747</v>
      </c>
      <c r="M1493" s="19" t="n">
        <v>0.8670671793031</v>
      </c>
      <c r="N1493" s="19" t="n">
        <v>0.708521395495491</v>
      </c>
      <c r="O1493" s="19" t="n">
        <v>0.945228748450488</v>
      </c>
      <c r="P1493" s="19" t="n">
        <v>0.355791785881203</v>
      </c>
      <c r="Q1493" s="17" t="s">
        <v>29</v>
      </c>
      <c r="R1493" s="5" t="str">
        <f aca="false">IF(OR(Q1493="Steel plate",Q1493="Concrete jacket"),"Steel plate or jacket",Q1493)</f>
        <v>Monitor</v>
      </c>
      <c r="S1493" s="5" t="str">
        <f aca="false">IF(O1493&lt;='Tree rules'!$C$4,IF(N1493&lt;='Tree rules'!$C$5,IF(P1493&lt;='Tree rules'!$C$6,"Monitor","Polymer laminate"),IF(P1493&lt;='Tree rules'!$C$7,"Seal cracks","Polymer laminate")),IF(O1493&lt;='Tree rules'!$C$8,IF(M1493&lt;='Tree rules'!$C$9,"Steel plate or jacket","Polymer laminate"),IF(L1493&lt;='Tree rules'!$C$10,"Steel plate or jacket","Polymer laminate")))</f>
        <v>Monitor</v>
      </c>
      <c r="T1493" s="5" t="str">
        <f aca="false">IF(S1493=R1493,"Yes","No")</f>
        <v>Yes</v>
      </c>
    </row>
    <row r="1494" customFormat="false" ht="15" hidden="false" customHeight="false" outlineLevel="0" collapsed="false">
      <c r="A1494" s="15" t="n">
        <v>2135</v>
      </c>
      <c r="B1494" s="16" t="n">
        <v>5.55601376909581</v>
      </c>
      <c r="C1494" s="15" t="n">
        <v>300</v>
      </c>
      <c r="D1494" s="15" t="n">
        <v>425</v>
      </c>
      <c r="E1494" s="15" t="n">
        <v>25</v>
      </c>
      <c r="F1494" s="16" t="n">
        <v>0.593686800678386</v>
      </c>
      <c r="G1494" s="17" t="s">
        <v>89</v>
      </c>
      <c r="H1494" s="18" t="n">
        <v>0.3</v>
      </c>
      <c r="I1494" s="18" t="n">
        <v>1</v>
      </c>
      <c r="J1494" s="19" t="n">
        <v>0.903790880835347</v>
      </c>
      <c r="K1494" s="19" t="n">
        <v>0.610540068437004</v>
      </c>
      <c r="L1494" s="16" t="n">
        <v>14.5827133047134</v>
      </c>
      <c r="M1494" s="19" t="n">
        <v>0.540261930632193</v>
      </c>
      <c r="N1494" s="19" t="n">
        <v>0.575150100114859</v>
      </c>
      <c r="O1494" s="19" t="n">
        <v>0.903790880835347</v>
      </c>
      <c r="P1494" s="19" t="n">
        <v>0.672723971421867</v>
      </c>
      <c r="Q1494" s="17" t="s">
        <v>29</v>
      </c>
      <c r="R1494" s="5" t="str">
        <f aca="false">IF(OR(Q1494="Steel plate",Q1494="Concrete jacket"),"Steel plate or jacket",Q1494)</f>
        <v>Monitor</v>
      </c>
      <c r="S1494" s="5" t="str">
        <f aca="false">IF(O1494&lt;='Tree rules'!$C$4,IF(N1494&lt;='Tree rules'!$C$5,IF(P1494&lt;='Tree rules'!$C$6,"Monitor","Polymer laminate"),IF(P1494&lt;='Tree rules'!$C$7,"Seal cracks","Polymer laminate")),IF(O1494&lt;='Tree rules'!$C$8,IF(M1494&lt;='Tree rules'!$C$9,"Steel plate or jacket","Polymer laminate"),IF(L1494&lt;='Tree rules'!$C$10,"Steel plate or jacket","Polymer laminate")))</f>
        <v>Monitor</v>
      </c>
      <c r="T1494" s="5" t="str">
        <f aca="false">IF(S1494=R1494,"Yes","No")</f>
        <v>Yes</v>
      </c>
    </row>
    <row r="1495" customFormat="false" ht="15" hidden="false" customHeight="false" outlineLevel="0" collapsed="false">
      <c r="A1495" s="15" t="n">
        <v>2137</v>
      </c>
      <c r="B1495" s="16" t="n">
        <v>4.65102825181895</v>
      </c>
      <c r="C1495" s="15" t="n">
        <v>230</v>
      </c>
      <c r="D1495" s="15" t="n">
        <v>375</v>
      </c>
      <c r="E1495" s="15" t="n">
        <v>30</v>
      </c>
      <c r="F1495" s="16" t="n">
        <v>0.594232683721175</v>
      </c>
      <c r="G1495" s="17" t="s">
        <v>89</v>
      </c>
      <c r="H1495" s="18" t="n">
        <v>0.3</v>
      </c>
      <c r="I1495" s="18" t="n">
        <v>1.5</v>
      </c>
      <c r="J1495" s="19" t="n">
        <v>0.866581829877676</v>
      </c>
      <c r="K1495" s="19" t="n">
        <v>0.42319145175905</v>
      </c>
      <c r="L1495" s="16" t="n">
        <v>14.0514448695437</v>
      </c>
      <c r="M1495" s="19" t="n">
        <v>0.553099221141465</v>
      </c>
      <c r="N1495" s="19" t="n">
        <v>0.745942332468143</v>
      </c>
      <c r="O1495" s="19" t="n">
        <v>1.11650773348954</v>
      </c>
      <c r="P1495" s="19" t="n">
        <v>0.536213093818606</v>
      </c>
      <c r="Q1495" s="17" t="s">
        <v>31</v>
      </c>
      <c r="R1495" s="5" t="str">
        <f aca="false">IF(OR(Q1495="Steel plate",Q1495="Concrete jacket"),"Steel plate or jacket",Q1495)</f>
        <v>Polymer laminate</v>
      </c>
      <c r="S1495" s="5" t="str">
        <f aca="false">IF(O1495&lt;='Tree rules'!$C$4,IF(N1495&lt;='Tree rules'!$C$5,IF(P1495&lt;='Tree rules'!$C$6,"Monitor","Polymer laminate"),IF(P1495&lt;='Tree rules'!$C$7,"Seal cracks","Polymer laminate")),IF(O1495&lt;='Tree rules'!$C$8,IF(M1495&lt;='Tree rules'!$C$9,"Steel plate or jacket","Polymer laminate"),IF(L1495&lt;='Tree rules'!$C$10,"Steel plate or jacket","Polymer laminate")))</f>
        <v>Polymer laminate</v>
      </c>
      <c r="T1495" s="5" t="str">
        <f aca="false">IF(S1495=R1495,"Yes","No")</f>
        <v>Yes</v>
      </c>
    </row>
    <row r="1496" customFormat="false" ht="15" hidden="false" customHeight="false" outlineLevel="0" collapsed="false">
      <c r="A1496" s="15" t="n">
        <v>2138</v>
      </c>
      <c r="B1496" s="16" t="n">
        <v>6.90148340914623</v>
      </c>
      <c r="C1496" s="15" t="n">
        <v>300</v>
      </c>
      <c r="D1496" s="15" t="n">
        <v>700</v>
      </c>
      <c r="E1496" s="15" t="n">
        <v>30</v>
      </c>
      <c r="F1496" s="16" t="n">
        <v>0.803065606745857</v>
      </c>
      <c r="G1496" s="17" t="s">
        <v>89</v>
      </c>
      <c r="H1496" s="18" t="n">
        <v>0.3</v>
      </c>
      <c r="I1496" s="18" t="n">
        <v>1</v>
      </c>
      <c r="J1496" s="19" t="n">
        <v>0.964985100669631</v>
      </c>
      <c r="K1496" s="19" t="n">
        <v>0.514100077446797</v>
      </c>
      <c r="L1496" s="16" t="n">
        <v>10.5850972532918</v>
      </c>
      <c r="M1496" s="19" t="n">
        <v>0.873886434653663</v>
      </c>
      <c r="N1496" s="19" t="n">
        <v>0.585884747797971</v>
      </c>
      <c r="O1496" s="19" t="n">
        <v>0.964985100669631</v>
      </c>
      <c r="P1496" s="19" t="n">
        <v>0.417523416824118</v>
      </c>
      <c r="Q1496" s="17" t="s">
        <v>29</v>
      </c>
      <c r="R1496" s="5" t="str">
        <f aca="false">IF(OR(Q1496="Steel plate",Q1496="Concrete jacket"),"Steel plate or jacket",Q1496)</f>
        <v>Monitor</v>
      </c>
      <c r="S1496" s="5" t="str">
        <f aca="false">IF(O1496&lt;='Tree rules'!$C$4,IF(N1496&lt;='Tree rules'!$C$5,IF(P1496&lt;='Tree rules'!$C$6,"Monitor","Polymer laminate"),IF(P1496&lt;='Tree rules'!$C$7,"Seal cracks","Polymer laminate")),IF(O1496&lt;='Tree rules'!$C$8,IF(M1496&lt;='Tree rules'!$C$9,"Steel plate or jacket","Polymer laminate"),IF(L1496&lt;='Tree rules'!$C$10,"Steel plate or jacket","Polymer laminate")))</f>
        <v>Monitor</v>
      </c>
      <c r="T1496" s="5" t="str">
        <f aca="false">IF(S1496=R1496,"Yes","No")</f>
        <v>Yes</v>
      </c>
    </row>
    <row r="1497" customFormat="false" ht="15" hidden="false" customHeight="false" outlineLevel="0" collapsed="false">
      <c r="A1497" s="15" t="n">
        <v>2139</v>
      </c>
      <c r="B1497" s="16" t="n">
        <v>3.01306387050993</v>
      </c>
      <c r="C1497" s="15" t="n">
        <v>300</v>
      </c>
      <c r="D1497" s="15" t="n">
        <v>300</v>
      </c>
      <c r="E1497" s="15" t="n">
        <v>25</v>
      </c>
      <c r="F1497" s="16" t="n">
        <v>0.831109167616348</v>
      </c>
      <c r="G1497" s="17" t="s">
        <v>91</v>
      </c>
      <c r="H1497" s="18" t="n">
        <v>0.2</v>
      </c>
      <c r="I1497" s="18" t="n">
        <v>1</v>
      </c>
      <c r="J1497" s="19" t="n">
        <v>0.988429015050848</v>
      </c>
      <c r="K1497" s="19" t="n">
        <v>0.526934609903585</v>
      </c>
      <c r="L1497" s="16" t="n">
        <v>11.9566026607537</v>
      </c>
      <c r="M1497" s="19" t="n">
        <v>0.872415355007316</v>
      </c>
      <c r="N1497" s="19" t="n">
        <v>1.51200905211771</v>
      </c>
      <c r="O1497" s="19" t="n">
        <v>0.988429015050849</v>
      </c>
      <c r="P1497" s="19" t="n">
        <v>0.399134076374648</v>
      </c>
      <c r="Q1497" s="17" t="s">
        <v>30</v>
      </c>
      <c r="R1497" s="5" t="str">
        <f aca="false">IF(OR(Q1497="Steel plate",Q1497="Concrete jacket"),"Steel plate or jacket",Q1497)</f>
        <v>Seal cracks</v>
      </c>
      <c r="S1497" s="5" t="str">
        <f aca="false">IF(O1497&lt;='Tree rules'!$C$4,IF(N1497&lt;='Tree rules'!$C$5,IF(P1497&lt;='Tree rules'!$C$6,"Monitor","Polymer laminate"),IF(P1497&lt;='Tree rules'!$C$7,"Seal cracks","Polymer laminate")),IF(O1497&lt;='Tree rules'!$C$8,IF(M1497&lt;='Tree rules'!$C$9,"Steel plate or jacket","Polymer laminate"),IF(L1497&lt;='Tree rules'!$C$10,"Steel plate or jacket","Polymer laminate")))</f>
        <v>Seal cracks</v>
      </c>
      <c r="T1497" s="5" t="str">
        <f aca="false">IF(S1497=R1497,"Yes","No")</f>
        <v>Yes</v>
      </c>
    </row>
    <row r="1498" customFormat="false" ht="15" hidden="false" customHeight="false" outlineLevel="0" collapsed="false">
      <c r="A1498" s="15" t="n">
        <v>2140</v>
      </c>
      <c r="B1498" s="16" t="n">
        <v>3.5612292661274</v>
      </c>
      <c r="C1498" s="15" t="n">
        <v>300</v>
      </c>
      <c r="D1498" s="15" t="n">
        <v>350</v>
      </c>
      <c r="E1498" s="15" t="n">
        <v>30</v>
      </c>
      <c r="F1498" s="16" t="n">
        <v>0.693508312050727</v>
      </c>
      <c r="G1498" s="17" t="s">
        <v>91</v>
      </c>
      <c r="H1498" s="18" t="n">
        <v>0.2</v>
      </c>
      <c r="I1498" s="18" t="n">
        <v>2</v>
      </c>
      <c r="J1498" s="19" t="n">
        <v>0.918458393270312</v>
      </c>
      <c r="K1498" s="19" t="n">
        <v>0.451535274169088</v>
      </c>
      <c r="L1498" s="16" t="n">
        <v>11.7921498878391</v>
      </c>
      <c r="M1498" s="19" t="n">
        <v>0.719278668202238</v>
      </c>
      <c r="N1498" s="19" t="n">
        <v>2.39308606402291</v>
      </c>
      <c r="O1498" s="19" t="n">
        <v>1.42220042412241</v>
      </c>
      <c r="P1498" s="19" t="n">
        <v>0.462978179677855</v>
      </c>
      <c r="Q1498" s="17" t="s">
        <v>31</v>
      </c>
      <c r="R1498" s="5" t="str">
        <f aca="false">IF(OR(Q1498="Steel plate",Q1498="Concrete jacket"),"Steel plate or jacket",Q1498)</f>
        <v>Polymer laminate</v>
      </c>
      <c r="S1498" s="5" t="str">
        <f aca="false">IF(O1498&lt;='Tree rules'!$C$4,IF(N1498&lt;='Tree rules'!$C$5,IF(P1498&lt;='Tree rules'!$C$6,"Monitor","Polymer laminate"),IF(P1498&lt;='Tree rules'!$C$7,"Seal cracks","Polymer laminate")),IF(O1498&lt;='Tree rules'!$C$8,IF(M1498&lt;='Tree rules'!$C$9,"Steel plate or jacket","Polymer laminate"),IF(L1498&lt;='Tree rules'!$C$10,"Steel plate or jacket","Polymer laminate")))</f>
        <v>Steel plate or jacket</v>
      </c>
      <c r="T1498" s="5" t="str">
        <f aca="false">IF(S1498=R1498,"Yes","No")</f>
        <v>No</v>
      </c>
    </row>
    <row r="1499" customFormat="false" ht="15" hidden="false" customHeight="false" outlineLevel="0" collapsed="false">
      <c r="A1499" s="15" t="n">
        <v>2141</v>
      </c>
      <c r="B1499" s="16" t="n">
        <v>4.13788156551562</v>
      </c>
      <c r="C1499" s="15" t="n">
        <v>230</v>
      </c>
      <c r="D1499" s="15" t="n">
        <v>350</v>
      </c>
      <c r="E1499" s="15" t="n">
        <v>20</v>
      </c>
      <c r="F1499" s="16" t="n">
        <v>0.675914152273913</v>
      </c>
      <c r="G1499" s="17" t="s">
        <v>90</v>
      </c>
      <c r="H1499" s="18" t="n">
        <v>0.1</v>
      </c>
      <c r="I1499" s="18" t="n">
        <v>1</v>
      </c>
      <c r="J1499" s="19" t="n">
        <v>0.956101911577144</v>
      </c>
      <c r="K1499" s="19" t="n">
        <v>0.571343407710919</v>
      </c>
      <c r="L1499" s="16" t="n">
        <v>14.2195242801224</v>
      </c>
      <c r="M1499" s="19" t="n">
        <v>0.47359290384215</v>
      </c>
      <c r="N1499" s="19" t="n">
        <v>2.61534714469875</v>
      </c>
      <c r="O1499" s="19" t="n">
        <v>0.956101911577144</v>
      </c>
      <c r="P1499" s="19" t="n">
        <v>0.726671288728079</v>
      </c>
      <c r="Q1499" s="17" t="s">
        <v>30</v>
      </c>
      <c r="R1499" s="5" t="str">
        <f aca="false">IF(OR(Q1499="Steel plate",Q1499="Concrete jacket"),"Steel plate or jacket",Q1499)</f>
        <v>Seal cracks</v>
      </c>
      <c r="S1499" s="5" t="str">
        <f aca="false">IF(O1499&lt;='Tree rules'!$C$4,IF(N1499&lt;='Tree rules'!$C$5,IF(P1499&lt;='Tree rules'!$C$6,"Monitor","Polymer laminate"),IF(P1499&lt;='Tree rules'!$C$7,"Seal cracks","Polymer laminate")),IF(O1499&lt;='Tree rules'!$C$8,IF(M1499&lt;='Tree rules'!$C$9,"Steel plate or jacket","Polymer laminate"),IF(L1499&lt;='Tree rules'!$C$10,"Steel plate or jacket","Polymer laminate")))</f>
        <v>Seal cracks</v>
      </c>
      <c r="T1499" s="5" t="str">
        <f aca="false">IF(S1499=R1499,"Yes","No")</f>
        <v>Yes</v>
      </c>
    </row>
    <row r="1500" customFormat="false" ht="15" hidden="false" customHeight="false" outlineLevel="0" collapsed="false">
      <c r="A1500" s="15" t="n">
        <v>2142</v>
      </c>
      <c r="B1500" s="16" t="n">
        <v>6.81409436674942</v>
      </c>
      <c r="C1500" s="15" t="n">
        <v>300</v>
      </c>
      <c r="D1500" s="15" t="n">
        <v>575</v>
      </c>
      <c r="E1500" s="15" t="n">
        <v>25</v>
      </c>
      <c r="F1500" s="16" t="n">
        <v>0.596127638252333</v>
      </c>
      <c r="G1500" s="17" t="s">
        <v>91</v>
      </c>
      <c r="H1500" s="18" t="n">
        <v>0.2</v>
      </c>
      <c r="I1500" s="18" t="n">
        <v>1</v>
      </c>
      <c r="J1500" s="19" t="n">
        <v>0.862188108220509</v>
      </c>
      <c r="K1500" s="19" t="n">
        <v>0.425323145369666</v>
      </c>
      <c r="L1500" s="16" t="n">
        <v>12.9299703353879</v>
      </c>
      <c r="M1500" s="19" t="n">
        <v>0.508661629941524</v>
      </c>
      <c r="N1500" s="19" t="n">
        <v>1.06221441619279</v>
      </c>
      <c r="O1500" s="19" t="n">
        <v>0.862188108220509</v>
      </c>
      <c r="P1500" s="19" t="n">
        <v>0.558659470635512</v>
      </c>
      <c r="Q1500" s="17" t="s">
        <v>30</v>
      </c>
      <c r="R1500" s="5" t="str">
        <f aca="false">IF(OR(Q1500="Steel plate",Q1500="Concrete jacket"),"Steel plate or jacket",Q1500)</f>
        <v>Seal cracks</v>
      </c>
      <c r="S1500" s="5" t="str">
        <f aca="false">IF(O1500&lt;='Tree rules'!$C$4,IF(N1500&lt;='Tree rules'!$C$5,IF(P1500&lt;='Tree rules'!$C$6,"Monitor","Polymer laminate"),IF(P1500&lt;='Tree rules'!$C$7,"Seal cracks","Polymer laminate")),IF(O1500&lt;='Tree rules'!$C$8,IF(M1500&lt;='Tree rules'!$C$9,"Steel plate or jacket","Polymer laminate"),IF(L1500&lt;='Tree rules'!$C$10,"Steel plate or jacket","Polymer laminate")))</f>
        <v>Seal cracks</v>
      </c>
      <c r="T1500" s="5" t="str">
        <f aca="false">IF(S1500=R1500,"Yes","No")</f>
        <v>Yes</v>
      </c>
    </row>
    <row r="1501" customFormat="false" ht="15" hidden="false" customHeight="false" outlineLevel="0" collapsed="false">
      <c r="A1501" s="15" t="n">
        <v>2143</v>
      </c>
      <c r="B1501" s="16" t="n">
        <v>5.9946310144406</v>
      </c>
      <c r="C1501" s="15" t="n">
        <v>300</v>
      </c>
      <c r="D1501" s="15" t="n">
        <v>500</v>
      </c>
      <c r="E1501" s="15" t="n">
        <v>30</v>
      </c>
      <c r="F1501" s="16" t="n">
        <v>0.695042622475618</v>
      </c>
      <c r="G1501" s="17" t="s">
        <v>89</v>
      </c>
      <c r="H1501" s="18" t="n">
        <v>0.3</v>
      </c>
      <c r="I1501" s="18" t="n">
        <v>1</v>
      </c>
      <c r="J1501" s="19" t="n">
        <v>0.882976946480709</v>
      </c>
      <c r="K1501" s="19" t="n">
        <v>0.611386751784544</v>
      </c>
      <c r="L1501" s="16" t="n">
        <v>13.26245799655</v>
      </c>
      <c r="M1501" s="19" t="n">
        <v>0.56330057266878</v>
      </c>
      <c r="N1501" s="19" t="n">
        <v>0.729376167505781</v>
      </c>
      <c r="O1501" s="19" t="n">
        <v>0.882976946480709</v>
      </c>
      <c r="P1501" s="19" t="n">
        <v>0.635458043534235</v>
      </c>
      <c r="Q1501" s="17" t="s">
        <v>29</v>
      </c>
      <c r="R1501" s="5" t="str">
        <f aca="false">IF(OR(Q1501="Steel plate",Q1501="Concrete jacket"),"Steel plate or jacket",Q1501)</f>
        <v>Monitor</v>
      </c>
      <c r="S1501" s="5" t="str">
        <f aca="false">IF(O1501&lt;='Tree rules'!$C$4,IF(N1501&lt;='Tree rules'!$C$5,IF(P1501&lt;='Tree rules'!$C$6,"Monitor","Polymer laminate"),IF(P1501&lt;='Tree rules'!$C$7,"Seal cracks","Polymer laminate")),IF(O1501&lt;='Tree rules'!$C$8,IF(M1501&lt;='Tree rules'!$C$9,"Steel plate or jacket","Polymer laminate"),IF(L1501&lt;='Tree rules'!$C$10,"Steel plate or jacket","Polymer laminate")))</f>
        <v>Monitor</v>
      </c>
      <c r="T1501" s="5" t="str">
        <f aca="false">IF(S1501=R1501,"Yes","No")</f>
        <v>Yes</v>
      </c>
    </row>
    <row r="1502" customFormat="false" ht="15" hidden="false" customHeight="false" outlineLevel="0" collapsed="false">
      <c r="A1502" s="15" t="n">
        <v>2144</v>
      </c>
      <c r="B1502" s="16" t="n">
        <v>5.38000016647332</v>
      </c>
      <c r="C1502" s="15" t="n">
        <v>300</v>
      </c>
      <c r="D1502" s="15" t="n">
        <v>425</v>
      </c>
      <c r="E1502" s="15" t="n">
        <v>25</v>
      </c>
      <c r="F1502" s="16" t="n">
        <v>0.555542467478301</v>
      </c>
      <c r="G1502" s="17" t="s">
        <v>89</v>
      </c>
      <c r="H1502" s="18" t="n">
        <v>0.3</v>
      </c>
      <c r="I1502" s="18" t="n">
        <v>1</v>
      </c>
      <c r="J1502" s="19" t="n">
        <v>0.89785580098724</v>
      </c>
      <c r="K1502" s="19" t="n">
        <v>0.4147653974617</v>
      </c>
      <c r="L1502" s="16" t="n">
        <v>14.2705574707515</v>
      </c>
      <c r="M1502" s="19" t="n">
        <v>0.945600269746022</v>
      </c>
      <c r="N1502" s="19" t="n">
        <v>0.892716095093881</v>
      </c>
      <c r="O1502" s="19" t="n">
        <v>0.89785580098724</v>
      </c>
      <c r="P1502" s="19" t="n">
        <v>0.314030389409195</v>
      </c>
      <c r="Q1502" s="17" t="s">
        <v>29</v>
      </c>
      <c r="R1502" s="5" t="str">
        <f aca="false">IF(OR(Q1502="Steel plate",Q1502="Concrete jacket"),"Steel plate or jacket",Q1502)</f>
        <v>Monitor</v>
      </c>
      <c r="S1502" s="5" t="str">
        <f aca="false">IF(O1502&lt;='Tree rules'!$C$4,IF(N1502&lt;='Tree rules'!$C$5,IF(P1502&lt;='Tree rules'!$C$6,"Monitor","Polymer laminate"),IF(P1502&lt;='Tree rules'!$C$7,"Seal cracks","Polymer laminate")),IF(O1502&lt;='Tree rules'!$C$8,IF(M1502&lt;='Tree rules'!$C$9,"Steel plate or jacket","Polymer laminate"),IF(L1502&lt;='Tree rules'!$C$10,"Steel plate or jacket","Polymer laminate")))</f>
        <v>Monitor</v>
      </c>
      <c r="T1502" s="5" t="str">
        <f aca="false">IF(S1502=R1502,"Yes","No")</f>
        <v>Yes</v>
      </c>
    </row>
    <row r="1503" customFormat="false" ht="15" hidden="false" customHeight="false" outlineLevel="0" collapsed="false">
      <c r="A1503" s="15" t="n">
        <v>2145</v>
      </c>
      <c r="B1503" s="16" t="n">
        <v>5.31972116774941</v>
      </c>
      <c r="C1503" s="15" t="n">
        <v>300</v>
      </c>
      <c r="D1503" s="15" t="n">
        <v>425</v>
      </c>
      <c r="E1503" s="15" t="n">
        <v>30</v>
      </c>
      <c r="F1503" s="16" t="n">
        <v>0.593686800678386</v>
      </c>
      <c r="G1503" s="17" t="s">
        <v>91</v>
      </c>
      <c r="H1503" s="18" t="n">
        <v>0.2</v>
      </c>
      <c r="I1503" s="18" t="n">
        <v>1</v>
      </c>
      <c r="J1503" s="19" t="n">
        <v>0.976995266452055</v>
      </c>
      <c r="K1503" s="19" t="n">
        <v>0.417761903606042</v>
      </c>
      <c r="L1503" s="16" t="n">
        <v>13.9625227499985</v>
      </c>
      <c r="M1503" s="19" t="n">
        <v>0.950824337311829</v>
      </c>
      <c r="N1503" s="19" t="n">
        <v>0.845786435193421</v>
      </c>
      <c r="O1503" s="19" t="n">
        <v>0.976995266452055</v>
      </c>
      <c r="P1503" s="19" t="n">
        <v>0.336975475485535</v>
      </c>
      <c r="Q1503" s="17" t="s">
        <v>29</v>
      </c>
      <c r="R1503" s="5" t="str">
        <f aca="false">IF(OR(Q1503="Steel plate",Q1503="Concrete jacket"),"Steel plate or jacket",Q1503)</f>
        <v>Monitor</v>
      </c>
      <c r="S1503" s="5" t="str">
        <f aca="false">IF(O1503&lt;='Tree rules'!$C$4,IF(N1503&lt;='Tree rules'!$C$5,IF(P1503&lt;='Tree rules'!$C$6,"Monitor","Polymer laminate"),IF(P1503&lt;='Tree rules'!$C$7,"Seal cracks","Polymer laminate")),IF(O1503&lt;='Tree rules'!$C$8,IF(M1503&lt;='Tree rules'!$C$9,"Steel plate or jacket","Polymer laminate"),IF(L1503&lt;='Tree rules'!$C$10,"Steel plate or jacket","Polymer laminate")))</f>
        <v>Monitor</v>
      </c>
      <c r="T1503" s="5" t="str">
        <f aca="false">IF(S1503=R1503,"Yes","No")</f>
        <v>Yes</v>
      </c>
    </row>
    <row r="1504" customFormat="false" ht="15" hidden="false" customHeight="false" outlineLevel="0" collapsed="false">
      <c r="A1504" s="15" t="n">
        <v>2147</v>
      </c>
      <c r="B1504" s="16" t="n">
        <v>5.20495023666902</v>
      </c>
      <c r="C1504" s="15" t="n">
        <v>300</v>
      </c>
      <c r="D1504" s="15" t="n">
        <v>425</v>
      </c>
      <c r="E1504" s="15" t="n">
        <v>30</v>
      </c>
      <c r="F1504" s="16" t="n">
        <v>0.552367939092711</v>
      </c>
      <c r="G1504" s="17" t="s">
        <v>90</v>
      </c>
      <c r="H1504" s="18" t="n">
        <v>0.1</v>
      </c>
      <c r="I1504" s="18" t="n">
        <v>2</v>
      </c>
      <c r="J1504" s="19" t="n">
        <v>0.862820696968715</v>
      </c>
      <c r="K1504" s="19" t="n">
        <v>0.646386526270335</v>
      </c>
      <c r="L1504" s="16" t="n">
        <v>14.2993138370028</v>
      </c>
      <c r="M1504" s="19" t="n">
        <v>0.892846564498288</v>
      </c>
      <c r="N1504" s="19" t="n">
        <v>3.25184489129235</v>
      </c>
      <c r="O1504" s="19" t="n">
        <v>1.16792572082967</v>
      </c>
      <c r="P1504" s="19" t="n">
        <v>0.371361629358788</v>
      </c>
      <c r="Q1504" s="17" t="s">
        <v>31</v>
      </c>
      <c r="R1504" s="5" t="str">
        <f aca="false">IF(OR(Q1504="Steel plate",Q1504="Concrete jacket"),"Steel plate or jacket",Q1504)</f>
        <v>Polymer laminate</v>
      </c>
      <c r="S1504" s="5" t="str">
        <f aca="false">IF(O1504&lt;='Tree rules'!$C$4,IF(N1504&lt;='Tree rules'!$C$5,IF(P1504&lt;='Tree rules'!$C$6,"Monitor","Polymer laminate"),IF(P1504&lt;='Tree rules'!$C$7,"Seal cracks","Polymer laminate")),IF(O1504&lt;='Tree rules'!$C$8,IF(M1504&lt;='Tree rules'!$C$9,"Steel plate or jacket","Polymer laminate"),IF(L1504&lt;='Tree rules'!$C$10,"Steel plate or jacket","Polymer laminate")))</f>
        <v>Polymer laminate</v>
      </c>
      <c r="T1504" s="5" t="str">
        <f aca="false">IF(S1504=R1504,"Yes","No")</f>
        <v>Yes</v>
      </c>
    </row>
    <row r="1505" customFormat="false" ht="15" hidden="false" customHeight="false" outlineLevel="0" collapsed="false">
      <c r="A1505" s="15" t="n">
        <v>2148</v>
      </c>
      <c r="B1505" s="16" t="n">
        <v>5.11758023363942</v>
      </c>
      <c r="C1505" s="15" t="n">
        <v>300</v>
      </c>
      <c r="D1505" s="15" t="n">
        <v>475</v>
      </c>
      <c r="E1505" s="15" t="n">
        <v>20</v>
      </c>
      <c r="F1505" s="16" t="n">
        <v>0.624901102811956</v>
      </c>
      <c r="G1505" s="17" t="s">
        <v>89</v>
      </c>
      <c r="H1505" s="18" t="n">
        <v>0.3</v>
      </c>
      <c r="I1505" s="18" t="n">
        <v>2</v>
      </c>
      <c r="J1505" s="19" t="n">
        <v>0.861075702705373</v>
      </c>
      <c r="K1505" s="19" t="n">
        <v>0.552208547261949</v>
      </c>
      <c r="L1505" s="16" t="n">
        <v>11.9290914537049</v>
      </c>
      <c r="M1505" s="19" t="n">
        <v>0.554323398640111</v>
      </c>
      <c r="N1505" s="19" t="n">
        <v>0.89009633300429</v>
      </c>
      <c r="O1505" s="19" t="n">
        <v>1.24665804253725</v>
      </c>
      <c r="P1505" s="19" t="n">
        <v>0.688810022004063</v>
      </c>
      <c r="Q1505" s="17" t="s">
        <v>31</v>
      </c>
      <c r="R1505" s="5" t="str">
        <f aca="false">IF(OR(Q1505="Steel plate",Q1505="Concrete jacket"),"Steel plate or jacket",Q1505)</f>
        <v>Polymer laminate</v>
      </c>
      <c r="S1505" s="5" t="str">
        <f aca="false">IF(O1505&lt;='Tree rules'!$C$4,IF(N1505&lt;='Tree rules'!$C$5,IF(P1505&lt;='Tree rules'!$C$6,"Monitor","Polymer laminate"),IF(P1505&lt;='Tree rules'!$C$7,"Seal cracks","Polymer laminate")),IF(O1505&lt;='Tree rules'!$C$8,IF(M1505&lt;='Tree rules'!$C$9,"Steel plate or jacket","Polymer laminate"),IF(L1505&lt;='Tree rules'!$C$10,"Steel plate or jacket","Polymer laminate")))</f>
        <v>Polymer laminate</v>
      </c>
      <c r="T1505" s="5" t="str">
        <f aca="false">IF(S1505=R1505,"Yes","No")</f>
        <v>Yes</v>
      </c>
    </row>
    <row r="1506" customFormat="false" ht="15" hidden="false" customHeight="false" outlineLevel="0" collapsed="false">
      <c r="A1506" s="15" t="n">
        <v>2149</v>
      </c>
      <c r="B1506" s="16" t="n">
        <v>3.1034622569102</v>
      </c>
      <c r="C1506" s="15" t="n">
        <v>230</v>
      </c>
      <c r="D1506" s="15" t="n">
        <v>300</v>
      </c>
      <c r="E1506" s="15" t="n">
        <v>25</v>
      </c>
      <c r="F1506" s="16" t="n">
        <v>0.612108978148471</v>
      </c>
      <c r="G1506" s="17" t="s">
        <v>90</v>
      </c>
      <c r="H1506" s="18" t="n">
        <v>0.1</v>
      </c>
      <c r="I1506" s="18" t="n">
        <v>1</v>
      </c>
      <c r="J1506" s="19" t="n">
        <v>0.857659875817647</v>
      </c>
      <c r="K1506" s="19" t="n">
        <v>0.428168697152043</v>
      </c>
      <c r="L1506" s="16" t="n">
        <v>12.8774367506647</v>
      </c>
      <c r="M1506" s="19" t="n">
        <v>0.944885911149663</v>
      </c>
      <c r="N1506" s="19" t="n">
        <v>2.11885438642748</v>
      </c>
      <c r="O1506" s="19" t="n">
        <v>0.857659875817647</v>
      </c>
      <c r="P1506" s="19" t="n">
        <v>0.217537870991996</v>
      </c>
      <c r="Q1506" s="17" t="s">
        <v>30</v>
      </c>
      <c r="R1506" s="5" t="str">
        <f aca="false">IF(OR(Q1506="Steel plate",Q1506="Concrete jacket"),"Steel plate or jacket",Q1506)</f>
        <v>Seal cracks</v>
      </c>
      <c r="S1506" s="5" t="str">
        <f aca="false">IF(O1506&lt;='Tree rules'!$C$4,IF(N1506&lt;='Tree rules'!$C$5,IF(P1506&lt;='Tree rules'!$C$6,"Monitor","Polymer laminate"),IF(P1506&lt;='Tree rules'!$C$7,"Seal cracks","Polymer laminate")),IF(O1506&lt;='Tree rules'!$C$8,IF(M1506&lt;='Tree rules'!$C$9,"Steel plate or jacket","Polymer laminate"),IF(L1506&lt;='Tree rules'!$C$10,"Steel plate or jacket","Polymer laminate")))</f>
        <v>Seal cracks</v>
      </c>
      <c r="T1506" s="5" t="str">
        <f aca="false">IF(S1506=R1506,"Yes","No")</f>
        <v>Yes</v>
      </c>
    </row>
    <row r="1507" customFormat="false" ht="15" hidden="false" customHeight="false" outlineLevel="0" collapsed="false">
      <c r="A1507" s="15" t="n">
        <v>2151</v>
      </c>
      <c r="B1507" s="16" t="n">
        <v>3.42331419005283</v>
      </c>
      <c r="C1507" s="15" t="n">
        <v>300</v>
      </c>
      <c r="D1507" s="15" t="n">
        <v>300</v>
      </c>
      <c r="E1507" s="15" t="n">
        <v>25</v>
      </c>
      <c r="F1507" s="16" t="n">
        <v>0.589048622548086</v>
      </c>
      <c r="G1507" s="17" t="s">
        <v>89</v>
      </c>
      <c r="H1507" s="18" t="n">
        <v>0.3</v>
      </c>
      <c r="I1507" s="18" t="n">
        <v>1.5</v>
      </c>
      <c r="J1507" s="19" t="n">
        <v>0.931842922142199</v>
      </c>
      <c r="K1507" s="19" t="n">
        <v>0.534661298212022</v>
      </c>
      <c r="L1507" s="16" t="n">
        <v>13.3723210548939</v>
      </c>
      <c r="M1507" s="19" t="n">
        <v>0.784490708098882</v>
      </c>
      <c r="N1507" s="19" t="n">
        <v>0.804361748563997</v>
      </c>
      <c r="O1507" s="19" t="n">
        <v>1.14865420997218</v>
      </c>
      <c r="P1507" s="19" t="n">
        <v>0.404391189306456</v>
      </c>
      <c r="Q1507" s="17" t="s">
        <v>31</v>
      </c>
      <c r="R1507" s="5" t="str">
        <f aca="false">IF(OR(Q1507="Steel plate",Q1507="Concrete jacket"),"Steel plate or jacket",Q1507)</f>
        <v>Polymer laminate</v>
      </c>
      <c r="S1507" s="5" t="str">
        <f aca="false">IF(O1507&lt;='Tree rules'!$C$4,IF(N1507&lt;='Tree rules'!$C$5,IF(P1507&lt;='Tree rules'!$C$6,"Monitor","Polymer laminate"),IF(P1507&lt;='Tree rules'!$C$7,"Seal cracks","Polymer laminate")),IF(O1507&lt;='Tree rules'!$C$8,IF(M1507&lt;='Tree rules'!$C$9,"Steel plate or jacket","Polymer laminate"),IF(L1507&lt;='Tree rules'!$C$10,"Steel plate or jacket","Polymer laminate")))</f>
        <v>Polymer laminate</v>
      </c>
      <c r="T1507" s="5" t="str">
        <f aca="false">IF(S1507=R1507,"Yes","No")</f>
        <v>Yes</v>
      </c>
    </row>
    <row r="1508" customFormat="false" ht="15" hidden="false" customHeight="false" outlineLevel="0" collapsed="false">
      <c r="A1508" s="15" t="n">
        <v>2152</v>
      </c>
      <c r="B1508" s="16" t="n">
        <v>6.35699443178894</v>
      </c>
      <c r="C1508" s="15" t="n">
        <v>230</v>
      </c>
      <c r="D1508" s="15" t="n">
        <v>550</v>
      </c>
      <c r="E1508" s="15" t="n">
        <v>25</v>
      </c>
      <c r="F1508" s="16" t="n">
        <v>0.816280786486175</v>
      </c>
      <c r="G1508" s="17" t="s">
        <v>89</v>
      </c>
      <c r="H1508" s="18" t="n">
        <v>0.3</v>
      </c>
      <c r="I1508" s="18" t="n">
        <v>1.5</v>
      </c>
      <c r="J1508" s="19" t="n">
        <v>0.85906278101537</v>
      </c>
      <c r="K1508" s="19" t="n">
        <v>0.504588899463128</v>
      </c>
      <c r="L1508" s="16" t="n">
        <v>12.6633355214919</v>
      </c>
      <c r="M1508" s="19" t="n">
        <v>0.64090352366451</v>
      </c>
      <c r="N1508" s="19" t="n">
        <v>0.745349601540071</v>
      </c>
      <c r="O1508" s="19" t="n">
        <v>1.07185739990192</v>
      </c>
      <c r="P1508" s="19" t="n">
        <v>0.668992506885879</v>
      </c>
      <c r="Q1508" s="17" t="s">
        <v>31</v>
      </c>
      <c r="R1508" s="5" t="str">
        <f aca="false">IF(OR(Q1508="Steel plate",Q1508="Concrete jacket"),"Steel plate or jacket",Q1508)</f>
        <v>Polymer laminate</v>
      </c>
      <c r="S1508" s="5" t="str">
        <f aca="false">IF(O1508&lt;='Tree rules'!$C$4,IF(N1508&lt;='Tree rules'!$C$5,IF(P1508&lt;='Tree rules'!$C$6,"Monitor","Polymer laminate"),IF(P1508&lt;='Tree rules'!$C$7,"Seal cracks","Polymer laminate")),IF(O1508&lt;='Tree rules'!$C$8,IF(M1508&lt;='Tree rules'!$C$9,"Steel plate or jacket","Polymer laminate"),IF(L1508&lt;='Tree rules'!$C$10,"Steel plate or jacket","Polymer laminate")))</f>
        <v>Polymer laminate</v>
      </c>
      <c r="T1508" s="5" t="str">
        <f aca="false">IF(S1508=R1508,"Yes","No")</f>
        <v>Yes</v>
      </c>
    </row>
    <row r="1509" customFormat="false" ht="15" hidden="false" customHeight="false" outlineLevel="0" collapsed="false">
      <c r="A1509" s="15" t="n">
        <v>2153</v>
      </c>
      <c r="B1509" s="16" t="n">
        <v>3.14434493291072</v>
      </c>
      <c r="C1509" s="15" t="n">
        <v>300</v>
      </c>
      <c r="D1509" s="15" t="n">
        <v>300</v>
      </c>
      <c r="E1509" s="15" t="n">
        <v>25</v>
      </c>
      <c r="F1509" s="16" t="n">
        <v>0.883572933822129</v>
      </c>
      <c r="G1509" s="17" t="s">
        <v>91</v>
      </c>
      <c r="H1509" s="18" t="n">
        <v>0.2</v>
      </c>
      <c r="I1509" s="18" t="n">
        <v>2</v>
      </c>
      <c r="J1509" s="19" t="n">
        <v>0.913477777823462</v>
      </c>
      <c r="K1509" s="19" t="n">
        <v>0.585975564433348</v>
      </c>
      <c r="L1509" s="16" t="n">
        <v>12.2825973941825</v>
      </c>
      <c r="M1509" s="19" t="n">
        <v>0.521092945205244</v>
      </c>
      <c r="N1509" s="19" t="n">
        <v>1.32679753544484</v>
      </c>
      <c r="O1509" s="19" t="n">
        <v>1.2916798991895</v>
      </c>
      <c r="P1509" s="19" t="n">
        <v>0.834877344292957</v>
      </c>
      <c r="Q1509" s="17" t="s">
        <v>31</v>
      </c>
      <c r="R1509" s="5" t="str">
        <f aca="false">IF(OR(Q1509="Steel plate",Q1509="Concrete jacket"),"Steel plate or jacket",Q1509)</f>
        <v>Polymer laminate</v>
      </c>
      <c r="S1509" s="5" t="str">
        <f aca="false">IF(O1509&lt;='Tree rules'!$C$4,IF(N1509&lt;='Tree rules'!$C$5,IF(P1509&lt;='Tree rules'!$C$6,"Monitor","Polymer laminate"),IF(P1509&lt;='Tree rules'!$C$7,"Seal cracks","Polymer laminate")),IF(O1509&lt;='Tree rules'!$C$8,IF(M1509&lt;='Tree rules'!$C$9,"Steel plate or jacket","Polymer laminate"),IF(L1509&lt;='Tree rules'!$C$10,"Steel plate or jacket","Polymer laminate")))</f>
        <v>Polymer laminate</v>
      </c>
      <c r="T1509" s="5" t="str">
        <f aca="false">IF(S1509=R1509,"Yes","No")</f>
        <v>Yes</v>
      </c>
    </row>
    <row r="1510" customFormat="false" ht="15" hidden="false" customHeight="false" outlineLevel="0" collapsed="false">
      <c r="A1510" s="15" t="n">
        <v>2154</v>
      </c>
      <c r="B1510" s="16" t="n">
        <v>6.89671167175993</v>
      </c>
      <c r="C1510" s="15" t="n">
        <v>230</v>
      </c>
      <c r="D1510" s="15" t="n">
        <v>600</v>
      </c>
      <c r="E1510" s="15" t="n">
        <v>25</v>
      </c>
      <c r="F1510" s="16" t="n">
        <v>0.63117855856144</v>
      </c>
      <c r="G1510" s="17" t="s">
        <v>89</v>
      </c>
      <c r="H1510" s="18" t="n">
        <v>0.3</v>
      </c>
      <c r="I1510" s="18" t="n">
        <v>2</v>
      </c>
      <c r="J1510" s="19" t="n">
        <v>0.952411453478465</v>
      </c>
      <c r="K1510" s="19" t="n">
        <v>0.439372783340961</v>
      </c>
      <c r="L1510" s="16" t="n">
        <v>12.4489380356677</v>
      </c>
      <c r="M1510" s="19" t="n">
        <v>0.945003482192752</v>
      </c>
      <c r="N1510" s="19" t="n">
        <v>0.909137875796041</v>
      </c>
      <c r="O1510" s="19" t="n">
        <v>1.48635923575629</v>
      </c>
      <c r="P1510" s="19" t="n">
        <v>0.468300338764592</v>
      </c>
      <c r="Q1510" s="17" t="s">
        <v>92</v>
      </c>
      <c r="R1510" s="5" t="str">
        <f aca="false">IF(OR(Q1510="Steel plate",Q1510="Concrete jacket"),"Steel plate or jacket",Q1510)</f>
        <v>Steel plate or jacket</v>
      </c>
      <c r="S1510" s="5" t="str">
        <f aca="false">IF(O1510&lt;='Tree rules'!$C$4,IF(N1510&lt;='Tree rules'!$C$5,IF(P1510&lt;='Tree rules'!$C$6,"Monitor","Polymer laminate"),IF(P1510&lt;='Tree rules'!$C$7,"Seal cracks","Polymer laminate")),IF(O1510&lt;='Tree rules'!$C$8,IF(M1510&lt;='Tree rules'!$C$9,"Steel plate or jacket","Polymer laminate"),IF(L1510&lt;='Tree rules'!$C$10,"Steel plate or jacket","Polymer laminate")))</f>
        <v>Steel plate or jacket</v>
      </c>
      <c r="T1510" s="5" t="str">
        <f aca="false">IF(S1510=R1510,"Yes","No")</f>
        <v>Yes</v>
      </c>
    </row>
    <row r="1511" customFormat="false" ht="15" hidden="false" customHeight="false" outlineLevel="0" collapsed="false">
      <c r="A1511" s="15" t="n">
        <v>2155</v>
      </c>
      <c r="B1511" s="16" t="n">
        <v>3.46214210072153</v>
      </c>
      <c r="C1511" s="15" t="n">
        <v>230</v>
      </c>
      <c r="D1511" s="15" t="n">
        <v>325</v>
      </c>
      <c r="E1511" s="15" t="n">
        <v>20</v>
      </c>
      <c r="F1511" s="16" t="n">
        <v>0.626653981080713</v>
      </c>
      <c r="G1511" s="17" t="s">
        <v>89</v>
      </c>
      <c r="H1511" s="18" t="n">
        <v>0.3</v>
      </c>
      <c r="I1511" s="18" t="n">
        <v>2</v>
      </c>
      <c r="J1511" s="19" t="n">
        <v>0.91755391410267</v>
      </c>
      <c r="K1511" s="19" t="n">
        <v>0.439804370096033</v>
      </c>
      <c r="L1511" s="16" t="n">
        <v>12.4091114721202</v>
      </c>
      <c r="M1511" s="19" t="n">
        <v>0.893350287840931</v>
      </c>
      <c r="N1511" s="19" t="n">
        <v>1.27359082433015</v>
      </c>
      <c r="O1511" s="19" t="n">
        <v>1.43156360698427</v>
      </c>
      <c r="P1511" s="19" t="n">
        <v>0.406188752613448</v>
      </c>
      <c r="Q1511" s="17" t="s">
        <v>31</v>
      </c>
      <c r="R1511" s="5" t="str">
        <f aca="false">IF(OR(Q1511="Steel plate",Q1511="Concrete jacket"),"Steel plate or jacket",Q1511)</f>
        <v>Polymer laminate</v>
      </c>
      <c r="S1511" s="5" t="str">
        <f aca="false">IF(O1511&lt;='Tree rules'!$C$4,IF(N1511&lt;='Tree rules'!$C$5,IF(P1511&lt;='Tree rules'!$C$6,"Monitor","Polymer laminate"),IF(P1511&lt;='Tree rules'!$C$7,"Seal cracks","Polymer laminate")),IF(O1511&lt;='Tree rules'!$C$8,IF(M1511&lt;='Tree rules'!$C$9,"Steel plate or jacket","Polymer laminate"),IF(L1511&lt;='Tree rules'!$C$10,"Steel plate or jacket","Polymer laminate")))</f>
        <v>Steel plate or jacket</v>
      </c>
      <c r="T1511" s="5" t="str">
        <f aca="false">IF(S1511=R1511,"Yes","No")</f>
        <v>No</v>
      </c>
    </row>
    <row r="1512" customFormat="false" ht="15" hidden="false" customHeight="false" outlineLevel="0" collapsed="false">
      <c r="A1512" s="15" t="n">
        <v>2156</v>
      </c>
      <c r="B1512" s="16" t="n">
        <v>5.27151392217755</v>
      </c>
      <c r="C1512" s="15" t="n">
        <v>300</v>
      </c>
      <c r="D1512" s="15" t="n">
        <v>500</v>
      </c>
      <c r="E1512" s="15" t="n">
        <v>30</v>
      </c>
      <c r="F1512" s="16" t="n">
        <v>0.71889992072993</v>
      </c>
      <c r="G1512" s="17" t="s">
        <v>90</v>
      </c>
      <c r="H1512" s="18" t="n">
        <v>0.1</v>
      </c>
      <c r="I1512" s="18" t="n">
        <v>1</v>
      </c>
      <c r="J1512" s="19" t="n">
        <v>0.865673741917516</v>
      </c>
      <c r="K1512" s="19" t="n">
        <v>0.623057608254651</v>
      </c>
      <c r="L1512" s="16" t="n">
        <v>12.0629609203148</v>
      </c>
      <c r="M1512" s="19" t="n">
        <v>0.886476747899467</v>
      </c>
      <c r="N1512" s="19" t="n">
        <v>2.35260529769665</v>
      </c>
      <c r="O1512" s="19" t="n">
        <v>0.865673741917516</v>
      </c>
      <c r="P1512" s="19" t="n">
        <v>0.359745585866122</v>
      </c>
      <c r="Q1512" s="17" t="s">
        <v>30</v>
      </c>
      <c r="R1512" s="5" t="str">
        <f aca="false">IF(OR(Q1512="Steel plate",Q1512="Concrete jacket"),"Steel plate or jacket",Q1512)</f>
        <v>Seal cracks</v>
      </c>
      <c r="S1512" s="5" t="str">
        <f aca="false">IF(O1512&lt;='Tree rules'!$C$4,IF(N1512&lt;='Tree rules'!$C$5,IF(P1512&lt;='Tree rules'!$C$6,"Monitor","Polymer laminate"),IF(P1512&lt;='Tree rules'!$C$7,"Seal cracks","Polymer laminate")),IF(O1512&lt;='Tree rules'!$C$8,IF(M1512&lt;='Tree rules'!$C$9,"Steel plate or jacket","Polymer laminate"),IF(L1512&lt;='Tree rules'!$C$10,"Steel plate or jacket","Polymer laminate")))</f>
        <v>Seal cracks</v>
      </c>
      <c r="T1512" s="5" t="str">
        <f aca="false">IF(S1512=R1512,"Yes","No")</f>
        <v>Yes</v>
      </c>
    </row>
    <row r="1513" customFormat="false" ht="15" hidden="false" customHeight="false" outlineLevel="0" collapsed="false">
      <c r="A1513" s="15" t="n">
        <v>2157</v>
      </c>
      <c r="B1513" s="16" t="n">
        <v>3.75993102405311</v>
      </c>
      <c r="C1513" s="15" t="n">
        <v>230</v>
      </c>
      <c r="D1513" s="15" t="n">
        <v>325</v>
      </c>
      <c r="E1513" s="15" t="n">
        <v>25</v>
      </c>
      <c r="F1513" s="16" t="n">
        <v>0.699968036696473</v>
      </c>
      <c r="G1513" s="17" t="s">
        <v>89</v>
      </c>
      <c r="H1513" s="18" t="n">
        <v>0.3</v>
      </c>
      <c r="I1513" s="18" t="n">
        <v>1</v>
      </c>
      <c r="J1513" s="19" t="n">
        <v>0.903933189304627</v>
      </c>
      <c r="K1513" s="19" t="n">
        <v>0.414000067598947</v>
      </c>
      <c r="L1513" s="16" t="n">
        <v>13.3805374521463</v>
      </c>
      <c r="M1513" s="19" t="n">
        <v>0.765135801578768</v>
      </c>
      <c r="N1513" s="19" t="n">
        <v>0.575189012917628</v>
      </c>
      <c r="O1513" s="19" t="n">
        <v>0.903933189304627</v>
      </c>
      <c r="P1513" s="19" t="n">
        <v>0.39112981628805</v>
      </c>
      <c r="Q1513" s="17" t="s">
        <v>29</v>
      </c>
      <c r="R1513" s="5" t="str">
        <f aca="false">IF(OR(Q1513="Steel plate",Q1513="Concrete jacket"),"Steel plate or jacket",Q1513)</f>
        <v>Monitor</v>
      </c>
      <c r="S1513" s="5" t="str">
        <f aca="false">IF(O1513&lt;='Tree rules'!$C$4,IF(N1513&lt;='Tree rules'!$C$5,IF(P1513&lt;='Tree rules'!$C$6,"Monitor","Polymer laminate"),IF(P1513&lt;='Tree rules'!$C$7,"Seal cracks","Polymer laminate")),IF(O1513&lt;='Tree rules'!$C$8,IF(M1513&lt;='Tree rules'!$C$9,"Steel plate or jacket","Polymer laminate"),IF(L1513&lt;='Tree rules'!$C$10,"Steel plate or jacket","Polymer laminate")))</f>
        <v>Monitor</v>
      </c>
      <c r="T1513" s="5" t="str">
        <f aca="false">IF(S1513=R1513,"Yes","No")</f>
        <v>Yes</v>
      </c>
    </row>
    <row r="1514" customFormat="false" ht="15" hidden="false" customHeight="false" outlineLevel="0" collapsed="false">
      <c r="A1514" s="15" t="n">
        <v>2158</v>
      </c>
      <c r="B1514" s="16" t="n">
        <v>4.73176385890716</v>
      </c>
      <c r="C1514" s="15" t="n">
        <v>300</v>
      </c>
      <c r="D1514" s="15" t="n">
        <v>400</v>
      </c>
      <c r="E1514" s="15" t="n">
        <v>25</v>
      </c>
      <c r="F1514" s="16" t="n">
        <v>0.757295404255167</v>
      </c>
      <c r="G1514" s="17" t="s">
        <v>91</v>
      </c>
      <c r="H1514" s="18" t="n">
        <v>0.2</v>
      </c>
      <c r="I1514" s="18" t="n">
        <v>1</v>
      </c>
      <c r="J1514" s="19" t="n">
        <v>0.889444020542337</v>
      </c>
      <c r="K1514" s="19" t="n">
        <v>0.581838857225532</v>
      </c>
      <c r="L1514" s="16" t="n">
        <v>13.3665645731841</v>
      </c>
      <c r="M1514" s="19" t="n">
        <v>0.648924328443786</v>
      </c>
      <c r="N1514" s="19" t="n">
        <v>0.94150803175997</v>
      </c>
      <c r="O1514" s="19" t="n">
        <v>0.889444020542337</v>
      </c>
      <c r="P1514" s="19" t="n">
        <v>0.593450782536528</v>
      </c>
      <c r="Q1514" s="17" t="s">
        <v>29</v>
      </c>
      <c r="R1514" s="5" t="str">
        <f aca="false">IF(OR(Q1514="Steel plate",Q1514="Concrete jacket"),"Steel plate or jacket",Q1514)</f>
        <v>Monitor</v>
      </c>
      <c r="S1514" s="5" t="str">
        <f aca="false">IF(O1514&lt;='Tree rules'!$C$4,IF(N1514&lt;='Tree rules'!$C$5,IF(P1514&lt;='Tree rules'!$C$6,"Monitor","Polymer laminate"),IF(P1514&lt;='Tree rules'!$C$7,"Seal cracks","Polymer laminate")),IF(O1514&lt;='Tree rules'!$C$8,IF(M1514&lt;='Tree rules'!$C$9,"Steel plate or jacket","Polymer laminate"),IF(L1514&lt;='Tree rules'!$C$10,"Steel plate or jacket","Polymer laminate")))</f>
        <v>Monitor</v>
      </c>
      <c r="T1514" s="5" t="str">
        <f aca="false">IF(S1514=R1514,"Yes","No")</f>
        <v>Yes</v>
      </c>
    </row>
    <row r="1515" customFormat="false" ht="15" hidden="false" customHeight="false" outlineLevel="0" collapsed="false">
      <c r="A1515" s="15" t="n">
        <v>2159</v>
      </c>
      <c r="B1515" s="16" t="n">
        <v>4.28353006255121</v>
      </c>
      <c r="C1515" s="15" t="n">
        <v>230</v>
      </c>
      <c r="D1515" s="15" t="n">
        <v>425</v>
      </c>
      <c r="E1515" s="15" t="n">
        <v>30</v>
      </c>
      <c r="F1515" s="16" t="n">
        <v>0.724620609754306</v>
      </c>
      <c r="G1515" s="17" t="s">
        <v>91</v>
      </c>
      <c r="H1515" s="18" t="n">
        <v>0.2</v>
      </c>
      <c r="I1515" s="18" t="n">
        <v>1.5</v>
      </c>
      <c r="J1515" s="19" t="n">
        <v>0.904034904547967</v>
      </c>
      <c r="K1515" s="19" t="n">
        <v>0.637571388728609</v>
      </c>
      <c r="L1515" s="16" t="n">
        <v>11.3621487070324</v>
      </c>
      <c r="M1515" s="19" t="n">
        <v>0.94448052684901</v>
      </c>
      <c r="N1515" s="19" t="n">
        <v>1.41303900153015</v>
      </c>
      <c r="O1515" s="19" t="n">
        <v>1.06785896204606</v>
      </c>
      <c r="P1515" s="19" t="n">
        <v>0.374118213933499</v>
      </c>
      <c r="Q1515" s="17" t="s">
        <v>31</v>
      </c>
      <c r="R1515" s="5" t="str">
        <f aca="false">IF(OR(Q1515="Steel plate",Q1515="Concrete jacket"),"Steel plate or jacket",Q1515)</f>
        <v>Polymer laminate</v>
      </c>
      <c r="S1515" s="5" t="str">
        <f aca="false">IF(O1515&lt;='Tree rules'!$C$4,IF(N1515&lt;='Tree rules'!$C$5,IF(P1515&lt;='Tree rules'!$C$6,"Monitor","Polymer laminate"),IF(P1515&lt;='Tree rules'!$C$7,"Seal cracks","Polymer laminate")),IF(O1515&lt;='Tree rules'!$C$8,IF(M1515&lt;='Tree rules'!$C$9,"Steel plate or jacket","Polymer laminate"),IF(L1515&lt;='Tree rules'!$C$10,"Steel plate or jacket","Polymer laminate")))</f>
        <v>Polymer laminate</v>
      </c>
      <c r="T1515" s="5" t="str">
        <f aca="false">IF(S1515=R1515,"Yes","No")</f>
        <v>Yes</v>
      </c>
    </row>
    <row r="1516" customFormat="false" ht="15" hidden="false" customHeight="false" outlineLevel="0" collapsed="false">
      <c r="A1516" s="15" t="n">
        <v>2161</v>
      </c>
      <c r="B1516" s="16" t="n">
        <v>4.50999611617031</v>
      </c>
      <c r="C1516" s="15" t="n">
        <v>230</v>
      </c>
      <c r="D1516" s="15" t="n">
        <v>400</v>
      </c>
      <c r="E1516" s="15" t="n">
        <v>30</v>
      </c>
      <c r="F1516" s="16" t="n">
        <v>0.776085141697083</v>
      </c>
      <c r="G1516" s="17" t="s">
        <v>89</v>
      </c>
      <c r="H1516" s="18" t="n">
        <v>0.3</v>
      </c>
      <c r="I1516" s="18" t="n">
        <v>1.5</v>
      </c>
      <c r="J1516" s="19" t="n">
        <v>0.939536614173776</v>
      </c>
      <c r="K1516" s="19" t="n">
        <v>0.468035365953374</v>
      </c>
      <c r="L1516" s="16" t="n">
        <v>12.8124889663929</v>
      </c>
      <c r="M1516" s="19" t="n">
        <v>0.590019932081082</v>
      </c>
      <c r="N1516" s="19" t="n">
        <v>1.13304062932017</v>
      </c>
      <c r="O1516" s="19" t="n">
        <v>1.18943673973996</v>
      </c>
      <c r="P1516" s="19" t="n">
        <v>0.638147429392922</v>
      </c>
      <c r="Q1516" s="17" t="s">
        <v>31</v>
      </c>
      <c r="R1516" s="5" t="str">
        <f aca="false">IF(OR(Q1516="Steel plate",Q1516="Concrete jacket"),"Steel plate or jacket",Q1516)</f>
        <v>Polymer laminate</v>
      </c>
      <c r="S1516" s="5" t="str">
        <f aca="false">IF(O1516&lt;='Tree rules'!$C$4,IF(N1516&lt;='Tree rules'!$C$5,IF(P1516&lt;='Tree rules'!$C$6,"Monitor","Polymer laminate"),IF(P1516&lt;='Tree rules'!$C$7,"Seal cracks","Polymer laminate")),IF(O1516&lt;='Tree rules'!$C$8,IF(M1516&lt;='Tree rules'!$C$9,"Steel plate or jacket","Polymer laminate"),IF(L1516&lt;='Tree rules'!$C$10,"Steel plate or jacket","Polymer laminate")))</f>
        <v>Polymer laminate</v>
      </c>
      <c r="T1516" s="5" t="str">
        <f aca="false">IF(S1516=R1516,"Yes","No")</f>
        <v>Yes</v>
      </c>
    </row>
    <row r="1517" customFormat="false" ht="15" hidden="false" customHeight="false" outlineLevel="0" collapsed="false">
      <c r="A1517" s="15" t="n">
        <v>2162</v>
      </c>
      <c r="B1517" s="16" t="n">
        <v>3.34225699748313</v>
      </c>
      <c r="C1517" s="15" t="n">
        <v>300</v>
      </c>
      <c r="D1517" s="15" t="n">
        <v>300</v>
      </c>
      <c r="E1517" s="15" t="n">
        <v>25</v>
      </c>
      <c r="F1517" s="16" t="n">
        <v>0.736310778185108</v>
      </c>
      <c r="G1517" s="17" t="s">
        <v>89</v>
      </c>
      <c r="H1517" s="18" t="n">
        <v>0.3</v>
      </c>
      <c r="I1517" s="18" t="n">
        <v>1</v>
      </c>
      <c r="J1517" s="19" t="n">
        <v>0.915803589933198</v>
      </c>
      <c r="K1517" s="19" t="n">
        <v>0.6404512206441</v>
      </c>
      <c r="L1517" s="16" t="n">
        <v>13.0556913964185</v>
      </c>
      <c r="M1517" s="19" t="n">
        <v>0.280466027523144</v>
      </c>
      <c r="N1517" s="19" t="n">
        <v>0.673278453933643</v>
      </c>
      <c r="O1517" s="19" t="n">
        <v>0.915803589933198</v>
      </c>
      <c r="P1517" s="19" t="n">
        <v>1.19782752284261</v>
      </c>
      <c r="Q1517" s="17" t="s">
        <v>31</v>
      </c>
      <c r="R1517" s="5" t="str">
        <f aca="false">IF(OR(Q1517="Steel plate",Q1517="Concrete jacket"),"Steel plate or jacket",Q1517)</f>
        <v>Polymer laminate</v>
      </c>
      <c r="S1517" s="5" t="str">
        <f aca="false">IF(O1517&lt;='Tree rules'!$C$4,IF(N1517&lt;='Tree rules'!$C$5,IF(P1517&lt;='Tree rules'!$C$6,"Monitor","Polymer laminate"),IF(P1517&lt;='Tree rules'!$C$7,"Seal cracks","Polymer laminate")),IF(O1517&lt;='Tree rules'!$C$8,IF(M1517&lt;='Tree rules'!$C$9,"Steel plate or jacket","Polymer laminate"),IF(L1517&lt;='Tree rules'!$C$10,"Steel plate or jacket","Polymer laminate")))</f>
        <v>Polymer laminate</v>
      </c>
      <c r="T1517" s="5" t="str">
        <f aca="false">IF(S1517=R1517,"Yes","No")</f>
        <v>Yes</v>
      </c>
    </row>
    <row r="1518" customFormat="false" ht="15" hidden="false" customHeight="false" outlineLevel="0" collapsed="false">
      <c r="A1518" s="15" t="n">
        <v>2164</v>
      </c>
      <c r="B1518" s="16" t="n">
        <v>6.27610743291718</v>
      </c>
      <c r="C1518" s="15" t="n">
        <v>300</v>
      </c>
      <c r="D1518" s="15" t="n">
        <v>500</v>
      </c>
      <c r="E1518" s="15" t="n">
        <v>25</v>
      </c>
      <c r="F1518" s="16" t="n">
        <v>0.590490249132883</v>
      </c>
      <c r="G1518" s="17" t="s">
        <v>91</v>
      </c>
      <c r="H1518" s="18" t="n">
        <v>0.2</v>
      </c>
      <c r="I1518" s="18" t="n">
        <v>2</v>
      </c>
      <c r="J1518" s="19" t="n">
        <v>0.949932949576098</v>
      </c>
      <c r="K1518" s="19" t="n">
        <v>0.489943049413309</v>
      </c>
      <c r="L1518" s="16" t="n">
        <v>13.824025182637</v>
      </c>
      <c r="M1518" s="19" t="n">
        <v>0.616339271198071</v>
      </c>
      <c r="N1518" s="19" t="n">
        <v>1.54564040287913</v>
      </c>
      <c r="O1518" s="19" t="n">
        <v>1.4344528530987</v>
      </c>
      <c r="P1518" s="19" t="n">
        <v>0.702898436088755</v>
      </c>
      <c r="Q1518" s="17" t="s">
        <v>31</v>
      </c>
      <c r="R1518" s="5" t="str">
        <f aca="false">IF(OR(Q1518="Steel plate",Q1518="Concrete jacket"),"Steel plate or jacket",Q1518)</f>
        <v>Polymer laminate</v>
      </c>
      <c r="S1518" s="5" t="str">
        <f aca="false">IF(O1518&lt;='Tree rules'!$C$4,IF(N1518&lt;='Tree rules'!$C$5,IF(P1518&lt;='Tree rules'!$C$6,"Monitor","Polymer laminate"),IF(P1518&lt;='Tree rules'!$C$7,"Seal cracks","Polymer laminate")),IF(O1518&lt;='Tree rules'!$C$8,IF(M1518&lt;='Tree rules'!$C$9,"Steel plate or jacket","Polymer laminate"),IF(L1518&lt;='Tree rules'!$C$10,"Steel plate or jacket","Polymer laminate")))</f>
        <v>Polymer laminate</v>
      </c>
      <c r="T1518" s="5" t="str">
        <f aca="false">IF(S1518=R1518,"Yes","No")</f>
        <v>Yes</v>
      </c>
    </row>
    <row r="1519" customFormat="false" ht="15" hidden="false" customHeight="false" outlineLevel="0" collapsed="false">
      <c r="A1519" s="15" t="n">
        <v>2165</v>
      </c>
      <c r="B1519" s="16" t="n">
        <v>3.6678595762306</v>
      </c>
      <c r="C1519" s="15" t="n">
        <v>300</v>
      </c>
      <c r="D1519" s="15" t="n">
        <v>325</v>
      </c>
      <c r="E1519" s="15" t="n">
        <v>25</v>
      </c>
      <c r="F1519" s="16" t="n">
        <v>0.756099314943392</v>
      </c>
      <c r="G1519" s="17" t="s">
        <v>89</v>
      </c>
      <c r="H1519" s="18" t="n">
        <v>0.3</v>
      </c>
      <c r="I1519" s="18" t="n">
        <v>1</v>
      </c>
      <c r="J1519" s="19" t="n">
        <v>0.88168413734805</v>
      </c>
      <c r="K1519" s="19" t="n">
        <v>0.453314323668356</v>
      </c>
      <c r="L1519" s="16" t="n">
        <v>13.2413703113018</v>
      </c>
      <c r="M1519" s="19" t="n">
        <v>0.943830801964205</v>
      </c>
      <c r="N1519" s="19" t="n">
        <v>0.874754912737438</v>
      </c>
      <c r="O1519" s="19" t="n">
        <v>0.88168413734805</v>
      </c>
      <c r="P1519" s="19" t="n">
        <v>0.340730940442023</v>
      </c>
      <c r="Q1519" s="17" t="s">
        <v>29</v>
      </c>
      <c r="R1519" s="5" t="str">
        <f aca="false">IF(OR(Q1519="Steel plate",Q1519="Concrete jacket"),"Steel plate or jacket",Q1519)</f>
        <v>Monitor</v>
      </c>
      <c r="S1519" s="5" t="str">
        <f aca="false">IF(O1519&lt;='Tree rules'!$C$4,IF(N1519&lt;='Tree rules'!$C$5,IF(P1519&lt;='Tree rules'!$C$6,"Monitor","Polymer laminate"),IF(P1519&lt;='Tree rules'!$C$7,"Seal cracks","Polymer laminate")),IF(O1519&lt;='Tree rules'!$C$8,IF(M1519&lt;='Tree rules'!$C$9,"Steel plate or jacket","Polymer laminate"),IF(L1519&lt;='Tree rules'!$C$10,"Steel plate or jacket","Polymer laminate")))</f>
        <v>Monitor</v>
      </c>
      <c r="T1519" s="5" t="str">
        <f aca="false">IF(S1519=R1519,"Yes","No")</f>
        <v>Yes</v>
      </c>
    </row>
    <row r="1520" customFormat="false" ht="15" hidden="false" customHeight="false" outlineLevel="0" collapsed="false">
      <c r="A1520" s="15" t="n">
        <v>2166</v>
      </c>
      <c r="B1520" s="16" t="n">
        <v>3.68661492477679</v>
      </c>
      <c r="C1520" s="15" t="n">
        <v>300</v>
      </c>
      <c r="D1520" s="15" t="n">
        <v>350</v>
      </c>
      <c r="E1520" s="15" t="n">
        <v>25</v>
      </c>
      <c r="F1520" s="16" t="n">
        <v>0.61599855952741</v>
      </c>
      <c r="G1520" s="17" t="s">
        <v>89</v>
      </c>
      <c r="H1520" s="18" t="n">
        <v>0.3</v>
      </c>
      <c r="I1520" s="18" t="n">
        <v>2</v>
      </c>
      <c r="J1520" s="19" t="n">
        <v>0.896323688174398</v>
      </c>
      <c r="K1520" s="19" t="n">
        <v>0.464069158908276</v>
      </c>
      <c r="L1520" s="16" t="n">
        <v>12.047761192081</v>
      </c>
      <c r="M1520" s="19" t="n">
        <v>0.759707418252066</v>
      </c>
      <c r="N1520" s="19" t="n">
        <v>0.918622379031253</v>
      </c>
      <c r="O1520" s="19" t="n">
        <v>1.37669119626814</v>
      </c>
      <c r="P1520" s="19" t="n">
        <v>0.439480599843453</v>
      </c>
      <c r="Q1520" s="17" t="s">
        <v>31</v>
      </c>
      <c r="R1520" s="5" t="str">
        <f aca="false">IF(OR(Q1520="Steel plate",Q1520="Concrete jacket"),"Steel plate or jacket",Q1520)</f>
        <v>Polymer laminate</v>
      </c>
      <c r="S1520" s="5" t="str">
        <f aca="false">IF(O1520&lt;='Tree rules'!$C$4,IF(N1520&lt;='Tree rules'!$C$5,IF(P1520&lt;='Tree rules'!$C$6,"Monitor","Polymer laminate"),IF(P1520&lt;='Tree rules'!$C$7,"Seal cracks","Polymer laminate")),IF(O1520&lt;='Tree rules'!$C$8,IF(M1520&lt;='Tree rules'!$C$9,"Steel plate or jacket","Polymer laminate"),IF(L1520&lt;='Tree rules'!$C$10,"Steel plate or jacket","Polymer laminate")))</f>
        <v>Steel plate or jacket</v>
      </c>
      <c r="T1520" s="5" t="str">
        <f aca="false">IF(S1520=R1520,"Yes","No")</f>
        <v>No</v>
      </c>
    </row>
    <row r="1521" customFormat="false" ht="15" hidden="false" customHeight="false" outlineLevel="0" collapsed="false">
      <c r="A1521" s="15" t="n">
        <v>2167</v>
      </c>
      <c r="B1521" s="16" t="n">
        <v>6.94542176078388</v>
      </c>
      <c r="C1521" s="15" t="n">
        <v>300</v>
      </c>
      <c r="D1521" s="15" t="n">
        <v>625</v>
      </c>
      <c r="E1521" s="15" t="n">
        <v>25</v>
      </c>
      <c r="F1521" s="16" t="n">
        <v>0.694514438099298</v>
      </c>
      <c r="G1521" s="17" t="s">
        <v>89</v>
      </c>
      <c r="H1521" s="18" t="n">
        <v>0.3</v>
      </c>
      <c r="I1521" s="18" t="n">
        <v>1</v>
      </c>
      <c r="J1521" s="19" t="n">
        <v>0.861941605831859</v>
      </c>
      <c r="K1521" s="19" t="n">
        <v>0.550985434825516</v>
      </c>
      <c r="L1521" s="16" t="n">
        <v>11.9955470825283</v>
      </c>
      <c r="M1521" s="19" t="n">
        <v>0.721279294142094</v>
      </c>
      <c r="N1521" s="19" t="n">
        <v>0.507806739660566</v>
      </c>
      <c r="O1521" s="19" t="n">
        <v>0.861941605831859</v>
      </c>
      <c r="P1521" s="19" t="n">
        <v>0.485529872666147</v>
      </c>
      <c r="Q1521" s="17" t="s">
        <v>29</v>
      </c>
      <c r="R1521" s="5" t="str">
        <f aca="false">IF(OR(Q1521="Steel plate",Q1521="Concrete jacket"),"Steel plate or jacket",Q1521)</f>
        <v>Monitor</v>
      </c>
      <c r="S1521" s="5" t="str">
        <f aca="false">IF(O1521&lt;='Tree rules'!$C$4,IF(N1521&lt;='Tree rules'!$C$5,IF(P1521&lt;='Tree rules'!$C$6,"Monitor","Polymer laminate"),IF(P1521&lt;='Tree rules'!$C$7,"Seal cracks","Polymer laminate")),IF(O1521&lt;='Tree rules'!$C$8,IF(M1521&lt;='Tree rules'!$C$9,"Steel plate or jacket","Polymer laminate"),IF(L1521&lt;='Tree rules'!$C$10,"Steel plate or jacket","Polymer laminate")))</f>
        <v>Monitor</v>
      </c>
      <c r="T1521" s="5" t="str">
        <f aca="false">IF(S1521=R1521,"Yes","No")</f>
        <v>Yes</v>
      </c>
    </row>
    <row r="1522" customFormat="false" ht="15" hidden="false" customHeight="false" outlineLevel="0" collapsed="false">
      <c r="A1522" s="15" t="n">
        <v>2168</v>
      </c>
      <c r="B1522" s="16" t="n">
        <v>6.17633172507093</v>
      </c>
      <c r="C1522" s="15" t="n">
        <v>230</v>
      </c>
      <c r="D1522" s="15" t="n">
        <v>500</v>
      </c>
      <c r="E1522" s="15" t="n">
        <v>30</v>
      </c>
      <c r="F1522" s="16" t="n">
        <v>0.597391095859404</v>
      </c>
      <c r="G1522" s="17" t="s">
        <v>90</v>
      </c>
      <c r="H1522" s="18" t="n">
        <v>0.1</v>
      </c>
      <c r="I1522" s="18" t="n">
        <v>2</v>
      </c>
      <c r="J1522" s="19" t="n">
        <v>0.991994518492746</v>
      </c>
      <c r="K1522" s="19" t="n">
        <v>0.635690761729851</v>
      </c>
      <c r="L1522" s="16" t="n">
        <v>14.0690927678153</v>
      </c>
      <c r="M1522" s="19" t="n">
        <v>0.889061158606713</v>
      </c>
      <c r="N1522" s="19" t="n">
        <v>3.50250812900913</v>
      </c>
      <c r="O1522" s="19" t="n">
        <v>1.353387285893</v>
      </c>
      <c r="P1522" s="19" t="n">
        <v>0.471755551275018</v>
      </c>
      <c r="Q1522" s="17" t="s">
        <v>31</v>
      </c>
      <c r="R1522" s="5" t="str">
        <f aca="false">IF(OR(Q1522="Steel plate",Q1522="Concrete jacket"),"Steel plate or jacket",Q1522)</f>
        <v>Polymer laminate</v>
      </c>
      <c r="S1522" s="5" t="str">
        <f aca="false">IF(O1522&lt;='Tree rules'!$C$4,IF(N1522&lt;='Tree rules'!$C$5,IF(P1522&lt;='Tree rules'!$C$6,"Monitor","Polymer laminate"),IF(P1522&lt;='Tree rules'!$C$7,"Seal cracks","Polymer laminate")),IF(O1522&lt;='Tree rules'!$C$8,IF(M1522&lt;='Tree rules'!$C$9,"Steel plate or jacket","Polymer laminate"),IF(L1522&lt;='Tree rules'!$C$10,"Steel plate or jacket","Polymer laminate")))</f>
        <v>Polymer laminate</v>
      </c>
      <c r="T1522" s="5" t="str">
        <f aca="false">IF(S1522=R1522,"Yes","No")</f>
        <v>Yes</v>
      </c>
    </row>
    <row r="1523" customFormat="false" ht="15" hidden="false" customHeight="false" outlineLevel="0" collapsed="false">
      <c r="A1523" s="15" t="n">
        <v>2169</v>
      </c>
      <c r="B1523" s="16" t="n">
        <v>5.94460960043375</v>
      </c>
      <c r="C1523" s="15" t="n">
        <v>230</v>
      </c>
      <c r="D1523" s="15" t="n">
        <v>475</v>
      </c>
      <c r="E1523" s="15" t="n">
        <v>30</v>
      </c>
      <c r="F1523" s="16" t="n">
        <v>0.639770421258486</v>
      </c>
      <c r="G1523" s="17" t="s">
        <v>91</v>
      </c>
      <c r="H1523" s="18" t="n">
        <v>0.2</v>
      </c>
      <c r="I1523" s="18" t="n">
        <v>2</v>
      </c>
      <c r="J1523" s="19" t="n">
        <v>0.923880269452191</v>
      </c>
      <c r="K1523" s="19" t="n">
        <v>0.56058781897863</v>
      </c>
      <c r="L1523" s="16" t="n">
        <v>13.9218023429362</v>
      </c>
      <c r="M1523" s="19" t="n">
        <v>0.733042103789271</v>
      </c>
      <c r="N1523" s="19" t="n">
        <v>1.86700686019566</v>
      </c>
      <c r="O1523" s="19" t="n">
        <v>1.32984451365479</v>
      </c>
      <c r="P1523" s="19" t="n">
        <v>0.579918166424627</v>
      </c>
      <c r="Q1523" s="17" t="s">
        <v>31</v>
      </c>
      <c r="R1523" s="5" t="str">
        <f aca="false">IF(OR(Q1523="Steel plate",Q1523="Concrete jacket"),"Steel plate or jacket",Q1523)</f>
        <v>Polymer laminate</v>
      </c>
      <c r="S1523" s="5" t="str">
        <f aca="false">IF(O1523&lt;='Tree rules'!$C$4,IF(N1523&lt;='Tree rules'!$C$5,IF(P1523&lt;='Tree rules'!$C$6,"Monitor","Polymer laminate"),IF(P1523&lt;='Tree rules'!$C$7,"Seal cracks","Polymer laminate")),IF(O1523&lt;='Tree rules'!$C$8,IF(M1523&lt;='Tree rules'!$C$9,"Steel plate or jacket","Polymer laminate"),IF(L1523&lt;='Tree rules'!$C$10,"Steel plate or jacket","Polymer laminate")))</f>
        <v>Polymer laminate</v>
      </c>
      <c r="T1523" s="5" t="str">
        <f aca="false">IF(S1523=R1523,"Yes","No")</f>
        <v>Yes</v>
      </c>
    </row>
    <row r="1524" customFormat="false" ht="15" hidden="false" customHeight="false" outlineLevel="0" collapsed="false">
      <c r="A1524" s="15" t="n">
        <v>2172</v>
      </c>
      <c r="B1524" s="16" t="n">
        <v>3.7421712028536</v>
      </c>
      <c r="C1524" s="15" t="n">
        <v>230</v>
      </c>
      <c r="D1524" s="15" t="n">
        <v>375</v>
      </c>
      <c r="E1524" s="15" t="n">
        <v>25</v>
      </c>
      <c r="F1524" s="16" t="n">
        <v>0.835418868126524</v>
      </c>
      <c r="G1524" s="17" t="s">
        <v>91</v>
      </c>
      <c r="H1524" s="18" t="n">
        <v>0.2</v>
      </c>
      <c r="I1524" s="18" t="n">
        <v>1</v>
      </c>
      <c r="J1524" s="19" t="n">
        <v>0.942865156047315</v>
      </c>
      <c r="K1524" s="19" t="n">
        <v>0.607590467433316</v>
      </c>
      <c r="L1524" s="16" t="n">
        <v>11.4439486325798</v>
      </c>
      <c r="M1524" s="19" t="n">
        <v>0.45373612834435</v>
      </c>
      <c r="N1524" s="19" t="n">
        <v>1.35122415896941</v>
      </c>
      <c r="O1524" s="19" t="n">
        <v>0.942865156047315</v>
      </c>
      <c r="P1524" s="19" t="n">
        <v>0.78804587751562</v>
      </c>
      <c r="Q1524" s="17" t="s">
        <v>30</v>
      </c>
      <c r="R1524" s="5" t="str">
        <f aca="false">IF(OR(Q1524="Steel plate",Q1524="Concrete jacket"),"Steel plate or jacket",Q1524)</f>
        <v>Seal cracks</v>
      </c>
      <c r="S1524" s="5" t="str">
        <f aca="false">IF(O1524&lt;='Tree rules'!$C$4,IF(N1524&lt;='Tree rules'!$C$5,IF(P1524&lt;='Tree rules'!$C$6,"Monitor","Polymer laminate"),IF(P1524&lt;='Tree rules'!$C$7,"Seal cracks","Polymer laminate")),IF(O1524&lt;='Tree rules'!$C$8,IF(M1524&lt;='Tree rules'!$C$9,"Steel plate or jacket","Polymer laminate"),IF(L1524&lt;='Tree rules'!$C$10,"Steel plate or jacket","Polymer laminate")))</f>
        <v>Seal cracks</v>
      </c>
      <c r="T1524" s="5" t="str">
        <f aca="false">IF(S1524=R1524,"Yes","No")</f>
        <v>Yes</v>
      </c>
    </row>
    <row r="1525" customFormat="false" ht="15" hidden="false" customHeight="false" outlineLevel="0" collapsed="false">
      <c r="A1525" s="15" t="n">
        <v>2175</v>
      </c>
      <c r="B1525" s="16" t="n">
        <v>4.78609184134418</v>
      </c>
      <c r="C1525" s="15" t="n">
        <v>300</v>
      </c>
      <c r="D1525" s="15" t="n">
        <v>475</v>
      </c>
      <c r="E1525" s="15" t="n">
        <v>25</v>
      </c>
      <c r="F1525" s="16" t="n">
        <v>0.937351654217934</v>
      </c>
      <c r="G1525" s="17" t="s">
        <v>89</v>
      </c>
      <c r="H1525" s="18" t="n">
        <v>0.3</v>
      </c>
      <c r="I1525" s="18" t="n">
        <v>1</v>
      </c>
      <c r="J1525" s="19" t="n">
        <v>0.889848709737714</v>
      </c>
      <c r="K1525" s="19" t="n">
        <v>0.547886601943416</v>
      </c>
      <c r="L1525" s="16" t="n">
        <v>11.1563912385645</v>
      </c>
      <c r="M1525" s="19" t="n">
        <v>0.763769468872428</v>
      </c>
      <c r="N1525" s="19" t="n">
        <v>0.53763802547089</v>
      </c>
      <c r="O1525" s="19" t="n">
        <v>0.889848709737714</v>
      </c>
      <c r="P1525" s="19" t="n">
        <v>0.515266417608759</v>
      </c>
      <c r="Q1525" s="17" t="s">
        <v>29</v>
      </c>
      <c r="R1525" s="5" t="str">
        <f aca="false">IF(OR(Q1525="Steel plate",Q1525="Concrete jacket"),"Steel plate or jacket",Q1525)</f>
        <v>Monitor</v>
      </c>
      <c r="S1525" s="5" t="str">
        <f aca="false">IF(O1525&lt;='Tree rules'!$C$4,IF(N1525&lt;='Tree rules'!$C$5,IF(P1525&lt;='Tree rules'!$C$6,"Monitor","Polymer laminate"),IF(P1525&lt;='Tree rules'!$C$7,"Seal cracks","Polymer laminate")),IF(O1525&lt;='Tree rules'!$C$8,IF(M1525&lt;='Tree rules'!$C$9,"Steel plate or jacket","Polymer laminate"),IF(L1525&lt;='Tree rules'!$C$10,"Steel plate or jacket","Polymer laminate")))</f>
        <v>Monitor</v>
      </c>
      <c r="T1525" s="5" t="str">
        <f aca="false">IF(S1525=R1525,"Yes","No")</f>
        <v>Yes</v>
      </c>
    </row>
    <row r="1526" customFormat="false" ht="15" hidden="false" customHeight="false" outlineLevel="0" collapsed="false">
      <c r="A1526" s="15" t="n">
        <v>2176</v>
      </c>
      <c r="B1526" s="16" t="n">
        <v>3.88638271809159</v>
      </c>
      <c r="C1526" s="15" t="n">
        <v>230</v>
      </c>
      <c r="D1526" s="15" t="n">
        <v>300</v>
      </c>
      <c r="E1526" s="15" t="n">
        <v>25</v>
      </c>
      <c r="F1526" s="16" t="n">
        <v>0.688332522525665</v>
      </c>
      <c r="G1526" s="17" t="s">
        <v>91</v>
      </c>
      <c r="H1526" s="18" t="n">
        <v>0.2</v>
      </c>
      <c r="I1526" s="18" t="n">
        <v>1</v>
      </c>
      <c r="J1526" s="19" t="n">
        <v>0.924975176663767</v>
      </c>
      <c r="K1526" s="19" t="n">
        <v>0.487847564899624</v>
      </c>
      <c r="L1526" s="16" t="n">
        <v>15.3007193625653</v>
      </c>
      <c r="M1526" s="19" t="n">
        <v>0.905413825363365</v>
      </c>
      <c r="N1526" s="19" t="n">
        <v>1.17245239197142</v>
      </c>
      <c r="O1526" s="19" t="n">
        <v>0.924975176663767</v>
      </c>
      <c r="P1526" s="19" t="n">
        <v>0.386408662408171</v>
      </c>
      <c r="Q1526" s="17" t="s">
        <v>30</v>
      </c>
      <c r="R1526" s="5" t="str">
        <f aca="false">IF(OR(Q1526="Steel plate",Q1526="Concrete jacket"),"Steel plate or jacket",Q1526)</f>
        <v>Seal cracks</v>
      </c>
      <c r="S1526" s="5" t="str">
        <f aca="false">IF(O1526&lt;='Tree rules'!$C$4,IF(N1526&lt;='Tree rules'!$C$5,IF(P1526&lt;='Tree rules'!$C$6,"Monitor","Polymer laminate"),IF(P1526&lt;='Tree rules'!$C$7,"Seal cracks","Polymer laminate")),IF(O1526&lt;='Tree rules'!$C$8,IF(M1526&lt;='Tree rules'!$C$9,"Steel plate or jacket","Polymer laminate"),IF(L1526&lt;='Tree rules'!$C$10,"Steel plate or jacket","Polymer laminate")))</f>
        <v>Seal cracks</v>
      </c>
      <c r="T1526" s="5" t="str">
        <f aca="false">IF(S1526=R1526,"Yes","No")</f>
        <v>Yes</v>
      </c>
    </row>
    <row r="1527" customFormat="false" ht="15" hidden="false" customHeight="false" outlineLevel="0" collapsed="false">
      <c r="A1527" s="15" t="n">
        <v>2177</v>
      </c>
      <c r="B1527" s="16" t="n">
        <v>5.81589368609392</v>
      </c>
      <c r="C1527" s="15" t="n">
        <v>300</v>
      </c>
      <c r="D1527" s="15" t="n">
        <v>525</v>
      </c>
      <c r="E1527" s="15" t="n">
        <v>25</v>
      </c>
      <c r="F1527" s="16" t="n">
        <v>0.55967134260194</v>
      </c>
      <c r="G1527" s="17" t="s">
        <v>91</v>
      </c>
      <c r="H1527" s="18" t="n">
        <v>0.2</v>
      </c>
      <c r="I1527" s="18" t="n">
        <v>2</v>
      </c>
      <c r="J1527" s="19" t="n">
        <v>0.943124007667754</v>
      </c>
      <c r="K1527" s="19" t="n">
        <v>0.497239002226441</v>
      </c>
      <c r="L1527" s="16" t="n">
        <v>12.1417404720124</v>
      </c>
      <c r="M1527" s="19" t="n">
        <v>0.654369846225128</v>
      </c>
      <c r="N1527" s="19" t="n">
        <v>1.50817573978183</v>
      </c>
      <c r="O1527" s="19" t="n">
        <v>1.41728997478699</v>
      </c>
      <c r="P1527" s="19" t="n">
        <v>0.56372722963913</v>
      </c>
      <c r="Q1527" s="17" t="s">
        <v>31</v>
      </c>
      <c r="R1527" s="5" t="str">
        <f aca="false">IF(OR(Q1527="Steel plate",Q1527="Concrete jacket"),"Steel plate or jacket",Q1527)</f>
        <v>Polymer laminate</v>
      </c>
      <c r="S1527" s="5" t="str">
        <f aca="false">IF(O1527&lt;='Tree rules'!$C$4,IF(N1527&lt;='Tree rules'!$C$5,IF(P1527&lt;='Tree rules'!$C$6,"Monitor","Polymer laminate"),IF(P1527&lt;='Tree rules'!$C$7,"Seal cracks","Polymer laminate")),IF(O1527&lt;='Tree rules'!$C$8,IF(M1527&lt;='Tree rules'!$C$9,"Steel plate or jacket","Polymer laminate"),IF(L1527&lt;='Tree rules'!$C$10,"Steel plate or jacket","Polymer laminate")))</f>
        <v>Steel plate or jacket</v>
      </c>
      <c r="T1527" s="5" t="str">
        <f aca="false">IF(S1527=R1527,"Yes","No")</f>
        <v>No</v>
      </c>
    </row>
    <row r="1528" customFormat="false" ht="15" hidden="false" customHeight="false" outlineLevel="0" collapsed="false">
      <c r="A1528" s="15" t="n">
        <v>2178</v>
      </c>
      <c r="B1528" s="16" t="n">
        <v>5.27515177131557</v>
      </c>
      <c r="C1528" s="15" t="n">
        <v>300</v>
      </c>
      <c r="D1528" s="15" t="n">
        <v>475</v>
      </c>
      <c r="E1528" s="15" t="n">
        <v>20</v>
      </c>
      <c r="F1528" s="16" t="n">
        <v>0.735735984447258</v>
      </c>
      <c r="G1528" s="17" t="s">
        <v>89</v>
      </c>
      <c r="H1528" s="18" t="n">
        <v>0.3</v>
      </c>
      <c r="I1528" s="18" t="n">
        <v>1</v>
      </c>
      <c r="J1528" s="19" t="n">
        <v>0.921662573826985</v>
      </c>
      <c r="K1528" s="19" t="n">
        <v>0.402844774892319</v>
      </c>
      <c r="L1528" s="16" t="n">
        <v>12.353985412917</v>
      </c>
      <c r="M1528" s="19" t="n">
        <v>0.575225928788042</v>
      </c>
      <c r="N1528" s="19" t="n">
        <v>0.73884425057541</v>
      </c>
      <c r="O1528" s="19" t="n">
        <v>0.921662573826985</v>
      </c>
      <c r="P1528" s="19" t="n">
        <v>0.594627698892591</v>
      </c>
      <c r="Q1528" s="17" t="s">
        <v>29</v>
      </c>
      <c r="R1528" s="5" t="str">
        <f aca="false">IF(OR(Q1528="Steel plate",Q1528="Concrete jacket"),"Steel plate or jacket",Q1528)</f>
        <v>Monitor</v>
      </c>
      <c r="S1528" s="5" t="str">
        <f aca="false">IF(O1528&lt;='Tree rules'!$C$4,IF(N1528&lt;='Tree rules'!$C$5,IF(P1528&lt;='Tree rules'!$C$6,"Monitor","Polymer laminate"),IF(P1528&lt;='Tree rules'!$C$7,"Seal cracks","Polymer laminate")),IF(O1528&lt;='Tree rules'!$C$8,IF(M1528&lt;='Tree rules'!$C$9,"Steel plate or jacket","Polymer laminate"),IF(L1528&lt;='Tree rules'!$C$10,"Steel plate or jacket","Polymer laminate")))</f>
        <v>Monitor</v>
      </c>
      <c r="T1528" s="5" t="str">
        <f aca="false">IF(S1528=R1528,"Yes","No")</f>
        <v>Yes</v>
      </c>
    </row>
    <row r="1529" customFormat="false" ht="15" hidden="false" customHeight="false" outlineLevel="0" collapsed="false">
      <c r="A1529" s="15" t="n">
        <v>2179</v>
      </c>
      <c r="B1529" s="16" t="n">
        <v>5.05475756244524</v>
      </c>
      <c r="C1529" s="15" t="n">
        <v>230</v>
      </c>
      <c r="D1529" s="15" t="n">
        <v>425</v>
      </c>
      <c r="E1529" s="15" t="n">
        <v>25</v>
      </c>
      <c r="F1529" s="16" t="n">
        <v>0.724620609754306</v>
      </c>
      <c r="G1529" s="17" t="s">
        <v>91</v>
      </c>
      <c r="H1529" s="18" t="n">
        <v>0.2</v>
      </c>
      <c r="I1529" s="18" t="n">
        <v>1.5</v>
      </c>
      <c r="J1529" s="19" t="n">
        <v>0.890569975355337</v>
      </c>
      <c r="K1529" s="19" t="n">
        <v>0.408058645575668</v>
      </c>
      <c r="L1529" s="16" t="n">
        <v>13.4078449932235</v>
      </c>
      <c r="M1529" s="19" t="n">
        <v>0.768144966014011</v>
      </c>
      <c r="N1529" s="19" t="n">
        <v>1.5807233427688</v>
      </c>
      <c r="O1529" s="19" t="n">
        <v>1.15415257406608</v>
      </c>
      <c r="P1529" s="19" t="n">
        <v>0.499355001602922</v>
      </c>
      <c r="Q1529" s="17" t="s">
        <v>31</v>
      </c>
      <c r="R1529" s="5" t="str">
        <f aca="false">IF(OR(Q1529="Steel plate",Q1529="Concrete jacket"),"Steel plate or jacket",Q1529)</f>
        <v>Polymer laminate</v>
      </c>
      <c r="S1529" s="5" t="str">
        <f aca="false">IF(O1529&lt;='Tree rules'!$C$4,IF(N1529&lt;='Tree rules'!$C$5,IF(P1529&lt;='Tree rules'!$C$6,"Monitor","Polymer laminate"),IF(P1529&lt;='Tree rules'!$C$7,"Seal cracks","Polymer laminate")),IF(O1529&lt;='Tree rules'!$C$8,IF(M1529&lt;='Tree rules'!$C$9,"Steel plate or jacket","Polymer laminate"),IF(L1529&lt;='Tree rules'!$C$10,"Steel plate or jacket","Polymer laminate")))</f>
        <v>Polymer laminate</v>
      </c>
      <c r="T1529" s="5" t="str">
        <f aca="false">IF(S1529=R1529,"Yes","No")</f>
        <v>Yes</v>
      </c>
    </row>
    <row r="1530" customFormat="false" ht="15" hidden="false" customHeight="false" outlineLevel="0" collapsed="false">
      <c r="A1530" s="15" t="n">
        <v>2180</v>
      </c>
      <c r="B1530" s="16" t="n">
        <v>6.96909672505688</v>
      </c>
      <c r="C1530" s="15" t="n">
        <v>300</v>
      </c>
      <c r="D1530" s="15" t="n">
        <v>675</v>
      </c>
      <c r="E1530" s="15" t="n">
        <v>25</v>
      </c>
      <c r="F1530" s="16" t="n">
        <v>0.835085766504464</v>
      </c>
      <c r="G1530" s="17" t="s">
        <v>91</v>
      </c>
      <c r="H1530" s="18" t="n">
        <v>0.2</v>
      </c>
      <c r="I1530" s="18" t="n">
        <v>1</v>
      </c>
      <c r="J1530" s="19" t="n">
        <v>0.874619603252399</v>
      </c>
      <c r="K1530" s="19" t="n">
        <v>0.493560174540445</v>
      </c>
      <c r="L1530" s="16" t="n">
        <v>11.1149868023236</v>
      </c>
      <c r="M1530" s="19" t="n">
        <v>0.549407454716143</v>
      </c>
      <c r="N1530" s="19" t="n">
        <v>0.832432507831559</v>
      </c>
      <c r="O1530" s="19" t="n">
        <v>0.874619603252399</v>
      </c>
      <c r="P1530" s="19" t="n">
        <v>0.641779362027209</v>
      </c>
      <c r="Q1530" s="17" t="s">
        <v>29</v>
      </c>
      <c r="R1530" s="5" t="str">
        <f aca="false">IF(OR(Q1530="Steel plate",Q1530="Concrete jacket"),"Steel plate or jacket",Q1530)</f>
        <v>Monitor</v>
      </c>
      <c r="S1530" s="5" t="str">
        <f aca="false">IF(O1530&lt;='Tree rules'!$C$4,IF(N1530&lt;='Tree rules'!$C$5,IF(P1530&lt;='Tree rules'!$C$6,"Monitor","Polymer laminate"),IF(P1530&lt;='Tree rules'!$C$7,"Seal cracks","Polymer laminate")),IF(O1530&lt;='Tree rules'!$C$8,IF(M1530&lt;='Tree rules'!$C$9,"Steel plate or jacket","Polymer laminate"),IF(L1530&lt;='Tree rules'!$C$10,"Steel plate or jacket","Polymer laminate")))</f>
        <v>Monitor</v>
      </c>
      <c r="T1530" s="5" t="str">
        <f aca="false">IF(S1530=R1530,"Yes","No")</f>
        <v>Yes</v>
      </c>
    </row>
    <row r="1531" customFormat="false" ht="15" hidden="false" customHeight="false" outlineLevel="0" collapsed="false">
      <c r="A1531" s="15" t="n">
        <v>2181</v>
      </c>
      <c r="B1531" s="16" t="n">
        <v>3.52870074344479</v>
      </c>
      <c r="C1531" s="15" t="n">
        <v>230</v>
      </c>
      <c r="D1531" s="15" t="n">
        <v>300</v>
      </c>
      <c r="E1531" s="15" t="n">
        <v>25</v>
      </c>
      <c r="F1531" s="16" t="n">
        <v>0.688332522525665</v>
      </c>
      <c r="G1531" s="17" t="s">
        <v>89</v>
      </c>
      <c r="H1531" s="18" t="n">
        <v>0.3</v>
      </c>
      <c r="I1531" s="18" t="n">
        <v>1</v>
      </c>
      <c r="J1531" s="19" t="n">
        <v>0.942666046553657</v>
      </c>
      <c r="K1531" s="19" t="n">
        <v>0.438851386204429</v>
      </c>
      <c r="L1531" s="16" t="n">
        <v>13.8925226119874</v>
      </c>
      <c r="M1531" s="19" t="n">
        <v>0.271017585986232</v>
      </c>
      <c r="N1531" s="19" t="n">
        <v>0.933931560621244</v>
      </c>
      <c r="O1531" s="19" t="n">
        <v>0.942666046553657</v>
      </c>
      <c r="P1531" s="19" t="n">
        <v>1.05142032360923</v>
      </c>
      <c r="Q1531" s="17" t="s">
        <v>31</v>
      </c>
      <c r="R1531" s="5" t="str">
        <f aca="false">IF(OR(Q1531="Steel plate",Q1531="Concrete jacket"),"Steel plate or jacket",Q1531)</f>
        <v>Polymer laminate</v>
      </c>
      <c r="S1531" s="5" t="str">
        <f aca="false">IF(O1531&lt;='Tree rules'!$C$4,IF(N1531&lt;='Tree rules'!$C$5,IF(P1531&lt;='Tree rules'!$C$6,"Monitor","Polymer laminate"),IF(P1531&lt;='Tree rules'!$C$7,"Seal cracks","Polymer laminate")),IF(O1531&lt;='Tree rules'!$C$8,IF(M1531&lt;='Tree rules'!$C$9,"Steel plate or jacket","Polymer laminate"),IF(L1531&lt;='Tree rules'!$C$10,"Steel plate or jacket","Polymer laminate")))</f>
        <v>Polymer laminate</v>
      </c>
      <c r="T1531" s="5" t="str">
        <f aca="false">IF(S1531=R1531,"Yes","No")</f>
        <v>Yes</v>
      </c>
    </row>
    <row r="1532" customFormat="false" ht="15" hidden="false" customHeight="false" outlineLevel="0" collapsed="false">
      <c r="A1532" s="15" t="n">
        <v>2182</v>
      </c>
      <c r="B1532" s="16" t="n">
        <v>4.63937310100365</v>
      </c>
      <c r="C1532" s="15" t="n">
        <v>230</v>
      </c>
      <c r="D1532" s="15" t="n">
        <v>375</v>
      </c>
      <c r="E1532" s="15" t="n">
        <v>20</v>
      </c>
      <c r="F1532" s="16" t="n">
        <v>0.622439931366167</v>
      </c>
      <c r="G1532" s="17" t="s">
        <v>90</v>
      </c>
      <c r="H1532" s="18" t="n">
        <v>0.1</v>
      </c>
      <c r="I1532" s="18" t="n">
        <v>2</v>
      </c>
      <c r="J1532" s="19" t="n">
        <v>0.938338079663309</v>
      </c>
      <c r="K1532" s="19" t="n">
        <v>0.579240922750831</v>
      </c>
      <c r="L1532" s="16" t="n">
        <v>14.6815604462141</v>
      </c>
      <c r="M1532" s="19" t="n">
        <v>0.556370205334774</v>
      </c>
      <c r="N1532" s="19" t="n">
        <v>3.6023399552402</v>
      </c>
      <c r="O1532" s="19" t="n">
        <v>1.3331523442102</v>
      </c>
      <c r="P1532" s="19" t="n">
        <v>0.746143363297514</v>
      </c>
      <c r="Q1532" s="17" t="s">
        <v>31</v>
      </c>
      <c r="R1532" s="5" t="str">
        <f aca="false">IF(OR(Q1532="Steel plate",Q1532="Concrete jacket"),"Steel plate or jacket",Q1532)</f>
        <v>Polymer laminate</v>
      </c>
      <c r="S1532" s="5" t="str">
        <f aca="false">IF(O1532&lt;='Tree rules'!$C$4,IF(N1532&lt;='Tree rules'!$C$5,IF(P1532&lt;='Tree rules'!$C$6,"Monitor","Polymer laminate"),IF(P1532&lt;='Tree rules'!$C$7,"Seal cracks","Polymer laminate")),IF(O1532&lt;='Tree rules'!$C$8,IF(M1532&lt;='Tree rules'!$C$9,"Steel plate or jacket","Polymer laminate"),IF(L1532&lt;='Tree rules'!$C$10,"Steel plate or jacket","Polymer laminate")))</f>
        <v>Polymer laminate</v>
      </c>
      <c r="T1532" s="5" t="str">
        <f aca="false">IF(S1532=R1532,"Yes","No")</f>
        <v>Yes</v>
      </c>
    </row>
    <row r="1533" customFormat="false" ht="15" hidden="false" customHeight="false" outlineLevel="0" collapsed="false">
      <c r="A1533" s="15" t="n">
        <v>2184</v>
      </c>
      <c r="B1533" s="16" t="n">
        <v>5.45351225488646</v>
      </c>
      <c r="C1533" s="15" t="n">
        <v>230</v>
      </c>
      <c r="D1533" s="15" t="n">
        <v>525</v>
      </c>
      <c r="E1533" s="15" t="n">
        <v>20</v>
      </c>
      <c r="F1533" s="16" t="n">
        <v>0.57270853223768</v>
      </c>
      <c r="G1533" s="17" t="s">
        <v>91</v>
      </c>
      <c r="H1533" s="18" t="n">
        <v>0.2</v>
      </c>
      <c r="I1533" s="18" t="n">
        <v>1</v>
      </c>
      <c r="J1533" s="19" t="n">
        <v>0.935479702208015</v>
      </c>
      <c r="K1533" s="19" t="n">
        <v>0.572435869500885</v>
      </c>
      <c r="L1533" s="16" t="n">
        <v>11.4329397377075</v>
      </c>
      <c r="M1533" s="19" t="n">
        <v>0.731841108667185</v>
      </c>
      <c r="N1533" s="19" t="n">
        <v>1.23690013861548</v>
      </c>
      <c r="O1533" s="19" t="n">
        <v>0.935479702208015</v>
      </c>
      <c r="P1533" s="19" t="n">
        <v>0.436199446849864</v>
      </c>
      <c r="Q1533" s="17" t="s">
        <v>30</v>
      </c>
      <c r="R1533" s="5" t="str">
        <f aca="false">IF(OR(Q1533="Steel plate",Q1533="Concrete jacket"),"Steel plate or jacket",Q1533)</f>
        <v>Seal cracks</v>
      </c>
      <c r="S1533" s="5" t="str">
        <f aca="false">IF(O1533&lt;='Tree rules'!$C$4,IF(N1533&lt;='Tree rules'!$C$5,IF(P1533&lt;='Tree rules'!$C$6,"Monitor","Polymer laminate"),IF(P1533&lt;='Tree rules'!$C$7,"Seal cracks","Polymer laminate")),IF(O1533&lt;='Tree rules'!$C$8,IF(M1533&lt;='Tree rules'!$C$9,"Steel plate or jacket","Polymer laminate"),IF(L1533&lt;='Tree rules'!$C$10,"Steel plate or jacket","Polymer laminate")))</f>
        <v>Seal cracks</v>
      </c>
      <c r="T1533" s="5" t="str">
        <f aca="false">IF(S1533=R1533,"Yes","No")</f>
        <v>Yes</v>
      </c>
    </row>
    <row r="1534" customFormat="false" ht="15" hidden="false" customHeight="false" outlineLevel="0" collapsed="false">
      <c r="A1534" s="15" t="n">
        <v>2185</v>
      </c>
      <c r="B1534" s="16" t="n">
        <v>3.01652775839573</v>
      </c>
      <c r="C1534" s="15" t="n">
        <v>300</v>
      </c>
      <c r="D1534" s="15" t="n">
        <v>300</v>
      </c>
      <c r="E1534" s="15" t="n">
        <v>20</v>
      </c>
      <c r="F1534" s="16" t="n">
        <v>0.560842203151316</v>
      </c>
      <c r="G1534" s="17" t="s">
        <v>90</v>
      </c>
      <c r="H1534" s="18" t="n">
        <v>0.1</v>
      </c>
      <c r="I1534" s="18" t="n">
        <v>1</v>
      </c>
      <c r="J1534" s="19" t="n">
        <v>0.852431663990176</v>
      </c>
      <c r="K1534" s="19" t="n">
        <v>0.606114171671698</v>
      </c>
      <c r="L1534" s="16" t="n">
        <v>12.6214550560491</v>
      </c>
      <c r="M1534" s="19" t="n">
        <v>0.730414112773763</v>
      </c>
      <c r="N1534" s="19" t="n">
        <v>2.80217212842377</v>
      </c>
      <c r="O1534" s="19" t="n">
        <v>0.852431663990176</v>
      </c>
      <c r="P1534" s="19" t="n">
        <v>0.304045082247781</v>
      </c>
      <c r="Q1534" s="17" t="s">
        <v>30</v>
      </c>
      <c r="R1534" s="5" t="str">
        <f aca="false">IF(OR(Q1534="Steel plate",Q1534="Concrete jacket"),"Steel plate or jacket",Q1534)</f>
        <v>Seal cracks</v>
      </c>
      <c r="S1534" s="5" t="str">
        <f aca="false">IF(O1534&lt;='Tree rules'!$C$4,IF(N1534&lt;='Tree rules'!$C$5,IF(P1534&lt;='Tree rules'!$C$6,"Monitor","Polymer laminate"),IF(P1534&lt;='Tree rules'!$C$7,"Seal cracks","Polymer laminate")),IF(O1534&lt;='Tree rules'!$C$8,IF(M1534&lt;='Tree rules'!$C$9,"Steel plate or jacket","Polymer laminate"),IF(L1534&lt;='Tree rules'!$C$10,"Steel plate or jacket","Polymer laminate")))</f>
        <v>Seal cracks</v>
      </c>
      <c r="T1534" s="5" t="str">
        <f aca="false">IF(S1534=R1534,"Yes","No")</f>
        <v>Yes</v>
      </c>
    </row>
    <row r="1535" customFormat="false" ht="15" hidden="false" customHeight="false" outlineLevel="0" collapsed="false">
      <c r="A1535" s="15" t="n">
        <v>2188</v>
      </c>
      <c r="B1535" s="16" t="n">
        <v>5.88677283813065</v>
      </c>
      <c r="C1535" s="15" t="n">
        <v>230</v>
      </c>
      <c r="D1535" s="15" t="n">
        <v>500</v>
      </c>
      <c r="E1535" s="15" t="n">
        <v>20</v>
      </c>
      <c r="F1535" s="16" t="n">
        <v>0.577653504586516</v>
      </c>
      <c r="G1535" s="17" t="s">
        <v>89</v>
      </c>
      <c r="H1535" s="18" t="n">
        <v>0.3</v>
      </c>
      <c r="I1535" s="18" t="n">
        <v>1</v>
      </c>
      <c r="J1535" s="19" t="n">
        <v>0.982596410684453</v>
      </c>
      <c r="K1535" s="19" t="n">
        <v>0.483375678540356</v>
      </c>
      <c r="L1535" s="16" t="n">
        <v>12.9664599958825</v>
      </c>
      <c r="M1535" s="19" t="n">
        <v>0.332705656931641</v>
      </c>
      <c r="N1535" s="19" t="n">
        <v>0.733629695949725</v>
      </c>
      <c r="O1535" s="19" t="n">
        <v>0.982596410684453</v>
      </c>
      <c r="P1535" s="19" t="n">
        <v>1.01102788620709</v>
      </c>
      <c r="Q1535" s="17" t="s">
        <v>31</v>
      </c>
      <c r="R1535" s="5" t="str">
        <f aca="false">IF(OR(Q1535="Steel plate",Q1535="Concrete jacket"),"Steel plate or jacket",Q1535)</f>
        <v>Polymer laminate</v>
      </c>
      <c r="S1535" s="5" t="str">
        <f aca="false">IF(O1535&lt;='Tree rules'!$C$4,IF(N1535&lt;='Tree rules'!$C$5,IF(P1535&lt;='Tree rules'!$C$6,"Monitor","Polymer laminate"),IF(P1535&lt;='Tree rules'!$C$7,"Seal cracks","Polymer laminate")),IF(O1535&lt;='Tree rules'!$C$8,IF(M1535&lt;='Tree rules'!$C$9,"Steel plate or jacket","Polymer laminate"),IF(L1535&lt;='Tree rules'!$C$10,"Steel plate or jacket","Polymer laminate")))</f>
        <v>Polymer laminate</v>
      </c>
      <c r="T1535" s="5" t="str">
        <f aca="false">IF(S1535=R1535,"Yes","No")</f>
        <v>Yes</v>
      </c>
    </row>
    <row r="1536" customFormat="false" ht="15" hidden="false" customHeight="false" outlineLevel="0" collapsed="false">
      <c r="A1536" s="15" t="n">
        <v>2189</v>
      </c>
      <c r="B1536" s="16" t="n">
        <v>4.24300026007777</v>
      </c>
      <c r="C1536" s="15" t="n">
        <v>300</v>
      </c>
      <c r="D1536" s="15" t="n">
        <v>350</v>
      </c>
      <c r="E1536" s="15" t="n">
        <v>25</v>
      </c>
      <c r="F1536" s="16" t="n">
        <v>0.695716020172134</v>
      </c>
      <c r="G1536" s="17" t="s">
        <v>90</v>
      </c>
      <c r="H1536" s="18" t="n">
        <v>0.1</v>
      </c>
      <c r="I1536" s="18" t="n">
        <v>1</v>
      </c>
      <c r="J1536" s="19" t="n">
        <v>0.863195353266307</v>
      </c>
      <c r="K1536" s="19" t="n">
        <v>0.457399655235454</v>
      </c>
      <c r="L1536" s="16" t="n">
        <v>14.6816617995771</v>
      </c>
      <c r="M1536" s="19" t="n">
        <v>0.841891987568035</v>
      </c>
      <c r="N1536" s="19" t="n">
        <v>2.40323528682484</v>
      </c>
      <c r="O1536" s="19" t="n">
        <v>0.863195353266307</v>
      </c>
      <c r="P1536" s="19" t="n">
        <v>0.352510639096397</v>
      </c>
      <c r="Q1536" s="17" t="s">
        <v>30</v>
      </c>
      <c r="R1536" s="5" t="str">
        <f aca="false">IF(OR(Q1536="Steel plate",Q1536="Concrete jacket"),"Steel plate or jacket",Q1536)</f>
        <v>Seal cracks</v>
      </c>
      <c r="S1536" s="5" t="str">
        <f aca="false">IF(O1536&lt;='Tree rules'!$C$4,IF(N1536&lt;='Tree rules'!$C$5,IF(P1536&lt;='Tree rules'!$C$6,"Monitor","Polymer laminate"),IF(P1536&lt;='Tree rules'!$C$7,"Seal cracks","Polymer laminate")),IF(O1536&lt;='Tree rules'!$C$8,IF(M1536&lt;='Tree rules'!$C$9,"Steel plate or jacket","Polymer laminate"),IF(L1536&lt;='Tree rules'!$C$10,"Steel plate or jacket","Polymer laminate")))</f>
        <v>Seal cracks</v>
      </c>
      <c r="T1536" s="5" t="str">
        <f aca="false">IF(S1536=R1536,"Yes","No")</f>
        <v>Yes</v>
      </c>
    </row>
    <row r="1537" customFormat="false" ht="15" hidden="false" customHeight="false" outlineLevel="0" collapsed="false">
      <c r="A1537" s="15" t="n">
        <v>2191</v>
      </c>
      <c r="B1537" s="16" t="n">
        <v>5.37306741241142</v>
      </c>
      <c r="C1537" s="15" t="n">
        <v>230</v>
      </c>
      <c r="D1537" s="15" t="n">
        <v>500</v>
      </c>
      <c r="E1537" s="15" t="n">
        <v>20</v>
      </c>
      <c r="F1537" s="16" t="n">
        <v>0.577653504586516</v>
      </c>
      <c r="G1537" s="17" t="s">
        <v>91</v>
      </c>
      <c r="H1537" s="18" t="n">
        <v>0.2</v>
      </c>
      <c r="I1537" s="18" t="n">
        <v>1.5</v>
      </c>
      <c r="J1537" s="19" t="n">
        <v>0.852245323340513</v>
      </c>
      <c r="K1537" s="19" t="n">
        <v>0.64804008452928</v>
      </c>
      <c r="L1537" s="16" t="n">
        <v>11.8349502476022</v>
      </c>
      <c r="M1537" s="19" t="n">
        <v>0.932998257967332</v>
      </c>
      <c r="N1537" s="19" t="n">
        <v>0.957493787549619</v>
      </c>
      <c r="O1537" s="19" t="n">
        <v>1.00222341932214</v>
      </c>
      <c r="P1537" s="19" t="n">
        <v>0.381177606378788</v>
      </c>
      <c r="Q1537" s="17" t="s">
        <v>31</v>
      </c>
      <c r="R1537" s="5" t="str">
        <f aca="false">IF(OR(Q1537="Steel plate",Q1537="Concrete jacket"),"Steel plate or jacket",Q1537)</f>
        <v>Polymer laminate</v>
      </c>
      <c r="S1537" s="5" t="str">
        <f aca="false">IF(O1537&lt;='Tree rules'!$C$4,IF(N1537&lt;='Tree rules'!$C$5,IF(P1537&lt;='Tree rules'!$C$6,"Monitor","Polymer laminate"),IF(P1537&lt;='Tree rules'!$C$7,"Seal cracks","Polymer laminate")),IF(O1537&lt;='Tree rules'!$C$8,IF(M1537&lt;='Tree rules'!$C$9,"Steel plate or jacket","Polymer laminate"),IF(L1537&lt;='Tree rules'!$C$10,"Steel plate or jacket","Polymer laminate")))</f>
        <v>Polymer laminate</v>
      </c>
      <c r="T1537" s="5" t="str">
        <f aca="false">IF(S1537=R1537,"Yes","No")</f>
        <v>Yes</v>
      </c>
    </row>
    <row r="1538" customFormat="false" ht="15" hidden="false" customHeight="false" outlineLevel="0" collapsed="false">
      <c r="A1538" s="15" t="n">
        <v>2192</v>
      </c>
      <c r="B1538" s="16" t="n">
        <v>3.81357930519284</v>
      </c>
      <c r="C1538" s="15" t="n">
        <v>230</v>
      </c>
      <c r="D1538" s="15" t="n">
        <v>350</v>
      </c>
      <c r="E1538" s="15" t="n">
        <v>30</v>
      </c>
      <c r="F1538" s="16" t="n">
        <v>0.9045760591966</v>
      </c>
      <c r="G1538" s="17" t="s">
        <v>89</v>
      </c>
      <c r="H1538" s="18" t="n">
        <v>0.3</v>
      </c>
      <c r="I1538" s="18" t="n">
        <v>1</v>
      </c>
      <c r="J1538" s="19" t="n">
        <v>0.871096581194037</v>
      </c>
      <c r="K1538" s="19" t="n">
        <v>0.540652042260904</v>
      </c>
      <c r="L1538" s="16" t="n">
        <v>12.6277460436849</v>
      </c>
      <c r="M1538" s="19" t="n">
        <v>0.782832163330585</v>
      </c>
      <c r="N1538" s="19" t="n">
        <v>0.78233226020485</v>
      </c>
      <c r="O1538" s="19" t="n">
        <v>0.871096581194037</v>
      </c>
      <c r="P1538" s="19" t="n">
        <v>0.454626049809721</v>
      </c>
      <c r="Q1538" s="17" t="s">
        <v>29</v>
      </c>
      <c r="R1538" s="5" t="str">
        <f aca="false">IF(OR(Q1538="Steel plate",Q1538="Concrete jacket"),"Steel plate or jacket",Q1538)</f>
        <v>Monitor</v>
      </c>
      <c r="S1538" s="5" t="str">
        <f aca="false">IF(O1538&lt;='Tree rules'!$C$4,IF(N1538&lt;='Tree rules'!$C$5,IF(P1538&lt;='Tree rules'!$C$6,"Monitor","Polymer laminate"),IF(P1538&lt;='Tree rules'!$C$7,"Seal cracks","Polymer laminate")),IF(O1538&lt;='Tree rules'!$C$8,IF(M1538&lt;='Tree rules'!$C$9,"Steel plate or jacket","Polymer laminate"),IF(L1538&lt;='Tree rules'!$C$10,"Steel plate or jacket","Polymer laminate")))</f>
        <v>Monitor</v>
      </c>
      <c r="T1538" s="5" t="str">
        <f aca="false">IF(S1538=R1538,"Yes","No")</f>
        <v>Yes</v>
      </c>
    </row>
    <row r="1539" customFormat="false" ht="15" hidden="false" customHeight="false" outlineLevel="0" collapsed="false">
      <c r="A1539" s="15" t="n">
        <v>2193</v>
      </c>
      <c r="B1539" s="16" t="n">
        <v>4.68924933731333</v>
      </c>
      <c r="C1539" s="15" t="n">
        <v>230</v>
      </c>
      <c r="D1539" s="15" t="n">
        <v>400</v>
      </c>
      <c r="E1539" s="15" t="n">
        <v>25</v>
      </c>
      <c r="F1539" s="16" t="n">
        <v>0.740832460684402</v>
      </c>
      <c r="G1539" s="17" t="s">
        <v>89</v>
      </c>
      <c r="H1539" s="18" t="n">
        <v>0.3</v>
      </c>
      <c r="I1539" s="18" t="n">
        <v>1</v>
      </c>
      <c r="J1539" s="19" t="n">
        <v>0.888877276644628</v>
      </c>
      <c r="K1539" s="19" t="n">
        <v>0.482498933492836</v>
      </c>
      <c r="L1539" s="16" t="n">
        <v>13.2464670545574</v>
      </c>
      <c r="M1539" s="19" t="n">
        <v>0.919755922817</v>
      </c>
      <c r="N1539" s="19" t="n">
        <v>0.588561924948217</v>
      </c>
      <c r="O1539" s="19" t="n">
        <v>0.888877276644628</v>
      </c>
      <c r="P1539" s="19" t="n">
        <v>0.389296234699915</v>
      </c>
      <c r="Q1539" s="17" t="s">
        <v>29</v>
      </c>
      <c r="R1539" s="5" t="str">
        <f aca="false">IF(OR(Q1539="Steel plate",Q1539="Concrete jacket"),"Steel plate or jacket",Q1539)</f>
        <v>Monitor</v>
      </c>
      <c r="S1539" s="5" t="str">
        <f aca="false">IF(O1539&lt;='Tree rules'!$C$4,IF(N1539&lt;='Tree rules'!$C$5,IF(P1539&lt;='Tree rules'!$C$6,"Monitor","Polymer laminate"),IF(P1539&lt;='Tree rules'!$C$7,"Seal cracks","Polymer laminate")),IF(O1539&lt;='Tree rules'!$C$8,IF(M1539&lt;='Tree rules'!$C$9,"Steel plate or jacket","Polymer laminate"),IF(L1539&lt;='Tree rules'!$C$10,"Steel plate or jacket","Polymer laminate")))</f>
        <v>Monitor</v>
      </c>
      <c r="T1539" s="5" t="str">
        <f aca="false">IF(S1539=R1539,"Yes","No")</f>
        <v>Yes</v>
      </c>
    </row>
    <row r="1540" customFormat="false" ht="15" hidden="false" customHeight="false" outlineLevel="0" collapsed="false">
      <c r="A1540" s="15" t="n">
        <v>2194</v>
      </c>
      <c r="B1540" s="16" t="n">
        <v>3.96417165516856</v>
      </c>
      <c r="C1540" s="15" t="n">
        <v>230</v>
      </c>
      <c r="D1540" s="15" t="n">
        <v>350</v>
      </c>
      <c r="E1540" s="15" t="n">
        <v>25</v>
      </c>
      <c r="F1540" s="16" t="n">
        <v>0.575119936583944</v>
      </c>
      <c r="G1540" s="17" t="s">
        <v>89</v>
      </c>
      <c r="H1540" s="18" t="n">
        <v>0.3</v>
      </c>
      <c r="I1540" s="18" t="n">
        <v>1</v>
      </c>
      <c r="J1540" s="19" t="n">
        <v>0.938809923588413</v>
      </c>
      <c r="K1540" s="19" t="n">
        <v>0.592759896886275</v>
      </c>
      <c r="L1540" s="16" t="n">
        <v>13.0400383393703</v>
      </c>
      <c r="M1540" s="19" t="n">
        <v>0.880439762011903</v>
      </c>
      <c r="N1540" s="19" t="n">
        <v>0.788517275761597</v>
      </c>
      <c r="O1540" s="19" t="n">
        <v>0.938809923588413</v>
      </c>
      <c r="P1540" s="19" t="n">
        <v>0.343398322426616</v>
      </c>
      <c r="Q1540" s="17" t="s">
        <v>29</v>
      </c>
      <c r="R1540" s="5" t="str">
        <f aca="false">IF(OR(Q1540="Steel plate",Q1540="Concrete jacket"),"Steel plate or jacket",Q1540)</f>
        <v>Monitor</v>
      </c>
      <c r="S1540" s="5" t="str">
        <f aca="false">IF(O1540&lt;='Tree rules'!$C$4,IF(N1540&lt;='Tree rules'!$C$5,IF(P1540&lt;='Tree rules'!$C$6,"Monitor","Polymer laminate"),IF(P1540&lt;='Tree rules'!$C$7,"Seal cracks","Polymer laminate")),IF(O1540&lt;='Tree rules'!$C$8,IF(M1540&lt;='Tree rules'!$C$9,"Steel plate or jacket","Polymer laminate"),IF(L1540&lt;='Tree rules'!$C$10,"Steel plate or jacket","Polymer laminate")))</f>
        <v>Monitor</v>
      </c>
      <c r="T1540" s="5" t="str">
        <f aca="false">IF(S1540=R1540,"Yes","No")</f>
        <v>Yes</v>
      </c>
    </row>
    <row r="1541" customFormat="false" ht="15" hidden="false" customHeight="false" outlineLevel="0" collapsed="false">
      <c r="A1541" s="15" t="n">
        <v>2195</v>
      </c>
      <c r="B1541" s="16" t="n">
        <v>7.04459291650156</v>
      </c>
      <c r="C1541" s="15" t="n">
        <v>300</v>
      </c>
      <c r="D1541" s="15" t="n">
        <v>625</v>
      </c>
      <c r="E1541" s="15" t="n">
        <v>20</v>
      </c>
      <c r="F1541" s="16" t="n">
        <v>0.594154638976793</v>
      </c>
      <c r="G1541" s="17" t="s">
        <v>90</v>
      </c>
      <c r="H1541" s="18" t="n">
        <v>0.1</v>
      </c>
      <c r="I1541" s="18" t="n">
        <v>1.5</v>
      </c>
      <c r="J1541" s="19" t="n">
        <v>0.924334485118728</v>
      </c>
      <c r="K1541" s="19" t="n">
        <v>0.440121493990213</v>
      </c>
      <c r="L1541" s="16" t="n">
        <v>12.4904129725205</v>
      </c>
      <c r="M1541" s="19" t="n">
        <v>0.950601037993428</v>
      </c>
      <c r="N1541" s="19" t="n">
        <v>2.75851461938407</v>
      </c>
      <c r="O1541" s="19" t="n">
        <v>1.18309199040953</v>
      </c>
      <c r="P1541" s="19" t="n">
        <v>0.391801642072998</v>
      </c>
      <c r="Q1541" s="17" t="s">
        <v>31</v>
      </c>
      <c r="R1541" s="5" t="str">
        <f aca="false">IF(OR(Q1541="Steel plate",Q1541="Concrete jacket"),"Steel plate or jacket",Q1541)</f>
        <v>Polymer laminate</v>
      </c>
      <c r="S1541" s="5" t="str">
        <f aca="false">IF(O1541&lt;='Tree rules'!$C$4,IF(N1541&lt;='Tree rules'!$C$5,IF(P1541&lt;='Tree rules'!$C$6,"Monitor","Polymer laminate"),IF(P1541&lt;='Tree rules'!$C$7,"Seal cracks","Polymer laminate")),IF(O1541&lt;='Tree rules'!$C$8,IF(M1541&lt;='Tree rules'!$C$9,"Steel plate or jacket","Polymer laminate"),IF(L1541&lt;='Tree rules'!$C$10,"Steel plate or jacket","Polymer laminate")))</f>
        <v>Polymer laminate</v>
      </c>
      <c r="T1541" s="5" t="str">
        <f aca="false">IF(S1541=R1541,"Yes","No")</f>
        <v>Yes</v>
      </c>
    </row>
    <row r="1542" customFormat="false" ht="15" hidden="false" customHeight="false" outlineLevel="0" collapsed="false">
      <c r="A1542" s="15" t="n">
        <v>2199</v>
      </c>
      <c r="B1542" s="16" t="n">
        <v>7.09666116900696</v>
      </c>
      <c r="C1542" s="15" t="n">
        <v>300</v>
      </c>
      <c r="D1542" s="15" t="n">
        <v>650</v>
      </c>
      <c r="E1542" s="15" t="n">
        <v>30</v>
      </c>
      <c r="F1542" s="16" t="n">
        <v>0.869765407970596</v>
      </c>
      <c r="G1542" s="17" t="s">
        <v>89</v>
      </c>
      <c r="H1542" s="18" t="n">
        <v>0.3</v>
      </c>
      <c r="I1542" s="18" t="n">
        <v>1</v>
      </c>
      <c r="J1542" s="19" t="n">
        <v>0.887426897091881</v>
      </c>
      <c r="K1542" s="19" t="n">
        <v>0.505087386737855</v>
      </c>
      <c r="L1542" s="16" t="n">
        <v>11.7884737026694</v>
      </c>
      <c r="M1542" s="19" t="n">
        <v>0.644053521284109</v>
      </c>
      <c r="N1542" s="19" t="n">
        <v>0.564583212071398</v>
      </c>
      <c r="O1542" s="19" t="n">
        <v>0.887426897091881</v>
      </c>
      <c r="P1542" s="19" t="n">
        <v>0.587613610916458</v>
      </c>
      <c r="Q1542" s="17" t="s">
        <v>29</v>
      </c>
      <c r="R1542" s="5" t="str">
        <f aca="false">IF(OR(Q1542="Steel plate",Q1542="Concrete jacket"),"Steel plate or jacket",Q1542)</f>
        <v>Monitor</v>
      </c>
      <c r="S1542" s="5" t="str">
        <f aca="false">IF(O1542&lt;='Tree rules'!$C$4,IF(N1542&lt;='Tree rules'!$C$5,IF(P1542&lt;='Tree rules'!$C$6,"Monitor","Polymer laminate"),IF(P1542&lt;='Tree rules'!$C$7,"Seal cracks","Polymer laminate")),IF(O1542&lt;='Tree rules'!$C$8,IF(M1542&lt;='Tree rules'!$C$9,"Steel plate or jacket","Polymer laminate"),IF(L1542&lt;='Tree rules'!$C$10,"Steel plate or jacket","Polymer laminate")))</f>
        <v>Monitor</v>
      </c>
      <c r="T1542" s="5" t="str">
        <f aca="false">IF(S1542=R1542,"Yes","No")</f>
        <v>Yes</v>
      </c>
    </row>
    <row r="1543" customFormat="false" ht="15" hidden="false" customHeight="false" outlineLevel="0" collapsed="false">
      <c r="A1543" s="15" t="n">
        <v>2200</v>
      </c>
      <c r="B1543" s="16" t="n">
        <v>7.91352042879407</v>
      </c>
      <c r="C1543" s="15" t="n">
        <v>300</v>
      </c>
      <c r="D1543" s="15" t="n">
        <v>675</v>
      </c>
      <c r="E1543" s="15" t="n">
        <v>30</v>
      </c>
      <c r="F1543" s="16" t="n">
        <v>0.63930661313115</v>
      </c>
      <c r="G1543" s="17" t="s">
        <v>89</v>
      </c>
      <c r="H1543" s="18" t="n">
        <v>0.3</v>
      </c>
      <c r="I1543" s="18" t="n">
        <v>1</v>
      </c>
      <c r="J1543" s="19" t="n">
        <v>0.893106133944386</v>
      </c>
      <c r="K1543" s="19" t="n">
        <v>0.449424821708904</v>
      </c>
      <c r="L1543" s="16" t="n">
        <v>12.5811135592911</v>
      </c>
      <c r="M1543" s="19" t="n">
        <v>0.415463753615447</v>
      </c>
      <c r="N1543" s="19" t="n">
        <v>0.571490279969531</v>
      </c>
      <c r="O1543" s="19" t="n">
        <v>0.893106133944386</v>
      </c>
      <c r="P1543" s="19" t="n">
        <v>0.717936001793433</v>
      </c>
      <c r="Q1543" s="17" t="s">
        <v>29</v>
      </c>
      <c r="R1543" s="5" t="str">
        <f aca="false">IF(OR(Q1543="Steel plate",Q1543="Concrete jacket"),"Steel plate or jacket",Q1543)</f>
        <v>Monitor</v>
      </c>
      <c r="S1543" s="5" t="str">
        <f aca="false">IF(O1543&lt;='Tree rules'!$C$4,IF(N1543&lt;='Tree rules'!$C$5,IF(P1543&lt;='Tree rules'!$C$6,"Monitor","Polymer laminate"),IF(P1543&lt;='Tree rules'!$C$7,"Seal cracks","Polymer laminate")),IF(O1543&lt;='Tree rules'!$C$8,IF(M1543&lt;='Tree rules'!$C$9,"Steel plate or jacket","Polymer laminate"),IF(L1543&lt;='Tree rules'!$C$10,"Steel plate or jacket","Polymer laminate")))</f>
        <v>Monitor</v>
      </c>
      <c r="T1543" s="5" t="str">
        <f aca="false">IF(S1543=R1543,"Yes","No")</f>
        <v>Yes</v>
      </c>
    </row>
    <row r="1544" customFormat="false" ht="15" hidden="false" customHeight="false" outlineLevel="0" collapsed="false">
      <c r="A1544" s="15" t="n">
        <v>2201</v>
      </c>
      <c r="B1544" s="16" t="n">
        <v>3.07841727915043</v>
      </c>
      <c r="C1544" s="15" t="n">
        <v>300</v>
      </c>
      <c r="D1544" s="15" t="n">
        <v>300</v>
      </c>
      <c r="E1544" s="15" t="n">
        <v>30</v>
      </c>
      <c r="F1544" s="16" t="n">
        <v>0.831109167616348</v>
      </c>
      <c r="G1544" s="17" t="s">
        <v>89</v>
      </c>
      <c r="H1544" s="18" t="n">
        <v>0.3</v>
      </c>
      <c r="I1544" s="18" t="n">
        <v>1</v>
      </c>
      <c r="J1544" s="19" t="n">
        <v>0.97705576293777</v>
      </c>
      <c r="K1544" s="19" t="n">
        <v>0.611755328876659</v>
      </c>
      <c r="L1544" s="16" t="n">
        <v>12.2159415839303</v>
      </c>
      <c r="M1544" s="19" t="n">
        <v>0.904538609193903</v>
      </c>
      <c r="N1544" s="19" t="n">
        <v>1.00398434094019</v>
      </c>
      <c r="O1544" s="19" t="n">
        <v>0.97705576293777</v>
      </c>
      <c r="P1544" s="19" t="n">
        <v>0.39318333172944</v>
      </c>
      <c r="Q1544" s="17" t="s">
        <v>30</v>
      </c>
      <c r="R1544" s="5" t="str">
        <f aca="false">IF(OR(Q1544="Steel plate",Q1544="Concrete jacket"),"Steel plate or jacket",Q1544)</f>
        <v>Seal cracks</v>
      </c>
      <c r="S1544" s="5" t="str">
        <f aca="false">IF(O1544&lt;='Tree rules'!$C$4,IF(N1544&lt;='Tree rules'!$C$5,IF(P1544&lt;='Tree rules'!$C$6,"Monitor","Polymer laminate"),IF(P1544&lt;='Tree rules'!$C$7,"Seal cracks","Polymer laminate")),IF(O1544&lt;='Tree rules'!$C$8,IF(M1544&lt;='Tree rules'!$C$9,"Steel plate or jacket","Polymer laminate"),IF(L1544&lt;='Tree rules'!$C$10,"Steel plate or jacket","Polymer laminate")))</f>
        <v>Seal cracks</v>
      </c>
      <c r="T1544" s="5" t="str">
        <f aca="false">IF(S1544=R1544,"Yes","No")</f>
        <v>Yes</v>
      </c>
    </row>
    <row r="1545" customFormat="false" ht="15" hidden="false" customHeight="false" outlineLevel="0" collapsed="false">
      <c r="A1545" s="15" t="n">
        <v>2202</v>
      </c>
      <c r="B1545" s="16" t="n">
        <v>3.93472228499712</v>
      </c>
      <c r="C1545" s="15" t="n">
        <v>230</v>
      </c>
      <c r="D1545" s="15" t="n">
        <v>325</v>
      </c>
      <c r="E1545" s="15" t="n">
        <v>25</v>
      </c>
      <c r="F1545" s="16" t="n">
        <v>0.524976027522354</v>
      </c>
      <c r="G1545" s="17" t="s">
        <v>89</v>
      </c>
      <c r="H1545" s="18" t="n">
        <v>0.3</v>
      </c>
      <c r="I1545" s="18" t="n">
        <v>1.5</v>
      </c>
      <c r="J1545" s="19" t="n">
        <v>0.951841029975547</v>
      </c>
      <c r="K1545" s="19" t="n">
        <v>0.429963485905388</v>
      </c>
      <c r="L1545" s="16" t="n">
        <v>14.0025704092424</v>
      </c>
      <c r="M1545" s="19" t="n">
        <v>0.453542144755221</v>
      </c>
      <c r="N1545" s="19" t="n">
        <v>0.919198129481575</v>
      </c>
      <c r="O1545" s="19" t="n">
        <v>1.22313310132529</v>
      </c>
      <c r="P1545" s="19" t="n">
        <v>0.630593741417957</v>
      </c>
      <c r="Q1545" s="17" t="s">
        <v>31</v>
      </c>
      <c r="R1545" s="5" t="str">
        <f aca="false">IF(OR(Q1545="Steel plate",Q1545="Concrete jacket"),"Steel plate or jacket",Q1545)</f>
        <v>Polymer laminate</v>
      </c>
      <c r="S1545" s="5" t="str">
        <f aca="false">IF(O1545&lt;='Tree rules'!$C$4,IF(N1545&lt;='Tree rules'!$C$5,IF(P1545&lt;='Tree rules'!$C$6,"Monitor","Polymer laminate"),IF(P1545&lt;='Tree rules'!$C$7,"Seal cracks","Polymer laminate")),IF(O1545&lt;='Tree rules'!$C$8,IF(M1545&lt;='Tree rules'!$C$9,"Steel plate or jacket","Polymer laminate"),IF(L1545&lt;='Tree rules'!$C$10,"Steel plate or jacket","Polymer laminate")))</f>
        <v>Polymer laminate</v>
      </c>
      <c r="T1545" s="5" t="str">
        <f aca="false">IF(S1545=R1545,"Yes","No")</f>
        <v>Yes</v>
      </c>
    </row>
    <row r="1546" customFormat="false" ht="15" hidden="false" customHeight="false" outlineLevel="0" collapsed="false">
      <c r="A1546" s="15" t="n">
        <v>2203</v>
      </c>
      <c r="B1546" s="16" t="n">
        <v>5.86029074768794</v>
      </c>
      <c r="C1546" s="15" t="n">
        <v>300</v>
      </c>
      <c r="D1546" s="15" t="n">
        <v>500</v>
      </c>
      <c r="E1546" s="15" t="n">
        <v>30</v>
      </c>
      <c r="F1546" s="16" t="n">
        <v>0.71889992072993</v>
      </c>
      <c r="G1546" s="17" t="s">
        <v>90</v>
      </c>
      <c r="H1546" s="18" t="n">
        <v>0.1</v>
      </c>
      <c r="I1546" s="18" t="n">
        <v>1</v>
      </c>
      <c r="J1546" s="19" t="n">
        <v>0.983761460988511</v>
      </c>
      <c r="K1546" s="19" t="n">
        <v>0.461246367983413</v>
      </c>
      <c r="L1546" s="16" t="n">
        <v>13.4102763104987</v>
      </c>
      <c r="M1546" s="19" t="n">
        <v>0.90388987523253</v>
      </c>
      <c r="N1546" s="19" t="n">
        <v>2.71718587392773</v>
      </c>
      <c r="O1546" s="19" t="n">
        <v>0.983761460988511</v>
      </c>
      <c r="P1546" s="19" t="n">
        <v>0.389612066389432</v>
      </c>
      <c r="Q1546" s="17" t="s">
        <v>30</v>
      </c>
      <c r="R1546" s="5" t="str">
        <f aca="false">IF(OR(Q1546="Steel plate",Q1546="Concrete jacket"),"Steel plate or jacket",Q1546)</f>
        <v>Seal cracks</v>
      </c>
      <c r="S1546" s="5" t="str">
        <f aca="false">IF(O1546&lt;='Tree rules'!$C$4,IF(N1546&lt;='Tree rules'!$C$5,IF(P1546&lt;='Tree rules'!$C$6,"Monitor","Polymer laminate"),IF(P1546&lt;='Tree rules'!$C$7,"Seal cracks","Polymer laminate")),IF(O1546&lt;='Tree rules'!$C$8,IF(M1546&lt;='Tree rules'!$C$9,"Steel plate or jacket","Polymer laminate"),IF(L1546&lt;='Tree rules'!$C$10,"Steel plate or jacket","Polymer laminate")))</f>
        <v>Seal cracks</v>
      </c>
      <c r="T1546" s="5" t="str">
        <f aca="false">IF(S1546=R1546,"Yes","No")</f>
        <v>Yes</v>
      </c>
    </row>
    <row r="1547" customFormat="false" ht="15" hidden="false" customHeight="false" outlineLevel="0" collapsed="false">
      <c r="A1547" s="15" t="n">
        <v>2204</v>
      </c>
      <c r="B1547" s="16" t="n">
        <v>7.77168246347018</v>
      </c>
      <c r="C1547" s="15" t="n">
        <v>230</v>
      </c>
      <c r="D1547" s="15" t="n">
        <v>750</v>
      </c>
      <c r="E1547" s="15" t="n">
        <v>25</v>
      </c>
      <c r="F1547" s="16" t="n">
        <v>0.583722157857635</v>
      </c>
      <c r="G1547" s="17" t="s">
        <v>91</v>
      </c>
      <c r="H1547" s="18" t="n">
        <v>0.2</v>
      </c>
      <c r="I1547" s="18" t="n">
        <v>2</v>
      </c>
      <c r="J1547" s="19" t="n">
        <v>0.958103722784125</v>
      </c>
      <c r="K1547" s="19" t="n">
        <v>0.635533452976534</v>
      </c>
      <c r="L1547" s="16" t="n">
        <v>11.070772739986</v>
      </c>
      <c r="M1547" s="19" t="n">
        <v>0.285907411781017</v>
      </c>
      <c r="N1547" s="19" t="n">
        <v>1.44024742984132</v>
      </c>
      <c r="O1547" s="19" t="n">
        <v>1.30730047831758</v>
      </c>
      <c r="P1547" s="19" t="n">
        <v>1.3106072457235</v>
      </c>
      <c r="Q1547" s="17" t="s">
        <v>92</v>
      </c>
      <c r="R1547" s="5" t="str">
        <f aca="false">IF(OR(Q1547="Steel plate",Q1547="Concrete jacket"),"Steel plate or jacket",Q1547)</f>
        <v>Steel plate or jacket</v>
      </c>
      <c r="S1547" s="5" t="str">
        <f aca="false">IF(O1547&lt;='Tree rules'!$C$4,IF(N1547&lt;='Tree rules'!$C$5,IF(P1547&lt;='Tree rules'!$C$6,"Monitor","Polymer laminate"),IF(P1547&lt;='Tree rules'!$C$7,"Seal cracks","Polymer laminate")),IF(O1547&lt;='Tree rules'!$C$8,IF(M1547&lt;='Tree rules'!$C$9,"Steel plate or jacket","Polymer laminate"),IF(L1547&lt;='Tree rules'!$C$10,"Steel plate or jacket","Polymer laminate")))</f>
        <v>Steel plate or jacket</v>
      </c>
      <c r="T1547" s="5" t="str">
        <f aca="false">IF(S1547=R1547,"Yes","No")</f>
        <v>Yes</v>
      </c>
    </row>
    <row r="1548" customFormat="false" ht="15" hidden="false" customHeight="false" outlineLevel="0" collapsed="false">
      <c r="A1548" s="15" t="n">
        <v>2205</v>
      </c>
      <c r="B1548" s="16" t="n">
        <v>3.18606776375615</v>
      </c>
      <c r="C1548" s="15" t="n">
        <v>300</v>
      </c>
      <c r="D1548" s="15" t="n">
        <v>300</v>
      </c>
      <c r="E1548" s="15" t="n">
        <v>30</v>
      </c>
      <c r="F1548" s="16" t="n">
        <v>0.883711013668015</v>
      </c>
      <c r="G1548" s="17" t="s">
        <v>90</v>
      </c>
      <c r="H1548" s="18" t="n">
        <v>0.1</v>
      </c>
      <c r="I1548" s="18" t="n">
        <v>1.5</v>
      </c>
      <c r="J1548" s="19" t="n">
        <v>0.94755705369468</v>
      </c>
      <c r="K1548" s="19" t="n">
        <v>0.639019762469669</v>
      </c>
      <c r="L1548" s="16" t="n">
        <v>13.4433238977053</v>
      </c>
      <c r="M1548" s="19" t="n">
        <v>0.913476921262721</v>
      </c>
      <c r="N1548" s="19" t="n">
        <v>3.99760930593492</v>
      </c>
      <c r="O1548" s="19" t="n">
        <v>1.1185817388528</v>
      </c>
      <c r="P1548" s="19" t="n">
        <v>0.409571814414432</v>
      </c>
      <c r="Q1548" s="17" t="s">
        <v>31</v>
      </c>
      <c r="R1548" s="5" t="str">
        <f aca="false">IF(OR(Q1548="Steel plate",Q1548="Concrete jacket"),"Steel plate or jacket",Q1548)</f>
        <v>Polymer laminate</v>
      </c>
      <c r="S1548" s="5" t="str">
        <f aca="false">IF(O1548&lt;='Tree rules'!$C$4,IF(N1548&lt;='Tree rules'!$C$5,IF(P1548&lt;='Tree rules'!$C$6,"Monitor","Polymer laminate"),IF(P1548&lt;='Tree rules'!$C$7,"Seal cracks","Polymer laminate")),IF(O1548&lt;='Tree rules'!$C$8,IF(M1548&lt;='Tree rules'!$C$9,"Steel plate or jacket","Polymer laminate"),IF(L1548&lt;='Tree rules'!$C$10,"Steel plate or jacket","Polymer laminate")))</f>
        <v>Polymer laminate</v>
      </c>
      <c r="T1548" s="5" t="str">
        <f aca="false">IF(S1548=R1548,"Yes","No")</f>
        <v>Yes</v>
      </c>
    </row>
    <row r="1549" customFormat="false" ht="15" hidden="false" customHeight="false" outlineLevel="0" collapsed="false">
      <c r="A1549" s="15" t="n">
        <v>2206</v>
      </c>
      <c r="B1549" s="16" t="n">
        <v>4.67162486401169</v>
      </c>
      <c r="C1549" s="15" t="n">
        <v>230</v>
      </c>
      <c r="D1549" s="15" t="n">
        <v>450</v>
      </c>
      <c r="E1549" s="15" t="n">
        <v>20</v>
      </c>
      <c r="F1549" s="16" t="n">
        <v>0.649145274956135</v>
      </c>
      <c r="G1549" s="17" t="s">
        <v>89</v>
      </c>
      <c r="H1549" s="18" t="n">
        <v>0.3</v>
      </c>
      <c r="I1549" s="18" t="n">
        <v>1.5</v>
      </c>
      <c r="J1549" s="19" t="n">
        <v>0.860566727727024</v>
      </c>
      <c r="K1549" s="19" t="n">
        <v>0.402378709549149</v>
      </c>
      <c r="L1549" s="16" t="n">
        <v>11.563427881217</v>
      </c>
      <c r="M1549" s="19" t="n">
        <v>0.332573015124687</v>
      </c>
      <c r="N1549" s="19" t="n">
        <v>0.840530070718682</v>
      </c>
      <c r="O1549" s="19" t="n">
        <v>1.11771322689867</v>
      </c>
      <c r="P1549" s="19" t="n">
        <v>0.92274045870164</v>
      </c>
      <c r="Q1549" s="17" t="s">
        <v>31</v>
      </c>
      <c r="R1549" s="5" t="str">
        <f aca="false">IF(OR(Q1549="Steel plate",Q1549="Concrete jacket"),"Steel plate or jacket",Q1549)</f>
        <v>Polymer laminate</v>
      </c>
      <c r="S1549" s="5" t="str">
        <f aca="false">IF(O1549&lt;='Tree rules'!$C$4,IF(N1549&lt;='Tree rules'!$C$5,IF(P1549&lt;='Tree rules'!$C$6,"Monitor","Polymer laminate"),IF(P1549&lt;='Tree rules'!$C$7,"Seal cracks","Polymer laminate")),IF(O1549&lt;='Tree rules'!$C$8,IF(M1549&lt;='Tree rules'!$C$9,"Steel plate or jacket","Polymer laminate"),IF(L1549&lt;='Tree rules'!$C$10,"Steel plate or jacket","Polymer laminate")))</f>
        <v>Polymer laminate</v>
      </c>
      <c r="T1549" s="5" t="str">
        <f aca="false">IF(S1549=R1549,"Yes","No")</f>
        <v>Yes</v>
      </c>
    </row>
    <row r="1550" customFormat="false" ht="15" hidden="false" customHeight="false" outlineLevel="0" collapsed="false">
      <c r="A1550" s="15" t="n">
        <v>2207</v>
      </c>
      <c r="B1550" s="16" t="n">
        <v>3.77746326092007</v>
      </c>
      <c r="C1550" s="15" t="n">
        <v>300</v>
      </c>
      <c r="D1550" s="15" t="n">
        <v>350</v>
      </c>
      <c r="E1550" s="15" t="n">
        <v>30</v>
      </c>
      <c r="F1550" s="16" t="n">
        <v>0.881850569428714</v>
      </c>
      <c r="G1550" s="17" t="s">
        <v>89</v>
      </c>
      <c r="H1550" s="18" t="n">
        <v>0.3</v>
      </c>
      <c r="I1550" s="18" t="n">
        <v>1</v>
      </c>
      <c r="J1550" s="19" t="n">
        <v>0.90569584721355</v>
      </c>
      <c r="K1550" s="19" t="n">
        <v>0.401839105099737</v>
      </c>
      <c r="L1550" s="16" t="n">
        <v>12.4258659898686</v>
      </c>
      <c r="M1550" s="19" t="n">
        <v>0.814901583057623</v>
      </c>
      <c r="N1550" s="19" t="n">
        <v>0.636025412228089</v>
      </c>
      <c r="O1550" s="19" t="n">
        <v>0.90569584721355</v>
      </c>
      <c r="P1550" s="19" t="n">
        <v>0.40208691604027</v>
      </c>
      <c r="Q1550" s="17" t="s">
        <v>29</v>
      </c>
      <c r="R1550" s="5" t="str">
        <f aca="false">IF(OR(Q1550="Steel plate",Q1550="Concrete jacket"),"Steel plate or jacket",Q1550)</f>
        <v>Monitor</v>
      </c>
      <c r="S1550" s="5" t="str">
        <f aca="false">IF(O1550&lt;='Tree rules'!$C$4,IF(N1550&lt;='Tree rules'!$C$5,IF(P1550&lt;='Tree rules'!$C$6,"Monitor","Polymer laminate"),IF(P1550&lt;='Tree rules'!$C$7,"Seal cracks","Polymer laminate")),IF(O1550&lt;='Tree rules'!$C$8,IF(M1550&lt;='Tree rules'!$C$9,"Steel plate or jacket","Polymer laminate"),IF(L1550&lt;='Tree rules'!$C$10,"Steel plate or jacket","Polymer laminate")))</f>
        <v>Monitor</v>
      </c>
      <c r="T1550" s="5" t="str">
        <f aca="false">IF(S1550=R1550,"Yes","No")</f>
        <v>Yes</v>
      </c>
    </row>
    <row r="1551" customFormat="false" ht="15" hidden="false" customHeight="false" outlineLevel="0" collapsed="false">
      <c r="A1551" s="15" t="n">
        <v>2208</v>
      </c>
      <c r="B1551" s="16" t="n">
        <v>3.27375678529829</v>
      </c>
      <c r="C1551" s="15" t="n">
        <v>300</v>
      </c>
      <c r="D1551" s="15" t="n">
        <v>300</v>
      </c>
      <c r="E1551" s="15" t="n">
        <v>25</v>
      </c>
      <c r="F1551" s="16" t="n">
        <v>0.791582400904515</v>
      </c>
      <c r="G1551" s="17" t="s">
        <v>89</v>
      </c>
      <c r="H1551" s="18" t="n">
        <v>0.3</v>
      </c>
      <c r="I1551" s="18" t="n">
        <v>1.5</v>
      </c>
      <c r="J1551" s="19" t="n">
        <v>0.872001020281236</v>
      </c>
      <c r="K1551" s="19" t="n">
        <v>0.463382043169415</v>
      </c>
      <c r="L1551" s="16" t="n">
        <v>12.8888062413318</v>
      </c>
      <c r="M1551" s="19" t="n">
        <v>0.814732913039153</v>
      </c>
      <c r="N1551" s="19" t="n">
        <v>0.890311697224545</v>
      </c>
      <c r="O1551" s="19" t="n">
        <v>1.10596672320999</v>
      </c>
      <c r="P1551" s="19" t="n">
        <v>0.432915552565962</v>
      </c>
      <c r="Q1551" s="17" t="s">
        <v>31</v>
      </c>
      <c r="R1551" s="5" t="str">
        <f aca="false">IF(OR(Q1551="Steel plate",Q1551="Concrete jacket"),"Steel plate or jacket",Q1551)</f>
        <v>Polymer laminate</v>
      </c>
      <c r="S1551" s="5" t="str">
        <f aca="false">IF(O1551&lt;='Tree rules'!$C$4,IF(N1551&lt;='Tree rules'!$C$5,IF(P1551&lt;='Tree rules'!$C$6,"Monitor","Polymer laminate"),IF(P1551&lt;='Tree rules'!$C$7,"Seal cracks","Polymer laminate")),IF(O1551&lt;='Tree rules'!$C$8,IF(M1551&lt;='Tree rules'!$C$9,"Steel plate or jacket","Polymer laminate"),IF(L1551&lt;='Tree rules'!$C$10,"Steel plate or jacket","Polymer laminate")))</f>
        <v>Polymer laminate</v>
      </c>
      <c r="T1551" s="5" t="str">
        <f aca="false">IF(S1551=R1551,"Yes","No")</f>
        <v>Yes</v>
      </c>
    </row>
    <row r="1552" customFormat="false" ht="15" hidden="false" customHeight="false" outlineLevel="0" collapsed="false">
      <c r="A1552" s="15" t="n">
        <v>2209</v>
      </c>
      <c r="B1552" s="16" t="n">
        <v>4.59296325409727</v>
      </c>
      <c r="C1552" s="15" t="n">
        <v>300</v>
      </c>
      <c r="D1552" s="15" t="n">
        <v>375</v>
      </c>
      <c r="E1552" s="15" t="n">
        <v>30</v>
      </c>
      <c r="F1552" s="16" t="n">
        <v>0.671280481536281</v>
      </c>
      <c r="G1552" s="17" t="s">
        <v>90</v>
      </c>
      <c r="H1552" s="18" t="n">
        <v>0.1</v>
      </c>
      <c r="I1552" s="18" t="n">
        <v>1</v>
      </c>
      <c r="J1552" s="19" t="n">
        <v>0.890308363375388</v>
      </c>
      <c r="K1552" s="19" t="n">
        <v>0.503986641356618</v>
      </c>
      <c r="L1552" s="16" t="n">
        <v>14.7210360708246</v>
      </c>
      <c r="M1552" s="19" t="n">
        <v>0.414238722331396</v>
      </c>
      <c r="N1552" s="19" t="n">
        <v>3.43107347457618</v>
      </c>
      <c r="O1552" s="19" t="n">
        <v>0.890308363375388</v>
      </c>
      <c r="P1552" s="19" t="n">
        <v>0.666057620397385</v>
      </c>
      <c r="Q1552" s="17" t="s">
        <v>30</v>
      </c>
      <c r="R1552" s="5" t="str">
        <f aca="false">IF(OR(Q1552="Steel plate",Q1552="Concrete jacket"),"Steel plate or jacket",Q1552)</f>
        <v>Seal cracks</v>
      </c>
      <c r="S1552" s="5" t="str">
        <f aca="false">IF(O1552&lt;='Tree rules'!$C$4,IF(N1552&lt;='Tree rules'!$C$5,IF(P1552&lt;='Tree rules'!$C$6,"Monitor","Polymer laminate"),IF(P1552&lt;='Tree rules'!$C$7,"Seal cracks","Polymer laminate")),IF(O1552&lt;='Tree rules'!$C$8,IF(M1552&lt;='Tree rules'!$C$9,"Steel plate or jacket","Polymer laminate"),IF(L1552&lt;='Tree rules'!$C$10,"Steel plate or jacket","Polymer laminate")))</f>
        <v>Seal cracks</v>
      </c>
      <c r="T1552" s="5" t="str">
        <f aca="false">IF(S1552=R1552,"Yes","No")</f>
        <v>Yes</v>
      </c>
    </row>
    <row r="1553" customFormat="false" ht="15" hidden="false" customHeight="false" outlineLevel="0" collapsed="false">
      <c r="A1553" s="15" t="n">
        <v>2210</v>
      </c>
      <c r="B1553" s="16" t="n">
        <v>6.37814874271741</v>
      </c>
      <c r="C1553" s="15" t="n">
        <v>300</v>
      </c>
      <c r="D1553" s="15" t="n">
        <v>575</v>
      </c>
      <c r="E1553" s="15" t="n">
        <v>30</v>
      </c>
      <c r="F1553" s="16" t="n">
        <v>0.79483685100311</v>
      </c>
      <c r="G1553" s="17" t="s">
        <v>89</v>
      </c>
      <c r="H1553" s="18" t="n">
        <v>0.3</v>
      </c>
      <c r="I1553" s="18" t="n">
        <v>1</v>
      </c>
      <c r="J1553" s="19" t="n">
        <v>0.927282395262217</v>
      </c>
      <c r="K1553" s="19" t="n">
        <v>0.414953588373839</v>
      </c>
      <c r="L1553" s="16" t="n">
        <v>12.1027490374144</v>
      </c>
      <c r="M1553" s="19" t="n">
        <v>0.347608832034282</v>
      </c>
      <c r="N1553" s="19" t="n">
        <v>0.684659324327171</v>
      </c>
      <c r="O1553" s="19" t="n">
        <v>0.927282395262216</v>
      </c>
      <c r="P1553" s="19" t="n">
        <v>0.93285387213796</v>
      </c>
      <c r="Q1553" s="17" t="s">
        <v>31</v>
      </c>
      <c r="R1553" s="5" t="str">
        <f aca="false">IF(OR(Q1553="Steel plate",Q1553="Concrete jacket"),"Steel plate or jacket",Q1553)</f>
        <v>Polymer laminate</v>
      </c>
      <c r="S1553" s="5" t="str">
        <f aca="false">IF(O1553&lt;='Tree rules'!$C$4,IF(N1553&lt;='Tree rules'!$C$5,IF(P1553&lt;='Tree rules'!$C$6,"Monitor","Polymer laminate"),IF(P1553&lt;='Tree rules'!$C$7,"Seal cracks","Polymer laminate")),IF(O1553&lt;='Tree rules'!$C$8,IF(M1553&lt;='Tree rules'!$C$9,"Steel plate or jacket","Polymer laminate"),IF(L1553&lt;='Tree rules'!$C$10,"Steel plate or jacket","Polymer laminate")))</f>
        <v>Monitor</v>
      </c>
      <c r="T1553" s="5" t="str">
        <f aca="false">IF(S1553=R1553,"Yes","No")</f>
        <v>No</v>
      </c>
    </row>
    <row r="1554" customFormat="false" ht="15" hidden="false" customHeight="false" outlineLevel="0" collapsed="false">
      <c r="A1554" s="15" t="n">
        <v>2211</v>
      </c>
      <c r="B1554" s="16" t="n">
        <v>5.69397324717347</v>
      </c>
      <c r="C1554" s="15" t="n">
        <v>230</v>
      </c>
      <c r="D1554" s="15" t="n">
        <v>525</v>
      </c>
      <c r="E1554" s="15" t="n">
        <v>25</v>
      </c>
      <c r="F1554" s="16" t="n">
        <v>0.730006099046008</v>
      </c>
      <c r="G1554" s="17" t="s">
        <v>89</v>
      </c>
      <c r="H1554" s="18" t="n">
        <v>0.3</v>
      </c>
      <c r="I1554" s="18" t="n">
        <v>2</v>
      </c>
      <c r="J1554" s="19" t="n">
        <v>0.882648507321516</v>
      </c>
      <c r="K1554" s="19" t="n">
        <v>0.53863829260305</v>
      </c>
      <c r="L1554" s="16" t="n">
        <v>11.887209284287</v>
      </c>
      <c r="M1554" s="19" t="n">
        <v>0.9391947180471</v>
      </c>
      <c r="N1554" s="19" t="n">
        <v>0.792815546288147</v>
      </c>
      <c r="O1554" s="19" t="n">
        <v>1.28986872969074</v>
      </c>
      <c r="P1554" s="19" t="n">
        <v>0.466915754836273</v>
      </c>
      <c r="Q1554" s="17" t="s">
        <v>31</v>
      </c>
      <c r="R1554" s="5" t="str">
        <f aca="false">IF(OR(Q1554="Steel plate",Q1554="Concrete jacket"),"Steel plate or jacket",Q1554)</f>
        <v>Polymer laminate</v>
      </c>
      <c r="S1554" s="5" t="str">
        <f aca="false">IF(O1554&lt;='Tree rules'!$C$4,IF(N1554&lt;='Tree rules'!$C$5,IF(P1554&lt;='Tree rules'!$C$6,"Monitor","Polymer laminate"),IF(P1554&lt;='Tree rules'!$C$7,"Seal cracks","Polymer laminate")),IF(O1554&lt;='Tree rules'!$C$8,IF(M1554&lt;='Tree rules'!$C$9,"Steel plate or jacket","Polymer laminate"),IF(L1554&lt;='Tree rules'!$C$10,"Steel plate or jacket","Polymer laminate")))</f>
        <v>Polymer laminate</v>
      </c>
      <c r="T1554" s="5" t="str">
        <f aca="false">IF(S1554=R1554,"Yes","No")</f>
        <v>Yes</v>
      </c>
    </row>
    <row r="1555" customFormat="false" ht="15" hidden="false" customHeight="false" outlineLevel="0" collapsed="false">
      <c r="A1555" s="15" t="n">
        <v>2212</v>
      </c>
      <c r="B1555" s="16" t="n">
        <v>3.4737952682114</v>
      </c>
      <c r="C1555" s="15" t="n">
        <v>300</v>
      </c>
      <c r="D1555" s="15" t="n">
        <v>300</v>
      </c>
      <c r="E1555" s="15" t="n">
        <v>30</v>
      </c>
      <c r="F1555" s="16" t="n">
        <v>0.831109167616348</v>
      </c>
      <c r="G1555" s="17" t="s">
        <v>89</v>
      </c>
      <c r="H1555" s="18" t="n">
        <v>0.3</v>
      </c>
      <c r="I1555" s="18" t="n">
        <v>1</v>
      </c>
      <c r="J1555" s="19" t="n">
        <v>0.930658207938696</v>
      </c>
      <c r="K1555" s="19" t="n">
        <v>0.488960219284369</v>
      </c>
      <c r="L1555" s="16" t="n">
        <v>13.7849018579817</v>
      </c>
      <c r="M1555" s="19" t="n">
        <v>0.416987616045299</v>
      </c>
      <c r="N1555" s="19" t="n">
        <v>1.05158882162206</v>
      </c>
      <c r="O1555" s="19" t="n">
        <v>0.930658207938696</v>
      </c>
      <c r="P1555" s="19" t="n">
        <v>0.779703243788792</v>
      </c>
      <c r="Q1555" s="17" t="s">
        <v>30</v>
      </c>
      <c r="R1555" s="5" t="str">
        <f aca="false">IF(OR(Q1555="Steel plate",Q1555="Concrete jacket"),"Steel plate or jacket",Q1555)</f>
        <v>Seal cracks</v>
      </c>
      <c r="S1555" s="5" t="str">
        <f aca="false">IF(O1555&lt;='Tree rules'!$C$4,IF(N1555&lt;='Tree rules'!$C$5,IF(P1555&lt;='Tree rules'!$C$6,"Monitor","Polymer laminate"),IF(P1555&lt;='Tree rules'!$C$7,"Seal cracks","Polymer laminate")),IF(O1555&lt;='Tree rules'!$C$8,IF(M1555&lt;='Tree rules'!$C$9,"Steel plate or jacket","Polymer laminate"),IF(L1555&lt;='Tree rules'!$C$10,"Steel plate or jacket","Polymer laminate")))</f>
        <v>Seal cracks</v>
      </c>
      <c r="T1555" s="5" t="str">
        <f aca="false">IF(S1555=R1555,"Yes","No")</f>
        <v>Yes</v>
      </c>
    </row>
    <row r="1556" customFormat="false" ht="15" hidden="false" customHeight="false" outlineLevel="0" collapsed="false">
      <c r="A1556" s="15" t="n">
        <v>2214</v>
      </c>
      <c r="B1556" s="16" t="n">
        <v>3.87037935118052</v>
      </c>
      <c r="C1556" s="15" t="n">
        <v>300</v>
      </c>
      <c r="D1556" s="15" t="n">
        <v>350</v>
      </c>
      <c r="E1556" s="15" t="n">
        <v>30</v>
      </c>
      <c r="F1556" s="16" t="n">
        <v>0.693508312050727</v>
      </c>
      <c r="G1556" s="17" t="s">
        <v>89</v>
      </c>
      <c r="H1556" s="18" t="n">
        <v>0.3</v>
      </c>
      <c r="I1556" s="18" t="n">
        <v>1</v>
      </c>
      <c r="J1556" s="19" t="n">
        <v>0.920491384522715</v>
      </c>
      <c r="K1556" s="19" t="n">
        <v>0.614874998130418</v>
      </c>
      <c r="L1556" s="16" t="n">
        <v>12.8158256661607</v>
      </c>
      <c r="M1556" s="19" t="n">
        <v>0.88749608072237</v>
      </c>
      <c r="N1556" s="19" t="n">
        <v>0.948892268787162</v>
      </c>
      <c r="O1556" s="19" t="n">
        <v>0.920491384522715</v>
      </c>
      <c r="P1556" s="19" t="n">
        <v>0.37056750817998</v>
      </c>
      <c r="Q1556" s="17" t="s">
        <v>29</v>
      </c>
      <c r="R1556" s="5" t="str">
        <f aca="false">IF(OR(Q1556="Steel plate",Q1556="Concrete jacket"),"Steel plate or jacket",Q1556)</f>
        <v>Monitor</v>
      </c>
      <c r="S1556" s="5" t="str">
        <f aca="false">IF(O1556&lt;='Tree rules'!$C$4,IF(N1556&lt;='Tree rules'!$C$5,IF(P1556&lt;='Tree rules'!$C$6,"Monitor","Polymer laminate"),IF(P1556&lt;='Tree rules'!$C$7,"Seal cracks","Polymer laminate")),IF(O1556&lt;='Tree rules'!$C$8,IF(M1556&lt;='Tree rules'!$C$9,"Steel plate or jacket","Polymer laminate"),IF(L1556&lt;='Tree rules'!$C$10,"Steel plate or jacket","Polymer laminate")))</f>
        <v>Monitor</v>
      </c>
      <c r="T1556" s="5" t="str">
        <f aca="false">IF(S1556=R1556,"Yes","No")</f>
        <v>Yes</v>
      </c>
    </row>
    <row r="1557" customFormat="false" ht="15" hidden="false" customHeight="false" outlineLevel="0" collapsed="false">
      <c r="A1557" s="15" t="n">
        <v>2216</v>
      </c>
      <c r="B1557" s="16" t="n">
        <v>5.39094647703371</v>
      </c>
      <c r="C1557" s="15" t="n">
        <v>300</v>
      </c>
      <c r="D1557" s="15" t="n">
        <v>500</v>
      </c>
      <c r="E1557" s="15" t="n">
        <v>30</v>
      </c>
      <c r="F1557" s="16" t="n">
        <v>0.738112811416104</v>
      </c>
      <c r="G1557" s="17" t="s">
        <v>89</v>
      </c>
      <c r="H1557" s="18" t="n">
        <v>0.3</v>
      </c>
      <c r="I1557" s="18" t="n">
        <v>2</v>
      </c>
      <c r="J1557" s="19" t="n">
        <v>0.872614410874004</v>
      </c>
      <c r="K1557" s="19" t="n">
        <v>0.558897203279635</v>
      </c>
      <c r="L1557" s="16" t="n">
        <v>11.8743314472108</v>
      </c>
      <c r="M1557" s="19" t="n">
        <v>0.547432314890807</v>
      </c>
      <c r="N1557" s="19" t="n">
        <v>0.852678791287502</v>
      </c>
      <c r="O1557" s="19" t="n">
        <v>1.25752706796902</v>
      </c>
      <c r="P1557" s="19" t="n">
        <v>0.714832716385988</v>
      </c>
      <c r="Q1557" s="17" t="s">
        <v>31</v>
      </c>
      <c r="R1557" s="5" t="str">
        <f aca="false">IF(OR(Q1557="Steel plate",Q1557="Concrete jacket"),"Steel plate or jacket",Q1557)</f>
        <v>Polymer laminate</v>
      </c>
      <c r="S1557" s="5" t="str">
        <f aca="false">IF(O1557&lt;='Tree rules'!$C$4,IF(N1557&lt;='Tree rules'!$C$5,IF(P1557&lt;='Tree rules'!$C$6,"Monitor","Polymer laminate"),IF(P1557&lt;='Tree rules'!$C$7,"Seal cracks","Polymer laminate")),IF(O1557&lt;='Tree rules'!$C$8,IF(M1557&lt;='Tree rules'!$C$9,"Steel plate or jacket","Polymer laminate"),IF(L1557&lt;='Tree rules'!$C$10,"Steel plate or jacket","Polymer laminate")))</f>
        <v>Polymer laminate</v>
      </c>
      <c r="T1557" s="5" t="str">
        <f aca="false">IF(S1557=R1557,"Yes","No")</f>
        <v>Yes</v>
      </c>
    </row>
    <row r="1558" customFormat="false" ht="15" hidden="false" customHeight="false" outlineLevel="0" collapsed="false">
      <c r="A1558" s="15" t="n">
        <v>2217</v>
      </c>
      <c r="B1558" s="16" t="n">
        <v>3.45010766977719</v>
      </c>
      <c r="C1558" s="15" t="n">
        <v>300</v>
      </c>
      <c r="D1558" s="15" t="n">
        <v>325</v>
      </c>
      <c r="E1558" s="15" t="n">
        <v>20</v>
      </c>
      <c r="F1558" s="16" t="n">
        <v>0.67080270183412</v>
      </c>
      <c r="G1558" s="17" t="s">
        <v>91</v>
      </c>
      <c r="H1558" s="18" t="n">
        <v>0.2</v>
      </c>
      <c r="I1558" s="18" t="n">
        <v>1</v>
      </c>
      <c r="J1558" s="19" t="n">
        <v>0.948286894623748</v>
      </c>
      <c r="K1558" s="19" t="n">
        <v>0.492830060868691</v>
      </c>
      <c r="L1558" s="16" t="n">
        <v>12.2779632376413</v>
      </c>
      <c r="M1558" s="19" t="n">
        <v>0.561479627198432</v>
      </c>
      <c r="N1558" s="19" t="n">
        <v>0.960370426318247</v>
      </c>
      <c r="O1558" s="19" t="n">
        <v>0.948286894623748</v>
      </c>
      <c r="P1558" s="19" t="n">
        <v>0.558276283748055</v>
      </c>
      <c r="Q1558" s="17" t="s">
        <v>29</v>
      </c>
      <c r="R1558" s="5" t="str">
        <f aca="false">IF(OR(Q1558="Steel plate",Q1558="Concrete jacket"),"Steel plate or jacket",Q1558)</f>
        <v>Monitor</v>
      </c>
      <c r="S1558" s="5" t="str">
        <f aca="false">IF(O1558&lt;='Tree rules'!$C$4,IF(N1558&lt;='Tree rules'!$C$5,IF(P1558&lt;='Tree rules'!$C$6,"Monitor","Polymer laminate"),IF(P1558&lt;='Tree rules'!$C$7,"Seal cracks","Polymer laminate")),IF(O1558&lt;='Tree rules'!$C$8,IF(M1558&lt;='Tree rules'!$C$9,"Steel plate or jacket","Polymer laminate"),IF(L1558&lt;='Tree rules'!$C$10,"Steel plate or jacket","Polymer laminate")))</f>
        <v>Monitor</v>
      </c>
      <c r="T1558" s="5" t="str">
        <f aca="false">IF(S1558=R1558,"Yes","No")</f>
        <v>Yes</v>
      </c>
    </row>
    <row r="1559" customFormat="false" ht="15" hidden="false" customHeight="false" outlineLevel="0" collapsed="false">
      <c r="A1559" s="15" t="n">
        <v>2218</v>
      </c>
      <c r="B1559" s="16" t="n">
        <v>6.84482985830458</v>
      </c>
      <c r="C1559" s="15" t="n">
        <v>300</v>
      </c>
      <c r="D1559" s="15" t="n">
        <v>650</v>
      </c>
      <c r="E1559" s="15" t="n">
        <v>20</v>
      </c>
      <c r="F1559" s="16" t="n">
        <v>0.695812326376477</v>
      </c>
      <c r="G1559" s="17" t="s">
        <v>89</v>
      </c>
      <c r="H1559" s="18" t="n">
        <v>0.3</v>
      </c>
      <c r="I1559" s="18" t="n">
        <v>1.5</v>
      </c>
      <c r="J1559" s="19" t="n">
        <v>0.992223344426358</v>
      </c>
      <c r="K1559" s="19" t="n">
        <v>0.469044630708572</v>
      </c>
      <c r="L1559" s="16" t="n">
        <v>11.3701492662867</v>
      </c>
      <c r="M1559" s="19" t="n">
        <v>0.699221748016261</v>
      </c>
      <c r="N1559" s="19" t="n">
        <v>0.840645782216932</v>
      </c>
      <c r="O1559" s="19" t="n">
        <v>1.25563650055609</v>
      </c>
      <c r="P1559" s="19" t="n">
        <v>0.608886344695359</v>
      </c>
      <c r="Q1559" s="17" t="s">
        <v>31</v>
      </c>
      <c r="R1559" s="5" t="str">
        <f aca="false">IF(OR(Q1559="Steel plate",Q1559="Concrete jacket"),"Steel plate or jacket",Q1559)</f>
        <v>Polymer laminate</v>
      </c>
      <c r="S1559" s="5" t="str">
        <f aca="false">IF(O1559&lt;='Tree rules'!$C$4,IF(N1559&lt;='Tree rules'!$C$5,IF(P1559&lt;='Tree rules'!$C$6,"Monitor","Polymer laminate"),IF(P1559&lt;='Tree rules'!$C$7,"Seal cracks","Polymer laminate")),IF(O1559&lt;='Tree rules'!$C$8,IF(M1559&lt;='Tree rules'!$C$9,"Steel plate or jacket","Polymer laminate"),IF(L1559&lt;='Tree rules'!$C$10,"Steel plate or jacket","Polymer laminate")))</f>
        <v>Polymer laminate</v>
      </c>
      <c r="T1559" s="5" t="str">
        <f aca="false">IF(S1559=R1559,"Yes","No")</f>
        <v>Yes</v>
      </c>
    </row>
    <row r="1560" customFormat="false" ht="15" hidden="false" customHeight="false" outlineLevel="0" collapsed="false">
      <c r="A1560" s="15" t="n">
        <v>2220</v>
      </c>
      <c r="B1560" s="16" t="n">
        <v>4.32358974885502</v>
      </c>
      <c r="C1560" s="15" t="n">
        <v>300</v>
      </c>
      <c r="D1560" s="15" t="n">
        <v>375</v>
      </c>
      <c r="E1560" s="15" t="n">
        <v>30</v>
      </c>
      <c r="F1560" s="16" t="n">
        <v>0.814840647739602</v>
      </c>
      <c r="G1560" s="17" t="s">
        <v>91</v>
      </c>
      <c r="H1560" s="18" t="n">
        <v>0.2</v>
      </c>
      <c r="I1560" s="18" t="n">
        <v>2</v>
      </c>
      <c r="J1560" s="19" t="n">
        <v>0.860054686575148</v>
      </c>
      <c r="K1560" s="19" t="n">
        <v>0.530191243502707</v>
      </c>
      <c r="L1560" s="16" t="n">
        <v>13.1416101788906</v>
      </c>
      <c r="M1560" s="19" t="n">
        <v>0.514312002746548</v>
      </c>
      <c r="N1560" s="19" t="n">
        <v>1.42374727867166</v>
      </c>
      <c r="O1560" s="19" t="n">
        <v>1.26411590939469</v>
      </c>
      <c r="P1560" s="19" t="n">
        <v>0.80797139777454</v>
      </c>
      <c r="Q1560" s="17" t="s">
        <v>31</v>
      </c>
      <c r="R1560" s="5" t="str">
        <f aca="false">IF(OR(Q1560="Steel plate",Q1560="Concrete jacket"),"Steel plate or jacket",Q1560)</f>
        <v>Polymer laminate</v>
      </c>
      <c r="S1560" s="5" t="str">
        <f aca="false">IF(O1560&lt;='Tree rules'!$C$4,IF(N1560&lt;='Tree rules'!$C$5,IF(P1560&lt;='Tree rules'!$C$6,"Monitor","Polymer laminate"),IF(P1560&lt;='Tree rules'!$C$7,"Seal cracks","Polymer laminate")),IF(O1560&lt;='Tree rules'!$C$8,IF(M1560&lt;='Tree rules'!$C$9,"Steel plate or jacket","Polymer laminate"),IF(L1560&lt;='Tree rules'!$C$10,"Steel plate or jacket","Polymer laminate")))</f>
        <v>Polymer laminate</v>
      </c>
      <c r="T1560" s="5" t="str">
        <f aca="false">IF(S1560=R1560,"Yes","No")</f>
        <v>Yes</v>
      </c>
    </row>
    <row r="1561" customFormat="false" ht="15" hidden="false" customHeight="false" outlineLevel="0" collapsed="false">
      <c r="A1561" s="15" t="n">
        <v>2221</v>
      </c>
      <c r="B1561" s="16" t="n">
        <v>6.88434486010193</v>
      </c>
      <c r="C1561" s="15" t="n">
        <v>230</v>
      </c>
      <c r="D1561" s="15" t="n">
        <v>550</v>
      </c>
      <c r="E1561" s="15" t="n">
        <v>30</v>
      </c>
      <c r="F1561" s="16" t="n">
        <v>0.560948603444298</v>
      </c>
      <c r="G1561" s="17" t="s">
        <v>90</v>
      </c>
      <c r="H1561" s="18" t="n">
        <v>0.1</v>
      </c>
      <c r="I1561" s="18" t="n">
        <v>2</v>
      </c>
      <c r="J1561" s="19" t="n">
        <v>0.972317003479437</v>
      </c>
      <c r="K1561" s="19" t="n">
        <v>0.493286948005104</v>
      </c>
      <c r="L1561" s="16" t="n">
        <v>14.1362317455892</v>
      </c>
      <c r="M1561" s="19" t="n">
        <v>0.456059239753397</v>
      </c>
      <c r="N1561" s="19" t="n">
        <v>4.71331952322301</v>
      </c>
      <c r="O1561" s="19" t="n">
        <v>1.46500271981903</v>
      </c>
      <c r="P1561" s="19" t="n">
        <v>0.809932010487471</v>
      </c>
      <c r="Q1561" s="17" t="s">
        <v>31</v>
      </c>
      <c r="R1561" s="5" t="str">
        <f aca="false">IF(OR(Q1561="Steel plate",Q1561="Concrete jacket"),"Steel plate or jacket",Q1561)</f>
        <v>Polymer laminate</v>
      </c>
      <c r="S1561" s="5" t="str">
        <f aca="false">IF(O1561&lt;='Tree rules'!$C$4,IF(N1561&lt;='Tree rules'!$C$5,IF(P1561&lt;='Tree rules'!$C$6,"Monitor","Polymer laminate"),IF(P1561&lt;='Tree rules'!$C$7,"Seal cracks","Polymer laminate")),IF(O1561&lt;='Tree rules'!$C$8,IF(M1561&lt;='Tree rules'!$C$9,"Steel plate or jacket","Polymer laminate"),IF(L1561&lt;='Tree rules'!$C$10,"Steel plate or jacket","Polymer laminate")))</f>
        <v>Polymer laminate</v>
      </c>
      <c r="T1561" s="5" t="str">
        <f aca="false">IF(S1561=R1561,"Yes","No")</f>
        <v>Yes</v>
      </c>
    </row>
    <row r="1562" customFormat="false" ht="15" hidden="false" customHeight="false" outlineLevel="0" collapsed="false">
      <c r="A1562" s="15" t="n">
        <v>2223</v>
      </c>
      <c r="B1562" s="16" t="n">
        <v>6.2850283198513</v>
      </c>
      <c r="C1562" s="15" t="n">
        <v>300</v>
      </c>
      <c r="D1562" s="15" t="n">
        <v>575</v>
      </c>
      <c r="E1562" s="15" t="n">
        <v>25</v>
      </c>
      <c r="F1562" s="16" t="n">
        <v>0.651951782846131</v>
      </c>
      <c r="G1562" s="17" t="s">
        <v>90</v>
      </c>
      <c r="H1562" s="18" t="n">
        <v>0.1</v>
      </c>
      <c r="I1562" s="18" t="n">
        <v>2</v>
      </c>
      <c r="J1562" s="19" t="n">
        <v>0.863514691794249</v>
      </c>
      <c r="K1562" s="19" t="n">
        <v>0.493595620843311</v>
      </c>
      <c r="L1562" s="16" t="n">
        <v>12.2276815561309</v>
      </c>
      <c r="M1562" s="19" t="n">
        <v>0.402214555278054</v>
      </c>
      <c r="N1562" s="19" t="n">
        <v>3.51306852845412</v>
      </c>
      <c r="O1562" s="19" t="n">
        <v>1.300802313185</v>
      </c>
      <c r="P1562" s="19" t="n">
        <v>0.882443201138236</v>
      </c>
      <c r="Q1562" s="17" t="s">
        <v>31</v>
      </c>
      <c r="R1562" s="5" t="str">
        <f aca="false">IF(OR(Q1562="Steel plate",Q1562="Concrete jacket"),"Steel plate or jacket",Q1562)</f>
        <v>Polymer laminate</v>
      </c>
      <c r="S1562" s="5" t="str">
        <f aca="false">IF(O1562&lt;='Tree rules'!$C$4,IF(N1562&lt;='Tree rules'!$C$5,IF(P1562&lt;='Tree rules'!$C$6,"Monitor","Polymer laminate"),IF(P1562&lt;='Tree rules'!$C$7,"Seal cracks","Polymer laminate")),IF(O1562&lt;='Tree rules'!$C$8,IF(M1562&lt;='Tree rules'!$C$9,"Steel plate or jacket","Polymer laminate"),IF(L1562&lt;='Tree rules'!$C$10,"Steel plate or jacket","Polymer laminate")))</f>
        <v>Steel plate or jacket</v>
      </c>
      <c r="T1562" s="5" t="str">
        <f aca="false">IF(S1562=R1562,"Yes","No")</f>
        <v>No</v>
      </c>
    </row>
    <row r="1563" customFormat="false" ht="15" hidden="false" customHeight="false" outlineLevel="0" collapsed="false">
      <c r="A1563" s="15" t="n">
        <v>2224</v>
      </c>
      <c r="B1563" s="16" t="n">
        <v>7.62079326277903</v>
      </c>
      <c r="C1563" s="15" t="n">
        <v>300</v>
      </c>
      <c r="D1563" s="15" t="n">
        <v>750</v>
      </c>
      <c r="E1563" s="15" t="n">
        <v>30</v>
      </c>
      <c r="F1563" s="16" t="n">
        <v>0.596693761365583</v>
      </c>
      <c r="G1563" s="17" t="s">
        <v>89</v>
      </c>
      <c r="H1563" s="18" t="n">
        <v>0.3</v>
      </c>
      <c r="I1563" s="18" t="n">
        <v>2</v>
      </c>
      <c r="J1563" s="19" t="n">
        <v>0.91398429828093</v>
      </c>
      <c r="K1563" s="19" t="n">
        <v>0.542473738783701</v>
      </c>
      <c r="L1563" s="16" t="n">
        <v>10.8558308586596</v>
      </c>
      <c r="M1563" s="19" t="n">
        <v>0.509580671374586</v>
      </c>
      <c r="N1563" s="19" t="n">
        <v>0.949928220755845</v>
      </c>
      <c r="O1563" s="19" t="n">
        <v>1.33215611708381</v>
      </c>
      <c r="P1563" s="19" t="n">
        <v>0.663303363400321</v>
      </c>
      <c r="Q1563" s="17" t="s">
        <v>31</v>
      </c>
      <c r="R1563" s="5" t="str">
        <f aca="false">IF(OR(Q1563="Steel plate",Q1563="Concrete jacket"),"Steel plate or jacket",Q1563)</f>
        <v>Polymer laminate</v>
      </c>
      <c r="S1563" s="5" t="str">
        <f aca="false">IF(O1563&lt;='Tree rules'!$C$4,IF(N1563&lt;='Tree rules'!$C$5,IF(P1563&lt;='Tree rules'!$C$6,"Monitor","Polymer laminate"),IF(P1563&lt;='Tree rules'!$C$7,"Seal cracks","Polymer laminate")),IF(O1563&lt;='Tree rules'!$C$8,IF(M1563&lt;='Tree rules'!$C$9,"Steel plate or jacket","Polymer laminate"),IF(L1563&lt;='Tree rules'!$C$10,"Steel plate or jacket","Polymer laminate")))</f>
        <v>Steel plate or jacket</v>
      </c>
      <c r="T1563" s="5" t="str">
        <f aca="false">IF(S1563=R1563,"Yes","No")</f>
        <v>No</v>
      </c>
    </row>
    <row r="1564" customFormat="false" ht="15" hidden="false" customHeight="false" outlineLevel="0" collapsed="false">
      <c r="A1564" s="15" t="n">
        <v>2225</v>
      </c>
      <c r="B1564" s="16" t="n">
        <v>6.21374214476771</v>
      </c>
      <c r="C1564" s="15" t="n">
        <v>300</v>
      </c>
      <c r="D1564" s="15" t="n">
        <v>500</v>
      </c>
      <c r="E1564" s="15" t="n">
        <v>25</v>
      </c>
      <c r="F1564" s="16" t="n">
        <v>0.590490249132883</v>
      </c>
      <c r="G1564" s="17" t="s">
        <v>89</v>
      </c>
      <c r="H1564" s="18" t="n">
        <v>0.3</v>
      </c>
      <c r="I1564" s="18" t="n">
        <v>1</v>
      </c>
      <c r="J1564" s="19" t="n">
        <v>0.882024728210034</v>
      </c>
      <c r="K1564" s="19" t="n">
        <v>0.601687371759423</v>
      </c>
      <c r="L1564" s="16" t="n">
        <v>13.6866567065368</v>
      </c>
      <c r="M1564" s="19" t="n">
        <v>0.695420740825107</v>
      </c>
      <c r="N1564" s="19" t="n">
        <v>0.594913106000806</v>
      </c>
      <c r="O1564" s="19" t="n">
        <v>0.882024728210034</v>
      </c>
      <c r="P1564" s="19" t="n">
        <v>0.505333650387327</v>
      </c>
      <c r="Q1564" s="17" t="s">
        <v>29</v>
      </c>
      <c r="R1564" s="5" t="str">
        <f aca="false">IF(OR(Q1564="Steel plate",Q1564="Concrete jacket"),"Steel plate or jacket",Q1564)</f>
        <v>Monitor</v>
      </c>
      <c r="S1564" s="5" t="str">
        <f aca="false">IF(O1564&lt;='Tree rules'!$C$4,IF(N1564&lt;='Tree rules'!$C$5,IF(P1564&lt;='Tree rules'!$C$6,"Monitor","Polymer laminate"),IF(P1564&lt;='Tree rules'!$C$7,"Seal cracks","Polymer laminate")),IF(O1564&lt;='Tree rules'!$C$8,IF(M1564&lt;='Tree rules'!$C$9,"Steel plate or jacket","Polymer laminate"),IF(L1564&lt;='Tree rules'!$C$10,"Steel plate or jacket","Polymer laminate")))</f>
        <v>Monitor</v>
      </c>
      <c r="T1564" s="5" t="str">
        <f aca="false">IF(S1564=R1564,"Yes","No")</f>
        <v>Yes</v>
      </c>
    </row>
    <row r="1565" customFormat="false" ht="15" hidden="false" customHeight="false" outlineLevel="0" collapsed="false">
      <c r="A1565" s="15" t="n">
        <v>2226</v>
      </c>
      <c r="B1565" s="16" t="n">
        <v>3.22667655862119</v>
      </c>
      <c r="C1565" s="15" t="n">
        <v>230</v>
      </c>
      <c r="D1565" s="15" t="n">
        <v>300</v>
      </c>
      <c r="E1565" s="15" t="n">
        <v>25</v>
      </c>
      <c r="F1565" s="16" t="n">
        <v>0.576243217710084</v>
      </c>
      <c r="G1565" s="17" t="s">
        <v>89</v>
      </c>
      <c r="H1565" s="18" t="n">
        <v>0.3</v>
      </c>
      <c r="I1565" s="18" t="n">
        <v>1</v>
      </c>
      <c r="J1565" s="19" t="n">
        <v>0.942045841582126</v>
      </c>
      <c r="K1565" s="19" t="n">
        <v>0.628787085529934</v>
      </c>
      <c r="L1565" s="16" t="n">
        <v>12.604205307114</v>
      </c>
      <c r="M1565" s="19" t="n">
        <v>0.797206160390537</v>
      </c>
      <c r="N1565" s="19" t="n">
        <v>0.636561403057664</v>
      </c>
      <c r="O1565" s="19" t="n">
        <v>0.942045841582126</v>
      </c>
      <c r="P1565" s="19" t="n">
        <v>0.351374201500368</v>
      </c>
      <c r="Q1565" s="17" t="s">
        <v>29</v>
      </c>
      <c r="R1565" s="5" t="str">
        <f aca="false">IF(OR(Q1565="Steel plate",Q1565="Concrete jacket"),"Steel plate or jacket",Q1565)</f>
        <v>Monitor</v>
      </c>
      <c r="S1565" s="5" t="str">
        <f aca="false">IF(O1565&lt;='Tree rules'!$C$4,IF(N1565&lt;='Tree rules'!$C$5,IF(P1565&lt;='Tree rules'!$C$6,"Monitor","Polymer laminate"),IF(P1565&lt;='Tree rules'!$C$7,"Seal cracks","Polymer laminate")),IF(O1565&lt;='Tree rules'!$C$8,IF(M1565&lt;='Tree rules'!$C$9,"Steel plate or jacket","Polymer laminate"),IF(L1565&lt;='Tree rules'!$C$10,"Steel plate or jacket","Polymer laminate")))</f>
        <v>Monitor</v>
      </c>
      <c r="T1565" s="5" t="str">
        <f aca="false">IF(S1565=R1565,"Yes","No")</f>
        <v>Yes</v>
      </c>
    </row>
    <row r="1566" customFormat="false" ht="15" hidden="false" customHeight="false" outlineLevel="0" collapsed="false">
      <c r="A1566" s="15" t="n">
        <v>2227</v>
      </c>
      <c r="B1566" s="16" t="n">
        <v>3.86945806925068</v>
      </c>
      <c r="C1566" s="15" t="n">
        <v>230</v>
      </c>
      <c r="D1566" s="15" t="n">
        <v>300</v>
      </c>
      <c r="E1566" s="15" t="n">
        <v>20</v>
      </c>
      <c r="F1566" s="16" t="n">
        <v>0.688332522525665</v>
      </c>
      <c r="G1566" s="17" t="s">
        <v>91</v>
      </c>
      <c r="H1566" s="18" t="n">
        <v>0.2</v>
      </c>
      <c r="I1566" s="18" t="n">
        <v>1.5</v>
      </c>
      <c r="J1566" s="19" t="n">
        <v>0.851944373003839</v>
      </c>
      <c r="K1566" s="19" t="n">
        <v>0.602949045644448</v>
      </c>
      <c r="L1566" s="16" t="n">
        <v>15.2340868868137</v>
      </c>
      <c r="M1566" s="19" t="n">
        <v>0.95043628312422</v>
      </c>
      <c r="N1566" s="19" t="n">
        <v>1.28503454682781</v>
      </c>
      <c r="O1566" s="19" t="n">
        <v>1.02107703618335</v>
      </c>
      <c r="P1566" s="19" t="n">
        <v>0.438696353054793</v>
      </c>
      <c r="Q1566" s="17" t="s">
        <v>31</v>
      </c>
      <c r="R1566" s="5" t="str">
        <f aca="false">IF(OR(Q1566="Steel plate",Q1566="Concrete jacket"),"Steel plate or jacket",Q1566)</f>
        <v>Polymer laminate</v>
      </c>
      <c r="S1566" s="5" t="str">
        <f aca="false">IF(O1566&lt;='Tree rules'!$C$4,IF(N1566&lt;='Tree rules'!$C$5,IF(P1566&lt;='Tree rules'!$C$6,"Monitor","Polymer laminate"),IF(P1566&lt;='Tree rules'!$C$7,"Seal cracks","Polymer laminate")),IF(O1566&lt;='Tree rules'!$C$8,IF(M1566&lt;='Tree rules'!$C$9,"Steel plate or jacket","Polymer laminate"),IF(L1566&lt;='Tree rules'!$C$10,"Steel plate or jacket","Polymer laminate")))</f>
        <v>Polymer laminate</v>
      </c>
      <c r="T1566" s="5" t="str">
        <f aca="false">IF(S1566=R1566,"Yes","No")</f>
        <v>Yes</v>
      </c>
    </row>
    <row r="1567" customFormat="false" ht="15" hidden="false" customHeight="false" outlineLevel="0" collapsed="false">
      <c r="A1567" s="15" t="n">
        <v>2228</v>
      </c>
      <c r="B1567" s="16" t="n">
        <v>3.86094633533708</v>
      </c>
      <c r="C1567" s="15" t="n">
        <v>230</v>
      </c>
      <c r="D1567" s="15" t="n">
        <v>325</v>
      </c>
      <c r="E1567" s="15" t="n">
        <v>20</v>
      </c>
      <c r="F1567" s="16" t="n">
        <v>0.626653981080713</v>
      </c>
      <c r="G1567" s="17" t="s">
        <v>91</v>
      </c>
      <c r="H1567" s="18" t="n">
        <v>0.2</v>
      </c>
      <c r="I1567" s="18" t="n">
        <v>2</v>
      </c>
      <c r="J1567" s="19" t="n">
        <v>0.917766924764411</v>
      </c>
      <c r="K1567" s="19" t="n">
        <v>0.481881620294512</v>
      </c>
      <c r="L1567" s="16" t="n">
        <v>13.8385173309573</v>
      </c>
      <c r="M1567" s="19" t="n">
        <v>0.246725867758829</v>
      </c>
      <c r="N1567" s="19" t="n">
        <v>2.07863491584278</v>
      </c>
      <c r="O1567" s="19" t="n">
        <v>1.39327883677064</v>
      </c>
      <c r="P1567" s="19" t="n">
        <v>1.55585244442434</v>
      </c>
      <c r="Q1567" s="17" t="s">
        <v>31</v>
      </c>
      <c r="R1567" s="5" t="str">
        <f aca="false">IF(OR(Q1567="Steel plate",Q1567="Concrete jacket"),"Steel plate or jacket",Q1567)</f>
        <v>Polymer laminate</v>
      </c>
      <c r="S1567" s="5" t="str">
        <f aca="false">IF(O1567&lt;='Tree rules'!$C$4,IF(N1567&lt;='Tree rules'!$C$5,IF(P1567&lt;='Tree rules'!$C$6,"Monitor","Polymer laminate"),IF(P1567&lt;='Tree rules'!$C$7,"Seal cracks","Polymer laminate")),IF(O1567&lt;='Tree rules'!$C$8,IF(M1567&lt;='Tree rules'!$C$9,"Steel plate or jacket","Polymer laminate"),IF(L1567&lt;='Tree rules'!$C$10,"Steel plate or jacket","Polymer laminate")))</f>
        <v>Polymer laminate</v>
      </c>
      <c r="T1567" s="5" t="str">
        <f aca="false">IF(S1567=R1567,"Yes","No")</f>
        <v>Yes</v>
      </c>
    </row>
    <row r="1568" customFormat="false" ht="15" hidden="false" customHeight="false" outlineLevel="0" collapsed="false">
      <c r="A1568" s="15" t="n">
        <v>2229</v>
      </c>
      <c r="B1568" s="16" t="n">
        <v>3.05234973748746</v>
      </c>
      <c r="C1568" s="15" t="n">
        <v>230</v>
      </c>
      <c r="D1568" s="15" t="n">
        <v>300</v>
      </c>
      <c r="E1568" s="15" t="n">
        <v>25</v>
      </c>
      <c r="F1568" s="16" t="n">
        <v>0.688332522525665</v>
      </c>
      <c r="G1568" s="17" t="s">
        <v>91</v>
      </c>
      <c r="H1568" s="18" t="n">
        <v>0.2</v>
      </c>
      <c r="I1568" s="18" t="n">
        <v>2</v>
      </c>
      <c r="J1568" s="19" t="n">
        <v>0.978657125651645</v>
      </c>
      <c r="K1568" s="19" t="n">
        <v>0.488104017722494</v>
      </c>
      <c r="L1568" s="16" t="n">
        <v>12.017124950738</v>
      </c>
      <c r="M1568" s="19" t="n">
        <v>0.73045207610084</v>
      </c>
      <c r="N1568" s="19" t="n">
        <v>2.05916700089162</v>
      </c>
      <c r="O1568" s="19" t="n">
        <v>1.47962777629997</v>
      </c>
      <c r="P1568" s="19" t="n">
        <v>0.4886072258284</v>
      </c>
      <c r="Q1568" s="17" t="s">
        <v>31</v>
      </c>
      <c r="R1568" s="5" t="str">
        <f aca="false">IF(OR(Q1568="Steel plate",Q1568="Concrete jacket"),"Steel plate or jacket",Q1568)</f>
        <v>Polymer laminate</v>
      </c>
      <c r="S1568" s="5" t="str">
        <f aca="false">IF(O1568&lt;='Tree rules'!$C$4,IF(N1568&lt;='Tree rules'!$C$5,IF(P1568&lt;='Tree rules'!$C$6,"Monitor","Polymer laminate"),IF(P1568&lt;='Tree rules'!$C$7,"Seal cracks","Polymer laminate")),IF(O1568&lt;='Tree rules'!$C$8,IF(M1568&lt;='Tree rules'!$C$9,"Steel plate or jacket","Polymer laminate"),IF(L1568&lt;='Tree rules'!$C$10,"Steel plate or jacket","Polymer laminate")))</f>
        <v>Steel plate or jacket</v>
      </c>
      <c r="T1568" s="5" t="str">
        <f aca="false">IF(S1568=R1568,"Yes","No")</f>
        <v>No</v>
      </c>
    </row>
    <row r="1569" customFormat="false" ht="15" hidden="false" customHeight="false" outlineLevel="0" collapsed="false">
      <c r="A1569" s="15" t="n">
        <v>2232</v>
      </c>
      <c r="B1569" s="16" t="n">
        <v>3.01160154588286</v>
      </c>
      <c r="C1569" s="15" t="n">
        <v>300</v>
      </c>
      <c r="D1569" s="15" t="n">
        <v>300</v>
      </c>
      <c r="E1569" s="15" t="n">
        <v>25</v>
      </c>
      <c r="F1569" s="16" t="n">
        <v>0.78213924985638</v>
      </c>
      <c r="G1569" s="17" t="s">
        <v>90</v>
      </c>
      <c r="H1569" s="18" t="n">
        <v>0.1</v>
      </c>
      <c r="I1569" s="18" t="n">
        <v>1.5</v>
      </c>
      <c r="J1569" s="19" t="n">
        <v>0.986483020817783</v>
      </c>
      <c r="K1569" s="19" t="n">
        <v>0.405178299217528</v>
      </c>
      <c r="L1569" s="16" t="n">
        <v>12.4962719746177</v>
      </c>
      <c r="M1569" s="19" t="n">
        <v>0.336043463451508</v>
      </c>
      <c r="N1569" s="19" t="n">
        <v>3.84390356351898</v>
      </c>
      <c r="O1569" s="19" t="n">
        <v>1.27987377493572</v>
      </c>
      <c r="P1569" s="19" t="n">
        <v>0.88329919112765</v>
      </c>
      <c r="Q1569" s="17" t="s">
        <v>31</v>
      </c>
      <c r="R1569" s="5" t="str">
        <f aca="false">IF(OR(Q1569="Steel plate",Q1569="Concrete jacket"),"Steel plate or jacket",Q1569)</f>
        <v>Polymer laminate</v>
      </c>
      <c r="S1569" s="5" t="str">
        <f aca="false">IF(O1569&lt;='Tree rules'!$C$4,IF(N1569&lt;='Tree rules'!$C$5,IF(P1569&lt;='Tree rules'!$C$6,"Monitor","Polymer laminate"),IF(P1569&lt;='Tree rules'!$C$7,"Seal cracks","Polymer laminate")),IF(O1569&lt;='Tree rules'!$C$8,IF(M1569&lt;='Tree rules'!$C$9,"Steel plate or jacket","Polymer laminate"),IF(L1569&lt;='Tree rules'!$C$10,"Steel plate or jacket","Polymer laminate")))</f>
        <v>Polymer laminate</v>
      </c>
      <c r="T1569" s="5" t="str">
        <f aca="false">IF(S1569=R1569,"Yes","No")</f>
        <v>Yes</v>
      </c>
    </row>
    <row r="1570" customFormat="false" ht="15" hidden="false" customHeight="false" outlineLevel="0" collapsed="false">
      <c r="A1570" s="15" t="n">
        <v>2233</v>
      </c>
      <c r="B1570" s="16" t="n">
        <v>5.54614750652054</v>
      </c>
      <c r="C1570" s="15" t="n">
        <v>300</v>
      </c>
      <c r="D1570" s="15" t="n">
        <v>550</v>
      </c>
      <c r="E1570" s="15" t="n">
        <v>30</v>
      </c>
      <c r="F1570" s="16" t="n">
        <v>1.043025449399</v>
      </c>
      <c r="G1570" s="17" t="s">
        <v>91</v>
      </c>
      <c r="H1570" s="18" t="n">
        <v>0.2</v>
      </c>
      <c r="I1570" s="18" t="n">
        <v>1.5</v>
      </c>
      <c r="J1570" s="19" t="n">
        <v>0.916464666092303</v>
      </c>
      <c r="K1570" s="19" t="n">
        <v>0.435737657799777</v>
      </c>
      <c r="L1570" s="16" t="n">
        <v>11.0481026026306</v>
      </c>
      <c r="M1570" s="19" t="n">
        <v>0.512842405510788</v>
      </c>
      <c r="N1570" s="19" t="n">
        <v>1.16691951191435</v>
      </c>
      <c r="O1570" s="19" t="n">
        <v>1.1750279156088</v>
      </c>
      <c r="P1570" s="19" t="n">
        <v>0.834350934654815</v>
      </c>
      <c r="Q1570" s="17" t="s">
        <v>31</v>
      </c>
      <c r="R1570" s="5" t="str">
        <f aca="false">IF(OR(Q1570="Steel plate",Q1570="Concrete jacket"),"Steel plate or jacket",Q1570)</f>
        <v>Polymer laminate</v>
      </c>
      <c r="S1570" s="5" t="str">
        <f aca="false">IF(O1570&lt;='Tree rules'!$C$4,IF(N1570&lt;='Tree rules'!$C$5,IF(P1570&lt;='Tree rules'!$C$6,"Monitor","Polymer laminate"),IF(P1570&lt;='Tree rules'!$C$7,"Seal cracks","Polymer laminate")),IF(O1570&lt;='Tree rules'!$C$8,IF(M1570&lt;='Tree rules'!$C$9,"Steel plate or jacket","Polymer laminate"),IF(L1570&lt;='Tree rules'!$C$10,"Steel plate or jacket","Polymer laminate")))</f>
        <v>Polymer laminate</v>
      </c>
      <c r="T1570" s="5" t="str">
        <f aca="false">IF(S1570=R1570,"Yes","No")</f>
        <v>Yes</v>
      </c>
    </row>
    <row r="1571" customFormat="false" ht="15" hidden="false" customHeight="false" outlineLevel="0" collapsed="false">
      <c r="A1571" s="15" t="n">
        <v>2234</v>
      </c>
      <c r="B1571" s="16" t="n">
        <v>4.06461590517042</v>
      </c>
      <c r="C1571" s="15" t="n">
        <v>300</v>
      </c>
      <c r="D1571" s="15" t="n">
        <v>325</v>
      </c>
      <c r="E1571" s="15" t="n">
        <v>30</v>
      </c>
      <c r="F1571" s="16" t="n">
        <v>0.72065207824282</v>
      </c>
      <c r="G1571" s="17" t="s">
        <v>89</v>
      </c>
      <c r="H1571" s="18" t="n">
        <v>0.3</v>
      </c>
      <c r="I1571" s="18" t="n">
        <v>1.5</v>
      </c>
      <c r="J1571" s="19" t="n">
        <v>0.909257569774142</v>
      </c>
      <c r="K1571" s="19" t="n">
        <v>0.54660387371199</v>
      </c>
      <c r="L1571" s="16" t="n">
        <v>14.5685157891413</v>
      </c>
      <c r="M1571" s="19" t="n">
        <v>0.479488241467753</v>
      </c>
      <c r="N1571" s="19" t="n">
        <v>0.962967773112703</v>
      </c>
      <c r="O1571" s="19" t="n">
        <v>1.11538449974097</v>
      </c>
      <c r="P1571" s="19" t="n">
        <v>0.777942862134276</v>
      </c>
      <c r="Q1571" s="17" t="s">
        <v>31</v>
      </c>
      <c r="R1571" s="5" t="str">
        <f aca="false">IF(OR(Q1571="Steel plate",Q1571="Concrete jacket"),"Steel plate or jacket",Q1571)</f>
        <v>Polymer laminate</v>
      </c>
      <c r="S1571" s="5" t="str">
        <f aca="false">IF(O1571&lt;='Tree rules'!$C$4,IF(N1571&lt;='Tree rules'!$C$5,IF(P1571&lt;='Tree rules'!$C$6,"Monitor","Polymer laminate"),IF(P1571&lt;='Tree rules'!$C$7,"Seal cracks","Polymer laminate")),IF(O1571&lt;='Tree rules'!$C$8,IF(M1571&lt;='Tree rules'!$C$9,"Steel plate or jacket","Polymer laminate"),IF(L1571&lt;='Tree rules'!$C$10,"Steel plate or jacket","Polymer laminate")))</f>
        <v>Polymer laminate</v>
      </c>
      <c r="T1571" s="5" t="str">
        <f aca="false">IF(S1571=R1571,"Yes","No")</f>
        <v>Yes</v>
      </c>
    </row>
    <row r="1572" customFormat="false" ht="15" hidden="false" customHeight="false" outlineLevel="0" collapsed="false">
      <c r="A1572" s="15" t="n">
        <v>2236</v>
      </c>
      <c r="B1572" s="16" t="n">
        <v>6.49682385402624</v>
      </c>
      <c r="C1572" s="15" t="n">
        <v>230</v>
      </c>
      <c r="D1572" s="15" t="n">
        <v>575</v>
      </c>
      <c r="E1572" s="15" t="n">
        <v>20</v>
      </c>
      <c r="F1572" s="16" t="n">
        <v>0.533558534916745</v>
      </c>
      <c r="G1572" s="17" t="s">
        <v>90</v>
      </c>
      <c r="H1572" s="18" t="n">
        <v>0.1</v>
      </c>
      <c r="I1572" s="18" t="n">
        <v>1.5</v>
      </c>
      <c r="J1572" s="19" t="n">
        <v>0.9583896580771</v>
      </c>
      <c r="K1572" s="19" t="n">
        <v>0.586777379627783</v>
      </c>
      <c r="L1572" s="16" t="n">
        <v>12.689109089895</v>
      </c>
      <c r="M1572" s="19" t="n">
        <v>0.832343044482311</v>
      </c>
      <c r="N1572" s="19" t="n">
        <v>3.29233752998534</v>
      </c>
      <c r="O1572" s="19" t="n">
        <v>1.15640380100123</v>
      </c>
      <c r="P1572" s="19" t="n">
        <v>0.435748066795128</v>
      </c>
      <c r="Q1572" s="17" t="s">
        <v>31</v>
      </c>
      <c r="R1572" s="5" t="str">
        <f aca="false">IF(OR(Q1572="Steel plate",Q1572="Concrete jacket"),"Steel plate or jacket",Q1572)</f>
        <v>Polymer laminate</v>
      </c>
      <c r="S1572" s="5" t="str">
        <f aca="false">IF(O1572&lt;='Tree rules'!$C$4,IF(N1572&lt;='Tree rules'!$C$5,IF(P1572&lt;='Tree rules'!$C$6,"Monitor","Polymer laminate"),IF(P1572&lt;='Tree rules'!$C$7,"Seal cracks","Polymer laminate")),IF(O1572&lt;='Tree rules'!$C$8,IF(M1572&lt;='Tree rules'!$C$9,"Steel plate or jacket","Polymer laminate"),IF(L1572&lt;='Tree rules'!$C$10,"Steel plate or jacket","Polymer laminate")))</f>
        <v>Polymer laminate</v>
      </c>
      <c r="T1572" s="5" t="str">
        <f aca="false">IF(S1572=R1572,"Yes","No")</f>
        <v>Yes</v>
      </c>
    </row>
    <row r="1573" customFormat="false" ht="15" hidden="false" customHeight="false" outlineLevel="0" collapsed="false">
      <c r="A1573" s="15" t="n">
        <v>2237</v>
      </c>
      <c r="B1573" s="16" t="n">
        <v>4.05261934610893</v>
      </c>
      <c r="C1573" s="15" t="n">
        <v>300</v>
      </c>
      <c r="D1573" s="15" t="n">
        <v>375</v>
      </c>
      <c r="E1573" s="15" t="n">
        <v>20</v>
      </c>
      <c r="F1573" s="16" t="n">
        <v>0.59650493422591</v>
      </c>
      <c r="G1573" s="17" t="s">
        <v>90</v>
      </c>
      <c r="H1573" s="18" t="n">
        <v>0.1</v>
      </c>
      <c r="I1573" s="18" t="n">
        <v>1.5</v>
      </c>
      <c r="J1573" s="19" t="n">
        <v>0.970259796588075</v>
      </c>
      <c r="K1573" s="19" t="n">
        <v>0.615336617509749</v>
      </c>
      <c r="L1573" s="16" t="n">
        <v>12.8247447661675</v>
      </c>
      <c r="M1573" s="19" t="n">
        <v>0.736751806626987</v>
      </c>
      <c r="N1573" s="19" t="n">
        <v>2.99479101633835</v>
      </c>
      <c r="O1573" s="19" t="n">
        <v>1.15687150421301</v>
      </c>
      <c r="P1573" s="19" t="n">
        <v>0.470687276106391</v>
      </c>
      <c r="Q1573" s="17" t="s">
        <v>31</v>
      </c>
      <c r="R1573" s="5" t="str">
        <f aca="false">IF(OR(Q1573="Steel plate",Q1573="Concrete jacket"),"Steel plate or jacket",Q1573)</f>
        <v>Polymer laminate</v>
      </c>
      <c r="S1573" s="5" t="str">
        <f aca="false">IF(O1573&lt;='Tree rules'!$C$4,IF(N1573&lt;='Tree rules'!$C$5,IF(P1573&lt;='Tree rules'!$C$6,"Monitor","Polymer laminate"),IF(P1573&lt;='Tree rules'!$C$7,"Seal cracks","Polymer laminate")),IF(O1573&lt;='Tree rules'!$C$8,IF(M1573&lt;='Tree rules'!$C$9,"Steel plate or jacket","Polymer laminate"),IF(L1573&lt;='Tree rules'!$C$10,"Steel plate or jacket","Polymer laminate")))</f>
        <v>Polymer laminate</v>
      </c>
      <c r="T1573" s="5" t="str">
        <f aca="false">IF(S1573=R1573,"Yes","No")</f>
        <v>Yes</v>
      </c>
    </row>
    <row r="1574" customFormat="false" ht="15" hidden="false" customHeight="false" outlineLevel="0" collapsed="false">
      <c r="A1574" s="15" t="n">
        <v>2238</v>
      </c>
      <c r="B1574" s="16" t="n">
        <v>4.52509046900108</v>
      </c>
      <c r="C1574" s="15" t="n">
        <v>300</v>
      </c>
      <c r="D1574" s="15" t="n">
        <v>400</v>
      </c>
      <c r="E1574" s="15" t="n">
        <v>20</v>
      </c>
      <c r="F1574" s="16" t="n">
        <v>0.567971553191375</v>
      </c>
      <c r="G1574" s="17" t="s">
        <v>91</v>
      </c>
      <c r="H1574" s="18" t="n">
        <v>0.2</v>
      </c>
      <c r="I1574" s="18" t="n">
        <v>2</v>
      </c>
      <c r="J1574" s="19" t="n">
        <v>0.951545687857674</v>
      </c>
      <c r="K1574" s="19" t="n">
        <v>0.524869448426675</v>
      </c>
      <c r="L1574" s="16" t="n">
        <v>12.7827414378562</v>
      </c>
      <c r="M1574" s="19" t="n">
        <v>0.556349562604158</v>
      </c>
      <c r="N1574" s="19" t="n">
        <v>1.76565801072728</v>
      </c>
      <c r="O1574" s="19" t="n">
        <v>1.40365411537671</v>
      </c>
      <c r="P1574" s="19" t="n">
        <v>0.700690517513761</v>
      </c>
      <c r="Q1574" s="17" t="s">
        <v>31</v>
      </c>
      <c r="R1574" s="5" t="str">
        <f aca="false">IF(OR(Q1574="Steel plate",Q1574="Concrete jacket"),"Steel plate or jacket",Q1574)</f>
        <v>Polymer laminate</v>
      </c>
      <c r="S1574" s="5" t="str">
        <f aca="false">IF(O1574&lt;='Tree rules'!$C$4,IF(N1574&lt;='Tree rules'!$C$5,IF(P1574&lt;='Tree rules'!$C$6,"Monitor","Polymer laminate"),IF(P1574&lt;='Tree rules'!$C$7,"Seal cracks","Polymer laminate")),IF(O1574&lt;='Tree rules'!$C$8,IF(M1574&lt;='Tree rules'!$C$9,"Steel plate or jacket","Polymer laminate"),IF(L1574&lt;='Tree rules'!$C$10,"Steel plate or jacket","Polymer laminate")))</f>
        <v>Steel plate or jacket</v>
      </c>
      <c r="T1574" s="5" t="str">
        <f aca="false">IF(S1574=R1574,"Yes","No")</f>
        <v>No</v>
      </c>
    </row>
    <row r="1575" customFormat="false" ht="15" hidden="false" customHeight="false" outlineLevel="0" collapsed="false">
      <c r="A1575" s="15" t="n">
        <v>2240</v>
      </c>
      <c r="B1575" s="16" t="n">
        <v>4.66589459529328</v>
      </c>
      <c r="C1575" s="15" t="n">
        <v>300</v>
      </c>
      <c r="D1575" s="15" t="n">
        <v>375</v>
      </c>
      <c r="E1575" s="15" t="n">
        <v>20</v>
      </c>
      <c r="F1575" s="16" t="n">
        <v>0.683367586279351</v>
      </c>
      <c r="G1575" s="17" t="s">
        <v>91</v>
      </c>
      <c r="H1575" s="18" t="n">
        <v>0.2</v>
      </c>
      <c r="I1575" s="18" t="n">
        <v>1</v>
      </c>
      <c r="J1575" s="19" t="n">
        <v>0.860313530209222</v>
      </c>
      <c r="K1575" s="19" t="n">
        <v>0.590401734901845</v>
      </c>
      <c r="L1575" s="16" t="n">
        <v>14.0963582939374</v>
      </c>
      <c r="M1575" s="19" t="n">
        <v>0.408220494841672</v>
      </c>
      <c r="N1575" s="19" t="n">
        <v>0.856385154609274</v>
      </c>
      <c r="O1575" s="19" t="n">
        <v>0.860313530209222</v>
      </c>
      <c r="P1575" s="19" t="n">
        <v>0.919685561487498</v>
      </c>
      <c r="Q1575" s="17" t="s">
        <v>29</v>
      </c>
      <c r="R1575" s="5" t="str">
        <f aca="false">IF(OR(Q1575="Steel plate",Q1575="Concrete jacket"),"Steel plate or jacket",Q1575)</f>
        <v>Monitor</v>
      </c>
      <c r="S1575" s="5" t="str">
        <f aca="false">IF(O1575&lt;='Tree rules'!$C$4,IF(N1575&lt;='Tree rules'!$C$5,IF(P1575&lt;='Tree rules'!$C$6,"Monitor","Polymer laminate"),IF(P1575&lt;='Tree rules'!$C$7,"Seal cracks","Polymer laminate")),IF(O1575&lt;='Tree rules'!$C$8,IF(M1575&lt;='Tree rules'!$C$9,"Steel plate or jacket","Polymer laminate"),IF(L1575&lt;='Tree rules'!$C$10,"Steel plate or jacket","Polymer laminate")))</f>
        <v>Monitor</v>
      </c>
      <c r="T1575" s="5" t="str">
        <f aca="false">IF(S1575=R1575,"Yes","No")</f>
        <v>Yes</v>
      </c>
    </row>
    <row r="1576" customFormat="false" ht="15" hidden="false" customHeight="false" outlineLevel="0" collapsed="false">
      <c r="A1576" s="15" t="n">
        <v>2241</v>
      </c>
      <c r="B1576" s="16" t="n">
        <v>4.20950960296495</v>
      </c>
      <c r="C1576" s="15" t="n">
        <v>230</v>
      </c>
      <c r="D1576" s="15" t="n">
        <v>375</v>
      </c>
      <c r="E1576" s="15" t="n">
        <v>30</v>
      </c>
      <c r="F1576" s="16" t="n">
        <v>0.531417813743219</v>
      </c>
      <c r="G1576" s="17" t="s">
        <v>89</v>
      </c>
      <c r="H1576" s="18" t="n">
        <v>0.3</v>
      </c>
      <c r="I1576" s="18" t="n">
        <v>2</v>
      </c>
      <c r="J1576" s="19" t="n">
        <v>0.986536866814871</v>
      </c>
      <c r="K1576" s="19" t="n">
        <v>0.629923019979426</v>
      </c>
      <c r="L1576" s="16" t="n">
        <v>12.794862015091</v>
      </c>
      <c r="M1576" s="19" t="n">
        <v>0.7033259025475</v>
      </c>
      <c r="N1576" s="19" t="n">
        <v>1.25693177400399</v>
      </c>
      <c r="O1576" s="19" t="n">
        <v>1.35163145116468</v>
      </c>
      <c r="P1576" s="19" t="n">
        <v>0.467731800616081</v>
      </c>
      <c r="Q1576" s="17" t="s">
        <v>31</v>
      </c>
      <c r="R1576" s="5" t="str">
        <f aca="false">IF(OR(Q1576="Steel plate",Q1576="Concrete jacket"),"Steel plate or jacket",Q1576)</f>
        <v>Polymer laminate</v>
      </c>
      <c r="S1576" s="5" t="str">
        <f aca="false">IF(O1576&lt;='Tree rules'!$C$4,IF(N1576&lt;='Tree rules'!$C$5,IF(P1576&lt;='Tree rules'!$C$6,"Monitor","Polymer laminate"),IF(P1576&lt;='Tree rules'!$C$7,"Seal cracks","Polymer laminate")),IF(O1576&lt;='Tree rules'!$C$8,IF(M1576&lt;='Tree rules'!$C$9,"Steel plate or jacket","Polymer laminate"),IF(L1576&lt;='Tree rules'!$C$10,"Steel plate or jacket","Polymer laminate")))</f>
        <v>Steel plate or jacket</v>
      </c>
      <c r="T1576" s="5" t="str">
        <f aca="false">IF(S1576=R1576,"Yes","No")</f>
        <v>No</v>
      </c>
    </row>
    <row r="1577" customFormat="false" ht="15" hidden="false" customHeight="false" outlineLevel="0" collapsed="false">
      <c r="A1577" s="15" t="n">
        <v>2242</v>
      </c>
      <c r="B1577" s="16" t="n">
        <v>4.25448853643484</v>
      </c>
      <c r="C1577" s="15" t="n">
        <v>300</v>
      </c>
      <c r="D1577" s="15" t="n">
        <v>400</v>
      </c>
      <c r="E1577" s="15" t="n">
        <v>20</v>
      </c>
      <c r="F1577" s="16" t="n">
        <v>0.621482226229435</v>
      </c>
      <c r="G1577" s="17" t="s">
        <v>90</v>
      </c>
      <c r="H1577" s="18" t="n">
        <v>0.1</v>
      </c>
      <c r="I1577" s="18" t="n">
        <v>1.5</v>
      </c>
      <c r="J1577" s="19" t="n">
        <v>0.851146771299444</v>
      </c>
      <c r="K1577" s="19" t="n">
        <v>0.50492159244618</v>
      </c>
      <c r="L1577" s="16" t="n">
        <v>12.6245950636049</v>
      </c>
      <c r="M1577" s="19" t="n">
        <v>0.743654175981881</v>
      </c>
      <c r="N1577" s="19" t="n">
        <v>3.71238709295</v>
      </c>
      <c r="O1577" s="19" t="n">
        <v>1.0618389653642</v>
      </c>
      <c r="P1577" s="19" t="n">
        <v>0.402702141951275</v>
      </c>
      <c r="Q1577" s="17" t="s">
        <v>31</v>
      </c>
      <c r="R1577" s="5" t="str">
        <f aca="false">IF(OR(Q1577="Steel plate",Q1577="Concrete jacket"),"Steel plate or jacket",Q1577)</f>
        <v>Polymer laminate</v>
      </c>
      <c r="S1577" s="5" t="str">
        <f aca="false">IF(O1577&lt;='Tree rules'!$C$4,IF(N1577&lt;='Tree rules'!$C$5,IF(P1577&lt;='Tree rules'!$C$6,"Monitor","Polymer laminate"),IF(P1577&lt;='Tree rules'!$C$7,"Seal cracks","Polymer laminate")),IF(O1577&lt;='Tree rules'!$C$8,IF(M1577&lt;='Tree rules'!$C$9,"Steel plate or jacket","Polymer laminate"),IF(L1577&lt;='Tree rules'!$C$10,"Steel plate or jacket","Polymer laminate")))</f>
        <v>Polymer laminate</v>
      </c>
      <c r="T1577" s="5" t="str">
        <f aca="false">IF(S1577=R1577,"Yes","No")</f>
        <v>Yes</v>
      </c>
    </row>
    <row r="1578" customFormat="false" ht="15" hidden="false" customHeight="false" outlineLevel="0" collapsed="false">
      <c r="A1578" s="15" t="n">
        <v>2244</v>
      </c>
      <c r="B1578" s="16" t="n">
        <v>4.99897882172983</v>
      </c>
      <c r="C1578" s="15" t="n">
        <v>300</v>
      </c>
      <c r="D1578" s="15" t="n">
        <v>500</v>
      </c>
      <c r="E1578" s="15" t="n">
        <v>30</v>
      </c>
      <c r="F1578" s="16" t="n">
        <v>0.926723496634157</v>
      </c>
      <c r="G1578" s="17" t="s">
        <v>91</v>
      </c>
      <c r="H1578" s="18" t="n">
        <v>0.2</v>
      </c>
      <c r="I1578" s="18" t="n">
        <v>1.5</v>
      </c>
      <c r="J1578" s="19" t="n">
        <v>0.945373711319341</v>
      </c>
      <c r="K1578" s="19" t="n">
        <v>0.52525429449814</v>
      </c>
      <c r="L1578" s="16" t="n">
        <v>11.0596876586943</v>
      </c>
      <c r="M1578" s="19" t="n">
        <v>0.930304009454399</v>
      </c>
      <c r="N1578" s="19" t="n">
        <v>1.19755985581235</v>
      </c>
      <c r="O1578" s="19" t="n">
        <v>1.16977976609095</v>
      </c>
      <c r="P1578" s="19" t="n">
        <v>0.47015626883812</v>
      </c>
      <c r="Q1578" s="17" t="s">
        <v>31</v>
      </c>
      <c r="R1578" s="5" t="str">
        <f aca="false">IF(OR(Q1578="Steel plate",Q1578="Concrete jacket"),"Steel plate or jacket",Q1578)</f>
        <v>Polymer laminate</v>
      </c>
      <c r="S1578" s="5" t="str">
        <f aca="false">IF(O1578&lt;='Tree rules'!$C$4,IF(N1578&lt;='Tree rules'!$C$5,IF(P1578&lt;='Tree rules'!$C$6,"Monitor","Polymer laminate"),IF(P1578&lt;='Tree rules'!$C$7,"Seal cracks","Polymer laminate")),IF(O1578&lt;='Tree rules'!$C$8,IF(M1578&lt;='Tree rules'!$C$9,"Steel plate or jacket","Polymer laminate"),IF(L1578&lt;='Tree rules'!$C$10,"Steel plate or jacket","Polymer laminate")))</f>
        <v>Polymer laminate</v>
      </c>
      <c r="T1578" s="5" t="str">
        <f aca="false">IF(S1578=R1578,"Yes","No")</f>
        <v>Yes</v>
      </c>
    </row>
    <row r="1579" customFormat="false" ht="15" hidden="false" customHeight="false" outlineLevel="0" collapsed="false">
      <c r="A1579" s="15" t="n">
        <v>2245</v>
      </c>
      <c r="B1579" s="16" t="n">
        <v>3.38588633013038</v>
      </c>
      <c r="C1579" s="15" t="n">
        <v>300</v>
      </c>
      <c r="D1579" s="15" t="n">
        <v>325</v>
      </c>
      <c r="E1579" s="15" t="n">
        <v>20</v>
      </c>
      <c r="F1579" s="16" t="n">
        <v>0.566903937489887</v>
      </c>
      <c r="G1579" s="17" t="s">
        <v>90</v>
      </c>
      <c r="H1579" s="18" t="n">
        <v>0.1</v>
      </c>
      <c r="I1579" s="18" t="n">
        <v>1</v>
      </c>
      <c r="J1579" s="19" t="n">
        <v>0.92408119301495</v>
      </c>
      <c r="K1579" s="19" t="n">
        <v>0.418445079253732</v>
      </c>
      <c r="L1579" s="16" t="n">
        <v>12.7288959779338</v>
      </c>
      <c r="M1579" s="19" t="n">
        <v>0.762474512249282</v>
      </c>
      <c r="N1579" s="19" t="n">
        <v>2.38975672919592</v>
      </c>
      <c r="O1579" s="19" t="n">
        <v>0.92408119301495</v>
      </c>
      <c r="P1579" s="19" t="n">
        <v>0.299138152601188</v>
      </c>
      <c r="Q1579" s="17" t="s">
        <v>30</v>
      </c>
      <c r="R1579" s="5" t="str">
        <f aca="false">IF(OR(Q1579="Steel plate",Q1579="Concrete jacket"),"Steel plate or jacket",Q1579)</f>
        <v>Seal cracks</v>
      </c>
      <c r="S1579" s="5" t="str">
        <f aca="false">IF(O1579&lt;='Tree rules'!$C$4,IF(N1579&lt;='Tree rules'!$C$5,IF(P1579&lt;='Tree rules'!$C$6,"Monitor","Polymer laminate"),IF(P1579&lt;='Tree rules'!$C$7,"Seal cracks","Polymer laminate")),IF(O1579&lt;='Tree rules'!$C$8,IF(M1579&lt;='Tree rules'!$C$9,"Steel plate or jacket","Polymer laminate"),IF(L1579&lt;='Tree rules'!$C$10,"Steel plate or jacket","Polymer laminate")))</f>
        <v>Seal cracks</v>
      </c>
      <c r="T1579" s="5" t="str">
        <f aca="false">IF(S1579=R1579,"Yes","No")</f>
        <v>Yes</v>
      </c>
    </row>
    <row r="1580" customFormat="false" ht="15" hidden="false" customHeight="false" outlineLevel="0" collapsed="false">
      <c r="A1580" s="15" t="n">
        <v>2247</v>
      </c>
      <c r="B1580" s="16" t="n">
        <v>5.33062090557055</v>
      </c>
      <c r="C1580" s="15" t="n">
        <v>230</v>
      </c>
      <c r="D1580" s="15" t="n">
        <v>525</v>
      </c>
      <c r="E1580" s="15" t="n">
        <v>25</v>
      </c>
      <c r="F1580" s="16" t="n">
        <v>0.730006099046008</v>
      </c>
      <c r="G1580" s="17" t="s">
        <v>89</v>
      </c>
      <c r="H1580" s="18" t="n">
        <v>0.3</v>
      </c>
      <c r="I1580" s="18" t="n">
        <v>1</v>
      </c>
      <c r="J1580" s="19" t="n">
        <v>0.921330004765439</v>
      </c>
      <c r="K1580" s="19" t="n">
        <v>0.494355637051639</v>
      </c>
      <c r="L1580" s="16" t="n">
        <v>11.128644896807</v>
      </c>
      <c r="M1580" s="19" t="n">
        <v>0.432051626354779</v>
      </c>
      <c r="N1580" s="19" t="n">
        <v>0.60964802958178</v>
      </c>
      <c r="O1580" s="19" t="n">
        <v>0.921330004765439</v>
      </c>
      <c r="P1580" s="19" t="n">
        <v>0.729327597170285</v>
      </c>
      <c r="Q1580" s="17" t="s">
        <v>29</v>
      </c>
      <c r="R1580" s="5" t="str">
        <f aca="false">IF(OR(Q1580="Steel plate",Q1580="Concrete jacket"),"Steel plate or jacket",Q1580)</f>
        <v>Monitor</v>
      </c>
      <c r="S1580" s="5" t="str">
        <f aca="false">IF(O1580&lt;='Tree rules'!$C$4,IF(N1580&lt;='Tree rules'!$C$5,IF(P1580&lt;='Tree rules'!$C$6,"Monitor","Polymer laminate"),IF(P1580&lt;='Tree rules'!$C$7,"Seal cracks","Polymer laminate")),IF(O1580&lt;='Tree rules'!$C$8,IF(M1580&lt;='Tree rules'!$C$9,"Steel plate or jacket","Polymer laminate"),IF(L1580&lt;='Tree rules'!$C$10,"Steel plate or jacket","Polymer laminate")))</f>
        <v>Monitor</v>
      </c>
      <c r="T1580" s="5" t="str">
        <f aca="false">IF(S1580=R1580,"Yes","No")</f>
        <v>Yes</v>
      </c>
    </row>
    <row r="1581" customFormat="false" ht="15" hidden="false" customHeight="false" outlineLevel="0" collapsed="false">
      <c r="A1581" s="15" t="n">
        <v>2248</v>
      </c>
      <c r="B1581" s="16" t="n">
        <v>6.34096494405925</v>
      </c>
      <c r="C1581" s="15" t="n">
        <v>230</v>
      </c>
      <c r="D1581" s="15" t="n">
        <v>600</v>
      </c>
      <c r="E1581" s="15" t="n">
        <v>30</v>
      </c>
      <c r="F1581" s="16" t="n">
        <v>0.742342309449384</v>
      </c>
      <c r="G1581" s="17" t="s">
        <v>89</v>
      </c>
      <c r="H1581" s="18" t="n">
        <v>0.3</v>
      </c>
      <c r="I1581" s="18" t="n">
        <v>1.5</v>
      </c>
      <c r="J1581" s="19" t="n">
        <v>0.989853371906662</v>
      </c>
      <c r="K1581" s="19" t="n">
        <v>0.457063797338166</v>
      </c>
      <c r="L1581" s="16" t="n">
        <v>11.4872553334407</v>
      </c>
      <c r="M1581" s="19" t="n">
        <v>0.336308431572415</v>
      </c>
      <c r="N1581" s="19" t="n">
        <v>0.932903538344788</v>
      </c>
      <c r="O1581" s="19" t="n">
        <v>1.25856698737417</v>
      </c>
      <c r="P1581" s="19" t="n">
        <v>1.1078809739045</v>
      </c>
      <c r="Q1581" s="17" t="s">
        <v>31</v>
      </c>
      <c r="R1581" s="5" t="str">
        <f aca="false">IF(OR(Q1581="Steel plate",Q1581="Concrete jacket"),"Steel plate or jacket",Q1581)</f>
        <v>Polymer laminate</v>
      </c>
      <c r="S1581" s="5" t="str">
        <f aca="false">IF(O1581&lt;='Tree rules'!$C$4,IF(N1581&lt;='Tree rules'!$C$5,IF(P1581&lt;='Tree rules'!$C$6,"Monitor","Polymer laminate"),IF(P1581&lt;='Tree rules'!$C$7,"Seal cracks","Polymer laminate")),IF(O1581&lt;='Tree rules'!$C$8,IF(M1581&lt;='Tree rules'!$C$9,"Steel plate or jacket","Polymer laminate"),IF(L1581&lt;='Tree rules'!$C$10,"Steel plate or jacket","Polymer laminate")))</f>
        <v>Polymer laminate</v>
      </c>
      <c r="T1581" s="5" t="str">
        <f aca="false">IF(S1581=R1581,"Yes","No")</f>
        <v>Yes</v>
      </c>
    </row>
    <row r="1582" customFormat="false" ht="15" hidden="false" customHeight="false" outlineLevel="0" collapsed="false">
      <c r="A1582" s="15" t="n">
        <v>2249</v>
      </c>
      <c r="B1582" s="16" t="n">
        <v>4.89296206388224</v>
      </c>
      <c r="C1582" s="15" t="n">
        <v>300</v>
      </c>
      <c r="D1582" s="15" t="n">
        <v>450</v>
      </c>
      <c r="E1582" s="15" t="n">
        <v>20</v>
      </c>
      <c r="F1582" s="16" t="n">
        <v>0.663570725510715</v>
      </c>
      <c r="G1582" s="17" t="s">
        <v>91</v>
      </c>
      <c r="H1582" s="18" t="n">
        <v>0.2</v>
      </c>
      <c r="I1582" s="18" t="n">
        <v>1.5</v>
      </c>
      <c r="J1582" s="19" t="n">
        <v>0.924815242998856</v>
      </c>
      <c r="K1582" s="19" t="n">
        <v>0.545689759788912</v>
      </c>
      <c r="L1582" s="16" t="n">
        <v>12.1112922373323</v>
      </c>
      <c r="M1582" s="19" t="n">
        <v>0.886122445512261</v>
      </c>
      <c r="N1582" s="19" t="n">
        <v>1.13125973680321</v>
      </c>
      <c r="O1582" s="19" t="n">
        <v>1.1348917605977</v>
      </c>
      <c r="P1582" s="19" t="n">
        <v>0.455435127941211</v>
      </c>
      <c r="Q1582" s="17" t="s">
        <v>31</v>
      </c>
      <c r="R1582" s="5" t="str">
        <f aca="false">IF(OR(Q1582="Steel plate",Q1582="Concrete jacket"),"Steel plate or jacket",Q1582)</f>
        <v>Polymer laminate</v>
      </c>
      <c r="S1582" s="5" t="str">
        <f aca="false">IF(O1582&lt;='Tree rules'!$C$4,IF(N1582&lt;='Tree rules'!$C$5,IF(P1582&lt;='Tree rules'!$C$6,"Monitor","Polymer laminate"),IF(P1582&lt;='Tree rules'!$C$7,"Seal cracks","Polymer laminate")),IF(O1582&lt;='Tree rules'!$C$8,IF(M1582&lt;='Tree rules'!$C$9,"Steel plate or jacket","Polymer laminate"),IF(L1582&lt;='Tree rules'!$C$10,"Steel plate or jacket","Polymer laminate")))</f>
        <v>Polymer laminate</v>
      </c>
      <c r="T1582" s="5" t="str">
        <f aca="false">IF(S1582=R1582,"Yes","No")</f>
        <v>Yes</v>
      </c>
    </row>
    <row r="1583" customFormat="false" ht="15" hidden="false" customHeight="false" outlineLevel="0" collapsed="false">
      <c r="A1583" s="15" t="n">
        <v>2252</v>
      </c>
      <c r="B1583" s="16" t="n">
        <v>3.02616468786558</v>
      </c>
      <c r="C1583" s="15" t="n">
        <v>300</v>
      </c>
      <c r="D1583" s="15" t="n">
        <v>300</v>
      </c>
      <c r="E1583" s="15" t="n">
        <v>30</v>
      </c>
      <c r="F1583" s="16" t="n">
        <v>0.831109167616348</v>
      </c>
      <c r="G1583" s="17" t="s">
        <v>89</v>
      </c>
      <c r="H1583" s="18" t="n">
        <v>0.3</v>
      </c>
      <c r="I1583" s="18" t="n">
        <v>1.5</v>
      </c>
      <c r="J1583" s="19" t="n">
        <v>0.94496717070078</v>
      </c>
      <c r="K1583" s="19" t="n">
        <v>0.538151894212565</v>
      </c>
      <c r="L1583" s="16" t="n">
        <v>12.0085900312126</v>
      </c>
      <c r="M1583" s="19" t="n">
        <v>0.343472599067607</v>
      </c>
      <c r="N1583" s="19" t="n">
        <v>1.33844824365597</v>
      </c>
      <c r="O1583" s="19" t="n">
        <v>1.16318281961051</v>
      </c>
      <c r="P1583" s="19" t="n">
        <v>0.961941133294814</v>
      </c>
      <c r="Q1583" s="17" t="s">
        <v>31</v>
      </c>
      <c r="R1583" s="5" t="str">
        <f aca="false">IF(OR(Q1583="Steel plate",Q1583="Concrete jacket"),"Steel plate or jacket",Q1583)</f>
        <v>Polymer laminate</v>
      </c>
      <c r="S1583" s="5" t="str">
        <f aca="false">IF(O1583&lt;='Tree rules'!$C$4,IF(N1583&lt;='Tree rules'!$C$5,IF(P1583&lt;='Tree rules'!$C$6,"Monitor","Polymer laminate"),IF(P1583&lt;='Tree rules'!$C$7,"Seal cracks","Polymer laminate")),IF(O1583&lt;='Tree rules'!$C$8,IF(M1583&lt;='Tree rules'!$C$9,"Steel plate or jacket","Polymer laminate"),IF(L1583&lt;='Tree rules'!$C$10,"Steel plate or jacket","Polymer laminate")))</f>
        <v>Polymer laminate</v>
      </c>
      <c r="T1583" s="5" t="str">
        <f aca="false">IF(S1583=R1583,"Yes","No")</f>
        <v>Yes</v>
      </c>
    </row>
    <row r="1584" customFormat="false" ht="15" hidden="false" customHeight="false" outlineLevel="0" collapsed="false">
      <c r="A1584" s="15" t="n">
        <v>2253</v>
      </c>
      <c r="B1584" s="16" t="n">
        <v>4.6701914536706</v>
      </c>
      <c r="C1584" s="15" t="n">
        <v>230</v>
      </c>
      <c r="D1584" s="15" t="n">
        <v>425</v>
      </c>
      <c r="E1584" s="15" t="n">
        <v>30</v>
      </c>
      <c r="F1584" s="16" t="n">
        <v>0.691964884122107</v>
      </c>
      <c r="G1584" s="17" t="s">
        <v>89</v>
      </c>
      <c r="H1584" s="18" t="n">
        <v>0.3</v>
      </c>
      <c r="I1584" s="18" t="n">
        <v>1</v>
      </c>
      <c r="J1584" s="19" t="n">
        <v>0.909232481945564</v>
      </c>
      <c r="K1584" s="19" t="n">
        <v>0.490869027083261</v>
      </c>
      <c r="L1584" s="16" t="n">
        <v>12.3224048909514</v>
      </c>
      <c r="M1584" s="19" t="n">
        <v>0.284012198036851</v>
      </c>
      <c r="N1584" s="19" t="n">
        <v>0.700505215996084</v>
      </c>
      <c r="O1584" s="19" t="n">
        <v>0.909232481945564</v>
      </c>
      <c r="P1584" s="19" t="n">
        <v>0.99419037892801</v>
      </c>
      <c r="Q1584" s="17" t="s">
        <v>31</v>
      </c>
      <c r="R1584" s="5" t="str">
        <f aca="false">IF(OR(Q1584="Steel plate",Q1584="Concrete jacket"),"Steel plate or jacket",Q1584)</f>
        <v>Polymer laminate</v>
      </c>
      <c r="S1584" s="5" t="str">
        <f aca="false">IF(O1584&lt;='Tree rules'!$C$4,IF(N1584&lt;='Tree rules'!$C$5,IF(P1584&lt;='Tree rules'!$C$6,"Monitor","Polymer laminate"),IF(P1584&lt;='Tree rules'!$C$7,"Seal cracks","Polymer laminate")),IF(O1584&lt;='Tree rules'!$C$8,IF(M1584&lt;='Tree rules'!$C$9,"Steel plate or jacket","Polymer laminate"),IF(L1584&lt;='Tree rules'!$C$10,"Steel plate or jacket","Polymer laminate")))</f>
        <v>Polymer laminate</v>
      </c>
      <c r="T1584" s="5" t="str">
        <f aca="false">IF(S1584=R1584,"Yes","No")</f>
        <v>Yes</v>
      </c>
    </row>
    <row r="1585" customFormat="false" ht="15" hidden="false" customHeight="false" outlineLevel="0" collapsed="false">
      <c r="A1585" s="15" t="n">
        <v>2255</v>
      </c>
      <c r="B1585" s="16" t="n">
        <v>3.17518342375744</v>
      </c>
      <c r="C1585" s="15" t="n">
        <v>300</v>
      </c>
      <c r="D1585" s="15" t="n">
        <v>300</v>
      </c>
      <c r="E1585" s="15" t="n">
        <v>25</v>
      </c>
      <c r="F1585" s="16" t="n">
        <v>0.791582400904515</v>
      </c>
      <c r="G1585" s="17" t="s">
        <v>89</v>
      </c>
      <c r="H1585" s="18" t="n">
        <v>0.3</v>
      </c>
      <c r="I1585" s="18" t="n">
        <v>1</v>
      </c>
      <c r="J1585" s="19" t="n">
        <v>0.977145768026026</v>
      </c>
      <c r="K1585" s="19" t="n">
        <v>0.421328812719976</v>
      </c>
      <c r="L1585" s="16" t="n">
        <v>12.5007221407773</v>
      </c>
      <c r="M1585" s="19" t="n">
        <v>0.303652404753741</v>
      </c>
      <c r="N1585" s="19" t="n">
        <v>0.862171095086861</v>
      </c>
      <c r="O1585" s="19" t="n">
        <v>0.977145768026026</v>
      </c>
      <c r="P1585" s="19" t="n">
        <v>0.980891218790832</v>
      </c>
      <c r="Q1585" s="17" t="s">
        <v>31</v>
      </c>
      <c r="R1585" s="5" t="str">
        <f aca="false">IF(OR(Q1585="Steel plate",Q1585="Concrete jacket"),"Steel plate or jacket",Q1585)</f>
        <v>Polymer laminate</v>
      </c>
      <c r="S1585" s="5" t="str">
        <f aca="false">IF(O1585&lt;='Tree rules'!$C$4,IF(N1585&lt;='Tree rules'!$C$5,IF(P1585&lt;='Tree rules'!$C$6,"Monitor","Polymer laminate"),IF(P1585&lt;='Tree rules'!$C$7,"Seal cracks","Polymer laminate")),IF(O1585&lt;='Tree rules'!$C$8,IF(M1585&lt;='Tree rules'!$C$9,"Steel plate or jacket","Polymer laminate"),IF(L1585&lt;='Tree rules'!$C$10,"Steel plate or jacket","Polymer laminate")))</f>
        <v>Polymer laminate</v>
      </c>
      <c r="T1585" s="5" t="str">
        <f aca="false">IF(S1585=R1585,"Yes","No")</f>
        <v>Yes</v>
      </c>
    </row>
    <row r="1586" customFormat="false" ht="15" hidden="false" customHeight="false" outlineLevel="0" collapsed="false">
      <c r="A1586" s="15" t="n">
        <v>2256</v>
      </c>
      <c r="B1586" s="16" t="n">
        <v>3.2254146217011</v>
      </c>
      <c r="C1586" s="15" t="n">
        <v>230</v>
      </c>
      <c r="D1586" s="15" t="n">
        <v>300</v>
      </c>
      <c r="E1586" s="15" t="n">
        <v>25</v>
      </c>
      <c r="F1586" s="16" t="n">
        <v>0.688332522525665</v>
      </c>
      <c r="G1586" s="17" t="s">
        <v>89</v>
      </c>
      <c r="H1586" s="18" t="n">
        <v>0.3</v>
      </c>
      <c r="I1586" s="18" t="n">
        <v>1</v>
      </c>
      <c r="J1586" s="19" t="n">
        <v>0.968241517146391</v>
      </c>
      <c r="K1586" s="19" t="n">
        <v>0.440032774699699</v>
      </c>
      <c r="L1586" s="16" t="n">
        <v>12.6984827626028</v>
      </c>
      <c r="M1586" s="19" t="n">
        <v>0.650382994243003</v>
      </c>
      <c r="N1586" s="19" t="n">
        <v>0.878971922801492</v>
      </c>
      <c r="O1586" s="19" t="n">
        <v>0.968241517146391</v>
      </c>
      <c r="P1586" s="19" t="n">
        <v>0.432766114656997</v>
      </c>
      <c r="Q1586" s="17" t="s">
        <v>29</v>
      </c>
      <c r="R1586" s="5" t="str">
        <f aca="false">IF(OR(Q1586="Steel plate",Q1586="Concrete jacket"),"Steel plate or jacket",Q1586)</f>
        <v>Monitor</v>
      </c>
      <c r="S1586" s="5" t="str">
        <f aca="false">IF(O1586&lt;='Tree rules'!$C$4,IF(N1586&lt;='Tree rules'!$C$5,IF(P1586&lt;='Tree rules'!$C$6,"Monitor","Polymer laminate"),IF(P1586&lt;='Tree rules'!$C$7,"Seal cracks","Polymer laminate")),IF(O1586&lt;='Tree rules'!$C$8,IF(M1586&lt;='Tree rules'!$C$9,"Steel plate or jacket","Polymer laminate"),IF(L1586&lt;='Tree rules'!$C$10,"Steel plate or jacket","Polymer laminate")))</f>
        <v>Monitor</v>
      </c>
      <c r="T1586" s="5" t="str">
        <f aca="false">IF(S1586=R1586,"Yes","No")</f>
        <v>Yes</v>
      </c>
    </row>
    <row r="1587" customFormat="false" ht="15" hidden="false" customHeight="false" outlineLevel="0" collapsed="false">
      <c r="A1587" s="15" t="n">
        <v>2257</v>
      </c>
      <c r="B1587" s="16" t="n">
        <v>3.94889669633875</v>
      </c>
      <c r="C1587" s="15" t="n">
        <v>300</v>
      </c>
      <c r="D1587" s="15" t="n">
        <v>375</v>
      </c>
      <c r="E1587" s="15" t="n">
        <v>30</v>
      </c>
      <c r="F1587" s="16" t="n">
        <v>0.611130485804701</v>
      </c>
      <c r="G1587" s="17" t="s">
        <v>89</v>
      </c>
      <c r="H1587" s="18" t="n">
        <v>0.3</v>
      </c>
      <c r="I1587" s="18" t="n">
        <v>1</v>
      </c>
      <c r="J1587" s="19" t="n">
        <v>0.878110510057721</v>
      </c>
      <c r="K1587" s="19" t="n">
        <v>0.468719620711023</v>
      </c>
      <c r="L1587" s="16" t="n">
        <v>12.0027255207865</v>
      </c>
      <c r="M1587" s="19" t="n">
        <v>0.603029185809801</v>
      </c>
      <c r="N1587" s="19" t="n">
        <v>0.716360504933698</v>
      </c>
      <c r="O1587" s="19" t="n">
        <v>0.878110510057721</v>
      </c>
      <c r="P1587" s="19" t="n">
        <v>0.394305602511543</v>
      </c>
      <c r="Q1587" s="17" t="s">
        <v>29</v>
      </c>
      <c r="R1587" s="5" t="str">
        <f aca="false">IF(OR(Q1587="Steel plate",Q1587="Concrete jacket"),"Steel plate or jacket",Q1587)</f>
        <v>Monitor</v>
      </c>
      <c r="S1587" s="5" t="str">
        <f aca="false">IF(O1587&lt;='Tree rules'!$C$4,IF(N1587&lt;='Tree rules'!$C$5,IF(P1587&lt;='Tree rules'!$C$6,"Monitor","Polymer laminate"),IF(P1587&lt;='Tree rules'!$C$7,"Seal cracks","Polymer laminate")),IF(O1587&lt;='Tree rules'!$C$8,IF(M1587&lt;='Tree rules'!$C$9,"Steel plate or jacket","Polymer laminate"),IF(L1587&lt;='Tree rules'!$C$10,"Steel plate or jacket","Polymer laminate")))</f>
        <v>Monitor</v>
      </c>
      <c r="T1587" s="5" t="str">
        <f aca="false">IF(S1587=R1587,"Yes","No")</f>
        <v>Yes</v>
      </c>
    </row>
    <row r="1588" customFormat="false" ht="15" hidden="false" customHeight="false" outlineLevel="0" collapsed="false">
      <c r="A1588" s="15" t="n">
        <v>2258</v>
      </c>
      <c r="B1588" s="16" t="n">
        <v>3.43514216081799</v>
      </c>
      <c r="C1588" s="15" t="n">
        <v>300</v>
      </c>
      <c r="D1588" s="15" t="n">
        <v>325</v>
      </c>
      <c r="E1588" s="15" t="n">
        <v>30</v>
      </c>
      <c r="F1588" s="16" t="n">
        <v>0.756099314943392</v>
      </c>
      <c r="G1588" s="17" t="s">
        <v>91</v>
      </c>
      <c r="H1588" s="18" t="n">
        <v>0.2</v>
      </c>
      <c r="I1588" s="18" t="n">
        <v>2</v>
      </c>
      <c r="J1588" s="19" t="n">
        <v>0.880192061130572</v>
      </c>
      <c r="K1588" s="19" t="n">
        <v>0.42765199247176</v>
      </c>
      <c r="L1588" s="16" t="n">
        <v>12.4012352376101</v>
      </c>
      <c r="M1588" s="19" t="n">
        <v>0.719279871230992</v>
      </c>
      <c r="N1588" s="19" t="n">
        <v>2.30250357009074</v>
      </c>
      <c r="O1588" s="19" t="n">
        <v>1.38396823356083</v>
      </c>
      <c r="P1588" s="19" t="n">
        <v>0.483435889854891</v>
      </c>
      <c r="Q1588" s="17" t="s">
        <v>31</v>
      </c>
      <c r="R1588" s="5" t="str">
        <f aca="false">IF(OR(Q1588="Steel plate",Q1588="Concrete jacket"),"Steel plate or jacket",Q1588)</f>
        <v>Polymer laminate</v>
      </c>
      <c r="S1588" s="5" t="str">
        <f aca="false">IF(O1588&lt;='Tree rules'!$C$4,IF(N1588&lt;='Tree rules'!$C$5,IF(P1588&lt;='Tree rules'!$C$6,"Monitor","Polymer laminate"),IF(P1588&lt;='Tree rules'!$C$7,"Seal cracks","Polymer laminate")),IF(O1588&lt;='Tree rules'!$C$8,IF(M1588&lt;='Tree rules'!$C$9,"Steel plate or jacket","Polymer laminate"),IF(L1588&lt;='Tree rules'!$C$10,"Steel plate or jacket","Polymer laminate")))</f>
        <v>Steel plate or jacket</v>
      </c>
      <c r="T1588" s="5" t="str">
        <f aca="false">IF(S1588=R1588,"Yes","No")</f>
        <v>No</v>
      </c>
    </row>
    <row r="1589" customFormat="false" ht="15" hidden="false" customHeight="false" outlineLevel="0" collapsed="false">
      <c r="A1589" s="15" t="n">
        <v>2259</v>
      </c>
      <c r="B1589" s="16" t="n">
        <v>3.65854672572041</v>
      </c>
      <c r="C1589" s="15" t="n">
        <v>230</v>
      </c>
      <c r="D1589" s="15" t="n">
        <v>350</v>
      </c>
      <c r="E1589" s="15" t="n">
        <v>20</v>
      </c>
      <c r="F1589" s="16" t="n">
        <v>0.575119936583944</v>
      </c>
      <c r="G1589" s="17" t="s">
        <v>89</v>
      </c>
      <c r="H1589" s="18" t="n">
        <v>0.3</v>
      </c>
      <c r="I1589" s="18" t="n">
        <v>1</v>
      </c>
      <c r="J1589" s="19" t="n">
        <v>0.935329520025835</v>
      </c>
      <c r="K1589" s="19" t="n">
        <v>0.571301644811884</v>
      </c>
      <c r="L1589" s="16" t="n">
        <v>12.0346931767119</v>
      </c>
      <c r="M1589" s="19" t="n">
        <v>0.72104052231199</v>
      </c>
      <c r="N1589" s="19" t="n">
        <v>0.817385785624176</v>
      </c>
      <c r="O1589" s="19" t="n">
        <v>0.935329520025835</v>
      </c>
      <c r="P1589" s="19" t="n">
        <v>0.403210627827833</v>
      </c>
      <c r="Q1589" s="17" t="s">
        <v>29</v>
      </c>
      <c r="R1589" s="5" t="str">
        <f aca="false">IF(OR(Q1589="Steel plate",Q1589="Concrete jacket"),"Steel plate or jacket",Q1589)</f>
        <v>Monitor</v>
      </c>
      <c r="S1589" s="5" t="str">
        <f aca="false">IF(O1589&lt;='Tree rules'!$C$4,IF(N1589&lt;='Tree rules'!$C$5,IF(P1589&lt;='Tree rules'!$C$6,"Monitor","Polymer laminate"),IF(P1589&lt;='Tree rules'!$C$7,"Seal cracks","Polymer laminate")),IF(O1589&lt;='Tree rules'!$C$8,IF(M1589&lt;='Tree rules'!$C$9,"Steel plate or jacket","Polymer laminate"),IF(L1589&lt;='Tree rules'!$C$10,"Steel plate or jacket","Polymer laminate")))</f>
        <v>Monitor</v>
      </c>
      <c r="T1589" s="5" t="str">
        <f aca="false">IF(S1589=R1589,"Yes","No")</f>
        <v>Yes</v>
      </c>
    </row>
    <row r="1590" customFormat="false" ht="15" hidden="false" customHeight="false" outlineLevel="0" collapsed="false">
      <c r="A1590" s="15" t="n">
        <v>2262</v>
      </c>
      <c r="B1590" s="16" t="n">
        <v>7.51553245296161</v>
      </c>
      <c r="C1590" s="15" t="n">
        <v>230</v>
      </c>
      <c r="D1590" s="15" t="n">
        <v>675</v>
      </c>
      <c r="E1590" s="15" t="n">
        <v>25</v>
      </c>
      <c r="F1590" s="16" t="n">
        <v>0.653545382481754</v>
      </c>
      <c r="G1590" s="17" t="s">
        <v>89</v>
      </c>
      <c r="H1590" s="18" t="n">
        <v>0.3</v>
      </c>
      <c r="I1590" s="18" t="n">
        <v>2</v>
      </c>
      <c r="J1590" s="19" t="n">
        <v>0.887485213945851</v>
      </c>
      <c r="K1590" s="19" t="n">
        <v>0.616521651819444</v>
      </c>
      <c r="L1590" s="16" t="n">
        <v>11.9864951402897</v>
      </c>
      <c r="M1590" s="19" t="n">
        <v>0.853575882455933</v>
      </c>
      <c r="N1590" s="19" t="n">
        <v>0.815399175193987</v>
      </c>
      <c r="O1590" s="19" t="n">
        <v>1.22781657782447</v>
      </c>
      <c r="P1590" s="19" t="n">
        <v>0.50520652003927</v>
      </c>
      <c r="Q1590" s="17" t="s">
        <v>31</v>
      </c>
      <c r="R1590" s="5" t="str">
        <f aca="false">IF(OR(Q1590="Steel plate",Q1590="Concrete jacket"),"Steel plate or jacket",Q1590)</f>
        <v>Polymer laminate</v>
      </c>
      <c r="S1590" s="5" t="str">
        <f aca="false">IF(O1590&lt;='Tree rules'!$C$4,IF(N1590&lt;='Tree rules'!$C$5,IF(P1590&lt;='Tree rules'!$C$6,"Monitor","Polymer laminate"),IF(P1590&lt;='Tree rules'!$C$7,"Seal cracks","Polymer laminate")),IF(O1590&lt;='Tree rules'!$C$8,IF(M1590&lt;='Tree rules'!$C$9,"Steel plate or jacket","Polymer laminate"),IF(L1590&lt;='Tree rules'!$C$10,"Steel plate or jacket","Polymer laminate")))</f>
        <v>Polymer laminate</v>
      </c>
      <c r="T1590" s="5" t="str">
        <f aca="false">IF(S1590=R1590,"Yes","No")</f>
        <v>Yes</v>
      </c>
    </row>
    <row r="1591" customFormat="false" ht="15" hidden="false" customHeight="false" outlineLevel="0" collapsed="false">
      <c r="A1591" s="15" t="n">
        <v>2264</v>
      </c>
      <c r="B1591" s="16" t="n">
        <v>4.79303914449667</v>
      </c>
      <c r="C1591" s="15" t="n">
        <v>230</v>
      </c>
      <c r="D1591" s="15" t="n">
        <v>450</v>
      </c>
      <c r="E1591" s="15" t="n">
        <v>30</v>
      </c>
      <c r="F1591" s="16" t="n">
        <v>0.649145274956135</v>
      </c>
      <c r="G1591" s="17" t="s">
        <v>89</v>
      </c>
      <c r="H1591" s="18" t="n">
        <v>0.3</v>
      </c>
      <c r="I1591" s="18" t="n">
        <v>1</v>
      </c>
      <c r="J1591" s="19" t="n">
        <v>0.949949247264483</v>
      </c>
      <c r="K1591" s="19" t="n">
        <v>0.583784906086595</v>
      </c>
      <c r="L1591" s="16" t="n">
        <v>11.8639582784571</v>
      </c>
      <c r="M1591" s="19" t="n">
        <v>0.77429289558936</v>
      </c>
      <c r="N1591" s="19" t="n">
        <v>0.648932912909489</v>
      </c>
      <c r="O1591" s="19" t="n">
        <v>0.949949247264483</v>
      </c>
      <c r="P1591" s="19" t="n">
        <v>0.408934498352383</v>
      </c>
      <c r="Q1591" s="17" t="s">
        <v>29</v>
      </c>
      <c r="R1591" s="5" t="str">
        <f aca="false">IF(OR(Q1591="Steel plate",Q1591="Concrete jacket"),"Steel plate or jacket",Q1591)</f>
        <v>Monitor</v>
      </c>
      <c r="S1591" s="5" t="str">
        <f aca="false">IF(O1591&lt;='Tree rules'!$C$4,IF(N1591&lt;='Tree rules'!$C$5,IF(P1591&lt;='Tree rules'!$C$6,"Monitor","Polymer laminate"),IF(P1591&lt;='Tree rules'!$C$7,"Seal cracks","Polymer laminate")),IF(O1591&lt;='Tree rules'!$C$8,IF(M1591&lt;='Tree rules'!$C$9,"Steel plate or jacket","Polymer laminate"),IF(L1591&lt;='Tree rules'!$C$10,"Steel plate or jacket","Polymer laminate")))</f>
        <v>Monitor</v>
      </c>
      <c r="T1591" s="5" t="str">
        <f aca="false">IF(S1591=R1591,"Yes","No")</f>
        <v>Yes</v>
      </c>
    </row>
    <row r="1592" customFormat="false" ht="15" hidden="false" customHeight="false" outlineLevel="0" collapsed="false">
      <c r="A1592" s="15" t="n">
        <v>2265</v>
      </c>
      <c r="B1592" s="16" t="n">
        <v>3.3676480049599</v>
      </c>
      <c r="C1592" s="15" t="n">
        <v>300</v>
      </c>
      <c r="D1592" s="15" t="n">
        <v>325</v>
      </c>
      <c r="E1592" s="15" t="n">
        <v>25</v>
      </c>
      <c r="F1592" s="16" t="n">
        <v>0.67080270183412</v>
      </c>
      <c r="G1592" s="17" t="s">
        <v>89</v>
      </c>
      <c r="H1592" s="18" t="n">
        <v>0.3</v>
      </c>
      <c r="I1592" s="18" t="n">
        <v>2</v>
      </c>
      <c r="J1592" s="19" t="n">
        <v>0.851996295055898</v>
      </c>
      <c r="K1592" s="19" t="n">
        <v>0.616226341933301</v>
      </c>
      <c r="L1592" s="16" t="n">
        <v>11.9845124731669</v>
      </c>
      <c r="M1592" s="19" t="n">
        <v>0.748429689183348</v>
      </c>
      <c r="N1592" s="19" t="n">
        <v>0.786879578259875</v>
      </c>
      <c r="O1592" s="19" t="n">
        <v>1.17897002986878</v>
      </c>
      <c r="P1592" s="19" t="n">
        <v>0.455899302914805</v>
      </c>
      <c r="Q1592" s="17" t="s">
        <v>31</v>
      </c>
      <c r="R1592" s="5" t="str">
        <f aca="false">IF(OR(Q1592="Steel plate",Q1592="Concrete jacket"),"Steel plate or jacket",Q1592)</f>
        <v>Polymer laminate</v>
      </c>
      <c r="S1592" s="5" t="str">
        <f aca="false">IF(O1592&lt;='Tree rules'!$C$4,IF(N1592&lt;='Tree rules'!$C$5,IF(P1592&lt;='Tree rules'!$C$6,"Monitor","Polymer laminate"),IF(P1592&lt;='Tree rules'!$C$7,"Seal cracks","Polymer laminate")),IF(O1592&lt;='Tree rules'!$C$8,IF(M1592&lt;='Tree rules'!$C$9,"Steel plate or jacket","Polymer laminate"),IF(L1592&lt;='Tree rules'!$C$10,"Steel plate or jacket","Polymer laminate")))</f>
        <v>Polymer laminate</v>
      </c>
      <c r="T1592" s="5" t="str">
        <f aca="false">IF(S1592=R1592,"Yes","No")</f>
        <v>Yes</v>
      </c>
    </row>
    <row r="1593" customFormat="false" ht="15" hidden="false" customHeight="false" outlineLevel="0" collapsed="false">
      <c r="A1593" s="15" t="n">
        <v>2268</v>
      </c>
      <c r="B1593" s="16" t="n">
        <v>7.0366503062771</v>
      </c>
      <c r="C1593" s="15" t="n">
        <v>230</v>
      </c>
      <c r="D1593" s="15" t="n">
        <v>650</v>
      </c>
      <c r="E1593" s="15" t="n">
        <v>20</v>
      </c>
      <c r="F1593" s="16" t="n">
        <v>0.680685971455249</v>
      </c>
      <c r="G1593" s="17" t="s">
        <v>89</v>
      </c>
      <c r="H1593" s="18" t="n">
        <v>0.3</v>
      </c>
      <c r="I1593" s="18" t="n">
        <v>2</v>
      </c>
      <c r="J1593" s="19" t="n">
        <v>0.909056513403668</v>
      </c>
      <c r="K1593" s="19" t="n">
        <v>0.623564496809562</v>
      </c>
      <c r="L1593" s="16" t="n">
        <v>11.6887878841812</v>
      </c>
      <c r="M1593" s="19" t="n">
        <v>0.60128261608683</v>
      </c>
      <c r="N1593" s="19" t="n">
        <v>0.857551017465893</v>
      </c>
      <c r="O1593" s="19" t="n">
        <v>1.25125765945532</v>
      </c>
      <c r="P1593" s="19" t="n">
        <v>0.761376749049249</v>
      </c>
      <c r="Q1593" s="17" t="s">
        <v>31</v>
      </c>
      <c r="R1593" s="5" t="str">
        <f aca="false">IF(OR(Q1593="Steel plate",Q1593="Concrete jacket"),"Steel plate or jacket",Q1593)</f>
        <v>Polymer laminate</v>
      </c>
      <c r="S1593" s="5" t="str">
        <f aca="false">IF(O1593&lt;='Tree rules'!$C$4,IF(N1593&lt;='Tree rules'!$C$5,IF(P1593&lt;='Tree rules'!$C$6,"Monitor","Polymer laminate"),IF(P1593&lt;='Tree rules'!$C$7,"Seal cracks","Polymer laminate")),IF(O1593&lt;='Tree rules'!$C$8,IF(M1593&lt;='Tree rules'!$C$9,"Steel plate or jacket","Polymer laminate"),IF(L1593&lt;='Tree rules'!$C$10,"Steel plate or jacket","Polymer laminate")))</f>
        <v>Polymer laminate</v>
      </c>
      <c r="T1593" s="5" t="str">
        <f aca="false">IF(S1593=R1593,"Yes","No")</f>
        <v>Yes</v>
      </c>
    </row>
    <row r="1594" customFormat="false" ht="15" hidden="false" customHeight="false" outlineLevel="0" collapsed="false">
      <c r="A1594" s="15" t="n">
        <v>2269</v>
      </c>
      <c r="B1594" s="16" t="n">
        <v>4.31104366595685</v>
      </c>
      <c r="C1594" s="15" t="n">
        <v>230</v>
      </c>
      <c r="D1594" s="15" t="n">
        <v>350</v>
      </c>
      <c r="E1594" s="15" t="n">
        <v>20</v>
      </c>
      <c r="F1594" s="16" t="n">
        <v>0.575119936583944</v>
      </c>
      <c r="G1594" s="17" t="s">
        <v>89</v>
      </c>
      <c r="H1594" s="18" t="n">
        <v>0.3</v>
      </c>
      <c r="I1594" s="18" t="n">
        <v>1</v>
      </c>
      <c r="J1594" s="19" t="n">
        <v>0.977338138873071</v>
      </c>
      <c r="K1594" s="19" t="n">
        <v>0.580051325100882</v>
      </c>
      <c r="L1594" s="16" t="n">
        <v>14.1810646906475</v>
      </c>
      <c r="M1594" s="19" t="n">
        <v>0.462616672723197</v>
      </c>
      <c r="N1594" s="19" t="n">
        <v>0.92400349170647</v>
      </c>
      <c r="O1594" s="19" t="n">
        <v>0.977338138873071</v>
      </c>
      <c r="P1594" s="19" t="n">
        <v>0.754841283735033</v>
      </c>
      <c r="Q1594" s="17" t="s">
        <v>29</v>
      </c>
      <c r="R1594" s="5" t="str">
        <f aca="false">IF(OR(Q1594="Steel plate",Q1594="Concrete jacket"),"Steel plate or jacket",Q1594)</f>
        <v>Monitor</v>
      </c>
      <c r="S1594" s="5" t="str">
        <f aca="false">IF(O1594&lt;='Tree rules'!$C$4,IF(N1594&lt;='Tree rules'!$C$5,IF(P1594&lt;='Tree rules'!$C$6,"Monitor","Polymer laminate"),IF(P1594&lt;='Tree rules'!$C$7,"Seal cracks","Polymer laminate")),IF(O1594&lt;='Tree rules'!$C$8,IF(M1594&lt;='Tree rules'!$C$9,"Steel plate or jacket","Polymer laminate"),IF(L1594&lt;='Tree rules'!$C$10,"Steel plate or jacket","Polymer laminate")))</f>
        <v>Monitor</v>
      </c>
      <c r="T1594" s="5" t="str">
        <f aca="false">IF(S1594=R1594,"Yes","No")</f>
        <v>Yes</v>
      </c>
    </row>
    <row r="1595" customFormat="false" ht="15" hidden="false" customHeight="false" outlineLevel="0" collapsed="false">
      <c r="A1595" s="15" t="n">
        <v>2271</v>
      </c>
      <c r="B1595" s="16" t="n">
        <v>3.13143640524454</v>
      </c>
      <c r="C1595" s="15" t="n">
        <v>300</v>
      </c>
      <c r="D1595" s="15" t="n">
        <v>300</v>
      </c>
      <c r="E1595" s="15" t="n">
        <v>25</v>
      </c>
      <c r="F1595" s="16" t="n">
        <v>0.791582400904515</v>
      </c>
      <c r="G1595" s="17" t="s">
        <v>89</v>
      </c>
      <c r="H1595" s="18" t="n">
        <v>0.3</v>
      </c>
      <c r="I1595" s="18" t="n">
        <v>1</v>
      </c>
      <c r="J1595" s="19" t="n">
        <v>0.939840731912979</v>
      </c>
      <c r="K1595" s="19" t="n">
        <v>0.567192964819181</v>
      </c>
      <c r="L1595" s="16" t="n">
        <v>12.3284897844273</v>
      </c>
      <c r="M1595" s="19" t="n">
        <v>0.935065682004131</v>
      </c>
      <c r="N1595" s="19" t="n">
        <v>0.722165172185831</v>
      </c>
      <c r="O1595" s="19" t="n">
        <v>0.93984073191298</v>
      </c>
      <c r="P1595" s="19" t="n">
        <v>0.374135900025302</v>
      </c>
      <c r="Q1595" s="17" t="s">
        <v>29</v>
      </c>
      <c r="R1595" s="5" t="str">
        <f aca="false">IF(OR(Q1595="Steel plate",Q1595="Concrete jacket"),"Steel plate or jacket",Q1595)</f>
        <v>Monitor</v>
      </c>
      <c r="S1595" s="5" t="str">
        <f aca="false">IF(O1595&lt;='Tree rules'!$C$4,IF(N1595&lt;='Tree rules'!$C$5,IF(P1595&lt;='Tree rules'!$C$6,"Monitor","Polymer laminate"),IF(P1595&lt;='Tree rules'!$C$7,"Seal cracks","Polymer laminate")),IF(O1595&lt;='Tree rules'!$C$8,IF(M1595&lt;='Tree rules'!$C$9,"Steel plate or jacket","Polymer laminate"),IF(L1595&lt;='Tree rules'!$C$10,"Steel plate or jacket","Polymer laminate")))</f>
        <v>Monitor</v>
      </c>
      <c r="T1595" s="5" t="str">
        <f aca="false">IF(S1595=R1595,"Yes","No")</f>
        <v>Yes</v>
      </c>
    </row>
    <row r="1596" customFormat="false" ht="15" hidden="false" customHeight="false" outlineLevel="0" collapsed="false">
      <c r="A1596" s="15" t="n">
        <v>2272</v>
      </c>
      <c r="B1596" s="16" t="n">
        <v>3.90798652290975</v>
      </c>
      <c r="C1596" s="15" t="n">
        <v>230</v>
      </c>
      <c r="D1596" s="15" t="n">
        <v>300</v>
      </c>
      <c r="E1596" s="15" t="n">
        <v>20</v>
      </c>
      <c r="F1596" s="16" t="n">
        <v>0.576243217710084</v>
      </c>
      <c r="G1596" s="17" t="s">
        <v>89</v>
      </c>
      <c r="H1596" s="18" t="n">
        <v>0.3</v>
      </c>
      <c r="I1596" s="18" t="n">
        <v>2</v>
      </c>
      <c r="J1596" s="19" t="n">
        <v>0.916982779655239</v>
      </c>
      <c r="K1596" s="19" t="n">
        <v>0.560120066971561</v>
      </c>
      <c r="L1596" s="16" t="n">
        <v>15.2655723551162</v>
      </c>
      <c r="M1596" s="19" t="n">
        <v>0.693283406504808</v>
      </c>
      <c r="N1596" s="19" t="n">
        <v>0.950115592339677</v>
      </c>
      <c r="O1596" s="19" t="n">
        <v>1.32034510335822</v>
      </c>
      <c r="P1596" s="19" t="n">
        <v>0.588985223322621</v>
      </c>
      <c r="Q1596" s="17" t="s">
        <v>31</v>
      </c>
      <c r="R1596" s="5" t="str">
        <f aca="false">IF(OR(Q1596="Steel plate",Q1596="Concrete jacket"),"Steel plate or jacket",Q1596)</f>
        <v>Polymer laminate</v>
      </c>
      <c r="S1596" s="5" t="str">
        <f aca="false">IF(O1596&lt;='Tree rules'!$C$4,IF(N1596&lt;='Tree rules'!$C$5,IF(P1596&lt;='Tree rules'!$C$6,"Monitor","Polymer laminate"),IF(P1596&lt;='Tree rules'!$C$7,"Seal cracks","Polymer laminate")),IF(O1596&lt;='Tree rules'!$C$8,IF(M1596&lt;='Tree rules'!$C$9,"Steel plate or jacket","Polymer laminate"),IF(L1596&lt;='Tree rules'!$C$10,"Steel plate or jacket","Polymer laminate")))</f>
        <v>Polymer laminate</v>
      </c>
      <c r="T1596" s="5" t="str">
        <f aca="false">IF(S1596=R1596,"Yes","No")</f>
        <v>Yes</v>
      </c>
    </row>
    <row r="1597" customFormat="false" ht="15" hidden="false" customHeight="false" outlineLevel="0" collapsed="false">
      <c r="A1597" s="15" t="n">
        <v>2273</v>
      </c>
      <c r="B1597" s="16" t="n">
        <v>6.25637235829496</v>
      </c>
      <c r="C1597" s="15" t="n">
        <v>230</v>
      </c>
      <c r="D1597" s="15" t="n">
        <v>550</v>
      </c>
      <c r="E1597" s="15" t="n">
        <v>25</v>
      </c>
      <c r="F1597" s="16" t="n">
        <v>0.816280786486175</v>
      </c>
      <c r="G1597" s="17" t="s">
        <v>89</v>
      </c>
      <c r="H1597" s="18" t="n">
        <v>0.3</v>
      </c>
      <c r="I1597" s="18" t="n">
        <v>1.5</v>
      </c>
      <c r="J1597" s="19" t="n">
        <v>0.893354970685839</v>
      </c>
      <c r="K1597" s="19" t="n">
        <v>0.509425562500079</v>
      </c>
      <c r="L1597" s="16" t="n">
        <v>12.4628931440139</v>
      </c>
      <c r="M1597" s="19" t="n">
        <v>0.450243870167266</v>
      </c>
      <c r="N1597" s="19" t="n">
        <v>0.800593010639181</v>
      </c>
      <c r="O1597" s="19" t="n">
        <v>1.11248352680182</v>
      </c>
      <c r="P1597" s="19" t="n">
        <v>0.949158259051287</v>
      </c>
      <c r="Q1597" s="17" t="s">
        <v>31</v>
      </c>
      <c r="R1597" s="5" t="str">
        <f aca="false">IF(OR(Q1597="Steel plate",Q1597="Concrete jacket"),"Steel plate or jacket",Q1597)</f>
        <v>Polymer laminate</v>
      </c>
      <c r="S1597" s="5" t="str">
        <f aca="false">IF(O1597&lt;='Tree rules'!$C$4,IF(N1597&lt;='Tree rules'!$C$5,IF(P1597&lt;='Tree rules'!$C$6,"Monitor","Polymer laminate"),IF(P1597&lt;='Tree rules'!$C$7,"Seal cracks","Polymer laminate")),IF(O1597&lt;='Tree rules'!$C$8,IF(M1597&lt;='Tree rules'!$C$9,"Steel plate or jacket","Polymer laminate"),IF(L1597&lt;='Tree rules'!$C$10,"Steel plate or jacket","Polymer laminate")))</f>
        <v>Polymer laminate</v>
      </c>
      <c r="T1597" s="5" t="str">
        <f aca="false">IF(S1597=R1597,"Yes","No")</f>
        <v>Yes</v>
      </c>
    </row>
    <row r="1598" customFormat="false" ht="15" hidden="false" customHeight="false" outlineLevel="0" collapsed="false">
      <c r="A1598" s="15" t="n">
        <v>2274</v>
      </c>
      <c r="B1598" s="16" t="n">
        <v>4.80675083948532</v>
      </c>
      <c r="C1598" s="15" t="n">
        <v>230</v>
      </c>
      <c r="D1598" s="15" t="n">
        <v>375</v>
      </c>
      <c r="E1598" s="15" t="n">
        <v>25</v>
      </c>
      <c r="F1598" s="16" t="n">
        <v>0.622439931366167</v>
      </c>
      <c r="G1598" s="17" t="s">
        <v>90</v>
      </c>
      <c r="H1598" s="18" t="n">
        <v>0.1</v>
      </c>
      <c r="I1598" s="18" t="n">
        <v>2</v>
      </c>
      <c r="J1598" s="19" t="n">
        <v>0.867699437192877</v>
      </c>
      <c r="K1598" s="19" t="n">
        <v>0.632471923936675</v>
      </c>
      <c r="L1598" s="16" t="n">
        <v>15.2112368338143</v>
      </c>
      <c r="M1598" s="19" t="n">
        <v>0.929062829038323</v>
      </c>
      <c r="N1598" s="19" t="n">
        <v>2.96479831963</v>
      </c>
      <c r="O1598" s="19" t="n">
        <v>1.18660334194561</v>
      </c>
      <c r="P1598" s="19" t="n">
        <v>0.421232318596299</v>
      </c>
      <c r="Q1598" s="17" t="s">
        <v>31</v>
      </c>
      <c r="R1598" s="5" t="str">
        <f aca="false">IF(OR(Q1598="Steel plate",Q1598="Concrete jacket"),"Steel plate or jacket",Q1598)</f>
        <v>Polymer laminate</v>
      </c>
      <c r="S1598" s="5" t="str">
        <f aca="false">IF(O1598&lt;='Tree rules'!$C$4,IF(N1598&lt;='Tree rules'!$C$5,IF(P1598&lt;='Tree rules'!$C$6,"Monitor","Polymer laminate"),IF(P1598&lt;='Tree rules'!$C$7,"Seal cracks","Polymer laminate")),IF(O1598&lt;='Tree rules'!$C$8,IF(M1598&lt;='Tree rules'!$C$9,"Steel plate or jacket","Polymer laminate"),IF(L1598&lt;='Tree rules'!$C$10,"Steel plate or jacket","Polymer laminate")))</f>
        <v>Polymer laminate</v>
      </c>
      <c r="T1598" s="5" t="str">
        <f aca="false">IF(S1598=R1598,"Yes","No")</f>
        <v>Yes</v>
      </c>
    </row>
    <row r="1599" customFormat="false" ht="15" hidden="false" customHeight="false" outlineLevel="0" collapsed="false">
      <c r="A1599" s="15" t="n">
        <v>2275</v>
      </c>
      <c r="B1599" s="16" t="n">
        <v>7.58000300337577</v>
      </c>
      <c r="C1599" s="15" t="n">
        <v>230</v>
      </c>
      <c r="D1599" s="15" t="n">
        <v>750</v>
      </c>
      <c r="E1599" s="15" t="n">
        <v>30</v>
      </c>
      <c r="F1599" s="16" t="n">
        <v>0.583722157857635</v>
      </c>
      <c r="G1599" s="17" t="s">
        <v>91</v>
      </c>
      <c r="H1599" s="18" t="n">
        <v>0.2</v>
      </c>
      <c r="I1599" s="18" t="n">
        <v>2</v>
      </c>
      <c r="J1599" s="19" t="n">
        <v>0.949023855080254</v>
      </c>
      <c r="K1599" s="19" t="n">
        <v>0.442036478934401</v>
      </c>
      <c r="L1599" s="16" t="n">
        <v>10.7977250760339</v>
      </c>
      <c r="M1599" s="19" t="n">
        <v>0.375616925207227</v>
      </c>
      <c r="N1599" s="19" t="n">
        <v>1.62010045676726</v>
      </c>
      <c r="O1599" s="19" t="n">
        <v>1.47854454683608</v>
      </c>
      <c r="P1599" s="19" t="n">
        <v>0.871303810655012</v>
      </c>
      <c r="Q1599" s="17" t="s">
        <v>92</v>
      </c>
      <c r="R1599" s="5" t="str">
        <f aca="false">IF(OR(Q1599="Steel plate",Q1599="Concrete jacket"),"Steel plate or jacket",Q1599)</f>
        <v>Steel plate or jacket</v>
      </c>
      <c r="S1599" s="5" t="str">
        <f aca="false">IF(O1599&lt;='Tree rules'!$C$4,IF(N1599&lt;='Tree rules'!$C$5,IF(P1599&lt;='Tree rules'!$C$6,"Monitor","Polymer laminate"),IF(P1599&lt;='Tree rules'!$C$7,"Seal cracks","Polymer laminate")),IF(O1599&lt;='Tree rules'!$C$8,IF(M1599&lt;='Tree rules'!$C$9,"Steel plate or jacket","Polymer laminate"),IF(L1599&lt;='Tree rules'!$C$10,"Steel plate or jacket","Polymer laminate")))</f>
        <v>Steel plate or jacket</v>
      </c>
      <c r="T1599" s="5" t="str">
        <f aca="false">IF(S1599=R1599,"Yes","No")</f>
        <v>Yes</v>
      </c>
    </row>
    <row r="1600" customFormat="false" ht="15" hidden="false" customHeight="false" outlineLevel="0" collapsed="false">
      <c r="A1600" s="15" t="n">
        <v>2276</v>
      </c>
      <c r="B1600" s="16" t="n">
        <v>4.61202284861234</v>
      </c>
      <c r="C1600" s="15" t="n">
        <v>300</v>
      </c>
      <c r="D1600" s="15" t="n">
        <v>450</v>
      </c>
      <c r="E1600" s="15" t="n">
        <v>30</v>
      </c>
      <c r="F1600" s="16" t="n">
        <v>0.811781047439223</v>
      </c>
      <c r="G1600" s="17" t="s">
        <v>90</v>
      </c>
      <c r="H1600" s="18" t="n">
        <v>0.1</v>
      </c>
      <c r="I1600" s="18" t="n">
        <v>1.5</v>
      </c>
      <c r="J1600" s="19" t="n">
        <v>0.923613301747351</v>
      </c>
      <c r="K1600" s="19" t="n">
        <v>0.588982824802147</v>
      </c>
      <c r="L1600" s="16" t="n">
        <v>11.9173717018407</v>
      </c>
      <c r="M1600" s="19" t="n">
        <v>0.91843920123059</v>
      </c>
      <c r="N1600" s="19" t="n">
        <v>3.1835039440014</v>
      </c>
      <c r="O1600" s="19" t="n">
        <v>1.11342376687703</v>
      </c>
      <c r="P1600" s="19" t="n">
        <v>0.409813454513365</v>
      </c>
      <c r="Q1600" s="17" t="s">
        <v>31</v>
      </c>
      <c r="R1600" s="5" t="str">
        <f aca="false">IF(OR(Q1600="Steel plate",Q1600="Concrete jacket"),"Steel plate or jacket",Q1600)</f>
        <v>Polymer laminate</v>
      </c>
      <c r="S1600" s="5" t="str">
        <f aca="false">IF(O1600&lt;='Tree rules'!$C$4,IF(N1600&lt;='Tree rules'!$C$5,IF(P1600&lt;='Tree rules'!$C$6,"Monitor","Polymer laminate"),IF(P1600&lt;='Tree rules'!$C$7,"Seal cracks","Polymer laminate")),IF(O1600&lt;='Tree rules'!$C$8,IF(M1600&lt;='Tree rules'!$C$9,"Steel plate or jacket","Polymer laminate"),IF(L1600&lt;='Tree rules'!$C$10,"Steel plate or jacket","Polymer laminate")))</f>
        <v>Polymer laminate</v>
      </c>
      <c r="T1600" s="5" t="str">
        <f aca="false">IF(S1600=R1600,"Yes","No")</f>
        <v>Yes</v>
      </c>
    </row>
    <row r="1601" customFormat="false" ht="15" hidden="false" customHeight="false" outlineLevel="0" collapsed="false">
      <c r="A1601" s="15" t="n">
        <v>2277</v>
      </c>
      <c r="B1601" s="16" t="n">
        <v>3.96484379038871</v>
      </c>
      <c r="C1601" s="15" t="n">
        <v>300</v>
      </c>
      <c r="D1601" s="15" t="n">
        <v>375</v>
      </c>
      <c r="E1601" s="15" t="n">
        <v>25</v>
      </c>
      <c r="F1601" s="16" t="n">
        <v>0.814840647739602</v>
      </c>
      <c r="G1601" s="17" t="s">
        <v>91</v>
      </c>
      <c r="H1601" s="18" t="n">
        <v>0.2</v>
      </c>
      <c r="I1601" s="18" t="n">
        <v>1</v>
      </c>
      <c r="J1601" s="19" t="n">
        <v>0.882580424935003</v>
      </c>
      <c r="K1601" s="19" t="n">
        <v>0.578350567663194</v>
      </c>
      <c r="L1601" s="16" t="n">
        <v>12.0511969312727</v>
      </c>
      <c r="M1601" s="19" t="n">
        <v>0.950623595328336</v>
      </c>
      <c r="N1601" s="19" t="n">
        <v>0.877017475283829</v>
      </c>
      <c r="O1601" s="19" t="n">
        <v>0.882580424935003</v>
      </c>
      <c r="P1601" s="19" t="n">
        <v>0.390586061159116</v>
      </c>
      <c r="Q1601" s="17" t="s">
        <v>29</v>
      </c>
      <c r="R1601" s="5" t="str">
        <f aca="false">IF(OR(Q1601="Steel plate",Q1601="Concrete jacket"),"Steel plate or jacket",Q1601)</f>
        <v>Monitor</v>
      </c>
      <c r="S1601" s="5" t="str">
        <f aca="false">IF(O1601&lt;='Tree rules'!$C$4,IF(N1601&lt;='Tree rules'!$C$5,IF(P1601&lt;='Tree rules'!$C$6,"Monitor","Polymer laminate"),IF(P1601&lt;='Tree rules'!$C$7,"Seal cracks","Polymer laminate")),IF(O1601&lt;='Tree rules'!$C$8,IF(M1601&lt;='Tree rules'!$C$9,"Steel plate or jacket","Polymer laminate"),IF(L1601&lt;='Tree rules'!$C$10,"Steel plate or jacket","Polymer laminate")))</f>
        <v>Monitor</v>
      </c>
      <c r="T1601" s="5" t="str">
        <f aca="false">IF(S1601=R1601,"Yes","No")</f>
        <v>Yes</v>
      </c>
    </row>
    <row r="1602" customFormat="false" ht="15" hidden="false" customHeight="false" outlineLevel="0" collapsed="false">
      <c r="A1602" s="15" t="n">
        <v>2278</v>
      </c>
      <c r="B1602" s="16" t="n">
        <v>6.74912975879015</v>
      </c>
      <c r="C1602" s="15" t="n">
        <v>300</v>
      </c>
      <c r="D1602" s="15" t="n">
        <v>600</v>
      </c>
      <c r="E1602" s="15" t="n">
        <v>25</v>
      </c>
      <c r="F1602" s="16" t="n">
        <v>0.725855342345656</v>
      </c>
      <c r="G1602" s="17" t="s">
        <v>91</v>
      </c>
      <c r="H1602" s="18" t="n">
        <v>0.2</v>
      </c>
      <c r="I1602" s="18" t="n">
        <v>1</v>
      </c>
      <c r="J1602" s="19" t="n">
        <v>0.850139485012654</v>
      </c>
      <c r="K1602" s="19" t="n">
        <v>0.508036989657562</v>
      </c>
      <c r="L1602" s="16" t="n">
        <v>12.1825446909569</v>
      </c>
      <c r="M1602" s="19" t="n">
        <v>0.932076282649731</v>
      </c>
      <c r="N1602" s="19" t="n">
        <v>0.713354566668322</v>
      </c>
      <c r="O1602" s="19" t="n">
        <v>0.850139485012654</v>
      </c>
      <c r="P1602" s="19" t="n">
        <v>0.38668607392171</v>
      </c>
      <c r="Q1602" s="17" t="s">
        <v>29</v>
      </c>
      <c r="R1602" s="5" t="str">
        <f aca="false">IF(OR(Q1602="Steel plate",Q1602="Concrete jacket"),"Steel plate or jacket",Q1602)</f>
        <v>Monitor</v>
      </c>
      <c r="S1602" s="5" t="str">
        <f aca="false">IF(O1602&lt;='Tree rules'!$C$4,IF(N1602&lt;='Tree rules'!$C$5,IF(P1602&lt;='Tree rules'!$C$6,"Monitor","Polymer laminate"),IF(P1602&lt;='Tree rules'!$C$7,"Seal cracks","Polymer laminate")),IF(O1602&lt;='Tree rules'!$C$8,IF(M1602&lt;='Tree rules'!$C$9,"Steel plate or jacket","Polymer laminate"),IF(L1602&lt;='Tree rules'!$C$10,"Steel plate or jacket","Polymer laminate")))</f>
        <v>Monitor</v>
      </c>
      <c r="T1602" s="5" t="str">
        <f aca="false">IF(S1602=R1602,"Yes","No")</f>
        <v>Yes</v>
      </c>
    </row>
    <row r="1603" customFormat="false" ht="15" hidden="false" customHeight="false" outlineLevel="0" collapsed="false">
      <c r="A1603" s="15" t="n">
        <v>2279</v>
      </c>
      <c r="B1603" s="16" t="n">
        <v>5.07454021599337</v>
      </c>
      <c r="C1603" s="15" t="n">
        <v>230</v>
      </c>
      <c r="D1603" s="15" t="n">
        <v>500</v>
      </c>
      <c r="E1603" s="15" t="n">
        <v>25</v>
      </c>
      <c r="F1603" s="16" t="n">
        <v>0.770204672782022</v>
      </c>
      <c r="G1603" s="17" t="s">
        <v>89</v>
      </c>
      <c r="H1603" s="18" t="n">
        <v>0.3</v>
      </c>
      <c r="I1603" s="18" t="n">
        <v>2</v>
      </c>
      <c r="J1603" s="19" t="n">
        <v>0.898195569293919</v>
      </c>
      <c r="K1603" s="19" t="n">
        <v>0.622253917570986</v>
      </c>
      <c r="L1603" s="16" t="n">
        <v>11.1774013568136</v>
      </c>
      <c r="M1603" s="19" t="n">
        <v>0.588720540402345</v>
      </c>
      <c r="N1603" s="19" t="n">
        <v>0.807606864095797</v>
      </c>
      <c r="O1603" s="19" t="n">
        <v>1.2374854268498</v>
      </c>
      <c r="P1603" s="19" t="n">
        <v>0.717448936154646</v>
      </c>
      <c r="Q1603" s="17" t="s">
        <v>31</v>
      </c>
      <c r="R1603" s="5" t="str">
        <f aca="false">IF(OR(Q1603="Steel plate",Q1603="Concrete jacket"),"Steel plate or jacket",Q1603)</f>
        <v>Polymer laminate</v>
      </c>
      <c r="S1603" s="5" t="str">
        <f aca="false">IF(O1603&lt;='Tree rules'!$C$4,IF(N1603&lt;='Tree rules'!$C$5,IF(P1603&lt;='Tree rules'!$C$6,"Monitor","Polymer laminate"),IF(P1603&lt;='Tree rules'!$C$7,"Seal cracks","Polymer laminate")),IF(O1603&lt;='Tree rules'!$C$8,IF(M1603&lt;='Tree rules'!$C$9,"Steel plate or jacket","Polymer laminate"),IF(L1603&lt;='Tree rules'!$C$10,"Steel plate or jacket","Polymer laminate")))</f>
        <v>Polymer laminate</v>
      </c>
      <c r="T1603" s="5" t="str">
        <f aca="false">IF(S1603=R1603,"Yes","No")</f>
        <v>Yes</v>
      </c>
    </row>
    <row r="1604" customFormat="false" ht="15" hidden="false" customHeight="false" outlineLevel="0" collapsed="false">
      <c r="A1604" s="15" t="n">
        <v>2280</v>
      </c>
      <c r="B1604" s="16" t="n">
        <v>3.82572401578157</v>
      </c>
      <c r="C1604" s="15" t="n">
        <v>230</v>
      </c>
      <c r="D1604" s="15" t="n">
        <v>300</v>
      </c>
      <c r="E1604" s="15" t="n">
        <v>30</v>
      </c>
      <c r="F1604" s="16" t="n">
        <v>0.768324290280112</v>
      </c>
      <c r="G1604" s="17" t="s">
        <v>91</v>
      </c>
      <c r="H1604" s="18" t="n">
        <v>0.2</v>
      </c>
      <c r="I1604" s="18" t="n">
        <v>1</v>
      </c>
      <c r="J1604" s="19" t="n">
        <v>0.903878461739995</v>
      </c>
      <c r="K1604" s="19" t="n">
        <v>0.411035687620706</v>
      </c>
      <c r="L1604" s="16" t="n">
        <v>14.9442344366468</v>
      </c>
      <c r="M1604" s="19" t="n">
        <v>0.923050781844334</v>
      </c>
      <c r="N1604" s="19" t="n">
        <v>0.85310988750468</v>
      </c>
      <c r="O1604" s="19" t="n">
        <v>0.903878461739995</v>
      </c>
      <c r="P1604" s="19" t="n">
        <v>0.362021967480574</v>
      </c>
      <c r="Q1604" s="17" t="s">
        <v>29</v>
      </c>
      <c r="R1604" s="5" t="str">
        <f aca="false">IF(OR(Q1604="Steel plate",Q1604="Concrete jacket"),"Steel plate or jacket",Q1604)</f>
        <v>Monitor</v>
      </c>
      <c r="S1604" s="5" t="str">
        <f aca="false">IF(O1604&lt;='Tree rules'!$C$4,IF(N1604&lt;='Tree rules'!$C$5,IF(P1604&lt;='Tree rules'!$C$6,"Monitor","Polymer laminate"),IF(P1604&lt;='Tree rules'!$C$7,"Seal cracks","Polymer laminate")),IF(O1604&lt;='Tree rules'!$C$8,IF(M1604&lt;='Tree rules'!$C$9,"Steel plate or jacket","Polymer laminate"),IF(L1604&lt;='Tree rules'!$C$10,"Steel plate or jacket","Polymer laminate")))</f>
        <v>Monitor</v>
      </c>
      <c r="T1604" s="5" t="str">
        <f aca="false">IF(S1604=R1604,"Yes","No")</f>
        <v>Yes</v>
      </c>
    </row>
    <row r="1605" customFormat="false" ht="15" hidden="false" customHeight="false" outlineLevel="0" collapsed="false">
      <c r="A1605" s="15" t="n">
        <v>2281</v>
      </c>
      <c r="B1605" s="16" t="n">
        <v>4.8151769453245</v>
      </c>
      <c r="C1605" s="15" t="n">
        <v>300</v>
      </c>
      <c r="D1605" s="15" t="n">
        <v>450</v>
      </c>
      <c r="E1605" s="15" t="n">
        <v>25</v>
      </c>
      <c r="F1605" s="16" t="n">
        <v>0.557129731671096</v>
      </c>
      <c r="G1605" s="17" t="s">
        <v>91</v>
      </c>
      <c r="H1605" s="18" t="n">
        <v>0.2</v>
      </c>
      <c r="I1605" s="18" t="n">
        <v>1.5</v>
      </c>
      <c r="J1605" s="19" t="n">
        <v>0.956081677608855</v>
      </c>
      <c r="K1605" s="19" t="n">
        <v>0.582610090884375</v>
      </c>
      <c r="L1605" s="16" t="n">
        <v>11.8600417372525</v>
      </c>
      <c r="M1605" s="19" t="n">
        <v>0.7759750191165</v>
      </c>
      <c r="N1605" s="19" t="n">
        <v>1.05385786246831</v>
      </c>
      <c r="O1605" s="19" t="n">
        <v>1.15561109987099</v>
      </c>
      <c r="P1605" s="19" t="n">
        <v>0.429914294447138</v>
      </c>
      <c r="Q1605" s="17" t="s">
        <v>31</v>
      </c>
      <c r="R1605" s="5" t="str">
        <f aca="false">IF(OR(Q1605="Steel plate",Q1605="Concrete jacket"),"Steel plate or jacket",Q1605)</f>
        <v>Polymer laminate</v>
      </c>
      <c r="S1605" s="5" t="str">
        <f aca="false">IF(O1605&lt;='Tree rules'!$C$4,IF(N1605&lt;='Tree rules'!$C$5,IF(P1605&lt;='Tree rules'!$C$6,"Monitor","Polymer laminate"),IF(P1605&lt;='Tree rules'!$C$7,"Seal cracks","Polymer laminate")),IF(O1605&lt;='Tree rules'!$C$8,IF(M1605&lt;='Tree rules'!$C$9,"Steel plate or jacket","Polymer laminate"),IF(L1605&lt;='Tree rules'!$C$10,"Steel plate or jacket","Polymer laminate")))</f>
        <v>Polymer laminate</v>
      </c>
      <c r="T1605" s="5" t="str">
        <f aca="false">IF(S1605=R1605,"Yes","No")</f>
        <v>Yes</v>
      </c>
    </row>
    <row r="1606" customFormat="false" ht="15" hidden="false" customHeight="false" outlineLevel="0" collapsed="false">
      <c r="A1606" s="15" t="n">
        <v>2283</v>
      </c>
      <c r="B1606" s="16" t="n">
        <v>3.70137217884202</v>
      </c>
      <c r="C1606" s="15" t="n">
        <v>300</v>
      </c>
      <c r="D1606" s="15" t="n">
        <v>300</v>
      </c>
      <c r="E1606" s="15" t="n">
        <v>30</v>
      </c>
      <c r="F1606" s="16" t="n">
        <v>0.883572933822129</v>
      </c>
      <c r="G1606" s="17" t="s">
        <v>89</v>
      </c>
      <c r="H1606" s="18" t="n">
        <v>0.3</v>
      </c>
      <c r="I1606" s="18" t="n">
        <v>1</v>
      </c>
      <c r="J1606" s="19" t="n">
        <v>0.869532994504762</v>
      </c>
      <c r="K1606" s="19" t="n">
        <v>0.446932884199792</v>
      </c>
      <c r="L1606" s="16" t="n">
        <v>14.4584850736016</v>
      </c>
      <c r="M1606" s="19" t="n">
        <v>0.936168105002087</v>
      </c>
      <c r="N1606" s="19" t="n">
        <v>0.542295075205558</v>
      </c>
      <c r="O1606" s="19" t="n">
        <v>0.869532994504762</v>
      </c>
      <c r="P1606" s="19" t="n">
        <v>0.395028915619871</v>
      </c>
      <c r="Q1606" s="17" t="s">
        <v>29</v>
      </c>
      <c r="R1606" s="5" t="str">
        <f aca="false">IF(OR(Q1606="Steel plate",Q1606="Concrete jacket"),"Steel plate or jacket",Q1606)</f>
        <v>Monitor</v>
      </c>
      <c r="S1606" s="5" t="str">
        <f aca="false">IF(O1606&lt;='Tree rules'!$C$4,IF(N1606&lt;='Tree rules'!$C$5,IF(P1606&lt;='Tree rules'!$C$6,"Monitor","Polymer laminate"),IF(P1606&lt;='Tree rules'!$C$7,"Seal cracks","Polymer laminate")),IF(O1606&lt;='Tree rules'!$C$8,IF(M1606&lt;='Tree rules'!$C$9,"Steel plate or jacket","Polymer laminate"),IF(L1606&lt;='Tree rules'!$C$10,"Steel plate or jacket","Polymer laminate")))</f>
        <v>Monitor</v>
      </c>
      <c r="T1606" s="5" t="str">
        <f aca="false">IF(S1606=R1606,"Yes","No")</f>
        <v>Yes</v>
      </c>
    </row>
    <row r="1607" customFormat="false" ht="15" hidden="false" customHeight="false" outlineLevel="0" collapsed="false">
      <c r="A1607" s="15" t="n">
        <v>2284</v>
      </c>
      <c r="B1607" s="16" t="n">
        <v>4.02681420086119</v>
      </c>
      <c r="C1607" s="15" t="n">
        <v>230</v>
      </c>
      <c r="D1607" s="15" t="n">
        <v>375</v>
      </c>
      <c r="E1607" s="15" t="n">
        <v>30</v>
      </c>
      <c r="F1607" s="16" t="n">
        <v>0.797126720614828</v>
      </c>
      <c r="G1607" s="17" t="s">
        <v>89</v>
      </c>
      <c r="H1607" s="18" t="n">
        <v>0.3</v>
      </c>
      <c r="I1607" s="18" t="n">
        <v>1.5</v>
      </c>
      <c r="J1607" s="19" t="n">
        <v>0.852579072823249</v>
      </c>
      <c r="K1607" s="19" t="n">
        <v>0.632167123388122</v>
      </c>
      <c r="L1607" s="16" t="n">
        <v>12.2395568415234</v>
      </c>
      <c r="M1607" s="19" t="n">
        <v>0.609401645689806</v>
      </c>
      <c r="N1607" s="19" t="n">
        <v>0.739219092338753</v>
      </c>
      <c r="O1607" s="19" t="n">
        <v>1.00938237927108</v>
      </c>
      <c r="P1607" s="19" t="n">
        <v>0.591971471737144</v>
      </c>
      <c r="Q1607" s="17" t="s">
        <v>31</v>
      </c>
      <c r="R1607" s="5" t="str">
        <f aca="false">IF(OR(Q1607="Steel plate",Q1607="Concrete jacket"),"Steel plate or jacket",Q1607)</f>
        <v>Polymer laminate</v>
      </c>
      <c r="S1607" s="5" t="str">
        <f aca="false">IF(O1607&lt;='Tree rules'!$C$4,IF(N1607&lt;='Tree rules'!$C$5,IF(P1607&lt;='Tree rules'!$C$6,"Monitor","Polymer laminate"),IF(P1607&lt;='Tree rules'!$C$7,"Seal cracks","Polymer laminate")),IF(O1607&lt;='Tree rules'!$C$8,IF(M1607&lt;='Tree rules'!$C$9,"Steel plate or jacket","Polymer laminate"),IF(L1607&lt;='Tree rules'!$C$10,"Steel plate or jacket","Polymer laminate")))</f>
        <v>Polymer laminate</v>
      </c>
      <c r="T1607" s="5" t="str">
        <f aca="false">IF(S1607=R1607,"Yes","No")</f>
        <v>Yes</v>
      </c>
    </row>
    <row r="1608" customFormat="false" ht="15" hidden="false" customHeight="false" outlineLevel="0" collapsed="false">
      <c r="A1608" s="15" t="n">
        <v>2285</v>
      </c>
      <c r="B1608" s="16" t="n">
        <v>3.14622444443607</v>
      </c>
      <c r="C1608" s="15" t="n">
        <v>300</v>
      </c>
      <c r="D1608" s="15" t="n">
        <v>300</v>
      </c>
      <c r="E1608" s="15" t="n">
        <v>25</v>
      </c>
      <c r="F1608" s="16" t="n">
        <v>0.791582400904515</v>
      </c>
      <c r="G1608" s="17" t="s">
        <v>91</v>
      </c>
      <c r="H1608" s="18" t="n">
        <v>0.2</v>
      </c>
      <c r="I1608" s="18" t="n">
        <v>2</v>
      </c>
      <c r="J1608" s="19" t="n">
        <v>0.92554025386911</v>
      </c>
      <c r="K1608" s="19" t="n">
        <v>0.632974494229164</v>
      </c>
      <c r="L1608" s="16" t="n">
        <v>12.3867104111657</v>
      </c>
      <c r="M1608" s="19" t="n">
        <v>0.379330163818033</v>
      </c>
      <c r="N1608" s="19" t="n">
        <v>1.65849135711675</v>
      </c>
      <c r="O1608" s="19" t="n">
        <v>1.26523713365669</v>
      </c>
      <c r="P1608" s="19" t="n">
        <v>1.04395363629184</v>
      </c>
      <c r="Q1608" s="17" t="s">
        <v>31</v>
      </c>
      <c r="R1608" s="5" t="str">
        <f aca="false">IF(OR(Q1608="Steel plate",Q1608="Concrete jacket"),"Steel plate or jacket",Q1608)</f>
        <v>Polymer laminate</v>
      </c>
      <c r="S1608" s="5" t="str">
        <f aca="false">IF(O1608&lt;='Tree rules'!$C$4,IF(N1608&lt;='Tree rules'!$C$5,IF(P1608&lt;='Tree rules'!$C$6,"Monitor","Polymer laminate"),IF(P1608&lt;='Tree rules'!$C$7,"Seal cracks","Polymer laminate")),IF(O1608&lt;='Tree rules'!$C$8,IF(M1608&lt;='Tree rules'!$C$9,"Steel plate or jacket","Polymer laminate"),IF(L1608&lt;='Tree rules'!$C$10,"Steel plate or jacket","Polymer laminate")))</f>
        <v>Polymer laminate</v>
      </c>
      <c r="T1608" s="5" t="str">
        <f aca="false">IF(S1608=R1608,"Yes","No")</f>
        <v>Yes</v>
      </c>
    </row>
    <row r="1609" customFormat="false" ht="15" hidden="false" customHeight="false" outlineLevel="0" collapsed="false">
      <c r="A1609" s="15" t="n">
        <v>2286</v>
      </c>
      <c r="B1609" s="16" t="n">
        <v>3.51789320564236</v>
      </c>
      <c r="C1609" s="15" t="n">
        <v>300</v>
      </c>
      <c r="D1609" s="15" t="n">
        <v>325</v>
      </c>
      <c r="E1609" s="15" t="n">
        <v>30</v>
      </c>
      <c r="F1609" s="16" t="n">
        <v>0.960869437657093</v>
      </c>
      <c r="G1609" s="17" t="s">
        <v>89</v>
      </c>
      <c r="H1609" s="18" t="n">
        <v>0.3</v>
      </c>
      <c r="I1609" s="18" t="n">
        <v>2</v>
      </c>
      <c r="J1609" s="19" t="n">
        <v>0.865488970237543</v>
      </c>
      <c r="K1609" s="19" t="n">
        <v>0.516124460196317</v>
      </c>
      <c r="L1609" s="16" t="n">
        <v>12.6089362209404</v>
      </c>
      <c r="M1609" s="19" t="n">
        <v>0.487763370359443</v>
      </c>
      <c r="N1609" s="19" t="n">
        <v>0.979237780629665</v>
      </c>
      <c r="O1609" s="19" t="n">
        <v>1.28427791290537</v>
      </c>
      <c r="P1609" s="19" t="n">
        <v>0.877115873597776</v>
      </c>
      <c r="Q1609" s="17" t="s">
        <v>31</v>
      </c>
      <c r="R1609" s="5" t="str">
        <f aca="false">IF(OR(Q1609="Steel plate",Q1609="Concrete jacket"),"Steel plate or jacket",Q1609)</f>
        <v>Polymer laminate</v>
      </c>
      <c r="S1609" s="5" t="str">
        <f aca="false">IF(O1609&lt;='Tree rules'!$C$4,IF(N1609&lt;='Tree rules'!$C$5,IF(P1609&lt;='Tree rules'!$C$6,"Monitor","Polymer laminate"),IF(P1609&lt;='Tree rules'!$C$7,"Seal cracks","Polymer laminate")),IF(O1609&lt;='Tree rules'!$C$8,IF(M1609&lt;='Tree rules'!$C$9,"Steel plate or jacket","Polymer laminate"),IF(L1609&lt;='Tree rules'!$C$10,"Steel plate or jacket","Polymer laminate")))</f>
        <v>Polymer laminate</v>
      </c>
      <c r="T1609" s="5" t="str">
        <f aca="false">IF(S1609=R1609,"Yes","No")</f>
        <v>Yes</v>
      </c>
    </row>
    <row r="1610" customFormat="false" ht="15" hidden="false" customHeight="false" outlineLevel="0" collapsed="false">
      <c r="A1610" s="15" t="n">
        <v>2287</v>
      </c>
      <c r="B1610" s="16" t="n">
        <v>5.16586372380259</v>
      </c>
      <c r="C1610" s="15" t="n">
        <v>300</v>
      </c>
      <c r="D1610" s="15" t="n">
        <v>450</v>
      </c>
      <c r="E1610" s="15" t="n">
        <v>25</v>
      </c>
      <c r="F1610" s="16" t="n">
        <v>0.781490709848207</v>
      </c>
      <c r="G1610" s="17" t="s">
        <v>89</v>
      </c>
      <c r="H1610" s="18" t="n">
        <v>0.3</v>
      </c>
      <c r="I1610" s="18" t="n">
        <v>1</v>
      </c>
      <c r="J1610" s="19" t="n">
        <v>0.873064709491916</v>
      </c>
      <c r="K1610" s="19" t="n">
        <v>0.511062345747108</v>
      </c>
      <c r="L1610" s="16" t="n">
        <v>12.8504072731408</v>
      </c>
      <c r="M1610" s="19" t="n">
        <v>0.527601747242076</v>
      </c>
      <c r="N1610" s="19" t="n">
        <v>0.721772529940453</v>
      </c>
      <c r="O1610" s="19" t="n">
        <v>0.873064709491916</v>
      </c>
      <c r="P1610" s="19" t="n">
        <v>0.674743995020689</v>
      </c>
      <c r="Q1610" s="17" t="s">
        <v>29</v>
      </c>
      <c r="R1610" s="5" t="str">
        <f aca="false">IF(OR(Q1610="Steel plate",Q1610="Concrete jacket"),"Steel plate or jacket",Q1610)</f>
        <v>Monitor</v>
      </c>
      <c r="S1610" s="5" t="str">
        <f aca="false">IF(O1610&lt;='Tree rules'!$C$4,IF(N1610&lt;='Tree rules'!$C$5,IF(P1610&lt;='Tree rules'!$C$6,"Monitor","Polymer laminate"),IF(P1610&lt;='Tree rules'!$C$7,"Seal cracks","Polymer laminate")),IF(O1610&lt;='Tree rules'!$C$8,IF(M1610&lt;='Tree rules'!$C$9,"Steel plate or jacket","Polymer laminate"),IF(L1610&lt;='Tree rules'!$C$10,"Steel plate or jacket","Polymer laminate")))</f>
        <v>Monitor</v>
      </c>
      <c r="T1610" s="5" t="str">
        <f aca="false">IF(S1610=R1610,"Yes","No")</f>
        <v>Yes</v>
      </c>
    </row>
    <row r="1611" customFormat="false" ht="15" hidden="false" customHeight="false" outlineLevel="0" collapsed="false">
      <c r="A1611" s="15" t="n">
        <v>2289</v>
      </c>
      <c r="B1611" s="16" t="n">
        <v>6.65602926527485</v>
      </c>
      <c r="C1611" s="15" t="n">
        <v>230</v>
      </c>
      <c r="D1611" s="15" t="n">
        <v>550</v>
      </c>
      <c r="E1611" s="15" t="n">
        <v>30</v>
      </c>
      <c r="F1611" s="16" t="n">
        <v>0.544187190990784</v>
      </c>
      <c r="G1611" s="17" t="s">
        <v>89</v>
      </c>
      <c r="H1611" s="18" t="n">
        <v>0.3</v>
      </c>
      <c r="I1611" s="18" t="n">
        <v>1.5</v>
      </c>
      <c r="J1611" s="19" t="n">
        <v>0.873424852131437</v>
      </c>
      <c r="K1611" s="19" t="n">
        <v>0.455363644409299</v>
      </c>
      <c r="L1611" s="16" t="n">
        <v>13.2590224407866</v>
      </c>
      <c r="M1611" s="19" t="n">
        <v>0.692581206074411</v>
      </c>
      <c r="N1611" s="19" t="n">
        <v>1.02305272209899</v>
      </c>
      <c r="O1611" s="19" t="n">
        <v>1.11127431630504</v>
      </c>
      <c r="P1611" s="19" t="n">
        <v>0.437671254159991</v>
      </c>
      <c r="Q1611" s="17" t="s">
        <v>31</v>
      </c>
      <c r="R1611" s="5" t="str">
        <f aca="false">IF(OR(Q1611="Steel plate",Q1611="Concrete jacket"),"Steel plate or jacket",Q1611)</f>
        <v>Polymer laminate</v>
      </c>
      <c r="S1611" s="5" t="str">
        <f aca="false">IF(O1611&lt;='Tree rules'!$C$4,IF(N1611&lt;='Tree rules'!$C$5,IF(P1611&lt;='Tree rules'!$C$6,"Monitor","Polymer laminate"),IF(P1611&lt;='Tree rules'!$C$7,"Seal cracks","Polymer laminate")),IF(O1611&lt;='Tree rules'!$C$8,IF(M1611&lt;='Tree rules'!$C$9,"Steel plate or jacket","Polymer laminate"),IF(L1611&lt;='Tree rules'!$C$10,"Steel plate or jacket","Polymer laminate")))</f>
        <v>Polymer laminate</v>
      </c>
      <c r="T1611" s="5" t="str">
        <f aca="false">IF(S1611=R1611,"Yes","No")</f>
        <v>Yes</v>
      </c>
    </row>
    <row r="1612" customFormat="false" ht="15" hidden="false" customHeight="false" outlineLevel="0" collapsed="false">
      <c r="A1612" s="15" t="n">
        <v>2290</v>
      </c>
      <c r="B1612" s="16" t="n">
        <v>5.4347191456604</v>
      </c>
      <c r="C1612" s="15" t="n">
        <v>300</v>
      </c>
      <c r="D1612" s="15" t="n">
        <v>475</v>
      </c>
      <c r="E1612" s="15" t="n">
        <v>25</v>
      </c>
      <c r="F1612" s="16" t="n">
        <v>0.762522488735387</v>
      </c>
      <c r="G1612" s="17" t="s">
        <v>90</v>
      </c>
      <c r="H1612" s="18" t="n">
        <v>0.1</v>
      </c>
      <c r="I1612" s="18" t="n">
        <v>1</v>
      </c>
      <c r="J1612" s="19" t="n">
        <v>0.88103223819725</v>
      </c>
      <c r="K1612" s="19" t="n">
        <v>0.542255004697339</v>
      </c>
      <c r="L1612" s="16" t="n">
        <v>13.1910658875252</v>
      </c>
      <c r="M1612" s="19" t="n">
        <v>0.924818223134045</v>
      </c>
      <c r="N1612" s="19" t="n">
        <v>2.37308881482279</v>
      </c>
      <c r="O1612" s="19" t="n">
        <v>0.88103223819725</v>
      </c>
      <c r="P1612" s="19" t="n">
        <v>0.394627457390156</v>
      </c>
      <c r="Q1612" s="17" t="s">
        <v>30</v>
      </c>
      <c r="R1612" s="5" t="str">
        <f aca="false">IF(OR(Q1612="Steel plate",Q1612="Concrete jacket"),"Steel plate or jacket",Q1612)</f>
        <v>Seal cracks</v>
      </c>
      <c r="S1612" s="5" t="str">
        <f aca="false">IF(O1612&lt;='Tree rules'!$C$4,IF(N1612&lt;='Tree rules'!$C$5,IF(P1612&lt;='Tree rules'!$C$6,"Monitor","Polymer laminate"),IF(P1612&lt;='Tree rules'!$C$7,"Seal cracks","Polymer laminate")),IF(O1612&lt;='Tree rules'!$C$8,IF(M1612&lt;='Tree rules'!$C$9,"Steel plate or jacket","Polymer laminate"),IF(L1612&lt;='Tree rules'!$C$10,"Steel plate or jacket","Polymer laminate")))</f>
        <v>Seal cracks</v>
      </c>
      <c r="T1612" s="5" t="str">
        <f aca="false">IF(S1612=R1612,"Yes","No")</f>
        <v>Yes</v>
      </c>
    </row>
    <row r="1613" customFormat="false" ht="15" hidden="false" customHeight="false" outlineLevel="0" collapsed="false">
      <c r="A1613" s="15" t="n">
        <v>2293</v>
      </c>
      <c r="B1613" s="16" t="n">
        <v>5.97087089792732</v>
      </c>
      <c r="C1613" s="15" t="n">
        <v>230</v>
      </c>
      <c r="D1613" s="15" t="n">
        <v>525</v>
      </c>
      <c r="E1613" s="15" t="n">
        <v>30</v>
      </c>
      <c r="F1613" s="16" t="n">
        <v>0.730006099046008</v>
      </c>
      <c r="G1613" s="17" t="s">
        <v>91</v>
      </c>
      <c r="H1613" s="18" t="n">
        <v>0.2</v>
      </c>
      <c r="I1613" s="18" t="n">
        <v>1</v>
      </c>
      <c r="J1613" s="19" t="n">
        <v>0.859009503473342</v>
      </c>
      <c r="K1613" s="19" t="n">
        <v>0.593218543203496</v>
      </c>
      <c r="L1613" s="16" t="n">
        <v>12.4652837117481</v>
      </c>
      <c r="M1613" s="19" t="n">
        <v>0.44175005211256</v>
      </c>
      <c r="N1613" s="19" t="n">
        <v>0.856903563876676</v>
      </c>
      <c r="O1613" s="19" t="n">
        <v>0.859009503473342</v>
      </c>
      <c r="P1613" s="19" t="n">
        <v>0.764298610148673</v>
      </c>
      <c r="Q1613" s="17" t="s">
        <v>29</v>
      </c>
      <c r="R1613" s="5" t="str">
        <f aca="false">IF(OR(Q1613="Steel plate",Q1613="Concrete jacket"),"Steel plate or jacket",Q1613)</f>
        <v>Monitor</v>
      </c>
      <c r="S1613" s="5" t="str">
        <f aca="false">IF(O1613&lt;='Tree rules'!$C$4,IF(N1613&lt;='Tree rules'!$C$5,IF(P1613&lt;='Tree rules'!$C$6,"Monitor","Polymer laminate"),IF(P1613&lt;='Tree rules'!$C$7,"Seal cracks","Polymer laminate")),IF(O1613&lt;='Tree rules'!$C$8,IF(M1613&lt;='Tree rules'!$C$9,"Steel plate or jacket","Polymer laminate"),IF(L1613&lt;='Tree rules'!$C$10,"Steel plate or jacket","Polymer laminate")))</f>
        <v>Monitor</v>
      </c>
      <c r="T1613" s="5" t="str">
        <f aca="false">IF(S1613=R1613,"Yes","No")</f>
        <v>Yes</v>
      </c>
    </row>
    <row r="1614" customFormat="false" ht="15" hidden="false" customHeight="false" outlineLevel="0" collapsed="false">
      <c r="A1614" s="15" t="n">
        <v>2295</v>
      </c>
      <c r="B1614" s="16" t="n">
        <v>3.242921615398</v>
      </c>
      <c r="C1614" s="15" t="n">
        <v>230</v>
      </c>
      <c r="D1614" s="15" t="n">
        <v>300</v>
      </c>
      <c r="E1614" s="15" t="n">
        <v>25</v>
      </c>
      <c r="F1614" s="16" t="n">
        <v>0.688332522525665</v>
      </c>
      <c r="G1614" s="17" t="s">
        <v>91</v>
      </c>
      <c r="H1614" s="18" t="n">
        <v>0.2</v>
      </c>
      <c r="I1614" s="18" t="n">
        <v>1</v>
      </c>
      <c r="J1614" s="19" t="n">
        <v>0.926977144789805</v>
      </c>
      <c r="K1614" s="19" t="n">
        <v>0.594774588602103</v>
      </c>
      <c r="L1614" s="16" t="n">
        <v>12.7674079346378</v>
      </c>
      <c r="M1614" s="19" t="n">
        <v>0.423144328372119</v>
      </c>
      <c r="N1614" s="19" t="n">
        <v>1.32896652789318</v>
      </c>
      <c r="O1614" s="19" t="n">
        <v>0.926977144789805</v>
      </c>
      <c r="P1614" s="19" t="n">
        <v>0.708027388821329</v>
      </c>
      <c r="Q1614" s="17" t="s">
        <v>30</v>
      </c>
      <c r="R1614" s="5" t="str">
        <f aca="false">IF(OR(Q1614="Steel plate",Q1614="Concrete jacket"),"Steel plate or jacket",Q1614)</f>
        <v>Seal cracks</v>
      </c>
      <c r="S1614" s="5" t="str">
        <f aca="false">IF(O1614&lt;='Tree rules'!$C$4,IF(N1614&lt;='Tree rules'!$C$5,IF(P1614&lt;='Tree rules'!$C$6,"Monitor","Polymer laminate"),IF(P1614&lt;='Tree rules'!$C$7,"Seal cracks","Polymer laminate")),IF(O1614&lt;='Tree rules'!$C$8,IF(M1614&lt;='Tree rules'!$C$9,"Steel plate or jacket","Polymer laminate"),IF(L1614&lt;='Tree rules'!$C$10,"Steel plate or jacket","Polymer laminate")))</f>
        <v>Seal cracks</v>
      </c>
      <c r="T1614" s="5" t="str">
        <f aca="false">IF(S1614=R1614,"Yes","No")</f>
        <v>Yes</v>
      </c>
    </row>
    <row r="1615" customFormat="false" ht="15" hidden="false" customHeight="false" outlineLevel="0" collapsed="false">
      <c r="A1615" s="15" t="n">
        <v>2296</v>
      </c>
      <c r="B1615" s="16" t="n">
        <v>3.20623459990747</v>
      </c>
      <c r="C1615" s="15" t="n">
        <v>230</v>
      </c>
      <c r="D1615" s="15" t="n">
        <v>300</v>
      </c>
      <c r="E1615" s="15" t="n">
        <v>20</v>
      </c>
      <c r="F1615" s="16" t="n">
        <v>0.688332522525665</v>
      </c>
      <c r="G1615" s="17" t="s">
        <v>91</v>
      </c>
      <c r="H1615" s="18" t="n">
        <v>0.2</v>
      </c>
      <c r="I1615" s="18" t="n">
        <v>1</v>
      </c>
      <c r="J1615" s="19" t="n">
        <v>0.921168040440584</v>
      </c>
      <c r="K1615" s="19" t="n">
        <v>0.503637680022335</v>
      </c>
      <c r="L1615" s="16" t="n">
        <v>12.6229708657775</v>
      </c>
      <c r="M1615" s="19" t="n">
        <v>0.419563985891337</v>
      </c>
      <c r="N1615" s="19" t="n">
        <v>1.3086076155065</v>
      </c>
      <c r="O1615" s="19" t="n">
        <v>0.921168040440584</v>
      </c>
      <c r="P1615" s="19" t="n">
        <v>0.705141590356769</v>
      </c>
      <c r="Q1615" s="17" t="s">
        <v>30</v>
      </c>
      <c r="R1615" s="5" t="str">
        <f aca="false">IF(OR(Q1615="Steel plate",Q1615="Concrete jacket"),"Steel plate or jacket",Q1615)</f>
        <v>Seal cracks</v>
      </c>
      <c r="S1615" s="5" t="str">
        <f aca="false">IF(O1615&lt;='Tree rules'!$C$4,IF(N1615&lt;='Tree rules'!$C$5,IF(P1615&lt;='Tree rules'!$C$6,"Monitor","Polymer laminate"),IF(P1615&lt;='Tree rules'!$C$7,"Seal cracks","Polymer laminate")),IF(O1615&lt;='Tree rules'!$C$8,IF(M1615&lt;='Tree rules'!$C$9,"Steel plate or jacket","Polymer laminate"),IF(L1615&lt;='Tree rules'!$C$10,"Steel plate or jacket","Polymer laminate")))</f>
        <v>Seal cracks</v>
      </c>
      <c r="T1615" s="5" t="str">
        <f aca="false">IF(S1615=R1615,"Yes","No")</f>
        <v>Yes</v>
      </c>
    </row>
    <row r="1616" customFormat="false" ht="15" hidden="false" customHeight="false" outlineLevel="0" collapsed="false">
      <c r="A1616" s="15" t="n">
        <v>2297</v>
      </c>
      <c r="B1616" s="16" t="n">
        <v>5.54366974801852</v>
      </c>
      <c r="C1616" s="15" t="n">
        <v>300</v>
      </c>
      <c r="D1616" s="15" t="n">
        <v>425</v>
      </c>
      <c r="E1616" s="15" t="n">
        <v>30</v>
      </c>
      <c r="F1616" s="16" t="n">
        <v>0.555542467478301</v>
      </c>
      <c r="G1616" s="17" t="s">
        <v>91</v>
      </c>
      <c r="H1616" s="18" t="n">
        <v>0.2</v>
      </c>
      <c r="I1616" s="18" t="n">
        <v>1</v>
      </c>
      <c r="J1616" s="19" t="n">
        <v>0.924069648325307</v>
      </c>
      <c r="K1616" s="19" t="n">
        <v>0.581210878266493</v>
      </c>
      <c r="L1616" s="16" t="n">
        <v>14.7046942918263</v>
      </c>
      <c r="M1616" s="19" t="n">
        <v>0.278566074939897</v>
      </c>
      <c r="N1616" s="19" t="n">
        <v>1.70472024421004</v>
      </c>
      <c r="O1616" s="19" t="n">
        <v>0.924069648325307</v>
      </c>
      <c r="P1616" s="19" t="n">
        <v>1.08381451994084</v>
      </c>
      <c r="Q1616" s="17" t="s">
        <v>31</v>
      </c>
      <c r="R1616" s="5" t="str">
        <f aca="false">IF(OR(Q1616="Steel plate",Q1616="Concrete jacket"),"Steel plate or jacket",Q1616)</f>
        <v>Polymer laminate</v>
      </c>
      <c r="S1616" s="5" t="str">
        <f aca="false">IF(O1616&lt;='Tree rules'!$C$4,IF(N1616&lt;='Tree rules'!$C$5,IF(P1616&lt;='Tree rules'!$C$6,"Monitor","Polymer laminate"),IF(P1616&lt;='Tree rules'!$C$7,"Seal cracks","Polymer laminate")),IF(O1616&lt;='Tree rules'!$C$8,IF(M1616&lt;='Tree rules'!$C$9,"Steel plate or jacket","Polymer laminate"),IF(L1616&lt;='Tree rules'!$C$10,"Steel plate or jacket","Polymer laminate")))</f>
        <v>Polymer laminate</v>
      </c>
      <c r="T1616" s="5" t="str">
        <f aca="false">IF(S1616=R1616,"Yes","No")</f>
        <v>Yes</v>
      </c>
    </row>
    <row r="1617" customFormat="false" ht="15" hidden="false" customHeight="false" outlineLevel="0" collapsed="false">
      <c r="A1617" s="15" t="n">
        <v>2298</v>
      </c>
      <c r="B1617" s="16" t="n">
        <v>3.12244730227087</v>
      </c>
      <c r="C1617" s="15" t="n">
        <v>230</v>
      </c>
      <c r="D1617" s="15" t="n">
        <v>300</v>
      </c>
      <c r="E1617" s="15" t="n">
        <v>25</v>
      </c>
      <c r="F1617" s="16" t="n">
        <v>0.576243217710084</v>
      </c>
      <c r="G1617" s="17" t="s">
        <v>89</v>
      </c>
      <c r="H1617" s="18" t="n">
        <v>0.3</v>
      </c>
      <c r="I1617" s="18" t="n">
        <v>2</v>
      </c>
      <c r="J1617" s="19" t="n">
        <v>0.902161464213227</v>
      </c>
      <c r="K1617" s="19" t="n">
        <v>0.553551045335812</v>
      </c>
      <c r="L1617" s="16" t="n">
        <v>12.1970597744956</v>
      </c>
      <c r="M1617" s="19" t="n">
        <v>0.585038172351593</v>
      </c>
      <c r="N1617" s="19" t="n">
        <v>0.967925983787493</v>
      </c>
      <c r="O1617" s="19" t="n">
        <v>1.30493050684954</v>
      </c>
      <c r="P1617" s="19" t="n">
        <v>0.501033247632122</v>
      </c>
      <c r="Q1617" s="17" t="s">
        <v>31</v>
      </c>
      <c r="R1617" s="5" t="str">
        <f aca="false">IF(OR(Q1617="Steel plate",Q1617="Concrete jacket"),"Steel plate or jacket",Q1617)</f>
        <v>Polymer laminate</v>
      </c>
      <c r="S1617" s="5" t="str">
        <f aca="false">IF(O1617&lt;='Tree rules'!$C$4,IF(N1617&lt;='Tree rules'!$C$5,IF(P1617&lt;='Tree rules'!$C$6,"Monitor","Polymer laminate"),IF(P1617&lt;='Tree rules'!$C$7,"Seal cracks","Polymer laminate")),IF(O1617&lt;='Tree rules'!$C$8,IF(M1617&lt;='Tree rules'!$C$9,"Steel plate or jacket","Polymer laminate"),IF(L1617&lt;='Tree rules'!$C$10,"Steel plate or jacket","Polymer laminate")))</f>
        <v>Steel plate or jacket</v>
      </c>
      <c r="T1617" s="5" t="str">
        <f aca="false">IF(S1617=R1617,"Yes","No")</f>
        <v>No</v>
      </c>
    </row>
    <row r="1618" customFormat="false" ht="15" hidden="false" customHeight="false" outlineLevel="0" collapsed="false">
      <c r="A1618" s="15" t="n">
        <v>2299</v>
      </c>
      <c r="B1618" s="16" t="n">
        <v>5.74689324310012</v>
      </c>
      <c r="C1618" s="15" t="n">
        <v>300</v>
      </c>
      <c r="D1618" s="15" t="n">
        <v>550</v>
      </c>
      <c r="E1618" s="15" t="n">
        <v>30</v>
      </c>
      <c r="F1618" s="16" t="n">
        <v>0.860121191947924</v>
      </c>
      <c r="G1618" s="17" t="s">
        <v>90</v>
      </c>
      <c r="H1618" s="18" t="n">
        <v>0.1</v>
      </c>
      <c r="I1618" s="18" t="n">
        <v>1</v>
      </c>
      <c r="J1618" s="19" t="n">
        <v>0.985038903231943</v>
      </c>
      <c r="K1618" s="19" t="n">
        <v>0.402841808361228</v>
      </c>
      <c r="L1618" s="16" t="n">
        <v>11.8006021418894</v>
      </c>
      <c r="M1618" s="19" t="n">
        <v>0.952752100646203</v>
      </c>
      <c r="N1618" s="19" t="n">
        <v>2.50796755315185</v>
      </c>
      <c r="O1618" s="19" t="n">
        <v>0.985038903231943</v>
      </c>
      <c r="P1618" s="19" t="n">
        <v>0.374279218705616</v>
      </c>
      <c r="Q1618" s="17" t="s">
        <v>30</v>
      </c>
      <c r="R1618" s="5" t="str">
        <f aca="false">IF(OR(Q1618="Steel plate",Q1618="Concrete jacket"),"Steel plate or jacket",Q1618)</f>
        <v>Seal cracks</v>
      </c>
      <c r="S1618" s="5" t="str">
        <f aca="false">IF(O1618&lt;='Tree rules'!$C$4,IF(N1618&lt;='Tree rules'!$C$5,IF(P1618&lt;='Tree rules'!$C$6,"Monitor","Polymer laminate"),IF(P1618&lt;='Tree rules'!$C$7,"Seal cracks","Polymer laminate")),IF(O1618&lt;='Tree rules'!$C$8,IF(M1618&lt;='Tree rules'!$C$9,"Steel plate or jacket","Polymer laminate"),IF(L1618&lt;='Tree rules'!$C$10,"Steel plate or jacket","Polymer laminate")))</f>
        <v>Seal cracks</v>
      </c>
      <c r="T1618" s="5" t="str">
        <f aca="false">IF(S1618=R1618,"Yes","No")</f>
        <v>Yes</v>
      </c>
    </row>
    <row r="1619" customFormat="false" ht="15" hidden="false" customHeight="false" outlineLevel="0" collapsed="false">
      <c r="A1619" s="15" t="n">
        <v>2300</v>
      </c>
      <c r="B1619" s="16" t="n">
        <v>7.07049677559819</v>
      </c>
      <c r="C1619" s="15" t="n">
        <v>300</v>
      </c>
      <c r="D1619" s="15" t="n">
        <v>625</v>
      </c>
      <c r="E1619" s="15" t="n">
        <v>30</v>
      </c>
      <c r="F1619" s="16" t="n">
        <v>0.694514438099298</v>
      </c>
      <c r="G1619" s="17" t="s">
        <v>91</v>
      </c>
      <c r="H1619" s="18" t="n">
        <v>0.2</v>
      </c>
      <c r="I1619" s="18" t="n">
        <v>2</v>
      </c>
      <c r="J1619" s="19" t="n">
        <v>0.917380781204885</v>
      </c>
      <c r="K1619" s="19" t="n">
        <v>0.634941238948865</v>
      </c>
      <c r="L1619" s="16" t="n">
        <v>12.2115661063872</v>
      </c>
      <c r="M1619" s="19" t="n">
        <v>0.442532924985126</v>
      </c>
      <c r="N1619" s="19" t="n">
        <v>1.21583351981348</v>
      </c>
      <c r="O1619" s="19" t="n">
        <v>1.25227867260366</v>
      </c>
      <c r="P1619" s="19" t="n">
        <v>0.96092190387728</v>
      </c>
      <c r="Q1619" s="17" t="s">
        <v>31</v>
      </c>
      <c r="R1619" s="5" t="str">
        <f aca="false">IF(OR(Q1619="Steel plate",Q1619="Concrete jacket"),"Steel plate or jacket",Q1619)</f>
        <v>Polymer laminate</v>
      </c>
      <c r="S1619" s="5" t="str">
        <f aca="false">IF(O1619&lt;='Tree rules'!$C$4,IF(N1619&lt;='Tree rules'!$C$5,IF(P1619&lt;='Tree rules'!$C$6,"Monitor","Polymer laminate"),IF(P1619&lt;='Tree rules'!$C$7,"Seal cracks","Polymer laminate")),IF(O1619&lt;='Tree rules'!$C$8,IF(M1619&lt;='Tree rules'!$C$9,"Steel plate or jacket","Polymer laminate"),IF(L1619&lt;='Tree rules'!$C$10,"Steel plate or jacket","Polymer laminate")))</f>
        <v>Polymer laminate</v>
      </c>
      <c r="T1619" s="5" t="str">
        <f aca="false">IF(S1619=R1619,"Yes","No")</f>
        <v>Yes</v>
      </c>
    </row>
    <row r="1620" customFormat="false" ht="15" hidden="false" customHeight="false" outlineLevel="0" collapsed="false">
      <c r="A1620" s="15" t="n">
        <v>2302</v>
      </c>
      <c r="B1620" s="16" t="n">
        <v>7.52483293346527</v>
      </c>
      <c r="C1620" s="15" t="n">
        <v>230</v>
      </c>
      <c r="D1620" s="15" t="n">
        <v>675</v>
      </c>
      <c r="E1620" s="15" t="n">
        <v>25</v>
      </c>
      <c r="F1620" s="16" t="n">
        <v>0.653545382481754</v>
      </c>
      <c r="G1620" s="17" t="s">
        <v>89</v>
      </c>
      <c r="H1620" s="18" t="n">
        <v>0.3</v>
      </c>
      <c r="I1620" s="18" t="n">
        <v>1.5</v>
      </c>
      <c r="J1620" s="19" t="n">
        <v>0.868106755129408</v>
      </c>
      <c r="K1620" s="19" t="n">
        <v>0.537542897716826</v>
      </c>
      <c r="L1620" s="16" t="n">
        <v>12.0013284425283</v>
      </c>
      <c r="M1620" s="19" t="n">
        <v>0.838204195683702</v>
      </c>
      <c r="N1620" s="19" t="n">
        <v>0.700838935254715</v>
      </c>
      <c r="O1620" s="19" t="n">
        <v>1.06883782235421</v>
      </c>
      <c r="P1620" s="19" t="n">
        <v>0.450758893777139</v>
      </c>
      <c r="Q1620" s="17" t="s">
        <v>31</v>
      </c>
      <c r="R1620" s="5" t="str">
        <f aca="false">IF(OR(Q1620="Steel plate",Q1620="Concrete jacket"),"Steel plate or jacket",Q1620)</f>
        <v>Polymer laminate</v>
      </c>
      <c r="S1620" s="5" t="str">
        <f aca="false">IF(O1620&lt;='Tree rules'!$C$4,IF(N1620&lt;='Tree rules'!$C$5,IF(P1620&lt;='Tree rules'!$C$6,"Monitor","Polymer laminate"),IF(P1620&lt;='Tree rules'!$C$7,"Seal cracks","Polymer laminate")),IF(O1620&lt;='Tree rules'!$C$8,IF(M1620&lt;='Tree rules'!$C$9,"Steel plate or jacket","Polymer laminate"),IF(L1620&lt;='Tree rules'!$C$10,"Steel plate or jacket","Polymer laminate")))</f>
        <v>Polymer laminate</v>
      </c>
      <c r="T1620" s="5" t="str">
        <f aca="false">IF(S1620=R1620,"Yes","No")</f>
        <v>Yes</v>
      </c>
    </row>
    <row r="1621" customFormat="false" ht="15" hidden="false" customHeight="false" outlineLevel="0" collapsed="false">
      <c r="A1621" s="15" t="n">
        <v>2303</v>
      </c>
      <c r="B1621" s="16" t="n">
        <v>5.42444535626108</v>
      </c>
      <c r="C1621" s="15" t="n">
        <v>300</v>
      </c>
      <c r="D1621" s="15" t="n">
        <v>500</v>
      </c>
      <c r="E1621" s="15" t="n">
        <v>25</v>
      </c>
      <c r="F1621" s="16" t="n">
        <v>0.926723496634157</v>
      </c>
      <c r="G1621" s="17" t="s">
        <v>91</v>
      </c>
      <c r="H1621" s="18" t="n">
        <v>0.2</v>
      </c>
      <c r="I1621" s="18" t="n">
        <v>2</v>
      </c>
      <c r="J1621" s="19" t="n">
        <v>0.87314847895077</v>
      </c>
      <c r="K1621" s="19" t="n">
        <v>0.561184161214058</v>
      </c>
      <c r="L1621" s="16" t="n">
        <v>12.0009853014626</v>
      </c>
      <c r="M1621" s="19" t="n">
        <v>0.792120413025922</v>
      </c>
      <c r="N1621" s="19" t="n">
        <v>1.29010524365486</v>
      </c>
      <c r="O1621" s="19" t="n">
        <v>1.25629986112622</v>
      </c>
      <c r="P1621" s="19" t="n">
        <v>0.638427860310765</v>
      </c>
      <c r="Q1621" s="17" t="s">
        <v>31</v>
      </c>
      <c r="R1621" s="5" t="str">
        <f aca="false">IF(OR(Q1621="Steel plate",Q1621="Concrete jacket"),"Steel plate or jacket",Q1621)</f>
        <v>Polymer laminate</v>
      </c>
      <c r="S1621" s="5" t="str">
        <f aca="false">IF(O1621&lt;='Tree rules'!$C$4,IF(N1621&lt;='Tree rules'!$C$5,IF(P1621&lt;='Tree rules'!$C$6,"Monitor","Polymer laminate"),IF(P1621&lt;='Tree rules'!$C$7,"Seal cracks","Polymer laminate")),IF(O1621&lt;='Tree rules'!$C$8,IF(M1621&lt;='Tree rules'!$C$9,"Steel plate or jacket","Polymer laminate"),IF(L1621&lt;='Tree rules'!$C$10,"Steel plate or jacket","Polymer laminate")))</f>
        <v>Polymer laminate</v>
      </c>
      <c r="T1621" s="5" t="str">
        <f aca="false">IF(S1621=R1621,"Yes","No")</f>
        <v>Yes</v>
      </c>
    </row>
    <row r="1622" customFormat="false" ht="15" hidden="false" customHeight="false" outlineLevel="0" collapsed="false">
      <c r="A1622" s="15" t="n">
        <v>2304</v>
      </c>
      <c r="B1622" s="16" t="n">
        <v>3.52756841207302</v>
      </c>
      <c r="C1622" s="15" t="n">
        <v>300</v>
      </c>
      <c r="D1622" s="15" t="n">
        <v>325</v>
      </c>
      <c r="E1622" s="15" t="n">
        <v>30</v>
      </c>
      <c r="F1622" s="16" t="n">
        <v>0.756099314943392</v>
      </c>
      <c r="G1622" s="17" t="s">
        <v>89</v>
      </c>
      <c r="H1622" s="18" t="n">
        <v>0.3</v>
      </c>
      <c r="I1622" s="18" t="n">
        <v>1.5</v>
      </c>
      <c r="J1622" s="19" t="n">
        <v>0.897247081518484</v>
      </c>
      <c r="K1622" s="19" t="n">
        <v>0.473584143210118</v>
      </c>
      <c r="L1622" s="16" t="n">
        <v>12.7349040147041</v>
      </c>
      <c r="M1622" s="19" t="n">
        <v>0.752626766957623</v>
      </c>
      <c r="N1622" s="19" t="n">
        <v>1.22981606174528</v>
      </c>
      <c r="O1622" s="19" t="n">
        <v>1.13340962710337</v>
      </c>
      <c r="P1622" s="19" t="n">
        <v>0.439228333662823</v>
      </c>
      <c r="Q1622" s="17" t="s">
        <v>31</v>
      </c>
      <c r="R1622" s="5" t="str">
        <f aca="false">IF(OR(Q1622="Steel plate",Q1622="Concrete jacket"),"Steel plate or jacket",Q1622)</f>
        <v>Polymer laminate</v>
      </c>
      <c r="S1622" s="5" t="str">
        <f aca="false">IF(O1622&lt;='Tree rules'!$C$4,IF(N1622&lt;='Tree rules'!$C$5,IF(P1622&lt;='Tree rules'!$C$6,"Monitor","Polymer laminate"),IF(P1622&lt;='Tree rules'!$C$7,"Seal cracks","Polymer laminate")),IF(O1622&lt;='Tree rules'!$C$8,IF(M1622&lt;='Tree rules'!$C$9,"Steel plate or jacket","Polymer laminate"),IF(L1622&lt;='Tree rules'!$C$10,"Steel plate or jacket","Polymer laminate")))</f>
        <v>Polymer laminate</v>
      </c>
      <c r="T1622" s="5" t="str">
        <f aca="false">IF(S1622=R1622,"Yes","No")</f>
        <v>Yes</v>
      </c>
    </row>
    <row r="1623" customFormat="false" ht="15" hidden="false" customHeight="false" outlineLevel="0" collapsed="false">
      <c r="A1623" s="15" t="n">
        <v>2306</v>
      </c>
      <c r="B1623" s="16" t="n">
        <v>4.39255827992133</v>
      </c>
      <c r="C1623" s="15" t="n">
        <v>300</v>
      </c>
      <c r="D1623" s="15" t="n">
        <v>425</v>
      </c>
      <c r="E1623" s="15" t="n">
        <v>20</v>
      </c>
      <c r="F1623" s="16" t="n">
        <v>0.555542467478301</v>
      </c>
      <c r="G1623" s="17" t="s">
        <v>91</v>
      </c>
      <c r="H1623" s="18" t="n">
        <v>0.2</v>
      </c>
      <c r="I1623" s="18" t="n">
        <v>1</v>
      </c>
      <c r="J1623" s="19" t="n">
        <v>0.945011897581189</v>
      </c>
      <c r="K1623" s="19" t="n">
        <v>0.581257323935257</v>
      </c>
      <c r="L1623" s="16" t="n">
        <v>11.651348222603</v>
      </c>
      <c r="M1623" s="19" t="n">
        <v>0.558830646384451</v>
      </c>
      <c r="N1623" s="19" t="n">
        <v>1.58841974880535</v>
      </c>
      <c r="O1623" s="19" t="n">
        <v>0.945011897581189</v>
      </c>
      <c r="P1623" s="19" t="n">
        <v>0.528454731871426</v>
      </c>
      <c r="Q1623" s="17" t="s">
        <v>30</v>
      </c>
      <c r="R1623" s="5" t="str">
        <f aca="false">IF(OR(Q1623="Steel plate",Q1623="Concrete jacket"),"Steel plate or jacket",Q1623)</f>
        <v>Seal cracks</v>
      </c>
      <c r="S1623" s="5" t="str">
        <f aca="false">IF(O1623&lt;='Tree rules'!$C$4,IF(N1623&lt;='Tree rules'!$C$5,IF(P1623&lt;='Tree rules'!$C$6,"Monitor","Polymer laminate"),IF(P1623&lt;='Tree rules'!$C$7,"Seal cracks","Polymer laminate")),IF(O1623&lt;='Tree rules'!$C$8,IF(M1623&lt;='Tree rules'!$C$9,"Steel plate or jacket","Polymer laminate"),IF(L1623&lt;='Tree rules'!$C$10,"Steel plate or jacket","Polymer laminate")))</f>
        <v>Seal cracks</v>
      </c>
      <c r="T1623" s="5" t="str">
        <f aca="false">IF(S1623=R1623,"Yes","No")</f>
        <v>Yes</v>
      </c>
    </row>
    <row r="1624" customFormat="false" ht="15" hidden="false" customHeight="false" outlineLevel="0" collapsed="false">
      <c r="A1624" s="15" t="n">
        <v>2307</v>
      </c>
      <c r="B1624" s="16" t="n">
        <v>5.70934294914719</v>
      </c>
      <c r="C1624" s="15" t="n">
        <v>300</v>
      </c>
      <c r="D1624" s="15" t="n">
        <v>500</v>
      </c>
      <c r="E1624" s="15" t="n">
        <v>30</v>
      </c>
      <c r="F1624" s="16" t="n">
        <v>0.695042622475618</v>
      </c>
      <c r="G1624" s="17" t="s">
        <v>89</v>
      </c>
      <c r="H1624" s="18" t="n">
        <v>0.3</v>
      </c>
      <c r="I1624" s="18" t="n">
        <v>1</v>
      </c>
      <c r="J1624" s="19" t="n">
        <v>0.904847672477286</v>
      </c>
      <c r="K1624" s="19" t="n">
        <v>0.538805693994808</v>
      </c>
      <c r="L1624" s="16" t="n">
        <v>12.6312897105026</v>
      </c>
      <c r="M1624" s="19" t="n">
        <v>0.538826809760187</v>
      </c>
      <c r="N1624" s="19" t="n">
        <v>0.753060888297603</v>
      </c>
      <c r="O1624" s="19" t="n">
        <v>0.904847672477286</v>
      </c>
      <c r="P1624" s="19" t="n">
        <v>0.60986355398664</v>
      </c>
      <c r="Q1624" s="17" t="s">
        <v>29</v>
      </c>
      <c r="R1624" s="5" t="str">
        <f aca="false">IF(OR(Q1624="Steel plate",Q1624="Concrete jacket"),"Steel plate or jacket",Q1624)</f>
        <v>Monitor</v>
      </c>
      <c r="S1624" s="5" t="str">
        <f aca="false">IF(O1624&lt;='Tree rules'!$C$4,IF(N1624&lt;='Tree rules'!$C$5,IF(P1624&lt;='Tree rules'!$C$6,"Monitor","Polymer laminate"),IF(P1624&lt;='Tree rules'!$C$7,"Seal cracks","Polymer laminate")),IF(O1624&lt;='Tree rules'!$C$8,IF(M1624&lt;='Tree rules'!$C$9,"Steel plate or jacket","Polymer laminate"),IF(L1624&lt;='Tree rules'!$C$10,"Steel plate or jacket","Polymer laminate")))</f>
        <v>Monitor</v>
      </c>
      <c r="T1624" s="5" t="str">
        <f aca="false">IF(S1624=R1624,"Yes","No")</f>
        <v>Yes</v>
      </c>
    </row>
    <row r="1625" customFormat="false" ht="15" hidden="false" customHeight="false" outlineLevel="0" collapsed="false">
      <c r="A1625" s="15" t="n">
        <v>2308</v>
      </c>
      <c r="B1625" s="16" t="n">
        <v>3.26493611590069</v>
      </c>
      <c r="C1625" s="15" t="n">
        <v>300</v>
      </c>
      <c r="D1625" s="15" t="n">
        <v>325</v>
      </c>
      <c r="E1625" s="15" t="n">
        <v>30</v>
      </c>
      <c r="F1625" s="16" t="n">
        <v>1.13414897241509</v>
      </c>
      <c r="G1625" s="17" t="s">
        <v>89</v>
      </c>
      <c r="H1625" s="18" t="n">
        <v>0.3</v>
      </c>
      <c r="I1625" s="18" t="n">
        <v>1</v>
      </c>
      <c r="J1625" s="19" t="n">
        <v>0.915974484125547</v>
      </c>
      <c r="K1625" s="19" t="n">
        <v>0.438275791814633</v>
      </c>
      <c r="L1625" s="16" t="n">
        <v>11.786772981591</v>
      </c>
      <c r="M1625" s="19" t="n">
        <v>0.680292724040316</v>
      </c>
      <c r="N1625" s="19" t="n">
        <v>0.754943532537276</v>
      </c>
      <c r="O1625" s="19" t="n">
        <v>0.915974484125547</v>
      </c>
      <c r="P1625" s="19" t="n">
        <v>0.538444173935291</v>
      </c>
      <c r="Q1625" s="17" t="s">
        <v>29</v>
      </c>
      <c r="R1625" s="5" t="str">
        <f aca="false">IF(OR(Q1625="Steel plate",Q1625="Concrete jacket"),"Steel plate or jacket",Q1625)</f>
        <v>Monitor</v>
      </c>
      <c r="S1625" s="5" t="str">
        <f aca="false">IF(O1625&lt;='Tree rules'!$C$4,IF(N1625&lt;='Tree rules'!$C$5,IF(P1625&lt;='Tree rules'!$C$6,"Monitor","Polymer laminate"),IF(P1625&lt;='Tree rules'!$C$7,"Seal cracks","Polymer laminate")),IF(O1625&lt;='Tree rules'!$C$8,IF(M1625&lt;='Tree rules'!$C$9,"Steel plate or jacket","Polymer laminate"),IF(L1625&lt;='Tree rules'!$C$10,"Steel plate or jacket","Polymer laminate")))</f>
        <v>Monitor</v>
      </c>
      <c r="T1625" s="5" t="str">
        <f aca="false">IF(S1625=R1625,"Yes","No")</f>
        <v>Yes</v>
      </c>
    </row>
    <row r="1626" customFormat="false" ht="15" hidden="false" customHeight="false" outlineLevel="0" collapsed="false">
      <c r="A1626" s="15" t="n">
        <v>2309</v>
      </c>
      <c r="B1626" s="16" t="n">
        <v>6.46865486261728</v>
      </c>
      <c r="C1626" s="15" t="n">
        <v>230</v>
      </c>
      <c r="D1626" s="15" t="n">
        <v>525</v>
      </c>
      <c r="E1626" s="15" t="n">
        <v>30</v>
      </c>
      <c r="F1626" s="16" t="n">
        <v>0.730006099046008</v>
      </c>
      <c r="G1626" s="17" t="s">
        <v>91</v>
      </c>
      <c r="H1626" s="18" t="n">
        <v>0.2</v>
      </c>
      <c r="I1626" s="18" t="n">
        <v>2</v>
      </c>
      <c r="J1626" s="19" t="n">
        <v>0.88157628784974</v>
      </c>
      <c r="K1626" s="19" t="n">
        <v>0.4263898334558</v>
      </c>
      <c r="L1626" s="16" t="n">
        <v>13.5044986693471</v>
      </c>
      <c r="M1626" s="19" t="n">
        <v>0.605757593742251</v>
      </c>
      <c r="N1626" s="19" t="n">
        <v>1.37083955467402</v>
      </c>
      <c r="O1626" s="19" t="n">
        <v>1.38725740914465</v>
      </c>
      <c r="P1626" s="19" t="n">
        <v>0.724853801686482</v>
      </c>
      <c r="Q1626" s="17" t="s">
        <v>31</v>
      </c>
      <c r="R1626" s="5" t="str">
        <f aca="false">IF(OR(Q1626="Steel plate",Q1626="Concrete jacket"),"Steel plate or jacket",Q1626)</f>
        <v>Polymer laminate</v>
      </c>
      <c r="S1626" s="5" t="str">
        <f aca="false">IF(O1626&lt;='Tree rules'!$C$4,IF(N1626&lt;='Tree rules'!$C$5,IF(P1626&lt;='Tree rules'!$C$6,"Monitor","Polymer laminate"),IF(P1626&lt;='Tree rules'!$C$7,"Seal cracks","Polymer laminate")),IF(O1626&lt;='Tree rules'!$C$8,IF(M1626&lt;='Tree rules'!$C$9,"Steel plate or jacket","Polymer laminate"),IF(L1626&lt;='Tree rules'!$C$10,"Steel plate or jacket","Polymer laminate")))</f>
        <v>Polymer laminate</v>
      </c>
      <c r="T1626" s="5" t="str">
        <f aca="false">IF(S1626=R1626,"Yes","No")</f>
        <v>Yes</v>
      </c>
    </row>
    <row r="1627" customFormat="false" ht="15" hidden="false" customHeight="false" outlineLevel="0" collapsed="false">
      <c r="A1627" s="15" t="n">
        <v>2311</v>
      </c>
      <c r="B1627" s="16" t="n">
        <v>4.35901666570242</v>
      </c>
      <c r="C1627" s="15" t="n">
        <v>230</v>
      </c>
      <c r="D1627" s="15" t="n">
        <v>400</v>
      </c>
      <c r="E1627" s="15" t="n">
        <v>30</v>
      </c>
      <c r="F1627" s="16" t="n">
        <v>0.576806505312929</v>
      </c>
      <c r="G1627" s="17" t="s">
        <v>90</v>
      </c>
      <c r="H1627" s="18" t="n">
        <v>0.1</v>
      </c>
      <c r="I1627" s="18" t="n">
        <v>2</v>
      </c>
      <c r="J1627" s="19" t="n">
        <v>0.956326448570917</v>
      </c>
      <c r="K1627" s="19" t="n">
        <v>0.569406058492321</v>
      </c>
      <c r="L1627" s="16" t="n">
        <v>12.7830400753737</v>
      </c>
      <c r="M1627" s="19" t="n">
        <v>0.659870026323179</v>
      </c>
      <c r="N1627" s="19" t="n">
        <v>3.64916906434834</v>
      </c>
      <c r="O1627" s="19" t="n">
        <v>1.36811482342911</v>
      </c>
      <c r="P1627" s="19" t="n">
        <v>0.473657280728302</v>
      </c>
      <c r="Q1627" s="17" t="s">
        <v>31</v>
      </c>
      <c r="R1627" s="5" t="str">
        <f aca="false">IF(OR(Q1627="Steel plate",Q1627="Concrete jacket"),"Steel plate or jacket",Q1627)</f>
        <v>Polymer laminate</v>
      </c>
      <c r="S1627" s="5" t="str">
        <f aca="false">IF(O1627&lt;='Tree rules'!$C$4,IF(N1627&lt;='Tree rules'!$C$5,IF(P1627&lt;='Tree rules'!$C$6,"Monitor","Polymer laminate"),IF(P1627&lt;='Tree rules'!$C$7,"Seal cracks","Polymer laminate")),IF(O1627&lt;='Tree rules'!$C$8,IF(M1627&lt;='Tree rules'!$C$9,"Steel plate or jacket","Polymer laminate"),IF(L1627&lt;='Tree rules'!$C$10,"Steel plate or jacket","Polymer laminate")))</f>
        <v>Steel plate or jacket</v>
      </c>
      <c r="T1627" s="5" t="str">
        <f aca="false">IF(S1627=R1627,"Yes","No")</f>
        <v>No</v>
      </c>
    </row>
    <row r="1628" customFormat="false" ht="15" hidden="false" customHeight="false" outlineLevel="0" collapsed="false">
      <c r="A1628" s="15" t="n">
        <v>2312</v>
      </c>
      <c r="B1628" s="16" t="n">
        <v>3.57837911105596</v>
      </c>
      <c r="C1628" s="15" t="n">
        <v>230</v>
      </c>
      <c r="D1628" s="15" t="n">
        <v>350</v>
      </c>
      <c r="E1628" s="15" t="n">
        <v>25</v>
      </c>
      <c r="F1628" s="16" t="n">
        <v>0.9045760591966</v>
      </c>
      <c r="G1628" s="17" t="s">
        <v>91</v>
      </c>
      <c r="H1628" s="18" t="n">
        <v>0.2</v>
      </c>
      <c r="I1628" s="18" t="n">
        <v>2</v>
      </c>
      <c r="J1628" s="19" t="n">
        <v>0.873113104531221</v>
      </c>
      <c r="K1628" s="19" t="n">
        <v>0.513922581846092</v>
      </c>
      <c r="L1628" s="16" t="n">
        <v>11.8489374538277</v>
      </c>
      <c r="M1628" s="19" t="n">
        <v>0.529684625210383</v>
      </c>
      <c r="N1628" s="19" t="n">
        <v>1.84750099200918</v>
      </c>
      <c r="O1628" s="19" t="n">
        <v>1.2975136681381</v>
      </c>
      <c r="P1628" s="19" t="n">
        <v>0.786840705851299</v>
      </c>
      <c r="Q1628" s="17" t="s">
        <v>31</v>
      </c>
      <c r="R1628" s="5" t="str">
        <f aca="false">IF(OR(Q1628="Steel plate",Q1628="Concrete jacket"),"Steel plate or jacket",Q1628)</f>
        <v>Polymer laminate</v>
      </c>
      <c r="S1628" s="5" t="str">
        <f aca="false">IF(O1628&lt;='Tree rules'!$C$4,IF(N1628&lt;='Tree rules'!$C$5,IF(P1628&lt;='Tree rules'!$C$6,"Monitor","Polymer laminate"),IF(P1628&lt;='Tree rules'!$C$7,"Seal cracks","Polymer laminate")),IF(O1628&lt;='Tree rules'!$C$8,IF(M1628&lt;='Tree rules'!$C$9,"Steel plate or jacket","Polymer laminate"),IF(L1628&lt;='Tree rules'!$C$10,"Steel plate or jacket","Polymer laminate")))</f>
        <v>Steel plate or jacket</v>
      </c>
      <c r="T1628" s="5" t="str">
        <f aca="false">IF(S1628=R1628,"Yes","No")</f>
        <v>No</v>
      </c>
    </row>
    <row r="1629" customFormat="false" ht="15" hidden="false" customHeight="false" outlineLevel="0" collapsed="false">
      <c r="A1629" s="15" t="n">
        <v>2314</v>
      </c>
      <c r="B1629" s="16" t="n">
        <v>6.18926148525005</v>
      </c>
      <c r="C1629" s="15" t="n">
        <v>300</v>
      </c>
      <c r="D1629" s="15" t="n">
        <v>475</v>
      </c>
      <c r="E1629" s="15" t="n">
        <v>30</v>
      </c>
      <c r="F1629" s="16" t="n">
        <v>0.624901102811956</v>
      </c>
      <c r="G1629" s="17" t="s">
        <v>91</v>
      </c>
      <c r="H1629" s="18" t="n">
        <v>0.2</v>
      </c>
      <c r="I1629" s="18" t="n">
        <v>1</v>
      </c>
      <c r="J1629" s="19" t="n">
        <v>0.912846121639598</v>
      </c>
      <c r="K1629" s="19" t="n">
        <v>0.535884350826381</v>
      </c>
      <c r="L1629" s="16" t="n">
        <v>14.4271829493008</v>
      </c>
      <c r="M1629" s="19" t="n">
        <v>0.939439650104905</v>
      </c>
      <c r="N1629" s="19" t="n">
        <v>0.880667825358348</v>
      </c>
      <c r="O1629" s="19" t="n">
        <v>0.912846121639598</v>
      </c>
      <c r="P1629" s="19" t="n">
        <v>0.389841066919442</v>
      </c>
      <c r="Q1629" s="17" t="s">
        <v>29</v>
      </c>
      <c r="R1629" s="5" t="str">
        <f aca="false">IF(OR(Q1629="Steel plate",Q1629="Concrete jacket"),"Steel plate or jacket",Q1629)</f>
        <v>Monitor</v>
      </c>
      <c r="S1629" s="5" t="str">
        <f aca="false">IF(O1629&lt;='Tree rules'!$C$4,IF(N1629&lt;='Tree rules'!$C$5,IF(P1629&lt;='Tree rules'!$C$6,"Monitor","Polymer laminate"),IF(P1629&lt;='Tree rules'!$C$7,"Seal cracks","Polymer laminate")),IF(O1629&lt;='Tree rules'!$C$8,IF(M1629&lt;='Tree rules'!$C$9,"Steel plate or jacket","Polymer laminate"),IF(L1629&lt;='Tree rules'!$C$10,"Steel plate or jacket","Polymer laminate")))</f>
        <v>Monitor</v>
      </c>
      <c r="T1629" s="5" t="str">
        <f aca="false">IF(S1629=R1629,"Yes","No")</f>
        <v>Yes</v>
      </c>
    </row>
    <row r="1630" customFormat="false" ht="15" hidden="false" customHeight="false" outlineLevel="0" collapsed="false">
      <c r="A1630" s="15" t="n">
        <v>2315</v>
      </c>
      <c r="B1630" s="16" t="n">
        <v>4.36094724787168</v>
      </c>
      <c r="C1630" s="15" t="n">
        <v>230</v>
      </c>
      <c r="D1630" s="15" t="n">
        <v>375</v>
      </c>
      <c r="E1630" s="15" t="n">
        <v>30</v>
      </c>
      <c r="F1630" s="16" t="n">
        <v>0.797126720614828</v>
      </c>
      <c r="G1630" s="17" t="s">
        <v>89</v>
      </c>
      <c r="H1630" s="18" t="n">
        <v>0.3</v>
      </c>
      <c r="I1630" s="18" t="n">
        <v>2</v>
      </c>
      <c r="J1630" s="19" t="n">
        <v>0.879966647925113</v>
      </c>
      <c r="K1630" s="19" t="n">
        <v>0.62357101356329</v>
      </c>
      <c r="L1630" s="16" t="n">
        <v>13.2551588081206</v>
      </c>
      <c r="M1630" s="19" t="n">
        <v>0.659576232298405</v>
      </c>
      <c r="N1630" s="19" t="n">
        <v>0.889494910303195</v>
      </c>
      <c r="O1630" s="19" t="n">
        <v>1.21121160130167</v>
      </c>
      <c r="P1630" s="19" t="n">
        <v>0.659509401692573</v>
      </c>
      <c r="Q1630" s="17" t="s">
        <v>31</v>
      </c>
      <c r="R1630" s="5" t="str">
        <f aca="false">IF(OR(Q1630="Steel plate",Q1630="Concrete jacket"),"Steel plate or jacket",Q1630)</f>
        <v>Polymer laminate</v>
      </c>
      <c r="S1630" s="5" t="str">
        <f aca="false">IF(O1630&lt;='Tree rules'!$C$4,IF(N1630&lt;='Tree rules'!$C$5,IF(P1630&lt;='Tree rules'!$C$6,"Monitor","Polymer laminate"),IF(P1630&lt;='Tree rules'!$C$7,"Seal cracks","Polymer laminate")),IF(O1630&lt;='Tree rules'!$C$8,IF(M1630&lt;='Tree rules'!$C$9,"Steel plate or jacket","Polymer laminate"),IF(L1630&lt;='Tree rules'!$C$10,"Steel plate or jacket","Polymer laminate")))</f>
        <v>Polymer laminate</v>
      </c>
      <c r="T1630" s="5" t="str">
        <f aca="false">IF(S1630=R1630,"Yes","No")</f>
        <v>Yes</v>
      </c>
    </row>
    <row r="1631" customFormat="false" ht="15" hidden="false" customHeight="false" outlineLevel="0" collapsed="false">
      <c r="A1631" s="15" t="n">
        <v>2316</v>
      </c>
      <c r="B1631" s="16" t="n">
        <v>5.89987788607653</v>
      </c>
      <c r="C1631" s="15" t="n">
        <v>230</v>
      </c>
      <c r="D1631" s="15" t="n">
        <v>575</v>
      </c>
      <c r="E1631" s="15" t="n">
        <v>30</v>
      </c>
      <c r="F1631" s="16" t="n">
        <v>0.800337802375117</v>
      </c>
      <c r="G1631" s="17" t="s">
        <v>90</v>
      </c>
      <c r="H1631" s="18" t="n">
        <v>0.1</v>
      </c>
      <c r="I1631" s="18" t="n">
        <v>1.5</v>
      </c>
      <c r="J1631" s="19" t="n">
        <v>0.853901595231949</v>
      </c>
      <c r="K1631" s="19" t="n">
        <v>0.594473290618531</v>
      </c>
      <c r="L1631" s="16" t="n">
        <v>11.5231989962432</v>
      </c>
      <c r="M1631" s="19" t="n">
        <v>0.631428377672586</v>
      </c>
      <c r="N1631" s="19" t="n">
        <v>2.73849260915995</v>
      </c>
      <c r="O1631" s="19" t="n">
        <v>1.02704154725695</v>
      </c>
      <c r="P1631" s="19" t="n">
        <v>0.560515083269591</v>
      </c>
      <c r="Q1631" s="17" t="s">
        <v>31</v>
      </c>
      <c r="R1631" s="5" t="str">
        <f aca="false">IF(OR(Q1631="Steel plate",Q1631="Concrete jacket"),"Steel plate or jacket",Q1631)</f>
        <v>Polymer laminate</v>
      </c>
      <c r="S1631" s="5" t="str">
        <f aca="false">IF(O1631&lt;='Tree rules'!$C$4,IF(N1631&lt;='Tree rules'!$C$5,IF(P1631&lt;='Tree rules'!$C$6,"Monitor","Polymer laminate"),IF(P1631&lt;='Tree rules'!$C$7,"Seal cracks","Polymer laminate")),IF(O1631&lt;='Tree rules'!$C$8,IF(M1631&lt;='Tree rules'!$C$9,"Steel plate or jacket","Polymer laminate"),IF(L1631&lt;='Tree rules'!$C$10,"Steel plate or jacket","Polymer laminate")))</f>
        <v>Polymer laminate</v>
      </c>
      <c r="T1631" s="5" t="str">
        <f aca="false">IF(S1631=R1631,"Yes","No")</f>
        <v>Yes</v>
      </c>
    </row>
    <row r="1632" customFormat="false" ht="15" hidden="false" customHeight="false" outlineLevel="0" collapsed="false">
      <c r="A1632" s="15" t="n">
        <v>2317</v>
      </c>
      <c r="B1632" s="16" t="n">
        <v>5.32064680728655</v>
      </c>
      <c r="C1632" s="15" t="n">
        <v>230</v>
      </c>
      <c r="D1632" s="15" t="n">
        <v>450</v>
      </c>
      <c r="E1632" s="15" t="n">
        <v>20</v>
      </c>
      <c r="F1632" s="16" t="n">
        <v>0.679557138998441</v>
      </c>
      <c r="G1632" s="17" t="s">
        <v>89</v>
      </c>
      <c r="H1632" s="18" t="n">
        <v>0.3</v>
      </c>
      <c r="I1632" s="18" t="n">
        <v>2</v>
      </c>
      <c r="J1632" s="19" t="n">
        <v>0.868065127210767</v>
      </c>
      <c r="K1632" s="19" t="n">
        <v>0.563166496109737</v>
      </c>
      <c r="L1632" s="16" t="n">
        <v>13.2354398191208</v>
      </c>
      <c r="M1632" s="19" t="n">
        <v>0.805892810189745</v>
      </c>
      <c r="N1632" s="19" t="n">
        <v>1.12206736064387</v>
      </c>
      <c r="O1632" s="19" t="n">
        <v>1.24726505833519</v>
      </c>
      <c r="P1632" s="19" t="n">
        <v>0.566242599077947</v>
      </c>
      <c r="Q1632" s="17" t="s">
        <v>31</v>
      </c>
      <c r="R1632" s="5" t="str">
        <f aca="false">IF(OR(Q1632="Steel plate",Q1632="Concrete jacket"),"Steel plate or jacket",Q1632)</f>
        <v>Polymer laminate</v>
      </c>
      <c r="S1632" s="5" t="str">
        <f aca="false">IF(O1632&lt;='Tree rules'!$C$4,IF(N1632&lt;='Tree rules'!$C$5,IF(P1632&lt;='Tree rules'!$C$6,"Monitor","Polymer laminate"),IF(P1632&lt;='Tree rules'!$C$7,"Seal cracks","Polymer laminate")),IF(O1632&lt;='Tree rules'!$C$8,IF(M1632&lt;='Tree rules'!$C$9,"Steel plate or jacket","Polymer laminate"),IF(L1632&lt;='Tree rules'!$C$10,"Steel plate or jacket","Polymer laminate")))</f>
        <v>Polymer laminate</v>
      </c>
      <c r="T1632" s="5" t="str">
        <f aca="false">IF(S1632=R1632,"Yes","No")</f>
        <v>Yes</v>
      </c>
    </row>
    <row r="1633" customFormat="false" ht="15" hidden="false" customHeight="false" outlineLevel="0" collapsed="false">
      <c r="A1633" s="15" t="n">
        <v>2318</v>
      </c>
      <c r="B1633" s="16" t="n">
        <v>5.3151521665645</v>
      </c>
      <c r="C1633" s="15" t="n">
        <v>300</v>
      </c>
      <c r="D1633" s="15" t="n">
        <v>525</v>
      </c>
      <c r="E1633" s="15" t="n">
        <v>20</v>
      </c>
      <c r="F1633" s="16" t="n">
        <v>0.679998409867921</v>
      </c>
      <c r="G1633" s="17" t="s">
        <v>90</v>
      </c>
      <c r="H1633" s="18" t="n">
        <v>0.1</v>
      </c>
      <c r="I1633" s="18" t="n">
        <v>1.5</v>
      </c>
      <c r="J1633" s="19" t="n">
        <v>0.954526739879328</v>
      </c>
      <c r="K1633" s="19" t="n">
        <v>0.512017392201384</v>
      </c>
      <c r="L1633" s="16" t="n">
        <v>11.5046583691872</v>
      </c>
      <c r="M1633" s="19" t="n">
        <v>0.746979839751875</v>
      </c>
      <c r="N1633" s="19" t="n">
        <v>3.3405639927632</v>
      </c>
      <c r="O1633" s="19" t="n">
        <v>1.18742296374924</v>
      </c>
      <c r="P1633" s="19" t="n">
        <v>0.495060315810902</v>
      </c>
      <c r="Q1633" s="17" t="s">
        <v>31</v>
      </c>
      <c r="R1633" s="5" t="str">
        <f aca="false">IF(OR(Q1633="Steel plate",Q1633="Concrete jacket"),"Steel plate or jacket",Q1633)</f>
        <v>Polymer laminate</v>
      </c>
      <c r="S1633" s="5" t="str">
        <f aca="false">IF(O1633&lt;='Tree rules'!$C$4,IF(N1633&lt;='Tree rules'!$C$5,IF(P1633&lt;='Tree rules'!$C$6,"Monitor","Polymer laminate"),IF(P1633&lt;='Tree rules'!$C$7,"Seal cracks","Polymer laminate")),IF(O1633&lt;='Tree rules'!$C$8,IF(M1633&lt;='Tree rules'!$C$9,"Steel plate or jacket","Polymer laminate"),IF(L1633&lt;='Tree rules'!$C$10,"Steel plate or jacket","Polymer laminate")))</f>
        <v>Polymer laminate</v>
      </c>
      <c r="T1633" s="5" t="str">
        <f aca="false">IF(S1633=R1633,"Yes","No")</f>
        <v>Yes</v>
      </c>
    </row>
    <row r="1634" customFormat="false" ht="15" hidden="false" customHeight="false" outlineLevel="0" collapsed="false">
      <c r="A1634" s="15" t="n">
        <v>2319</v>
      </c>
      <c r="B1634" s="16" t="n">
        <v>6.51134981121433</v>
      </c>
      <c r="C1634" s="15" t="n">
        <v>230</v>
      </c>
      <c r="D1634" s="15" t="n">
        <v>625</v>
      </c>
      <c r="E1634" s="15" t="n">
        <v>20</v>
      </c>
      <c r="F1634" s="16" t="n">
        <v>0.603925598347216</v>
      </c>
      <c r="G1634" s="17" t="s">
        <v>89</v>
      </c>
      <c r="H1634" s="18" t="n">
        <v>0.3</v>
      </c>
      <c r="I1634" s="18" t="n">
        <v>1.5</v>
      </c>
      <c r="J1634" s="19" t="n">
        <v>0.979844687090612</v>
      </c>
      <c r="K1634" s="19" t="n">
        <v>0.553778119025341</v>
      </c>
      <c r="L1634" s="16" t="n">
        <v>11.2458545962251</v>
      </c>
      <c r="M1634" s="19" t="n">
        <v>0.917076950905557</v>
      </c>
      <c r="N1634" s="19" t="n">
        <v>0.701410512813806</v>
      </c>
      <c r="O1634" s="19" t="n">
        <v>1.19845875675891</v>
      </c>
      <c r="P1634" s="19" t="n">
        <v>0.436976275005514</v>
      </c>
      <c r="Q1634" s="17" t="s">
        <v>31</v>
      </c>
      <c r="R1634" s="5" t="str">
        <f aca="false">IF(OR(Q1634="Steel plate",Q1634="Concrete jacket"),"Steel plate or jacket",Q1634)</f>
        <v>Polymer laminate</v>
      </c>
      <c r="S1634" s="5" t="str">
        <f aca="false">IF(O1634&lt;='Tree rules'!$C$4,IF(N1634&lt;='Tree rules'!$C$5,IF(P1634&lt;='Tree rules'!$C$6,"Monitor","Polymer laminate"),IF(P1634&lt;='Tree rules'!$C$7,"Seal cracks","Polymer laminate")),IF(O1634&lt;='Tree rules'!$C$8,IF(M1634&lt;='Tree rules'!$C$9,"Steel plate or jacket","Polymer laminate"),IF(L1634&lt;='Tree rules'!$C$10,"Steel plate or jacket","Polymer laminate")))</f>
        <v>Polymer laminate</v>
      </c>
      <c r="T1634" s="5" t="str">
        <f aca="false">IF(S1634=R1634,"Yes","No")</f>
        <v>Yes</v>
      </c>
    </row>
    <row r="1635" customFormat="false" ht="15" hidden="false" customHeight="false" outlineLevel="0" collapsed="false">
      <c r="A1635" s="15" t="n">
        <v>2321</v>
      </c>
      <c r="B1635" s="16" t="n">
        <v>5.85665411109373</v>
      </c>
      <c r="C1635" s="15" t="n">
        <v>300</v>
      </c>
      <c r="D1635" s="15" t="n">
        <v>575</v>
      </c>
      <c r="E1635" s="15" t="n">
        <v>30</v>
      </c>
      <c r="F1635" s="16" t="n">
        <v>0.993546063753888</v>
      </c>
      <c r="G1635" s="17" t="s">
        <v>89</v>
      </c>
      <c r="H1635" s="18" t="n">
        <v>0.3</v>
      </c>
      <c r="I1635" s="18" t="n">
        <v>1</v>
      </c>
      <c r="J1635" s="19" t="n">
        <v>0.858190493974263</v>
      </c>
      <c r="K1635" s="19" t="n">
        <v>0.645012034055016</v>
      </c>
      <c r="L1635" s="16" t="n">
        <v>11.1131956567243</v>
      </c>
      <c r="M1635" s="19" t="n">
        <v>0.462651564433989</v>
      </c>
      <c r="N1635" s="19" t="n">
        <v>0.568390322230807</v>
      </c>
      <c r="O1635" s="19" t="n">
        <v>0.858190493974263</v>
      </c>
      <c r="P1635" s="19" t="n">
        <v>0.868516782210829</v>
      </c>
      <c r="Q1635" s="17" t="s">
        <v>29</v>
      </c>
      <c r="R1635" s="5" t="str">
        <f aca="false">IF(OR(Q1635="Steel plate",Q1635="Concrete jacket"),"Steel plate or jacket",Q1635)</f>
        <v>Monitor</v>
      </c>
      <c r="S1635" s="5" t="str">
        <f aca="false">IF(O1635&lt;='Tree rules'!$C$4,IF(N1635&lt;='Tree rules'!$C$5,IF(P1635&lt;='Tree rules'!$C$6,"Monitor","Polymer laminate"),IF(P1635&lt;='Tree rules'!$C$7,"Seal cracks","Polymer laminate")),IF(O1635&lt;='Tree rules'!$C$8,IF(M1635&lt;='Tree rules'!$C$9,"Steel plate or jacket","Polymer laminate"),IF(L1635&lt;='Tree rules'!$C$10,"Steel plate or jacket","Polymer laminate")))</f>
        <v>Monitor</v>
      </c>
      <c r="T1635" s="5" t="str">
        <f aca="false">IF(S1635=R1635,"Yes","No")</f>
        <v>Yes</v>
      </c>
    </row>
    <row r="1636" customFormat="false" ht="15" hidden="false" customHeight="false" outlineLevel="0" collapsed="false">
      <c r="A1636" s="15" t="n">
        <v>2322</v>
      </c>
      <c r="B1636" s="16" t="n">
        <v>4.97689297281238</v>
      </c>
      <c r="C1636" s="15" t="n">
        <v>300</v>
      </c>
      <c r="D1636" s="15" t="n">
        <v>500</v>
      </c>
      <c r="E1636" s="15" t="n">
        <v>30</v>
      </c>
      <c r="F1636" s="16" t="n">
        <v>0.926723496634157</v>
      </c>
      <c r="G1636" s="17" t="s">
        <v>89</v>
      </c>
      <c r="H1636" s="18" t="n">
        <v>0.3</v>
      </c>
      <c r="I1636" s="18" t="n">
        <v>1</v>
      </c>
      <c r="J1636" s="19" t="n">
        <v>0.896807428489312</v>
      </c>
      <c r="K1636" s="19" t="n">
        <v>0.460504463244364</v>
      </c>
      <c r="L1636" s="16" t="n">
        <v>11.0108251610893</v>
      </c>
      <c r="M1636" s="19" t="n">
        <v>0.501356727829686</v>
      </c>
      <c r="N1636" s="19" t="n">
        <v>0.646617356290108</v>
      </c>
      <c r="O1636" s="19" t="n">
        <v>0.896807428489312</v>
      </c>
      <c r="P1636" s="19" t="n">
        <v>0.662045972628327</v>
      </c>
      <c r="Q1636" s="17" t="s">
        <v>29</v>
      </c>
      <c r="R1636" s="5" t="str">
        <f aca="false">IF(OR(Q1636="Steel plate",Q1636="Concrete jacket"),"Steel plate or jacket",Q1636)</f>
        <v>Monitor</v>
      </c>
      <c r="S1636" s="5" t="str">
        <f aca="false">IF(O1636&lt;='Tree rules'!$C$4,IF(N1636&lt;='Tree rules'!$C$5,IF(P1636&lt;='Tree rules'!$C$6,"Monitor","Polymer laminate"),IF(P1636&lt;='Tree rules'!$C$7,"Seal cracks","Polymer laminate")),IF(O1636&lt;='Tree rules'!$C$8,IF(M1636&lt;='Tree rules'!$C$9,"Steel plate or jacket","Polymer laminate"),IF(L1636&lt;='Tree rules'!$C$10,"Steel plate or jacket","Polymer laminate")))</f>
        <v>Monitor</v>
      </c>
      <c r="T1636" s="5" t="str">
        <f aca="false">IF(S1636=R1636,"Yes","No")</f>
        <v>Yes</v>
      </c>
    </row>
    <row r="1637" customFormat="false" ht="15" hidden="false" customHeight="false" outlineLevel="0" collapsed="false">
      <c r="A1637" s="15" t="n">
        <v>2324</v>
      </c>
      <c r="B1637" s="16" t="n">
        <v>3.77020488232236</v>
      </c>
      <c r="C1637" s="15" t="n">
        <v>230</v>
      </c>
      <c r="D1637" s="15" t="n">
        <v>375</v>
      </c>
      <c r="E1637" s="15" t="n">
        <v>25</v>
      </c>
      <c r="F1637" s="16" t="n">
        <v>0.797126720614828</v>
      </c>
      <c r="G1637" s="17" t="s">
        <v>91</v>
      </c>
      <c r="H1637" s="18" t="n">
        <v>0.2</v>
      </c>
      <c r="I1637" s="18" t="n">
        <v>2</v>
      </c>
      <c r="J1637" s="19" t="n">
        <v>0.947970731356441</v>
      </c>
      <c r="K1637" s="19" t="n">
        <v>0.403502337118845</v>
      </c>
      <c r="L1637" s="16" t="n">
        <v>11.4595893079707</v>
      </c>
      <c r="M1637" s="19" t="n">
        <v>0.755643403973038</v>
      </c>
      <c r="N1637" s="19" t="n">
        <v>1.6520831017735</v>
      </c>
      <c r="O1637" s="19" t="n">
        <v>1.5134330570903</v>
      </c>
      <c r="P1637" s="19" t="n">
        <v>0.543507900558609</v>
      </c>
      <c r="Q1637" s="17" t="s">
        <v>31</v>
      </c>
      <c r="R1637" s="5" t="str">
        <f aca="false">IF(OR(Q1637="Steel plate",Q1637="Concrete jacket"),"Steel plate or jacket",Q1637)</f>
        <v>Polymer laminate</v>
      </c>
      <c r="S1637" s="5" t="str">
        <f aca="false">IF(O1637&lt;='Tree rules'!$C$4,IF(N1637&lt;='Tree rules'!$C$5,IF(P1637&lt;='Tree rules'!$C$6,"Monitor","Polymer laminate"),IF(P1637&lt;='Tree rules'!$C$7,"Seal cracks","Polymer laminate")),IF(O1637&lt;='Tree rules'!$C$8,IF(M1637&lt;='Tree rules'!$C$9,"Steel plate or jacket","Polymer laminate"),IF(L1637&lt;='Tree rules'!$C$10,"Steel plate or jacket","Polymer laminate")))</f>
        <v>Steel plate or jacket</v>
      </c>
      <c r="T1637" s="5" t="str">
        <f aca="false">IF(S1637=R1637,"Yes","No")</f>
        <v>No</v>
      </c>
    </row>
    <row r="1638" customFormat="false" ht="15" hidden="false" customHeight="false" outlineLevel="0" collapsed="false">
      <c r="A1638" s="15" t="n">
        <v>2325</v>
      </c>
      <c r="B1638" s="16" t="n">
        <v>3.63116780676551</v>
      </c>
      <c r="C1638" s="15" t="n">
        <v>230</v>
      </c>
      <c r="D1638" s="15" t="n">
        <v>325</v>
      </c>
      <c r="E1638" s="15" t="n">
        <v>30</v>
      </c>
      <c r="F1638" s="16" t="n">
        <v>0.662259320914844</v>
      </c>
      <c r="G1638" s="17" t="s">
        <v>90</v>
      </c>
      <c r="H1638" s="18" t="n">
        <v>0.1</v>
      </c>
      <c r="I1638" s="18" t="n">
        <v>1</v>
      </c>
      <c r="J1638" s="19" t="n">
        <v>0.893619729635337</v>
      </c>
      <c r="K1638" s="19" t="n">
        <v>0.479143902452414</v>
      </c>
      <c r="L1638" s="16" t="n">
        <v>13.7544235104754</v>
      </c>
      <c r="M1638" s="19" t="n">
        <v>0.245825563330186</v>
      </c>
      <c r="N1638" s="19" t="n">
        <v>3.11851558386463</v>
      </c>
      <c r="O1638" s="19" t="n">
        <v>0.893619729635337</v>
      </c>
      <c r="P1638" s="19" t="n">
        <v>0.911104103593075</v>
      </c>
      <c r="Q1638" s="17" t="s">
        <v>30</v>
      </c>
      <c r="R1638" s="5" t="str">
        <f aca="false">IF(OR(Q1638="Steel plate",Q1638="Concrete jacket"),"Steel plate or jacket",Q1638)</f>
        <v>Seal cracks</v>
      </c>
      <c r="S1638" s="5" t="str">
        <f aca="false">IF(O1638&lt;='Tree rules'!$C$4,IF(N1638&lt;='Tree rules'!$C$5,IF(P1638&lt;='Tree rules'!$C$6,"Monitor","Polymer laminate"),IF(P1638&lt;='Tree rules'!$C$7,"Seal cracks","Polymer laminate")),IF(O1638&lt;='Tree rules'!$C$8,IF(M1638&lt;='Tree rules'!$C$9,"Steel plate or jacket","Polymer laminate"),IF(L1638&lt;='Tree rules'!$C$10,"Steel plate or jacket","Polymer laminate")))</f>
        <v>Seal cracks</v>
      </c>
      <c r="T1638" s="5" t="str">
        <f aca="false">IF(S1638=R1638,"Yes","No")</f>
        <v>Yes</v>
      </c>
    </row>
    <row r="1639" customFormat="false" ht="15" hidden="false" customHeight="false" outlineLevel="0" collapsed="false">
      <c r="A1639" s="15" t="n">
        <v>2326</v>
      </c>
      <c r="B1639" s="16" t="n">
        <v>5.31891585973802</v>
      </c>
      <c r="C1639" s="15" t="n">
        <v>300</v>
      </c>
      <c r="D1639" s="15" t="n">
        <v>425</v>
      </c>
      <c r="E1639" s="15" t="n">
        <v>25</v>
      </c>
      <c r="F1639" s="16" t="n">
        <v>0.593686800678386</v>
      </c>
      <c r="G1639" s="17" t="s">
        <v>89</v>
      </c>
      <c r="H1639" s="18" t="n">
        <v>0.3</v>
      </c>
      <c r="I1639" s="18" t="n">
        <v>2</v>
      </c>
      <c r="J1639" s="19" t="n">
        <v>0.94918933250806</v>
      </c>
      <c r="K1639" s="19" t="n">
        <v>0.531576855364831</v>
      </c>
      <c r="L1639" s="16" t="n">
        <v>13.9604090806772</v>
      </c>
      <c r="M1639" s="19" t="n">
        <v>0.372630669694494</v>
      </c>
      <c r="N1639" s="19" t="n">
        <v>0.939352406104158</v>
      </c>
      <c r="O1639" s="19" t="n">
        <v>1.39381158449564</v>
      </c>
      <c r="P1639" s="19" t="n">
        <v>1.11099968576968</v>
      </c>
      <c r="Q1639" s="17" t="s">
        <v>31</v>
      </c>
      <c r="R1639" s="5" t="str">
        <f aca="false">IF(OR(Q1639="Steel plate",Q1639="Concrete jacket"),"Steel plate or jacket",Q1639)</f>
        <v>Polymer laminate</v>
      </c>
      <c r="S1639" s="5" t="str">
        <f aca="false">IF(O1639&lt;='Tree rules'!$C$4,IF(N1639&lt;='Tree rules'!$C$5,IF(P1639&lt;='Tree rules'!$C$6,"Monitor","Polymer laminate"),IF(P1639&lt;='Tree rules'!$C$7,"Seal cracks","Polymer laminate")),IF(O1639&lt;='Tree rules'!$C$8,IF(M1639&lt;='Tree rules'!$C$9,"Steel plate or jacket","Polymer laminate"),IF(L1639&lt;='Tree rules'!$C$10,"Steel plate or jacket","Polymer laminate")))</f>
        <v>Polymer laminate</v>
      </c>
      <c r="T1639" s="5" t="str">
        <f aca="false">IF(S1639=R1639,"Yes","No")</f>
        <v>Yes</v>
      </c>
    </row>
    <row r="1640" customFormat="false" ht="15" hidden="false" customHeight="false" outlineLevel="0" collapsed="false">
      <c r="A1640" s="15" t="n">
        <v>2329</v>
      </c>
      <c r="B1640" s="16" t="n">
        <v>7.83140164572203</v>
      </c>
      <c r="C1640" s="15" t="n">
        <v>230</v>
      </c>
      <c r="D1640" s="15" t="n">
        <v>725</v>
      </c>
      <c r="E1640" s="15" t="n">
        <v>25</v>
      </c>
      <c r="F1640" s="16" t="n">
        <v>0.605277628974978</v>
      </c>
      <c r="G1640" s="17" t="s">
        <v>89</v>
      </c>
      <c r="H1640" s="18" t="n">
        <v>0.3</v>
      </c>
      <c r="I1640" s="18" t="n">
        <v>1</v>
      </c>
      <c r="J1640" s="19" t="n">
        <v>0.934167649033804</v>
      </c>
      <c r="K1640" s="19" t="n">
        <v>0.402809081460677</v>
      </c>
      <c r="L1640" s="16" t="n">
        <v>11.5678015446411</v>
      </c>
      <c r="M1640" s="19" t="n">
        <v>0.894703209247382</v>
      </c>
      <c r="N1640" s="19" t="n">
        <v>0.585480116840987</v>
      </c>
      <c r="O1640" s="19" t="n">
        <v>0.934167649033804</v>
      </c>
      <c r="P1640" s="19" t="n">
        <v>0.338634695107655</v>
      </c>
      <c r="Q1640" s="17" t="s">
        <v>29</v>
      </c>
      <c r="R1640" s="5" t="str">
        <f aca="false">IF(OR(Q1640="Steel plate",Q1640="Concrete jacket"),"Steel plate or jacket",Q1640)</f>
        <v>Monitor</v>
      </c>
      <c r="S1640" s="5" t="str">
        <f aca="false">IF(O1640&lt;='Tree rules'!$C$4,IF(N1640&lt;='Tree rules'!$C$5,IF(P1640&lt;='Tree rules'!$C$6,"Monitor","Polymer laminate"),IF(P1640&lt;='Tree rules'!$C$7,"Seal cracks","Polymer laminate")),IF(O1640&lt;='Tree rules'!$C$8,IF(M1640&lt;='Tree rules'!$C$9,"Steel plate or jacket","Polymer laminate"),IF(L1640&lt;='Tree rules'!$C$10,"Steel plate or jacket","Polymer laminate")))</f>
        <v>Monitor</v>
      </c>
      <c r="T1640" s="5" t="str">
        <f aca="false">IF(S1640=R1640,"Yes","No")</f>
        <v>Yes</v>
      </c>
    </row>
    <row r="1641" customFormat="false" ht="15" hidden="false" customHeight="false" outlineLevel="0" collapsed="false">
      <c r="A1641" s="15" t="n">
        <v>2330</v>
      </c>
      <c r="B1641" s="16" t="n">
        <v>5.3676743276538</v>
      </c>
      <c r="C1641" s="15" t="n">
        <v>230</v>
      </c>
      <c r="D1641" s="15" t="n">
        <v>450</v>
      </c>
      <c r="E1641" s="15" t="n">
        <v>25</v>
      </c>
      <c r="F1641" s="16" t="n">
        <v>0.865527033274846</v>
      </c>
      <c r="G1641" s="17" t="s">
        <v>91</v>
      </c>
      <c r="H1641" s="18" t="n">
        <v>0.2</v>
      </c>
      <c r="I1641" s="18" t="n">
        <v>1</v>
      </c>
      <c r="J1641" s="19" t="n">
        <v>0.851643106193948</v>
      </c>
      <c r="K1641" s="19" t="n">
        <v>0.430664545709121</v>
      </c>
      <c r="L1641" s="16" t="n">
        <v>13.2863225932025</v>
      </c>
      <c r="M1641" s="19" t="n">
        <v>0.857421744415349</v>
      </c>
      <c r="N1641" s="19" t="n">
        <v>0.77886908664208</v>
      </c>
      <c r="O1641" s="19" t="n">
        <v>0.851643106193948</v>
      </c>
      <c r="P1641" s="19" t="n">
        <v>0.451703310398838</v>
      </c>
      <c r="Q1641" s="17" t="s">
        <v>29</v>
      </c>
      <c r="R1641" s="5" t="str">
        <f aca="false">IF(OR(Q1641="Steel plate",Q1641="Concrete jacket"),"Steel plate or jacket",Q1641)</f>
        <v>Monitor</v>
      </c>
      <c r="S1641" s="5" t="str">
        <f aca="false">IF(O1641&lt;='Tree rules'!$C$4,IF(N1641&lt;='Tree rules'!$C$5,IF(P1641&lt;='Tree rules'!$C$6,"Monitor","Polymer laminate"),IF(P1641&lt;='Tree rules'!$C$7,"Seal cracks","Polymer laminate")),IF(O1641&lt;='Tree rules'!$C$8,IF(M1641&lt;='Tree rules'!$C$9,"Steel plate or jacket","Polymer laminate"),IF(L1641&lt;='Tree rules'!$C$10,"Steel plate or jacket","Polymer laminate")))</f>
        <v>Monitor</v>
      </c>
      <c r="T1641" s="5" t="str">
        <f aca="false">IF(S1641=R1641,"Yes","No")</f>
        <v>Yes</v>
      </c>
    </row>
    <row r="1642" customFormat="false" ht="15" hidden="false" customHeight="false" outlineLevel="0" collapsed="false">
      <c r="A1642" s="15" t="n">
        <v>2331</v>
      </c>
      <c r="B1642" s="16" t="n">
        <v>6.54533030640022</v>
      </c>
      <c r="C1642" s="15" t="n">
        <v>230</v>
      </c>
      <c r="D1642" s="15" t="n">
        <v>600</v>
      </c>
      <c r="E1642" s="15" t="n">
        <v>30</v>
      </c>
      <c r="F1642" s="16" t="n">
        <v>0.742342309449384</v>
      </c>
      <c r="G1642" s="17" t="s">
        <v>91</v>
      </c>
      <c r="H1642" s="18" t="n">
        <v>0.2</v>
      </c>
      <c r="I1642" s="18" t="n">
        <v>1</v>
      </c>
      <c r="J1642" s="19" t="n">
        <v>0.896337528560988</v>
      </c>
      <c r="K1642" s="19" t="n">
        <v>0.569622433899182</v>
      </c>
      <c r="L1642" s="16" t="n">
        <v>11.8574824391308</v>
      </c>
      <c r="M1642" s="19" t="n">
        <v>0.94573383878018</v>
      </c>
      <c r="N1642" s="19" t="n">
        <v>0.865785965420199</v>
      </c>
      <c r="O1642" s="19" t="n">
        <v>0.896337528560988</v>
      </c>
      <c r="P1642" s="19" t="n">
        <v>0.388067518346748</v>
      </c>
      <c r="Q1642" s="17" t="s">
        <v>29</v>
      </c>
      <c r="R1642" s="5" t="str">
        <f aca="false">IF(OR(Q1642="Steel plate",Q1642="Concrete jacket"),"Steel plate or jacket",Q1642)</f>
        <v>Monitor</v>
      </c>
      <c r="S1642" s="5" t="str">
        <f aca="false">IF(O1642&lt;='Tree rules'!$C$4,IF(N1642&lt;='Tree rules'!$C$5,IF(P1642&lt;='Tree rules'!$C$6,"Monitor","Polymer laminate"),IF(P1642&lt;='Tree rules'!$C$7,"Seal cracks","Polymer laminate")),IF(O1642&lt;='Tree rules'!$C$8,IF(M1642&lt;='Tree rules'!$C$9,"Steel plate or jacket","Polymer laminate"),IF(L1642&lt;='Tree rules'!$C$10,"Steel plate or jacket","Polymer laminate")))</f>
        <v>Monitor</v>
      </c>
      <c r="T1642" s="5" t="str">
        <f aca="false">IF(S1642=R1642,"Yes","No")</f>
        <v>Yes</v>
      </c>
    </row>
    <row r="1643" customFormat="false" ht="15" hidden="false" customHeight="false" outlineLevel="0" collapsed="false">
      <c r="A1643" s="15" t="n">
        <v>2332</v>
      </c>
      <c r="B1643" s="16" t="n">
        <v>6.5534884260646</v>
      </c>
      <c r="C1643" s="15" t="n">
        <v>230</v>
      </c>
      <c r="D1643" s="15" t="n">
        <v>600</v>
      </c>
      <c r="E1643" s="15" t="n">
        <v>30</v>
      </c>
      <c r="F1643" s="16" t="n">
        <v>0.63117855856144</v>
      </c>
      <c r="G1643" s="17" t="s">
        <v>89</v>
      </c>
      <c r="H1643" s="18" t="n">
        <v>0.3</v>
      </c>
      <c r="I1643" s="18" t="n">
        <v>1.5</v>
      </c>
      <c r="J1643" s="19" t="n">
        <v>0.90672832813364</v>
      </c>
      <c r="K1643" s="19" t="n">
        <v>0.588649615020118</v>
      </c>
      <c r="L1643" s="16" t="n">
        <v>11.8294014910913</v>
      </c>
      <c r="M1643" s="19" t="n">
        <v>0.698110886099948</v>
      </c>
      <c r="N1643" s="19" t="n">
        <v>0.685347719379554</v>
      </c>
      <c r="O1643" s="19" t="n">
        <v>1.09321985155861</v>
      </c>
      <c r="P1643" s="19" t="n">
        <v>0.502032756864262</v>
      </c>
      <c r="Q1643" s="17" t="s">
        <v>31</v>
      </c>
      <c r="R1643" s="5" t="str">
        <f aca="false">IF(OR(Q1643="Steel plate",Q1643="Concrete jacket"),"Steel plate or jacket",Q1643)</f>
        <v>Polymer laminate</v>
      </c>
      <c r="S1643" s="5" t="str">
        <f aca="false">IF(O1643&lt;='Tree rules'!$C$4,IF(N1643&lt;='Tree rules'!$C$5,IF(P1643&lt;='Tree rules'!$C$6,"Monitor","Polymer laminate"),IF(P1643&lt;='Tree rules'!$C$7,"Seal cracks","Polymer laminate")),IF(O1643&lt;='Tree rules'!$C$8,IF(M1643&lt;='Tree rules'!$C$9,"Steel plate or jacket","Polymer laminate"),IF(L1643&lt;='Tree rules'!$C$10,"Steel plate or jacket","Polymer laminate")))</f>
        <v>Polymer laminate</v>
      </c>
      <c r="T1643" s="5" t="str">
        <f aca="false">IF(S1643=R1643,"Yes","No")</f>
        <v>Yes</v>
      </c>
    </row>
    <row r="1644" customFormat="false" ht="15" hidden="false" customHeight="false" outlineLevel="0" collapsed="false">
      <c r="A1644" s="15" t="n">
        <v>2333</v>
      </c>
      <c r="B1644" s="16" t="n">
        <v>4.42553924195564</v>
      </c>
      <c r="C1644" s="15" t="n">
        <v>300</v>
      </c>
      <c r="D1644" s="15" t="n">
        <v>425</v>
      </c>
      <c r="E1644" s="15" t="n">
        <v>30</v>
      </c>
      <c r="F1644" s="16" t="n">
        <v>1.1110849349566</v>
      </c>
      <c r="G1644" s="17" t="s">
        <v>89</v>
      </c>
      <c r="H1644" s="18" t="n">
        <v>0.3</v>
      </c>
      <c r="I1644" s="18" t="n">
        <v>2</v>
      </c>
      <c r="J1644" s="19" t="n">
        <v>0.873499815559427</v>
      </c>
      <c r="K1644" s="19" t="n">
        <v>0.443610647548991</v>
      </c>
      <c r="L1644" s="16" t="n">
        <v>11.7388308805189</v>
      </c>
      <c r="M1644" s="19" t="n">
        <v>0.420340402198279</v>
      </c>
      <c r="N1644" s="19" t="n">
        <v>1.00323724023999</v>
      </c>
      <c r="O1644" s="19" t="n">
        <v>1.35950581230461</v>
      </c>
      <c r="P1644" s="19" t="n">
        <v>1.13196922908041</v>
      </c>
      <c r="Q1644" s="17" t="s">
        <v>92</v>
      </c>
      <c r="R1644" s="5" t="str">
        <f aca="false">IF(OR(Q1644="Steel plate",Q1644="Concrete jacket"),"Steel plate or jacket",Q1644)</f>
        <v>Steel plate or jacket</v>
      </c>
      <c r="S1644" s="5" t="str">
        <f aca="false">IF(O1644&lt;='Tree rules'!$C$4,IF(N1644&lt;='Tree rules'!$C$5,IF(P1644&lt;='Tree rules'!$C$6,"Monitor","Polymer laminate"),IF(P1644&lt;='Tree rules'!$C$7,"Seal cracks","Polymer laminate")),IF(O1644&lt;='Tree rules'!$C$8,IF(M1644&lt;='Tree rules'!$C$9,"Steel plate or jacket","Polymer laminate"),IF(L1644&lt;='Tree rules'!$C$10,"Steel plate or jacket","Polymer laminate")))</f>
        <v>Steel plate or jacket</v>
      </c>
      <c r="T1644" s="5" t="str">
        <f aca="false">IF(S1644=R1644,"Yes","No")</f>
        <v>Yes</v>
      </c>
    </row>
    <row r="1645" customFormat="false" ht="15" hidden="false" customHeight="false" outlineLevel="0" collapsed="false">
      <c r="A1645" s="15" t="n">
        <v>2336</v>
      </c>
      <c r="B1645" s="16" t="n">
        <v>4.42775447454859</v>
      </c>
      <c r="C1645" s="15" t="n">
        <v>300</v>
      </c>
      <c r="D1645" s="15" t="n">
        <v>375</v>
      </c>
      <c r="E1645" s="15" t="n">
        <v>20</v>
      </c>
      <c r="F1645" s="16" t="n">
        <v>0.569472988566126</v>
      </c>
      <c r="G1645" s="17" t="s">
        <v>89</v>
      </c>
      <c r="H1645" s="18" t="n">
        <v>0.3</v>
      </c>
      <c r="I1645" s="18" t="n">
        <v>1.5</v>
      </c>
      <c r="J1645" s="19" t="n">
        <v>0.850414180666905</v>
      </c>
      <c r="K1645" s="19" t="n">
        <v>0.56809988595651</v>
      </c>
      <c r="L1645" s="16" t="n">
        <v>13.3769017357964</v>
      </c>
      <c r="M1645" s="19" t="n">
        <v>0.550664925888675</v>
      </c>
      <c r="N1645" s="19" t="n">
        <v>0.689990154873611</v>
      </c>
      <c r="O1645" s="19" t="n">
        <v>1.03406117147402</v>
      </c>
      <c r="P1645" s="19" t="n">
        <v>0.610086349910667</v>
      </c>
      <c r="Q1645" s="17" t="s">
        <v>31</v>
      </c>
      <c r="R1645" s="5" t="str">
        <f aca="false">IF(OR(Q1645="Steel plate",Q1645="Concrete jacket"),"Steel plate or jacket",Q1645)</f>
        <v>Polymer laminate</v>
      </c>
      <c r="S1645" s="5" t="str">
        <f aca="false">IF(O1645&lt;='Tree rules'!$C$4,IF(N1645&lt;='Tree rules'!$C$5,IF(P1645&lt;='Tree rules'!$C$6,"Monitor","Polymer laminate"),IF(P1645&lt;='Tree rules'!$C$7,"Seal cracks","Polymer laminate")),IF(O1645&lt;='Tree rules'!$C$8,IF(M1645&lt;='Tree rules'!$C$9,"Steel plate or jacket","Polymer laminate"),IF(L1645&lt;='Tree rules'!$C$10,"Steel plate or jacket","Polymer laminate")))</f>
        <v>Polymer laminate</v>
      </c>
      <c r="T1645" s="5" t="str">
        <f aca="false">IF(S1645=R1645,"Yes","No")</f>
        <v>Yes</v>
      </c>
    </row>
    <row r="1646" customFormat="false" ht="15" hidden="false" customHeight="false" outlineLevel="0" collapsed="false">
      <c r="A1646" s="15" t="n">
        <v>2337</v>
      </c>
      <c r="B1646" s="16" t="n">
        <v>4.68636544925654</v>
      </c>
      <c r="C1646" s="15" t="n">
        <v>300</v>
      </c>
      <c r="D1646" s="15" t="n">
        <v>425</v>
      </c>
      <c r="E1646" s="15" t="n">
        <v>30</v>
      </c>
      <c r="F1646" s="16" t="n">
        <v>0.555542467478301</v>
      </c>
      <c r="G1646" s="17" t="s">
        <v>89</v>
      </c>
      <c r="H1646" s="18" t="n">
        <v>0.3</v>
      </c>
      <c r="I1646" s="18" t="n">
        <v>2</v>
      </c>
      <c r="J1646" s="19" t="n">
        <v>0.863196834600661</v>
      </c>
      <c r="K1646" s="19" t="n">
        <v>0.46780048279248</v>
      </c>
      <c r="L1646" s="16" t="n">
        <v>12.4306775842348</v>
      </c>
      <c r="M1646" s="19" t="n">
        <v>0.251222827611707</v>
      </c>
      <c r="N1646" s="19" t="n">
        <v>1.64345094120221</v>
      </c>
      <c r="O1646" s="19" t="n">
        <v>1.32258977323019</v>
      </c>
      <c r="P1646" s="19" t="n">
        <v>1.1121522967763</v>
      </c>
      <c r="Q1646" s="17" t="s">
        <v>31</v>
      </c>
      <c r="R1646" s="5" t="str">
        <f aca="false">IF(OR(Q1646="Steel plate",Q1646="Concrete jacket"),"Steel plate or jacket",Q1646)</f>
        <v>Polymer laminate</v>
      </c>
      <c r="S1646" s="5" t="str">
        <f aca="false">IF(O1646&lt;='Tree rules'!$C$4,IF(N1646&lt;='Tree rules'!$C$5,IF(P1646&lt;='Tree rules'!$C$6,"Monitor","Polymer laminate"),IF(P1646&lt;='Tree rules'!$C$7,"Seal cracks","Polymer laminate")),IF(O1646&lt;='Tree rules'!$C$8,IF(M1646&lt;='Tree rules'!$C$9,"Steel plate or jacket","Polymer laminate"),IF(L1646&lt;='Tree rules'!$C$10,"Steel plate or jacket","Polymer laminate")))</f>
        <v>Steel plate or jacket</v>
      </c>
      <c r="T1646" s="5" t="str">
        <f aca="false">IF(S1646=R1646,"Yes","No")</f>
        <v>No</v>
      </c>
    </row>
    <row r="1647" customFormat="false" ht="15" hidden="false" customHeight="false" outlineLevel="0" collapsed="false">
      <c r="A1647" s="15" t="n">
        <v>2338</v>
      </c>
      <c r="B1647" s="16" t="n">
        <v>6.65343363253586</v>
      </c>
      <c r="C1647" s="15" t="n">
        <v>230</v>
      </c>
      <c r="D1647" s="15" t="n">
        <v>550</v>
      </c>
      <c r="E1647" s="15" t="n">
        <v>20</v>
      </c>
      <c r="F1647" s="16" t="n">
        <v>0.520346609290235</v>
      </c>
      <c r="G1647" s="17" t="s">
        <v>91</v>
      </c>
      <c r="H1647" s="18" t="n">
        <v>0.2</v>
      </c>
      <c r="I1647" s="18" t="n">
        <v>1.5</v>
      </c>
      <c r="J1647" s="19" t="n">
        <v>0.967641549559902</v>
      </c>
      <c r="K1647" s="19" t="n">
        <v>0.612347178898503</v>
      </c>
      <c r="L1647" s="16" t="n">
        <v>13.2012572074124</v>
      </c>
      <c r="M1647" s="19" t="n">
        <v>0.927443739407552</v>
      </c>
      <c r="N1647" s="19" t="n">
        <v>1.11263226819148</v>
      </c>
      <c r="O1647" s="19" t="n">
        <v>1.15519603781086</v>
      </c>
      <c r="P1647" s="19" t="n">
        <v>0.444519020153826</v>
      </c>
      <c r="Q1647" s="17" t="s">
        <v>31</v>
      </c>
      <c r="R1647" s="5" t="str">
        <f aca="false">IF(OR(Q1647="Steel plate",Q1647="Concrete jacket"),"Steel plate or jacket",Q1647)</f>
        <v>Polymer laminate</v>
      </c>
      <c r="S1647" s="5" t="str">
        <f aca="false">IF(O1647&lt;='Tree rules'!$C$4,IF(N1647&lt;='Tree rules'!$C$5,IF(P1647&lt;='Tree rules'!$C$6,"Monitor","Polymer laminate"),IF(P1647&lt;='Tree rules'!$C$7,"Seal cracks","Polymer laminate")),IF(O1647&lt;='Tree rules'!$C$8,IF(M1647&lt;='Tree rules'!$C$9,"Steel plate or jacket","Polymer laminate"),IF(L1647&lt;='Tree rules'!$C$10,"Steel plate or jacket","Polymer laminate")))</f>
        <v>Polymer laminate</v>
      </c>
      <c r="T1647" s="5" t="str">
        <f aca="false">IF(S1647=R1647,"Yes","No")</f>
        <v>Yes</v>
      </c>
    </row>
    <row r="1648" customFormat="false" ht="15" hidden="false" customHeight="false" outlineLevel="0" collapsed="false">
      <c r="A1648" s="15" t="n">
        <v>2339</v>
      </c>
      <c r="B1648" s="16" t="n">
        <v>5.31275507271691</v>
      </c>
      <c r="C1648" s="15" t="n">
        <v>300</v>
      </c>
      <c r="D1648" s="15" t="n">
        <v>500</v>
      </c>
      <c r="E1648" s="15" t="n">
        <v>20</v>
      </c>
      <c r="F1648" s="16" t="n">
        <v>0.71889992072993</v>
      </c>
      <c r="G1648" s="17" t="s">
        <v>90</v>
      </c>
      <c r="H1648" s="18" t="n">
        <v>0.1</v>
      </c>
      <c r="I1648" s="18" t="n">
        <v>2</v>
      </c>
      <c r="J1648" s="19" t="n">
        <v>0.95049506948436</v>
      </c>
      <c r="K1648" s="19" t="n">
        <v>0.564514351606681</v>
      </c>
      <c r="L1648" s="16" t="n">
        <v>12.1573342625101</v>
      </c>
      <c r="M1648" s="19" t="n">
        <v>0.400531715734994</v>
      </c>
      <c r="N1648" s="19" t="n">
        <v>4.1281012566646</v>
      </c>
      <c r="O1648" s="19" t="n">
        <v>1.36442203111341</v>
      </c>
      <c r="P1648" s="19" t="n">
        <v>1.07209067074325</v>
      </c>
      <c r="Q1648" s="17" t="s">
        <v>31</v>
      </c>
      <c r="R1648" s="5" t="str">
        <f aca="false">IF(OR(Q1648="Steel plate",Q1648="Concrete jacket"),"Steel plate or jacket",Q1648)</f>
        <v>Polymer laminate</v>
      </c>
      <c r="S1648" s="5" t="str">
        <f aca="false">IF(O1648&lt;='Tree rules'!$C$4,IF(N1648&lt;='Tree rules'!$C$5,IF(P1648&lt;='Tree rules'!$C$6,"Monitor","Polymer laminate"),IF(P1648&lt;='Tree rules'!$C$7,"Seal cracks","Polymer laminate")),IF(O1648&lt;='Tree rules'!$C$8,IF(M1648&lt;='Tree rules'!$C$9,"Steel plate or jacket","Polymer laminate"),IF(L1648&lt;='Tree rules'!$C$10,"Steel plate or jacket","Polymer laminate")))</f>
        <v>Steel plate or jacket</v>
      </c>
      <c r="T1648" s="5" t="str">
        <f aca="false">IF(S1648=R1648,"Yes","No")</f>
        <v>No</v>
      </c>
    </row>
    <row r="1649" customFormat="false" ht="15" hidden="false" customHeight="false" outlineLevel="0" collapsed="false">
      <c r="A1649" s="15" t="n">
        <v>2340</v>
      </c>
      <c r="B1649" s="16" t="n">
        <v>4.09574510859045</v>
      </c>
      <c r="C1649" s="15" t="n">
        <v>300</v>
      </c>
      <c r="D1649" s="15" t="n">
        <v>325</v>
      </c>
      <c r="E1649" s="15" t="n">
        <v>30</v>
      </c>
      <c r="F1649" s="16" t="n">
        <v>0.72065207824282</v>
      </c>
      <c r="G1649" s="17" t="s">
        <v>89</v>
      </c>
      <c r="H1649" s="18" t="n">
        <v>0.3</v>
      </c>
      <c r="I1649" s="18" t="n">
        <v>1.5</v>
      </c>
      <c r="J1649" s="19" t="n">
        <v>0.859887517627455</v>
      </c>
      <c r="K1649" s="19" t="n">
        <v>0.506604876930654</v>
      </c>
      <c r="L1649" s="16" t="n">
        <v>14.6800899949478</v>
      </c>
      <c r="M1649" s="19" t="n">
        <v>0.938312038968061</v>
      </c>
      <c r="N1649" s="19" t="n">
        <v>0.841539222736778</v>
      </c>
      <c r="O1649" s="19" t="n">
        <v>1.07201967142025</v>
      </c>
      <c r="P1649" s="19" t="n">
        <v>0.399037438987148</v>
      </c>
      <c r="Q1649" s="17" t="s">
        <v>31</v>
      </c>
      <c r="R1649" s="5" t="str">
        <f aca="false">IF(OR(Q1649="Steel plate",Q1649="Concrete jacket"),"Steel plate or jacket",Q1649)</f>
        <v>Polymer laminate</v>
      </c>
      <c r="S1649" s="5" t="str">
        <f aca="false">IF(O1649&lt;='Tree rules'!$C$4,IF(N1649&lt;='Tree rules'!$C$5,IF(P1649&lt;='Tree rules'!$C$6,"Monitor","Polymer laminate"),IF(P1649&lt;='Tree rules'!$C$7,"Seal cracks","Polymer laminate")),IF(O1649&lt;='Tree rules'!$C$8,IF(M1649&lt;='Tree rules'!$C$9,"Steel plate or jacket","Polymer laminate"),IF(L1649&lt;='Tree rules'!$C$10,"Steel plate or jacket","Polymer laminate")))</f>
        <v>Polymer laminate</v>
      </c>
      <c r="T1649" s="5" t="str">
        <f aca="false">IF(S1649=R1649,"Yes","No")</f>
        <v>Yes</v>
      </c>
    </row>
    <row r="1650" customFormat="false" ht="15" hidden="false" customHeight="false" outlineLevel="0" collapsed="false">
      <c r="A1650" s="15" t="n">
        <v>2341</v>
      </c>
      <c r="B1650" s="16" t="n">
        <v>5.77923617570975</v>
      </c>
      <c r="C1650" s="15" t="n">
        <v>300</v>
      </c>
      <c r="D1650" s="15" t="n">
        <v>450</v>
      </c>
      <c r="E1650" s="15" t="n">
        <v>30</v>
      </c>
      <c r="F1650" s="16" t="n">
        <v>0.689158285620383</v>
      </c>
      <c r="G1650" s="17" t="s">
        <v>90</v>
      </c>
      <c r="H1650" s="18" t="n">
        <v>0.1</v>
      </c>
      <c r="I1650" s="18" t="n">
        <v>2</v>
      </c>
      <c r="J1650" s="19" t="n">
        <v>0.857967688825798</v>
      </c>
      <c r="K1650" s="19" t="n">
        <v>0.64268110986954</v>
      </c>
      <c r="L1650" s="16" t="n">
        <v>14.8566482666061</v>
      </c>
      <c r="M1650" s="19" t="n">
        <v>0.868264497779683</v>
      </c>
      <c r="N1650" s="19" t="n">
        <v>3.08785572606299</v>
      </c>
      <c r="O1650" s="19" t="n">
        <v>1.16453575116483</v>
      </c>
      <c r="P1650" s="19" t="n">
        <v>0.488269972945182</v>
      </c>
      <c r="Q1650" s="17" t="s">
        <v>31</v>
      </c>
      <c r="R1650" s="5" t="str">
        <f aca="false">IF(OR(Q1650="Steel plate",Q1650="Concrete jacket"),"Steel plate or jacket",Q1650)</f>
        <v>Polymer laminate</v>
      </c>
      <c r="S1650" s="5" t="str">
        <f aca="false">IF(O1650&lt;='Tree rules'!$C$4,IF(N1650&lt;='Tree rules'!$C$5,IF(P1650&lt;='Tree rules'!$C$6,"Monitor","Polymer laminate"),IF(P1650&lt;='Tree rules'!$C$7,"Seal cracks","Polymer laminate")),IF(O1650&lt;='Tree rules'!$C$8,IF(M1650&lt;='Tree rules'!$C$9,"Steel plate or jacket","Polymer laminate"),IF(L1650&lt;='Tree rules'!$C$10,"Steel plate or jacket","Polymer laminate")))</f>
        <v>Polymer laminate</v>
      </c>
      <c r="T1650" s="5" t="str">
        <f aca="false">IF(S1650=R1650,"Yes","No")</f>
        <v>Yes</v>
      </c>
    </row>
    <row r="1651" customFormat="false" ht="15" hidden="false" customHeight="false" outlineLevel="0" collapsed="false">
      <c r="A1651" s="15" t="n">
        <v>2343</v>
      </c>
      <c r="B1651" s="16" t="n">
        <v>3.93308974232085</v>
      </c>
      <c r="C1651" s="15" t="n">
        <v>300</v>
      </c>
      <c r="D1651" s="15" t="n">
        <v>325</v>
      </c>
      <c r="E1651" s="15" t="n">
        <v>30</v>
      </c>
      <c r="F1651" s="16" t="n">
        <v>0.67080270183412</v>
      </c>
      <c r="G1651" s="17" t="s">
        <v>91</v>
      </c>
      <c r="H1651" s="18" t="n">
        <v>0.2</v>
      </c>
      <c r="I1651" s="18" t="n">
        <v>2</v>
      </c>
      <c r="J1651" s="19" t="n">
        <v>0.926652209351309</v>
      </c>
      <c r="K1651" s="19" t="n">
        <v>0.637792061084912</v>
      </c>
      <c r="L1651" s="16" t="n">
        <v>13.9967606488286</v>
      </c>
      <c r="M1651" s="19" t="n">
        <v>0.229367689678018</v>
      </c>
      <c r="N1651" s="19" t="n">
        <v>1.40507200927761</v>
      </c>
      <c r="O1651" s="19" t="n">
        <v>1.26229299619156</v>
      </c>
      <c r="P1651" s="19" t="n">
        <v>1.66150176356353</v>
      </c>
      <c r="Q1651" s="17" t="s">
        <v>92</v>
      </c>
      <c r="R1651" s="5" t="str">
        <f aca="false">IF(OR(Q1651="Steel plate",Q1651="Concrete jacket"),"Steel plate or jacket",Q1651)</f>
        <v>Steel plate or jacket</v>
      </c>
      <c r="S1651" s="5" t="str">
        <f aca="false">IF(O1651&lt;='Tree rules'!$C$4,IF(N1651&lt;='Tree rules'!$C$5,IF(P1651&lt;='Tree rules'!$C$6,"Monitor","Polymer laminate"),IF(P1651&lt;='Tree rules'!$C$7,"Seal cracks","Polymer laminate")),IF(O1651&lt;='Tree rules'!$C$8,IF(M1651&lt;='Tree rules'!$C$9,"Steel plate or jacket","Polymer laminate"),IF(L1651&lt;='Tree rules'!$C$10,"Steel plate or jacket","Polymer laminate")))</f>
        <v>Steel plate or jacket</v>
      </c>
      <c r="T1651" s="5" t="str">
        <f aca="false">IF(S1651=R1651,"Yes","No")</f>
        <v>Yes</v>
      </c>
    </row>
    <row r="1652" customFormat="false" ht="15" hidden="false" customHeight="false" outlineLevel="0" collapsed="false">
      <c r="A1652" s="15" t="n">
        <v>2344</v>
      </c>
      <c r="B1652" s="16" t="n">
        <v>3.29430133827963</v>
      </c>
      <c r="C1652" s="15" t="n">
        <v>300</v>
      </c>
      <c r="D1652" s="15" t="n">
        <v>300</v>
      </c>
      <c r="E1652" s="15" t="n">
        <v>25</v>
      </c>
      <c r="F1652" s="16" t="n">
        <v>0.791582400904515</v>
      </c>
      <c r="G1652" s="17" t="s">
        <v>89</v>
      </c>
      <c r="H1652" s="18" t="n">
        <v>0.3</v>
      </c>
      <c r="I1652" s="18" t="n">
        <v>1</v>
      </c>
      <c r="J1652" s="19" t="n">
        <v>0.917992563559508</v>
      </c>
      <c r="K1652" s="19" t="n">
        <v>0.62636293587954</v>
      </c>
      <c r="L1652" s="16" t="n">
        <v>12.9696903081875</v>
      </c>
      <c r="M1652" s="19" t="n">
        <v>0.61227700827577</v>
      </c>
      <c r="N1652" s="19" t="n">
        <v>0.757335914862329</v>
      </c>
      <c r="O1652" s="19" t="n">
        <v>0.917992563559508</v>
      </c>
      <c r="P1652" s="19" t="n">
        <v>0.588669059159697</v>
      </c>
      <c r="Q1652" s="17" t="s">
        <v>29</v>
      </c>
      <c r="R1652" s="5" t="str">
        <f aca="false">IF(OR(Q1652="Steel plate",Q1652="Concrete jacket"),"Steel plate or jacket",Q1652)</f>
        <v>Monitor</v>
      </c>
      <c r="S1652" s="5" t="str">
        <f aca="false">IF(O1652&lt;='Tree rules'!$C$4,IF(N1652&lt;='Tree rules'!$C$5,IF(P1652&lt;='Tree rules'!$C$6,"Monitor","Polymer laminate"),IF(P1652&lt;='Tree rules'!$C$7,"Seal cracks","Polymer laminate")),IF(O1652&lt;='Tree rules'!$C$8,IF(M1652&lt;='Tree rules'!$C$9,"Steel plate or jacket","Polymer laminate"),IF(L1652&lt;='Tree rules'!$C$10,"Steel plate or jacket","Polymer laminate")))</f>
        <v>Monitor</v>
      </c>
      <c r="T1652" s="5" t="str">
        <f aca="false">IF(S1652=R1652,"Yes","No")</f>
        <v>Yes</v>
      </c>
    </row>
    <row r="1653" customFormat="false" ht="15" hidden="false" customHeight="false" outlineLevel="0" collapsed="false">
      <c r="A1653" s="15" t="n">
        <v>2345</v>
      </c>
      <c r="B1653" s="16" t="n">
        <v>3.49147148814925</v>
      </c>
      <c r="C1653" s="15" t="n">
        <v>300</v>
      </c>
      <c r="D1653" s="15" t="n">
        <v>350</v>
      </c>
      <c r="E1653" s="15" t="n">
        <v>25</v>
      </c>
      <c r="F1653" s="16" t="n">
        <v>0.881850569428714</v>
      </c>
      <c r="G1653" s="17" t="s">
        <v>91</v>
      </c>
      <c r="H1653" s="18" t="n">
        <v>0.2</v>
      </c>
      <c r="I1653" s="18" t="n">
        <v>2</v>
      </c>
      <c r="J1653" s="19" t="n">
        <v>0.917292055286565</v>
      </c>
      <c r="K1653" s="19" t="n">
        <v>0.520462314793705</v>
      </c>
      <c r="L1653" s="16" t="n">
        <v>11.4851035794383</v>
      </c>
      <c r="M1653" s="19" t="n">
        <v>0.742485013317199</v>
      </c>
      <c r="N1653" s="19" t="n">
        <v>1.47545967907098</v>
      </c>
      <c r="O1653" s="19" t="n">
        <v>1.35716816413681</v>
      </c>
      <c r="P1653" s="19" t="n">
        <v>0.58482444132066</v>
      </c>
      <c r="Q1653" s="17" t="s">
        <v>31</v>
      </c>
      <c r="R1653" s="5" t="str">
        <f aca="false">IF(OR(Q1653="Steel plate",Q1653="Concrete jacket"),"Steel plate or jacket",Q1653)</f>
        <v>Polymer laminate</v>
      </c>
      <c r="S1653" s="5" t="str">
        <f aca="false">IF(O1653&lt;='Tree rules'!$C$4,IF(N1653&lt;='Tree rules'!$C$5,IF(P1653&lt;='Tree rules'!$C$6,"Monitor","Polymer laminate"),IF(P1653&lt;='Tree rules'!$C$7,"Seal cracks","Polymer laminate")),IF(O1653&lt;='Tree rules'!$C$8,IF(M1653&lt;='Tree rules'!$C$9,"Steel plate or jacket","Polymer laminate"),IF(L1653&lt;='Tree rules'!$C$10,"Steel plate or jacket","Polymer laminate")))</f>
        <v>Steel plate or jacket</v>
      </c>
      <c r="T1653" s="5" t="str">
        <f aca="false">IF(S1653=R1653,"Yes","No")</f>
        <v>No</v>
      </c>
    </row>
    <row r="1654" customFormat="false" ht="15" hidden="false" customHeight="false" outlineLevel="0" collapsed="false">
      <c r="A1654" s="15" t="n">
        <v>2346</v>
      </c>
      <c r="B1654" s="16" t="n">
        <v>3.92339437121674</v>
      </c>
      <c r="C1654" s="15" t="n">
        <v>300</v>
      </c>
      <c r="D1654" s="15" t="n">
        <v>325</v>
      </c>
      <c r="E1654" s="15" t="n">
        <v>20</v>
      </c>
      <c r="F1654" s="16" t="n">
        <v>0.756099314943392</v>
      </c>
      <c r="G1654" s="17" t="s">
        <v>89</v>
      </c>
      <c r="H1654" s="18" t="n">
        <v>0.3</v>
      </c>
      <c r="I1654" s="18" t="n">
        <v>1.5</v>
      </c>
      <c r="J1654" s="19" t="n">
        <v>0.86152757449471</v>
      </c>
      <c r="K1654" s="19" t="n">
        <v>0.575873470586282</v>
      </c>
      <c r="L1654" s="16" t="n">
        <v>14.1638785964503</v>
      </c>
      <c r="M1654" s="19" t="n">
        <v>0.801227071876973</v>
      </c>
      <c r="N1654" s="19" t="n">
        <v>1.07735275419397</v>
      </c>
      <c r="O1654" s="19" t="n">
        <v>1.04422592457704</v>
      </c>
      <c r="P1654" s="19" t="n">
        <v>0.532414312011395</v>
      </c>
      <c r="Q1654" s="17" t="s">
        <v>31</v>
      </c>
      <c r="R1654" s="5" t="str">
        <f aca="false">IF(OR(Q1654="Steel plate",Q1654="Concrete jacket"),"Steel plate or jacket",Q1654)</f>
        <v>Polymer laminate</v>
      </c>
      <c r="S1654" s="5" t="str">
        <f aca="false">IF(O1654&lt;='Tree rules'!$C$4,IF(N1654&lt;='Tree rules'!$C$5,IF(P1654&lt;='Tree rules'!$C$6,"Monitor","Polymer laminate"),IF(P1654&lt;='Tree rules'!$C$7,"Seal cracks","Polymer laminate")),IF(O1654&lt;='Tree rules'!$C$8,IF(M1654&lt;='Tree rules'!$C$9,"Steel plate or jacket","Polymer laminate"),IF(L1654&lt;='Tree rules'!$C$10,"Steel plate or jacket","Polymer laminate")))</f>
        <v>Polymer laminate</v>
      </c>
      <c r="T1654" s="5" t="str">
        <f aca="false">IF(S1654=R1654,"Yes","No")</f>
        <v>Yes</v>
      </c>
    </row>
    <row r="1655" customFormat="false" ht="15" hidden="false" customHeight="false" outlineLevel="0" collapsed="false">
      <c r="A1655" s="15" t="n">
        <v>2350</v>
      </c>
      <c r="B1655" s="16" t="n">
        <v>3.240105567419</v>
      </c>
      <c r="C1655" s="15" t="n">
        <v>300</v>
      </c>
      <c r="D1655" s="15" t="n">
        <v>300</v>
      </c>
      <c r="E1655" s="15" t="n">
        <v>30</v>
      </c>
      <c r="F1655" s="16" t="n">
        <v>0.52772160060301</v>
      </c>
      <c r="G1655" s="17" t="s">
        <v>89</v>
      </c>
      <c r="H1655" s="18" t="n">
        <v>0.3</v>
      </c>
      <c r="I1655" s="18" t="n">
        <v>1</v>
      </c>
      <c r="J1655" s="19" t="n">
        <v>0.873101580748878</v>
      </c>
      <c r="K1655" s="19" t="n">
        <v>0.617752546731764</v>
      </c>
      <c r="L1655" s="16" t="n">
        <v>12.7563211315709</v>
      </c>
      <c r="M1655" s="19" t="n">
        <v>0.357307609448459</v>
      </c>
      <c r="N1655" s="19" t="n">
        <v>0.995190638127135</v>
      </c>
      <c r="O1655" s="19" t="n">
        <v>0.873101580748878</v>
      </c>
      <c r="P1655" s="19" t="n">
        <v>0.598959742940522</v>
      </c>
      <c r="Q1655" s="17" t="s">
        <v>29</v>
      </c>
      <c r="R1655" s="5" t="str">
        <f aca="false">IF(OR(Q1655="Steel plate",Q1655="Concrete jacket"),"Steel plate or jacket",Q1655)</f>
        <v>Monitor</v>
      </c>
      <c r="S1655" s="5" t="str">
        <f aca="false">IF(O1655&lt;='Tree rules'!$C$4,IF(N1655&lt;='Tree rules'!$C$5,IF(P1655&lt;='Tree rules'!$C$6,"Monitor","Polymer laminate"),IF(P1655&lt;='Tree rules'!$C$7,"Seal cracks","Polymer laminate")),IF(O1655&lt;='Tree rules'!$C$8,IF(M1655&lt;='Tree rules'!$C$9,"Steel plate or jacket","Polymer laminate"),IF(L1655&lt;='Tree rules'!$C$10,"Steel plate or jacket","Polymer laminate")))</f>
        <v>Monitor</v>
      </c>
      <c r="T1655" s="5" t="str">
        <f aca="false">IF(S1655=R1655,"Yes","No")</f>
        <v>Yes</v>
      </c>
    </row>
    <row r="1656" customFormat="false" ht="15" hidden="false" customHeight="false" outlineLevel="0" collapsed="false">
      <c r="A1656" s="15" t="n">
        <v>2351</v>
      </c>
      <c r="B1656" s="16" t="n">
        <v>3.138157224141</v>
      </c>
      <c r="C1656" s="15" t="n">
        <v>300</v>
      </c>
      <c r="D1656" s="15" t="n">
        <v>300</v>
      </c>
      <c r="E1656" s="15" t="n">
        <v>25</v>
      </c>
      <c r="F1656" s="16" t="n">
        <v>0.589048622548086</v>
      </c>
      <c r="G1656" s="17" t="s">
        <v>89</v>
      </c>
      <c r="H1656" s="18" t="n">
        <v>0.3</v>
      </c>
      <c r="I1656" s="18" t="n">
        <v>1</v>
      </c>
      <c r="J1656" s="19" t="n">
        <v>0.908516054300224</v>
      </c>
      <c r="K1656" s="19" t="n">
        <v>0.415025686199819</v>
      </c>
      <c r="L1656" s="16" t="n">
        <v>12.2584266568008</v>
      </c>
      <c r="M1656" s="19" t="n">
        <v>0.708506145726913</v>
      </c>
      <c r="N1656" s="19" t="n">
        <v>0.627879460844848</v>
      </c>
      <c r="O1656" s="19" t="n">
        <v>0.908516054300224</v>
      </c>
      <c r="P1656" s="19" t="n">
        <v>0.323854441861324</v>
      </c>
      <c r="Q1656" s="17" t="s">
        <v>29</v>
      </c>
      <c r="R1656" s="5" t="str">
        <f aca="false">IF(OR(Q1656="Steel plate",Q1656="Concrete jacket"),"Steel plate or jacket",Q1656)</f>
        <v>Monitor</v>
      </c>
      <c r="S1656" s="5" t="str">
        <f aca="false">IF(O1656&lt;='Tree rules'!$C$4,IF(N1656&lt;='Tree rules'!$C$5,IF(P1656&lt;='Tree rules'!$C$6,"Monitor","Polymer laminate"),IF(P1656&lt;='Tree rules'!$C$7,"Seal cracks","Polymer laminate")),IF(O1656&lt;='Tree rules'!$C$8,IF(M1656&lt;='Tree rules'!$C$9,"Steel plate or jacket","Polymer laminate"),IF(L1656&lt;='Tree rules'!$C$10,"Steel plate or jacket","Polymer laminate")))</f>
        <v>Monitor</v>
      </c>
      <c r="T1656" s="5" t="str">
        <f aca="false">IF(S1656=R1656,"Yes","No")</f>
        <v>Yes</v>
      </c>
    </row>
    <row r="1657" customFormat="false" ht="15" hidden="false" customHeight="false" outlineLevel="0" collapsed="false">
      <c r="A1657" s="15" t="n">
        <v>2352</v>
      </c>
      <c r="B1657" s="16" t="n">
        <v>6.96177425753361</v>
      </c>
      <c r="C1657" s="15" t="n">
        <v>300</v>
      </c>
      <c r="D1657" s="15" t="n">
        <v>600</v>
      </c>
      <c r="E1657" s="15" t="n">
        <v>20</v>
      </c>
      <c r="F1657" s="16" t="n">
        <v>0.5850265649143</v>
      </c>
      <c r="G1657" s="17" t="s">
        <v>90</v>
      </c>
      <c r="H1657" s="18" t="n">
        <v>0.1</v>
      </c>
      <c r="I1657" s="18" t="n">
        <v>2</v>
      </c>
      <c r="J1657" s="19" t="n">
        <v>0.934484342602585</v>
      </c>
      <c r="K1657" s="19" t="n">
        <v>0.500994394011028</v>
      </c>
      <c r="L1657" s="16" t="n">
        <v>12.9641978725021</v>
      </c>
      <c r="M1657" s="19" t="n">
        <v>0.616578520271407</v>
      </c>
      <c r="N1657" s="19" t="n">
        <v>4.03927541109142</v>
      </c>
      <c r="O1657" s="19" t="n">
        <v>1.40079726827019</v>
      </c>
      <c r="P1657" s="19" t="n">
        <v>0.670808597650521</v>
      </c>
      <c r="Q1657" s="17" t="s">
        <v>92</v>
      </c>
      <c r="R1657" s="5" t="str">
        <f aca="false">IF(OR(Q1657="Steel plate",Q1657="Concrete jacket"),"Steel plate or jacket",Q1657)</f>
        <v>Steel plate or jacket</v>
      </c>
      <c r="S1657" s="5" t="str">
        <f aca="false">IF(O1657&lt;='Tree rules'!$C$4,IF(N1657&lt;='Tree rules'!$C$5,IF(P1657&lt;='Tree rules'!$C$6,"Monitor","Polymer laminate"),IF(P1657&lt;='Tree rules'!$C$7,"Seal cracks","Polymer laminate")),IF(O1657&lt;='Tree rules'!$C$8,IF(M1657&lt;='Tree rules'!$C$9,"Steel plate or jacket","Polymer laminate"),IF(L1657&lt;='Tree rules'!$C$10,"Steel plate or jacket","Polymer laminate")))</f>
        <v>Steel plate or jacket</v>
      </c>
      <c r="T1657" s="5" t="str">
        <f aca="false">IF(S1657=R1657,"Yes","No")</f>
        <v>Yes</v>
      </c>
    </row>
    <row r="1658" customFormat="false" ht="15" hidden="false" customHeight="false" outlineLevel="0" collapsed="false">
      <c r="A1658" s="15" t="n">
        <v>2354</v>
      </c>
      <c r="B1658" s="16" t="n">
        <v>5.06914417902839</v>
      </c>
      <c r="C1658" s="15" t="n">
        <v>230</v>
      </c>
      <c r="D1658" s="15" t="n">
        <v>475</v>
      </c>
      <c r="E1658" s="15" t="n">
        <v>30</v>
      </c>
      <c r="F1658" s="16" t="n">
        <v>0.994594550524418</v>
      </c>
      <c r="G1658" s="17" t="s">
        <v>90</v>
      </c>
      <c r="H1658" s="18" t="n">
        <v>0.1</v>
      </c>
      <c r="I1658" s="18" t="n">
        <v>1.5</v>
      </c>
      <c r="J1658" s="19" t="n">
        <v>0.876676458608448</v>
      </c>
      <c r="K1658" s="19" t="n">
        <v>0.414436753450295</v>
      </c>
      <c r="L1658" s="16" t="n">
        <v>12.3037480073505</v>
      </c>
      <c r="M1658" s="19" t="n">
        <v>0.477710835892773</v>
      </c>
      <c r="N1658" s="19" t="n">
        <v>3.1925607683857</v>
      </c>
      <c r="O1658" s="19" t="n">
        <v>1.13335121524668</v>
      </c>
      <c r="P1658" s="19" t="n">
        <v>0.800816032477814</v>
      </c>
      <c r="Q1658" s="17" t="s">
        <v>31</v>
      </c>
      <c r="R1658" s="5" t="str">
        <f aca="false">IF(OR(Q1658="Steel plate",Q1658="Concrete jacket"),"Steel plate or jacket",Q1658)</f>
        <v>Polymer laminate</v>
      </c>
      <c r="S1658" s="5" t="str">
        <f aca="false">IF(O1658&lt;='Tree rules'!$C$4,IF(N1658&lt;='Tree rules'!$C$5,IF(P1658&lt;='Tree rules'!$C$6,"Monitor","Polymer laminate"),IF(P1658&lt;='Tree rules'!$C$7,"Seal cracks","Polymer laminate")),IF(O1658&lt;='Tree rules'!$C$8,IF(M1658&lt;='Tree rules'!$C$9,"Steel plate or jacket","Polymer laminate"),IF(L1658&lt;='Tree rules'!$C$10,"Steel plate or jacket","Polymer laminate")))</f>
        <v>Polymer laminate</v>
      </c>
      <c r="T1658" s="5" t="str">
        <f aca="false">IF(S1658=R1658,"Yes","No")</f>
        <v>Yes</v>
      </c>
    </row>
    <row r="1659" customFormat="false" ht="15" hidden="false" customHeight="false" outlineLevel="0" collapsed="false">
      <c r="A1659" s="15" t="n">
        <v>2357</v>
      </c>
      <c r="B1659" s="16" t="n">
        <v>7.61432762865689</v>
      </c>
      <c r="C1659" s="15" t="n">
        <v>300</v>
      </c>
      <c r="D1659" s="15" t="n">
        <v>725</v>
      </c>
      <c r="E1659" s="15" t="n">
        <v>30</v>
      </c>
      <c r="F1659" s="16" t="n">
        <v>0.632747765073473</v>
      </c>
      <c r="G1659" s="17" t="s">
        <v>90</v>
      </c>
      <c r="H1659" s="18" t="n">
        <v>0.1</v>
      </c>
      <c r="I1659" s="18" t="n">
        <v>1</v>
      </c>
      <c r="J1659" s="19" t="n">
        <v>0.896733724410135</v>
      </c>
      <c r="K1659" s="19" t="n">
        <v>0.42903350275633</v>
      </c>
      <c r="L1659" s="16" t="n">
        <v>11.5020054813548</v>
      </c>
      <c r="M1659" s="19" t="n">
        <v>0.795680757808508</v>
      </c>
      <c r="N1659" s="19" t="n">
        <v>2.20889817766004</v>
      </c>
      <c r="O1659" s="19" t="n">
        <v>0.896733724410135</v>
      </c>
      <c r="P1659" s="19" t="n">
        <v>0.34167186930591</v>
      </c>
      <c r="Q1659" s="17" t="s">
        <v>30</v>
      </c>
      <c r="R1659" s="5" t="str">
        <f aca="false">IF(OR(Q1659="Steel plate",Q1659="Concrete jacket"),"Steel plate or jacket",Q1659)</f>
        <v>Seal cracks</v>
      </c>
      <c r="S1659" s="5" t="str">
        <f aca="false">IF(O1659&lt;='Tree rules'!$C$4,IF(N1659&lt;='Tree rules'!$C$5,IF(P1659&lt;='Tree rules'!$C$6,"Monitor","Polymer laminate"),IF(P1659&lt;='Tree rules'!$C$7,"Seal cracks","Polymer laminate")),IF(O1659&lt;='Tree rules'!$C$8,IF(M1659&lt;='Tree rules'!$C$9,"Steel plate or jacket","Polymer laminate"),IF(L1659&lt;='Tree rules'!$C$10,"Steel plate or jacket","Polymer laminate")))</f>
        <v>Seal cracks</v>
      </c>
      <c r="T1659" s="5" t="str">
        <f aca="false">IF(S1659=R1659,"Yes","No")</f>
        <v>Yes</v>
      </c>
    </row>
    <row r="1660" customFormat="false" ht="15" hidden="false" customHeight="false" outlineLevel="0" collapsed="false">
      <c r="A1660" s="15" t="n">
        <v>2359</v>
      </c>
      <c r="B1660" s="16" t="n">
        <v>6.02008268116026</v>
      </c>
      <c r="C1660" s="15" t="n">
        <v>300</v>
      </c>
      <c r="D1660" s="15" t="n">
        <v>600</v>
      </c>
      <c r="E1660" s="15" t="n">
        <v>20</v>
      </c>
      <c r="F1660" s="16" t="n">
        <v>0.621712831879242</v>
      </c>
      <c r="G1660" s="17" t="s">
        <v>90</v>
      </c>
      <c r="H1660" s="18" t="n">
        <v>0.1</v>
      </c>
      <c r="I1660" s="18" t="n">
        <v>1</v>
      </c>
      <c r="J1660" s="19" t="n">
        <v>0.955968594681165</v>
      </c>
      <c r="K1660" s="19" t="n">
        <v>0.63254958892982</v>
      </c>
      <c r="L1660" s="16" t="n">
        <v>11.16898456616</v>
      </c>
      <c r="M1660" s="19" t="n">
        <v>0.523013915600322</v>
      </c>
      <c r="N1660" s="19" t="n">
        <v>2.43595892413635</v>
      </c>
      <c r="O1660" s="19" t="n">
        <v>0.955968594681165</v>
      </c>
      <c r="P1660" s="19" t="n">
        <v>0.642505811465033</v>
      </c>
      <c r="Q1660" s="17" t="s">
        <v>30</v>
      </c>
      <c r="R1660" s="5" t="str">
        <f aca="false">IF(OR(Q1660="Steel plate",Q1660="Concrete jacket"),"Steel plate or jacket",Q1660)</f>
        <v>Seal cracks</v>
      </c>
      <c r="S1660" s="5" t="str">
        <f aca="false">IF(O1660&lt;='Tree rules'!$C$4,IF(N1660&lt;='Tree rules'!$C$5,IF(P1660&lt;='Tree rules'!$C$6,"Monitor","Polymer laminate"),IF(P1660&lt;='Tree rules'!$C$7,"Seal cracks","Polymer laminate")),IF(O1660&lt;='Tree rules'!$C$8,IF(M1660&lt;='Tree rules'!$C$9,"Steel plate or jacket","Polymer laminate"),IF(L1660&lt;='Tree rules'!$C$10,"Steel plate or jacket","Polymer laminate")))</f>
        <v>Seal cracks</v>
      </c>
      <c r="T1660" s="5" t="str">
        <f aca="false">IF(S1660=R1660,"Yes","No")</f>
        <v>Yes</v>
      </c>
    </row>
    <row r="1661" customFormat="false" ht="15" hidden="false" customHeight="false" outlineLevel="0" collapsed="false">
      <c r="A1661" s="15" t="n">
        <v>2360</v>
      </c>
      <c r="B1661" s="16" t="n">
        <v>6.85591287632941</v>
      </c>
      <c r="C1661" s="15" t="n">
        <v>230</v>
      </c>
      <c r="D1661" s="15" t="n">
        <v>625</v>
      </c>
      <c r="E1661" s="15" t="n">
        <v>25</v>
      </c>
      <c r="F1661" s="16" t="n">
        <v>0.710178431223674</v>
      </c>
      <c r="G1661" s="17" t="s">
        <v>89</v>
      </c>
      <c r="H1661" s="18" t="n">
        <v>0.3</v>
      </c>
      <c r="I1661" s="18" t="n">
        <v>1</v>
      </c>
      <c r="J1661" s="19" t="n">
        <v>0.871978480621796</v>
      </c>
      <c r="K1661" s="19" t="n">
        <v>0.596233430919321</v>
      </c>
      <c r="L1661" s="16" t="n">
        <v>11.881998052564</v>
      </c>
      <c r="M1661" s="19" t="n">
        <v>0.6022613072231</v>
      </c>
      <c r="N1661" s="19" t="n">
        <v>0.597459506950964</v>
      </c>
      <c r="O1661" s="19" t="n">
        <v>0.871978480621796</v>
      </c>
      <c r="P1661" s="19" t="n">
        <v>0.595823028594921</v>
      </c>
      <c r="Q1661" s="17" t="s">
        <v>29</v>
      </c>
      <c r="R1661" s="5" t="str">
        <f aca="false">IF(OR(Q1661="Steel plate",Q1661="Concrete jacket"),"Steel plate or jacket",Q1661)</f>
        <v>Monitor</v>
      </c>
      <c r="S1661" s="5" t="str">
        <f aca="false">IF(O1661&lt;='Tree rules'!$C$4,IF(N1661&lt;='Tree rules'!$C$5,IF(P1661&lt;='Tree rules'!$C$6,"Monitor","Polymer laminate"),IF(P1661&lt;='Tree rules'!$C$7,"Seal cracks","Polymer laminate")),IF(O1661&lt;='Tree rules'!$C$8,IF(M1661&lt;='Tree rules'!$C$9,"Steel plate or jacket","Polymer laminate"),IF(L1661&lt;='Tree rules'!$C$10,"Steel plate or jacket","Polymer laminate")))</f>
        <v>Monitor</v>
      </c>
      <c r="T1661" s="5" t="str">
        <f aca="false">IF(S1661=R1661,"Yes","No")</f>
        <v>Yes</v>
      </c>
    </row>
    <row r="1662" customFormat="false" ht="15" hidden="false" customHeight="false" outlineLevel="0" collapsed="false">
      <c r="A1662" s="15" t="n">
        <v>2361</v>
      </c>
      <c r="B1662" s="16" t="n">
        <v>4.1804125239507</v>
      </c>
      <c r="C1662" s="15" t="n">
        <v>300</v>
      </c>
      <c r="D1662" s="15" t="n">
        <v>400</v>
      </c>
      <c r="E1662" s="15" t="n">
        <v>30</v>
      </c>
      <c r="F1662" s="16" t="n">
        <v>0.567971553191375</v>
      </c>
      <c r="G1662" s="17" t="s">
        <v>89</v>
      </c>
      <c r="H1662" s="18" t="n">
        <v>0.3</v>
      </c>
      <c r="I1662" s="18" t="n">
        <v>1.5</v>
      </c>
      <c r="J1662" s="19" t="n">
        <v>0.920695809742768</v>
      </c>
      <c r="K1662" s="19" t="n">
        <v>0.566424846545373</v>
      </c>
      <c r="L1662" s="16" t="n">
        <v>11.8090749264144</v>
      </c>
      <c r="M1662" s="19" t="n">
        <v>0.732872593961547</v>
      </c>
      <c r="N1662" s="19" t="n">
        <v>0.901982132032516</v>
      </c>
      <c r="O1662" s="19" t="n">
        <v>1.1202912232399</v>
      </c>
      <c r="P1662" s="19" t="n">
        <v>0.389388377508162</v>
      </c>
      <c r="Q1662" s="17" t="s">
        <v>31</v>
      </c>
      <c r="R1662" s="5" t="str">
        <f aca="false">IF(OR(Q1662="Steel plate",Q1662="Concrete jacket"),"Steel plate or jacket",Q1662)</f>
        <v>Polymer laminate</v>
      </c>
      <c r="S1662" s="5" t="str">
        <f aca="false">IF(O1662&lt;='Tree rules'!$C$4,IF(N1662&lt;='Tree rules'!$C$5,IF(P1662&lt;='Tree rules'!$C$6,"Monitor","Polymer laminate"),IF(P1662&lt;='Tree rules'!$C$7,"Seal cracks","Polymer laminate")),IF(O1662&lt;='Tree rules'!$C$8,IF(M1662&lt;='Tree rules'!$C$9,"Steel plate or jacket","Polymer laminate"),IF(L1662&lt;='Tree rules'!$C$10,"Steel plate or jacket","Polymer laminate")))</f>
        <v>Polymer laminate</v>
      </c>
      <c r="T1662" s="5" t="str">
        <f aca="false">IF(S1662=R1662,"Yes","No")</f>
        <v>Yes</v>
      </c>
    </row>
    <row r="1663" customFormat="false" ht="15" hidden="false" customHeight="false" outlineLevel="0" collapsed="false">
      <c r="A1663" s="15" t="n">
        <v>2363</v>
      </c>
      <c r="B1663" s="16" t="n">
        <v>3.71261825296181</v>
      </c>
      <c r="C1663" s="15" t="n">
        <v>300</v>
      </c>
      <c r="D1663" s="15" t="n">
        <v>300</v>
      </c>
      <c r="E1663" s="15" t="n">
        <v>30</v>
      </c>
      <c r="F1663" s="16" t="n">
        <v>0.831109167616348</v>
      </c>
      <c r="G1663" s="17" t="s">
        <v>89</v>
      </c>
      <c r="H1663" s="18" t="n">
        <v>0.3</v>
      </c>
      <c r="I1663" s="18" t="n">
        <v>1.5</v>
      </c>
      <c r="J1663" s="19" t="n">
        <v>0.871711573419976</v>
      </c>
      <c r="K1663" s="19" t="n">
        <v>0.456705538861162</v>
      </c>
      <c r="L1663" s="16" t="n">
        <v>14.7326121149278</v>
      </c>
      <c r="M1663" s="19" t="n">
        <v>0.381396139181023</v>
      </c>
      <c r="N1663" s="19" t="n">
        <v>1.26669094082516</v>
      </c>
      <c r="O1663" s="19" t="n">
        <v>1.10850960819482</v>
      </c>
      <c r="P1663" s="19" t="n">
        <v>0.950122284141164</v>
      </c>
      <c r="Q1663" s="17" t="s">
        <v>31</v>
      </c>
      <c r="R1663" s="5" t="str">
        <f aca="false">IF(OR(Q1663="Steel plate",Q1663="Concrete jacket"),"Steel plate or jacket",Q1663)</f>
        <v>Polymer laminate</v>
      </c>
      <c r="S1663" s="5" t="str">
        <f aca="false">IF(O1663&lt;='Tree rules'!$C$4,IF(N1663&lt;='Tree rules'!$C$5,IF(P1663&lt;='Tree rules'!$C$6,"Monitor","Polymer laminate"),IF(P1663&lt;='Tree rules'!$C$7,"Seal cracks","Polymer laminate")),IF(O1663&lt;='Tree rules'!$C$8,IF(M1663&lt;='Tree rules'!$C$9,"Steel plate or jacket","Polymer laminate"),IF(L1663&lt;='Tree rules'!$C$10,"Steel plate or jacket","Polymer laminate")))</f>
        <v>Polymer laminate</v>
      </c>
      <c r="T1663" s="5" t="str">
        <f aca="false">IF(S1663=R1663,"Yes","No")</f>
        <v>Yes</v>
      </c>
    </row>
    <row r="1664" customFormat="false" ht="15" hidden="false" customHeight="false" outlineLevel="0" collapsed="false">
      <c r="A1664" s="15" t="n">
        <v>2366</v>
      </c>
      <c r="B1664" s="16" t="n">
        <v>5.72161968491612</v>
      </c>
      <c r="C1664" s="15" t="n">
        <v>230</v>
      </c>
      <c r="D1664" s="15" t="n">
        <v>550</v>
      </c>
      <c r="E1664" s="15" t="n">
        <v>25</v>
      </c>
      <c r="F1664" s="16" t="n">
        <v>0.816280786486175</v>
      </c>
      <c r="G1664" s="17" t="s">
        <v>91</v>
      </c>
      <c r="H1664" s="18" t="n">
        <v>0.2</v>
      </c>
      <c r="I1664" s="18" t="n">
        <v>2</v>
      </c>
      <c r="J1664" s="19" t="n">
        <v>0.89299941049138</v>
      </c>
      <c r="K1664" s="19" t="n">
        <v>0.638708091063205</v>
      </c>
      <c r="L1664" s="16" t="n">
        <v>11.3976487747333</v>
      </c>
      <c r="M1664" s="19" t="n">
        <v>0.937260890627189</v>
      </c>
      <c r="N1664" s="19" t="n">
        <v>1.21720114676214</v>
      </c>
      <c r="O1664" s="19" t="n">
        <v>1.21563287218724</v>
      </c>
      <c r="P1664" s="19" t="n">
        <v>0.505639584110916</v>
      </c>
      <c r="Q1664" s="17" t="s">
        <v>31</v>
      </c>
      <c r="R1664" s="5" t="str">
        <f aca="false">IF(OR(Q1664="Steel plate",Q1664="Concrete jacket"),"Steel plate or jacket",Q1664)</f>
        <v>Polymer laminate</v>
      </c>
      <c r="S1664" s="5" t="str">
        <f aca="false">IF(O1664&lt;='Tree rules'!$C$4,IF(N1664&lt;='Tree rules'!$C$5,IF(P1664&lt;='Tree rules'!$C$6,"Monitor","Polymer laminate"),IF(P1664&lt;='Tree rules'!$C$7,"Seal cracks","Polymer laminate")),IF(O1664&lt;='Tree rules'!$C$8,IF(M1664&lt;='Tree rules'!$C$9,"Steel plate or jacket","Polymer laminate"),IF(L1664&lt;='Tree rules'!$C$10,"Steel plate or jacket","Polymer laminate")))</f>
        <v>Polymer laminate</v>
      </c>
      <c r="T1664" s="5" t="str">
        <f aca="false">IF(S1664=R1664,"Yes","No")</f>
        <v>Yes</v>
      </c>
    </row>
    <row r="1665" customFormat="false" ht="15" hidden="false" customHeight="false" outlineLevel="0" collapsed="false">
      <c r="A1665" s="15" t="n">
        <v>2367</v>
      </c>
      <c r="B1665" s="16" t="n">
        <v>3.47261555288863</v>
      </c>
      <c r="C1665" s="15" t="n">
        <v>230</v>
      </c>
      <c r="D1665" s="15" t="n">
        <v>350</v>
      </c>
      <c r="E1665" s="15" t="n">
        <v>30</v>
      </c>
      <c r="F1665" s="16" t="n">
        <v>0.575119936583944</v>
      </c>
      <c r="G1665" s="17" t="s">
        <v>89</v>
      </c>
      <c r="H1665" s="18" t="n">
        <v>0.3</v>
      </c>
      <c r="I1665" s="18" t="n">
        <v>2</v>
      </c>
      <c r="J1665" s="19" t="n">
        <v>0.852163026009716</v>
      </c>
      <c r="K1665" s="19" t="n">
        <v>0.570831062987378</v>
      </c>
      <c r="L1665" s="16" t="n">
        <v>11.4230774766074</v>
      </c>
      <c r="M1665" s="19" t="n">
        <v>0.910082690127578</v>
      </c>
      <c r="N1665" s="19" t="n">
        <v>1.07284685048336</v>
      </c>
      <c r="O1665" s="19" t="n">
        <v>1.21788492604377</v>
      </c>
      <c r="P1665" s="19" t="n">
        <v>0.29616543150581</v>
      </c>
      <c r="Q1665" s="17" t="s">
        <v>31</v>
      </c>
      <c r="R1665" s="5" t="str">
        <f aca="false">IF(OR(Q1665="Steel plate",Q1665="Concrete jacket"),"Steel plate or jacket",Q1665)</f>
        <v>Polymer laminate</v>
      </c>
      <c r="S1665" s="5" t="str">
        <f aca="false">IF(O1665&lt;='Tree rules'!$C$4,IF(N1665&lt;='Tree rules'!$C$5,IF(P1665&lt;='Tree rules'!$C$6,"Monitor","Polymer laminate"),IF(P1665&lt;='Tree rules'!$C$7,"Seal cracks","Polymer laminate")),IF(O1665&lt;='Tree rules'!$C$8,IF(M1665&lt;='Tree rules'!$C$9,"Steel plate or jacket","Polymer laminate"),IF(L1665&lt;='Tree rules'!$C$10,"Steel plate or jacket","Polymer laminate")))</f>
        <v>Polymer laminate</v>
      </c>
      <c r="T1665" s="5" t="str">
        <f aca="false">IF(S1665=R1665,"Yes","No")</f>
        <v>Yes</v>
      </c>
    </row>
    <row r="1666" customFormat="false" ht="15" hidden="false" customHeight="false" outlineLevel="0" collapsed="false">
      <c r="A1666" s="15" t="n">
        <v>2368</v>
      </c>
      <c r="B1666" s="16" t="n">
        <v>3.97860032496411</v>
      </c>
      <c r="C1666" s="15" t="n">
        <v>300</v>
      </c>
      <c r="D1666" s="15" t="n">
        <v>400</v>
      </c>
      <c r="E1666" s="15" t="n">
        <v>25</v>
      </c>
      <c r="F1666" s="16" t="n">
        <v>0.593103037845861</v>
      </c>
      <c r="G1666" s="17" t="s">
        <v>90</v>
      </c>
      <c r="H1666" s="18" t="n">
        <v>0.1</v>
      </c>
      <c r="I1666" s="18" t="n">
        <v>1.5</v>
      </c>
      <c r="J1666" s="19" t="n">
        <v>0.87831782276051</v>
      </c>
      <c r="K1666" s="19" t="n">
        <v>0.525755688436062</v>
      </c>
      <c r="L1666" s="16" t="n">
        <v>11.7362841444369</v>
      </c>
      <c r="M1666" s="19" t="n">
        <v>0.52928653369584</v>
      </c>
      <c r="N1666" s="19" t="n">
        <v>3.28894798158449</v>
      </c>
      <c r="O1666" s="19" t="n">
        <v>1.08658643835521</v>
      </c>
      <c r="P1666" s="19" t="n">
        <v>0.480281140214317</v>
      </c>
      <c r="Q1666" s="17" t="s">
        <v>31</v>
      </c>
      <c r="R1666" s="5" t="str">
        <f aca="false">IF(OR(Q1666="Steel plate",Q1666="Concrete jacket"),"Steel plate or jacket",Q1666)</f>
        <v>Polymer laminate</v>
      </c>
      <c r="S1666" s="5" t="str">
        <f aca="false">IF(O1666&lt;='Tree rules'!$C$4,IF(N1666&lt;='Tree rules'!$C$5,IF(P1666&lt;='Tree rules'!$C$6,"Monitor","Polymer laminate"),IF(P1666&lt;='Tree rules'!$C$7,"Seal cracks","Polymer laminate")),IF(O1666&lt;='Tree rules'!$C$8,IF(M1666&lt;='Tree rules'!$C$9,"Steel plate or jacket","Polymer laminate"),IF(L1666&lt;='Tree rules'!$C$10,"Steel plate or jacket","Polymer laminate")))</f>
        <v>Polymer laminate</v>
      </c>
      <c r="T1666" s="5" t="str">
        <f aca="false">IF(S1666=R1666,"Yes","No")</f>
        <v>Yes</v>
      </c>
    </row>
    <row r="1667" customFormat="false" ht="15" hidden="false" customHeight="false" outlineLevel="0" collapsed="false">
      <c r="A1667" s="15" t="n">
        <v>2369</v>
      </c>
      <c r="B1667" s="16" t="n">
        <v>6.25642089109127</v>
      </c>
      <c r="C1667" s="15" t="n">
        <v>300</v>
      </c>
      <c r="D1667" s="15" t="n">
        <v>525</v>
      </c>
      <c r="E1667" s="15" t="n">
        <v>20</v>
      </c>
      <c r="F1667" s="16" t="n">
        <v>0.55967134260194</v>
      </c>
      <c r="G1667" s="17" t="s">
        <v>91</v>
      </c>
      <c r="H1667" s="18" t="n">
        <v>0.2</v>
      </c>
      <c r="I1667" s="18" t="n">
        <v>1</v>
      </c>
      <c r="J1667" s="19" t="n">
        <v>0.913940596337141</v>
      </c>
      <c r="K1667" s="19" t="n">
        <v>0.418747477041646</v>
      </c>
      <c r="L1667" s="16" t="n">
        <v>13.0614214845329</v>
      </c>
      <c r="M1667" s="19" t="n">
        <v>0.944980654439663</v>
      </c>
      <c r="N1667" s="19" t="n">
        <v>0.840328481962106</v>
      </c>
      <c r="O1667" s="19" t="n">
        <v>0.913940596337141</v>
      </c>
      <c r="P1667" s="19" t="n">
        <v>0.343735423243795</v>
      </c>
      <c r="Q1667" s="17" t="s">
        <v>29</v>
      </c>
      <c r="R1667" s="5" t="str">
        <f aca="false">IF(OR(Q1667="Steel plate",Q1667="Concrete jacket"),"Steel plate or jacket",Q1667)</f>
        <v>Monitor</v>
      </c>
      <c r="S1667" s="5" t="str">
        <f aca="false">IF(O1667&lt;='Tree rules'!$C$4,IF(N1667&lt;='Tree rules'!$C$5,IF(P1667&lt;='Tree rules'!$C$6,"Monitor","Polymer laminate"),IF(P1667&lt;='Tree rules'!$C$7,"Seal cracks","Polymer laminate")),IF(O1667&lt;='Tree rules'!$C$8,IF(M1667&lt;='Tree rules'!$C$9,"Steel plate or jacket","Polymer laminate"),IF(L1667&lt;='Tree rules'!$C$10,"Steel plate or jacket","Polymer laminate")))</f>
        <v>Monitor</v>
      </c>
      <c r="T1667" s="5" t="str">
        <f aca="false">IF(S1667=R1667,"Yes","No")</f>
        <v>Yes</v>
      </c>
    </row>
    <row r="1668" customFormat="false" ht="15" hidden="false" customHeight="false" outlineLevel="0" collapsed="false">
      <c r="A1668" s="15" t="n">
        <v>2370</v>
      </c>
      <c r="B1668" s="16" t="n">
        <v>6.60434845699022</v>
      </c>
      <c r="C1668" s="15" t="n">
        <v>300</v>
      </c>
      <c r="D1668" s="15" t="n">
        <v>600</v>
      </c>
      <c r="E1668" s="15" t="n">
        <v>20</v>
      </c>
      <c r="F1668" s="16" t="n">
        <v>0.725855342345656</v>
      </c>
      <c r="G1668" s="17" t="s">
        <v>89</v>
      </c>
      <c r="H1668" s="18" t="n">
        <v>0.3</v>
      </c>
      <c r="I1668" s="18" t="n">
        <v>1.5</v>
      </c>
      <c r="J1668" s="19" t="n">
        <v>0.935337196918712</v>
      </c>
      <c r="K1668" s="19" t="n">
        <v>0.487036352900873</v>
      </c>
      <c r="L1668" s="16" t="n">
        <v>11.9212066010654</v>
      </c>
      <c r="M1668" s="19" t="n">
        <v>0.532544542056594</v>
      </c>
      <c r="N1668" s="19" t="n">
        <v>0.723219831753335</v>
      </c>
      <c r="O1668" s="19" t="n">
        <v>1.17523418681816</v>
      </c>
      <c r="P1668" s="19" t="n">
        <v>0.802558107963062</v>
      </c>
      <c r="Q1668" s="17" t="s">
        <v>31</v>
      </c>
      <c r="R1668" s="5" t="str">
        <f aca="false">IF(OR(Q1668="Steel plate",Q1668="Concrete jacket"),"Steel plate or jacket",Q1668)</f>
        <v>Polymer laminate</v>
      </c>
      <c r="S1668" s="5" t="str">
        <f aca="false">IF(O1668&lt;='Tree rules'!$C$4,IF(N1668&lt;='Tree rules'!$C$5,IF(P1668&lt;='Tree rules'!$C$6,"Monitor","Polymer laminate"),IF(P1668&lt;='Tree rules'!$C$7,"Seal cracks","Polymer laminate")),IF(O1668&lt;='Tree rules'!$C$8,IF(M1668&lt;='Tree rules'!$C$9,"Steel plate or jacket","Polymer laminate"),IF(L1668&lt;='Tree rules'!$C$10,"Steel plate or jacket","Polymer laminate")))</f>
        <v>Polymer laminate</v>
      </c>
      <c r="T1668" s="5" t="str">
        <f aca="false">IF(S1668=R1668,"Yes","No")</f>
        <v>Yes</v>
      </c>
    </row>
    <row r="1669" customFormat="false" ht="15" hidden="false" customHeight="false" outlineLevel="0" collapsed="false">
      <c r="A1669" s="15" t="n">
        <v>2371</v>
      </c>
      <c r="B1669" s="16" t="n">
        <v>5.10264685040096</v>
      </c>
      <c r="C1669" s="15" t="n">
        <v>230</v>
      </c>
      <c r="D1669" s="15" t="n">
        <v>425</v>
      </c>
      <c r="E1669" s="15" t="n">
        <v>30</v>
      </c>
      <c r="F1669" s="16" t="n">
        <v>0.691964884122107</v>
      </c>
      <c r="G1669" s="17" t="s">
        <v>89</v>
      </c>
      <c r="H1669" s="18" t="n">
        <v>0.3</v>
      </c>
      <c r="I1669" s="18" t="n">
        <v>1</v>
      </c>
      <c r="J1669" s="19" t="n">
        <v>0.966567933771026</v>
      </c>
      <c r="K1669" s="19" t="n">
        <v>0.411188334637376</v>
      </c>
      <c r="L1669" s="16" t="n">
        <v>13.4634481540922</v>
      </c>
      <c r="M1669" s="19" t="n">
        <v>0.596676107882593</v>
      </c>
      <c r="N1669" s="19" t="n">
        <v>0.69625778024132</v>
      </c>
      <c r="O1669" s="19" t="n">
        <v>0.966567933771026</v>
      </c>
      <c r="P1669" s="19" t="n">
        <v>0.536832463661372</v>
      </c>
      <c r="Q1669" s="17" t="s">
        <v>29</v>
      </c>
      <c r="R1669" s="5" t="str">
        <f aca="false">IF(OR(Q1669="Steel plate",Q1669="Concrete jacket"),"Steel plate or jacket",Q1669)</f>
        <v>Monitor</v>
      </c>
      <c r="S1669" s="5" t="str">
        <f aca="false">IF(O1669&lt;='Tree rules'!$C$4,IF(N1669&lt;='Tree rules'!$C$5,IF(P1669&lt;='Tree rules'!$C$6,"Monitor","Polymer laminate"),IF(P1669&lt;='Tree rules'!$C$7,"Seal cracks","Polymer laminate")),IF(O1669&lt;='Tree rules'!$C$8,IF(M1669&lt;='Tree rules'!$C$9,"Steel plate or jacket","Polymer laminate"),IF(L1669&lt;='Tree rules'!$C$10,"Steel plate or jacket","Polymer laminate")))</f>
        <v>Monitor</v>
      </c>
      <c r="T1669" s="5" t="str">
        <f aca="false">IF(S1669=R1669,"Yes","No")</f>
        <v>Yes</v>
      </c>
    </row>
    <row r="1670" customFormat="false" ht="15" hidden="false" customHeight="false" outlineLevel="0" collapsed="false">
      <c r="A1670" s="15" t="n">
        <v>2372</v>
      </c>
      <c r="B1670" s="16" t="n">
        <v>4.38543921119962</v>
      </c>
      <c r="C1670" s="15" t="n">
        <v>300</v>
      </c>
      <c r="D1670" s="15" t="n">
        <v>350</v>
      </c>
      <c r="E1670" s="15" t="n">
        <v>25</v>
      </c>
      <c r="F1670" s="16" t="n">
        <v>0.739198271432892</v>
      </c>
      <c r="G1670" s="17" t="s">
        <v>89</v>
      </c>
      <c r="H1670" s="18" t="n">
        <v>0.3</v>
      </c>
      <c r="I1670" s="18" t="n">
        <v>2</v>
      </c>
      <c r="J1670" s="19" t="n">
        <v>0.866185511491619</v>
      </c>
      <c r="K1670" s="19" t="n">
        <v>0.493901215440104</v>
      </c>
      <c r="L1670" s="16" t="n">
        <v>14.3315006901948</v>
      </c>
      <c r="M1670" s="19" t="n">
        <v>0.929164952959661</v>
      </c>
      <c r="N1670" s="19" t="n">
        <v>0.819846551355111</v>
      </c>
      <c r="O1670" s="19" t="n">
        <v>1.30456094606092</v>
      </c>
      <c r="P1670" s="19" t="n">
        <v>0.496676564925745</v>
      </c>
      <c r="Q1670" s="17" t="s">
        <v>31</v>
      </c>
      <c r="R1670" s="5" t="str">
        <f aca="false">IF(OR(Q1670="Steel plate",Q1670="Concrete jacket"),"Steel plate or jacket",Q1670)</f>
        <v>Polymer laminate</v>
      </c>
      <c r="S1670" s="5" t="str">
        <f aca="false">IF(O1670&lt;='Tree rules'!$C$4,IF(N1670&lt;='Tree rules'!$C$5,IF(P1670&lt;='Tree rules'!$C$6,"Monitor","Polymer laminate"),IF(P1670&lt;='Tree rules'!$C$7,"Seal cracks","Polymer laminate")),IF(O1670&lt;='Tree rules'!$C$8,IF(M1670&lt;='Tree rules'!$C$9,"Steel plate or jacket","Polymer laminate"),IF(L1670&lt;='Tree rules'!$C$10,"Steel plate or jacket","Polymer laminate")))</f>
        <v>Polymer laminate</v>
      </c>
      <c r="T1670" s="5" t="str">
        <f aca="false">IF(S1670=R1670,"Yes","No")</f>
        <v>Yes</v>
      </c>
    </row>
    <row r="1671" customFormat="false" ht="15" hidden="false" customHeight="false" outlineLevel="0" collapsed="false">
      <c r="A1671" s="15" t="n">
        <v>2373</v>
      </c>
      <c r="B1671" s="16" t="n">
        <v>3.81646267897139</v>
      </c>
      <c r="C1671" s="15" t="n">
        <v>230</v>
      </c>
      <c r="D1671" s="15" t="n">
        <v>300</v>
      </c>
      <c r="E1671" s="15" t="n">
        <v>25</v>
      </c>
      <c r="F1671" s="16" t="n">
        <v>0.688332522525665</v>
      </c>
      <c r="G1671" s="17" t="s">
        <v>91</v>
      </c>
      <c r="H1671" s="18" t="n">
        <v>0.2</v>
      </c>
      <c r="I1671" s="18" t="n">
        <v>2</v>
      </c>
      <c r="J1671" s="19" t="n">
        <v>0.971855677493965</v>
      </c>
      <c r="K1671" s="19" t="n">
        <v>0.400863833761262</v>
      </c>
      <c r="L1671" s="16" t="n">
        <v>15.0254436179976</v>
      </c>
      <c r="M1671" s="19" t="n">
        <v>0.523984484336503</v>
      </c>
      <c r="N1671" s="19" t="n">
        <v>2.23651322232434</v>
      </c>
      <c r="O1671" s="19" t="n">
        <v>1.55412956224505</v>
      </c>
      <c r="P1671" s="19" t="n">
        <v>0.811107677996179</v>
      </c>
      <c r="Q1671" s="17" t="s">
        <v>31</v>
      </c>
      <c r="R1671" s="5" t="str">
        <f aca="false">IF(OR(Q1671="Steel plate",Q1671="Concrete jacket"),"Steel plate or jacket",Q1671)</f>
        <v>Polymer laminate</v>
      </c>
      <c r="S1671" s="5" t="str">
        <f aca="false">IF(O1671&lt;='Tree rules'!$C$4,IF(N1671&lt;='Tree rules'!$C$5,IF(P1671&lt;='Tree rules'!$C$6,"Monitor","Polymer laminate"),IF(P1671&lt;='Tree rules'!$C$7,"Seal cracks","Polymer laminate")),IF(O1671&lt;='Tree rules'!$C$8,IF(M1671&lt;='Tree rules'!$C$9,"Steel plate or jacket","Polymer laminate"),IF(L1671&lt;='Tree rules'!$C$10,"Steel plate or jacket","Polymer laminate")))</f>
        <v>Polymer laminate</v>
      </c>
      <c r="T1671" s="5" t="str">
        <f aca="false">IF(S1671=R1671,"Yes","No")</f>
        <v>Yes</v>
      </c>
    </row>
    <row r="1672" customFormat="false" ht="15" hidden="false" customHeight="false" outlineLevel="0" collapsed="false">
      <c r="A1672" s="15" t="n">
        <v>2374</v>
      </c>
      <c r="B1672" s="16" t="n">
        <v>5.32227008742554</v>
      </c>
      <c r="C1672" s="15" t="n">
        <v>230</v>
      </c>
      <c r="D1672" s="15" t="n">
        <v>500</v>
      </c>
      <c r="E1672" s="15" t="n">
        <v>30</v>
      </c>
      <c r="F1672" s="16" t="n">
        <v>0.604384889109233</v>
      </c>
      <c r="G1672" s="17" t="s">
        <v>89</v>
      </c>
      <c r="H1672" s="18" t="n">
        <v>0.3</v>
      </c>
      <c r="I1672" s="18" t="n">
        <v>1</v>
      </c>
      <c r="J1672" s="19" t="n">
        <v>0.878681145365525</v>
      </c>
      <c r="K1672" s="19" t="n">
        <v>0.55343766195634</v>
      </c>
      <c r="L1672" s="16" t="n">
        <v>11.7749338217379</v>
      </c>
      <c r="M1672" s="19" t="n">
        <v>0.390466578782453</v>
      </c>
      <c r="N1672" s="19" t="n">
        <v>0.860814775617554</v>
      </c>
      <c r="O1672" s="19" t="n">
        <v>0.878681145365525</v>
      </c>
      <c r="P1672" s="19" t="n">
        <v>0.666151558299327</v>
      </c>
      <c r="Q1672" s="17" t="s">
        <v>29</v>
      </c>
      <c r="R1672" s="5" t="str">
        <f aca="false">IF(OR(Q1672="Steel plate",Q1672="Concrete jacket"),"Steel plate or jacket",Q1672)</f>
        <v>Monitor</v>
      </c>
      <c r="S1672" s="5" t="str">
        <f aca="false">IF(O1672&lt;='Tree rules'!$C$4,IF(N1672&lt;='Tree rules'!$C$5,IF(P1672&lt;='Tree rules'!$C$6,"Monitor","Polymer laminate"),IF(P1672&lt;='Tree rules'!$C$7,"Seal cracks","Polymer laminate")),IF(O1672&lt;='Tree rules'!$C$8,IF(M1672&lt;='Tree rules'!$C$9,"Steel plate or jacket","Polymer laminate"),IF(L1672&lt;='Tree rules'!$C$10,"Steel plate or jacket","Polymer laminate")))</f>
        <v>Monitor</v>
      </c>
      <c r="T1672" s="5" t="str">
        <f aca="false">IF(S1672=R1672,"Yes","No")</f>
        <v>Yes</v>
      </c>
    </row>
    <row r="1673" customFormat="false" ht="15" hidden="false" customHeight="false" outlineLevel="0" collapsed="false">
      <c r="A1673" s="15" t="n">
        <v>2377</v>
      </c>
      <c r="B1673" s="16" t="n">
        <v>3.81572230686538</v>
      </c>
      <c r="C1673" s="15" t="n">
        <v>300</v>
      </c>
      <c r="D1673" s="15" t="n">
        <v>350</v>
      </c>
      <c r="E1673" s="15" t="n">
        <v>30</v>
      </c>
      <c r="F1673" s="16" t="n">
        <v>1.10231321178589</v>
      </c>
      <c r="G1673" s="17" t="s">
        <v>89</v>
      </c>
      <c r="H1673" s="18" t="n">
        <v>0.3</v>
      </c>
      <c r="I1673" s="18" t="n">
        <v>1</v>
      </c>
      <c r="J1673" s="19" t="n">
        <v>0.857730141716735</v>
      </c>
      <c r="K1673" s="19" t="n">
        <v>0.422151322013957</v>
      </c>
      <c r="L1673" s="16" t="n">
        <v>12.5517181146887</v>
      </c>
      <c r="M1673" s="19" t="n">
        <v>0.709868826671382</v>
      </c>
      <c r="N1673" s="19" t="n">
        <v>0.576589994055223</v>
      </c>
      <c r="O1673" s="19" t="n">
        <v>0.857730141716735</v>
      </c>
      <c r="P1673" s="19" t="n">
        <v>0.528299420298511</v>
      </c>
      <c r="Q1673" s="17" t="s">
        <v>29</v>
      </c>
      <c r="R1673" s="5" t="str">
        <f aca="false">IF(OR(Q1673="Steel plate",Q1673="Concrete jacket"),"Steel plate or jacket",Q1673)</f>
        <v>Monitor</v>
      </c>
      <c r="S1673" s="5" t="str">
        <f aca="false">IF(O1673&lt;='Tree rules'!$C$4,IF(N1673&lt;='Tree rules'!$C$5,IF(P1673&lt;='Tree rules'!$C$6,"Monitor","Polymer laminate"),IF(P1673&lt;='Tree rules'!$C$7,"Seal cracks","Polymer laminate")),IF(O1673&lt;='Tree rules'!$C$8,IF(M1673&lt;='Tree rules'!$C$9,"Steel plate or jacket","Polymer laminate"),IF(L1673&lt;='Tree rules'!$C$10,"Steel plate or jacket","Polymer laminate")))</f>
        <v>Monitor</v>
      </c>
      <c r="T1673" s="5" t="str">
        <f aca="false">IF(S1673=R1673,"Yes","No")</f>
        <v>Yes</v>
      </c>
    </row>
    <row r="1674" customFormat="false" ht="15" hidden="false" customHeight="false" outlineLevel="0" collapsed="false">
      <c r="A1674" s="15" t="n">
        <v>2378</v>
      </c>
      <c r="B1674" s="16" t="n">
        <v>5.79678847071316</v>
      </c>
      <c r="C1674" s="15" t="n">
        <v>300</v>
      </c>
      <c r="D1674" s="15" t="n">
        <v>500</v>
      </c>
      <c r="E1674" s="15" t="n">
        <v>30</v>
      </c>
      <c r="F1674" s="16" t="n">
        <v>0.695042622475618</v>
      </c>
      <c r="G1674" s="17" t="s">
        <v>89</v>
      </c>
      <c r="H1674" s="18" t="n">
        <v>0.3</v>
      </c>
      <c r="I1674" s="18" t="n">
        <v>1</v>
      </c>
      <c r="J1674" s="19" t="n">
        <v>0.864896019728944</v>
      </c>
      <c r="K1674" s="19" t="n">
        <v>0.49345596147398</v>
      </c>
      <c r="L1674" s="16" t="n">
        <v>12.8247532537902</v>
      </c>
      <c r="M1674" s="19" t="n">
        <v>0.63998511521705</v>
      </c>
      <c r="N1674" s="19" t="n">
        <v>0.699829573186248</v>
      </c>
      <c r="O1674" s="19" t="n">
        <v>0.864896019728944</v>
      </c>
      <c r="P1674" s="19" t="n">
        <v>0.491214506106503</v>
      </c>
      <c r="Q1674" s="17" t="s">
        <v>29</v>
      </c>
      <c r="R1674" s="5" t="str">
        <f aca="false">IF(OR(Q1674="Steel plate",Q1674="Concrete jacket"),"Steel plate or jacket",Q1674)</f>
        <v>Monitor</v>
      </c>
      <c r="S1674" s="5" t="str">
        <f aca="false">IF(O1674&lt;='Tree rules'!$C$4,IF(N1674&lt;='Tree rules'!$C$5,IF(P1674&lt;='Tree rules'!$C$6,"Monitor","Polymer laminate"),IF(P1674&lt;='Tree rules'!$C$7,"Seal cracks","Polymer laminate")),IF(O1674&lt;='Tree rules'!$C$8,IF(M1674&lt;='Tree rules'!$C$9,"Steel plate or jacket","Polymer laminate"),IF(L1674&lt;='Tree rules'!$C$10,"Steel plate or jacket","Polymer laminate")))</f>
        <v>Monitor</v>
      </c>
      <c r="T1674" s="5" t="str">
        <f aca="false">IF(S1674=R1674,"Yes","No")</f>
        <v>Yes</v>
      </c>
    </row>
    <row r="1675" customFormat="false" ht="15" hidden="false" customHeight="false" outlineLevel="0" collapsed="false">
      <c r="A1675" s="15" t="n">
        <v>2379</v>
      </c>
      <c r="B1675" s="16" t="n">
        <v>3.27665784198634</v>
      </c>
      <c r="C1675" s="15" t="n">
        <v>300</v>
      </c>
      <c r="D1675" s="15" t="n">
        <v>300</v>
      </c>
      <c r="E1675" s="15" t="n">
        <v>30</v>
      </c>
      <c r="F1675" s="16" t="n">
        <v>0.52772160060301</v>
      </c>
      <c r="G1675" s="17" t="s">
        <v>91</v>
      </c>
      <c r="H1675" s="18" t="n">
        <v>0.2</v>
      </c>
      <c r="I1675" s="18" t="n">
        <v>2</v>
      </c>
      <c r="J1675" s="19" t="n">
        <v>0.971369138174792</v>
      </c>
      <c r="K1675" s="19" t="n">
        <v>0.566486086468471</v>
      </c>
      <c r="L1675" s="16" t="n">
        <v>12.9002277243557</v>
      </c>
      <c r="M1675" s="19" t="n">
        <v>0.924547440979541</v>
      </c>
      <c r="N1675" s="19" t="n">
        <v>2.16221639438948</v>
      </c>
      <c r="O1675" s="19" t="n">
        <v>1.39247117474869</v>
      </c>
      <c r="P1675" s="19" t="n">
        <v>0.322597078525611</v>
      </c>
      <c r="Q1675" s="17" t="s">
        <v>31</v>
      </c>
      <c r="R1675" s="5" t="str">
        <f aca="false">IF(OR(Q1675="Steel plate",Q1675="Concrete jacket"),"Steel plate or jacket",Q1675)</f>
        <v>Polymer laminate</v>
      </c>
      <c r="S1675" s="5" t="str">
        <f aca="false">IF(O1675&lt;='Tree rules'!$C$4,IF(N1675&lt;='Tree rules'!$C$5,IF(P1675&lt;='Tree rules'!$C$6,"Monitor","Polymer laminate"),IF(P1675&lt;='Tree rules'!$C$7,"Seal cracks","Polymer laminate")),IF(O1675&lt;='Tree rules'!$C$8,IF(M1675&lt;='Tree rules'!$C$9,"Steel plate or jacket","Polymer laminate"),IF(L1675&lt;='Tree rules'!$C$10,"Steel plate or jacket","Polymer laminate")))</f>
        <v>Steel plate or jacket</v>
      </c>
      <c r="T1675" s="5" t="str">
        <f aca="false">IF(S1675=R1675,"Yes","No")</f>
        <v>No</v>
      </c>
    </row>
    <row r="1676" customFormat="false" ht="15" hidden="false" customHeight="false" outlineLevel="0" collapsed="false">
      <c r="A1676" s="15" t="n">
        <v>2381</v>
      </c>
      <c r="B1676" s="16" t="n">
        <v>7.10512407979397</v>
      </c>
      <c r="C1676" s="15" t="n">
        <v>300</v>
      </c>
      <c r="D1676" s="15" t="n">
        <v>650</v>
      </c>
      <c r="E1676" s="15" t="n">
        <v>25</v>
      </c>
      <c r="F1676" s="16" t="n">
        <v>0.665767979568698</v>
      </c>
      <c r="G1676" s="17" t="s">
        <v>91</v>
      </c>
      <c r="H1676" s="18" t="n">
        <v>0.2</v>
      </c>
      <c r="I1676" s="18" t="n">
        <v>1</v>
      </c>
      <c r="J1676" s="19" t="n">
        <v>0.99634147354608</v>
      </c>
      <c r="K1676" s="19" t="n">
        <v>0.443970329455156</v>
      </c>
      <c r="L1676" s="16" t="n">
        <v>11.763450463235</v>
      </c>
      <c r="M1676" s="19" t="n">
        <v>0.512061391961362</v>
      </c>
      <c r="N1676" s="19" t="n">
        <v>0.932523872389773</v>
      </c>
      <c r="O1676" s="19" t="n">
        <v>0.99634147354608</v>
      </c>
      <c r="P1676" s="19" t="n">
        <v>0.662494083717922</v>
      </c>
      <c r="Q1676" s="17" t="s">
        <v>29</v>
      </c>
      <c r="R1676" s="5" t="str">
        <f aca="false">IF(OR(Q1676="Steel plate",Q1676="Concrete jacket"),"Steel plate or jacket",Q1676)</f>
        <v>Monitor</v>
      </c>
      <c r="S1676" s="5" t="str">
        <f aca="false">IF(O1676&lt;='Tree rules'!$C$4,IF(N1676&lt;='Tree rules'!$C$5,IF(P1676&lt;='Tree rules'!$C$6,"Monitor","Polymer laminate"),IF(P1676&lt;='Tree rules'!$C$7,"Seal cracks","Polymer laminate")),IF(O1676&lt;='Tree rules'!$C$8,IF(M1676&lt;='Tree rules'!$C$9,"Steel plate or jacket","Polymer laminate"),IF(L1676&lt;='Tree rules'!$C$10,"Steel plate or jacket","Polymer laminate")))</f>
        <v>Monitor</v>
      </c>
      <c r="T1676" s="5" t="str">
        <f aca="false">IF(S1676=R1676,"Yes","No")</f>
        <v>Yes</v>
      </c>
    </row>
    <row r="1677" customFormat="false" ht="15" hidden="false" customHeight="false" outlineLevel="0" collapsed="false">
      <c r="A1677" s="15" t="n">
        <v>2383</v>
      </c>
      <c r="B1677" s="16" t="n">
        <v>5.96612238303411</v>
      </c>
      <c r="C1677" s="15" t="n">
        <v>300</v>
      </c>
      <c r="D1677" s="15" t="n">
        <v>575</v>
      </c>
      <c r="E1677" s="15" t="n">
        <v>20</v>
      </c>
      <c r="F1677" s="16" t="n">
        <v>0.633465437396808</v>
      </c>
      <c r="G1677" s="17" t="s">
        <v>91</v>
      </c>
      <c r="H1677" s="18" t="n">
        <v>0.2</v>
      </c>
      <c r="I1677" s="18" t="n">
        <v>2</v>
      </c>
      <c r="J1677" s="19" t="n">
        <v>0.932344274001464</v>
      </c>
      <c r="K1677" s="19" t="n">
        <v>0.570890092350081</v>
      </c>
      <c r="L1677" s="16" t="n">
        <v>11.2781141456221</v>
      </c>
      <c r="M1677" s="19" t="n">
        <v>0.885098508829599</v>
      </c>
      <c r="N1677" s="19" t="n">
        <v>1.22429251329943</v>
      </c>
      <c r="O1677" s="19" t="n">
        <v>1.33242243931616</v>
      </c>
      <c r="P1677" s="19" t="n">
        <v>0.484994717269475</v>
      </c>
      <c r="Q1677" s="17" t="s">
        <v>31</v>
      </c>
      <c r="R1677" s="5" t="str">
        <f aca="false">IF(OR(Q1677="Steel plate",Q1677="Concrete jacket"),"Steel plate or jacket",Q1677)</f>
        <v>Polymer laminate</v>
      </c>
      <c r="S1677" s="5" t="str">
        <f aca="false">IF(O1677&lt;='Tree rules'!$C$4,IF(N1677&lt;='Tree rules'!$C$5,IF(P1677&lt;='Tree rules'!$C$6,"Monitor","Polymer laminate"),IF(P1677&lt;='Tree rules'!$C$7,"Seal cracks","Polymer laminate")),IF(O1677&lt;='Tree rules'!$C$8,IF(M1677&lt;='Tree rules'!$C$9,"Steel plate or jacket","Polymer laminate"),IF(L1677&lt;='Tree rules'!$C$10,"Steel plate or jacket","Polymer laminate")))</f>
        <v>Steel plate or jacket</v>
      </c>
      <c r="T1677" s="5" t="str">
        <f aca="false">IF(S1677=R1677,"Yes","No")</f>
        <v>No</v>
      </c>
    </row>
    <row r="1678" customFormat="false" ht="15" hidden="false" customHeight="false" outlineLevel="0" collapsed="false">
      <c r="A1678" s="15" t="n">
        <v>2385</v>
      </c>
      <c r="B1678" s="16" t="n">
        <v>5.24002035135475</v>
      </c>
      <c r="C1678" s="15" t="n">
        <v>300</v>
      </c>
      <c r="D1678" s="15" t="n">
        <v>425</v>
      </c>
      <c r="E1678" s="15" t="n">
        <v>25</v>
      </c>
      <c r="F1678" s="16" t="n">
        <v>0.555542467478301</v>
      </c>
      <c r="G1678" s="17" t="s">
        <v>91</v>
      </c>
      <c r="H1678" s="18" t="n">
        <v>0.2</v>
      </c>
      <c r="I1678" s="18" t="n">
        <v>1</v>
      </c>
      <c r="J1678" s="19" t="n">
        <v>0.884587417498981</v>
      </c>
      <c r="K1678" s="19" t="n">
        <v>0.558228132680526</v>
      </c>
      <c r="L1678" s="16" t="n">
        <v>13.8992582264052</v>
      </c>
      <c r="M1678" s="19" t="n">
        <v>0.704745385426023</v>
      </c>
      <c r="N1678" s="19" t="n">
        <v>1.42518479580851</v>
      </c>
      <c r="O1678" s="19" t="n">
        <v>0.884587417498981</v>
      </c>
      <c r="P1678" s="19" t="n">
        <v>0.436650658301812</v>
      </c>
      <c r="Q1678" s="17" t="s">
        <v>30</v>
      </c>
      <c r="R1678" s="5" t="str">
        <f aca="false">IF(OR(Q1678="Steel plate",Q1678="Concrete jacket"),"Steel plate or jacket",Q1678)</f>
        <v>Seal cracks</v>
      </c>
      <c r="S1678" s="5" t="str">
        <f aca="false">IF(O1678&lt;='Tree rules'!$C$4,IF(N1678&lt;='Tree rules'!$C$5,IF(P1678&lt;='Tree rules'!$C$6,"Monitor","Polymer laminate"),IF(P1678&lt;='Tree rules'!$C$7,"Seal cracks","Polymer laminate")),IF(O1678&lt;='Tree rules'!$C$8,IF(M1678&lt;='Tree rules'!$C$9,"Steel plate or jacket","Polymer laminate"),IF(L1678&lt;='Tree rules'!$C$10,"Steel plate or jacket","Polymer laminate")))</f>
        <v>Seal cracks</v>
      </c>
      <c r="T1678" s="5" t="str">
        <f aca="false">IF(S1678=R1678,"Yes","No")</f>
        <v>Yes</v>
      </c>
    </row>
    <row r="1679" customFormat="false" ht="15" hidden="false" customHeight="false" outlineLevel="0" collapsed="false">
      <c r="A1679" s="15" t="n">
        <v>2388</v>
      </c>
      <c r="B1679" s="16" t="n">
        <v>6.36409990632757</v>
      </c>
      <c r="C1679" s="15" t="n">
        <v>300</v>
      </c>
      <c r="D1679" s="15" t="n">
        <v>550</v>
      </c>
      <c r="E1679" s="15" t="n">
        <v>30</v>
      </c>
      <c r="F1679" s="16" t="n">
        <v>0.625815269639401</v>
      </c>
      <c r="G1679" s="17" t="s">
        <v>89</v>
      </c>
      <c r="H1679" s="18" t="n">
        <v>0.3</v>
      </c>
      <c r="I1679" s="18" t="n">
        <v>1.5</v>
      </c>
      <c r="J1679" s="19" t="n">
        <v>0.904208875990066</v>
      </c>
      <c r="K1679" s="19" t="n">
        <v>0.582882823877941</v>
      </c>
      <c r="L1679" s="16" t="n">
        <v>12.6774898532422</v>
      </c>
      <c r="M1679" s="19" t="n">
        <v>0.29007368724615</v>
      </c>
      <c r="N1679" s="19" t="n">
        <v>0.962639929668476</v>
      </c>
      <c r="O1679" s="19" t="n">
        <v>1.09278940247881</v>
      </c>
      <c r="P1679" s="19" t="n">
        <v>1.17237665924362</v>
      </c>
      <c r="Q1679" s="17" t="s">
        <v>31</v>
      </c>
      <c r="R1679" s="5" t="str">
        <f aca="false">IF(OR(Q1679="Steel plate",Q1679="Concrete jacket"),"Steel plate or jacket",Q1679)</f>
        <v>Polymer laminate</v>
      </c>
      <c r="S1679" s="5" t="str">
        <f aca="false">IF(O1679&lt;='Tree rules'!$C$4,IF(N1679&lt;='Tree rules'!$C$5,IF(P1679&lt;='Tree rules'!$C$6,"Monitor","Polymer laminate"),IF(P1679&lt;='Tree rules'!$C$7,"Seal cracks","Polymer laminate")),IF(O1679&lt;='Tree rules'!$C$8,IF(M1679&lt;='Tree rules'!$C$9,"Steel plate or jacket","Polymer laminate"),IF(L1679&lt;='Tree rules'!$C$10,"Steel plate or jacket","Polymer laminate")))</f>
        <v>Steel plate or jacket</v>
      </c>
      <c r="T1679" s="5" t="str">
        <f aca="false">IF(S1679=R1679,"Yes","No")</f>
        <v>No</v>
      </c>
    </row>
    <row r="1680" customFormat="false" ht="15" hidden="false" customHeight="false" outlineLevel="0" collapsed="false">
      <c r="A1680" s="15" t="n">
        <v>2390</v>
      </c>
      <c r="B1680" s="16" t="n">
        <v>4.07753608862602</v>
      </c>
      <c r="C1680" s="15" t="n">
        <v>230</v>
      </c>
      <c r="D1680" s="15" t="n">
        <v>325</v>
      </c>
      <c r="E1680" s="15" t="n">
        <v>20</v>
      </c>
      <c r="F1680" s="16" t="n">
        <v>0.554579938848803</v>
      </c>
      <c r="G1680" s="17" t="s">
        <v>90</v>
      </c>
      <c r="H1680" s="18" t="n">
        <v>0.1</v>
      </c>
      <c r="I1680" s="18" t="n">
        <v>1.5</v>
      </c>
      <c r="J1680" s="19" t="n">
        <v>0.944393536216395</v>
      </c>
      <c r="K1680" s="19" t="n">
        <v>0.515208266576181</v>
      </c>
      <c r="L1680" s="16" t="n">
        <v>15.3290830399474</v>
      </c>
      <c r="M1680" s="19" t="n">
        <v>0.828401526596315</v>
      </c>
      <c r="N1680" s="19" t="n">
        <v>3.06787340850928</v>
      </c>
      <c r="O1680" s="19" t="n">
        <v>1.17331062594469</v>
      </c>
      <c r="P1680" s="19" t="n">
        <v>0.396526788563449</v>
      </c>
      <c r="Q1680" s="17" t="s">
        <v>31</v>
      </c>
      <c r="R1680" s="5" t="str">
        <f aca="false">IF(OR(Q1680="Steel plate",Q1680="Concrete jacket"),"Steel plate or jacket",Q1680)</f>
        <v>Polymer laminate</v>
      </c>
      <c r="S1680" s="5" t="str">
        <f aca="false">IF(O1680&lt;='Tree rules'!$C$4,IF(N1680&lt;='Tree rules'!$C$5,IF(P1680&lt;='Tree rules'!$C$6,"Monitor","Polymer laminate"),IF(P1680&lt;='Tree rules'!$C$7,"Seal cracks","Polymer laminate")),IF(O1680&lt;='Tree rules'!$C$8,IF(M1680&lt;='Tree rules'!$C$9,"Steel plate or jacket","Polymer laminate"),IF(L1680&lt;='Tree rules'!$C$10,"Steel plate or jacket","Polymer laminate")))</f>
        <v>Polymer laminate</v>
      </c>
      <c r="T1680" s="5" t="str">
        <f aca="false">IF(S1680=R1680,"Yes","No")</f>
        <v>Yes</v>
      </c>
    </row>
    <row r="1681" customFormat="false" ht="15" hidden="false" customHeight="false" outlineLevel="0" collapsed="false">
      <c r="A1681" s="15" t="n">
        <v>2391</v>
      </c>
      <c r="B1681" s="16" t="n">
        <v>5.28232150245639</v>
      </c>
      <c r="C1681" s="15" t="n">
        <v>230</v>
      </c>
      <c r="D1681" s="15" t="n">
        <v>475</v>
      </c>
      <c r="E1681" s="15" t="n">
        <v>30</v>
      </c>
      <c r="F1681" s="16" t="n">
        <v>0.611316296229087</v>
      </c>
      <c r="G1681" s="17" t="s">
        <v>89</v>
      </c>
      <c r="H1681" s="18" t="n">
        <v>0.3</v>
      </c>
      <c r="I1681" s="18" t="n">
        <v>1</v>
      </c>
      <c r="J1681" s="19" t="n">
        <v>0.965459245790859</v>
      </c>
      <c r="K1681" s="19" t="n">
        <v>0.574338632203641</v>
      </c>
      <c r="L1681" s="16" t="n">
        <v>12.3131037353296</v>
      </c>
      <c r="M1681" s="19" t="n">
        <v>0.6305186133768</v>
      </c>
      <c r="N1681" s="19" t="n">
        <v>0.678802253966923</v>
      </c>
      <c r="O1681" s="19" t="n">
        <v>0.965459245790859</v>
      </c>
      <c r="P1681" s="19" t="n">
        <v>0.498087150834786</v>
      </c>
      <c r="Q1681" s="17" t="s">
        <v>29</v>
      </c>
      <c r="R1681" s="5" t="str">
        <f aca="false">IF(OR(Q1681="Steel plate",Q1681="Concrete jacket"),"Steel plate or jacket",Q1681)</f>
        <v>Monitor</v>
      </c>
      <c r="S1681" s="5" t="str">
        <f aca="false">IF(O1681&lt;='Tree rules'!$C$4,IF(N1681&lt;='Tree rules'!$C$5,IF(P1681&lt;='Tree rules'!$C$6,"Monitor","Polymer laminate"),IF(P1681&lt;='Tree rules'!$C$7,"Seal cracks","Polymer laminate")),IF(O1681&lt;='Tree rules'!$C$8,IF(M1681&lt;='Tree rules'!$C$9,"Steel plate or jacket","Polymer laminate"),IF(L1681&lt;='Tree rules'!$C$10,"Steel plate or jacket","Polymer laminate")))</f>
        <v>Monitor</v>
      </c>
      <c r="T1681" s="5" t="str">
        <f aca="false">IF(S1681=R1681,"Yes","No")</f>
        <v>Yes</v>
      </c>
    </row>
    <row r="1682" customFormat="false" ht="15" hidden="false" customHeight="false" outlineLevel="0" collapsed="false">
      <c r="A1682" s="15" t="n">
        <v>2393</v>
      </c>
      <c r="B1682" s="16" t="n">
        <v>5.3985138595837</v>
      </c>
      <c r="C1682" s="15" t="n">
        <v>230</v>
      </c>
      <c r="D1682" s="15" t="n">
        <v>525</v>
      </c>
      <c r="E1682" s="15" t="n">
        <v>20</v>
      </c>
      <c r="F1682" s="16" t="n">
        <v>0.547504574284506</v>
      </c>
      <c r="G1682" s="17" t="s">
        <v>89</v>
      </c>
      <c r="H1682" s="18" t="n">
        <v>0.3</v>
      </c>
      <c r="I1682" s="18" t="n">
        <v>2</v>
      </c>
      <c r="J1682" s="19" t="n">
        <v>0.957475574876477</v>
      </c>
      <c r="K1682" s="19" t="n">
        <v>0.634001292536007</v>
      </c>
      <c r="L1682" s="16" t="n">
        <v>11.270383840467</v>
      </c>
      <c r="M1682" s="19" t="n">
        <v>0.363182795437924</v>
      </c>
      <c r="N1682" s="19" t="n">
        <v>0.972049765491067</v>
      </c>
      <c r="O1682" s="19" t="n">
        <v>1.30791039770961</v>
      </c>
      <c r="P1682" s="19" t="n">
        <v>1.01406280557501</v>
      </c>
      <c r="Q1682" s="17" t="s">
        <v>31</v>
      </c>
      <c r="R1682" s="5" t="str">
        <f aca="false">IF(OR(Q1682="Steel plate",Q1682="Concrete jacket"),"Steel plate or jacket",Q1682)</f>
        <v>Polymer laminate</v>
      </c>
      <c r="S1682" s="5" t="str">
        <f aca="false">IF(O1682&lt;='Tree rules'!$C$4,IF(N1682&lt;='Tree rules'!$C$5,IF(P1682&lt;='Tree rules'!$C$6,"Monitor","Polymer laminate"),IF(P1682&lt;='Tree rules'!$C$7,"Seal cracks","Polymer laminate")),IF(O1682&lt;='Tree rules'!$C$8,IF(M1682&lt;='Tree rules'!$C$9,"Steel plate or jacket","Polymer laminate"),IF(L1682&lt;='Tree rules'!$C$10,"Steel plate or jacket","Polymer laminate")))</f>
        <v>Steel plate or jacket</v>
      </c>
      <c r="T1682" s="5" t="str">
        <f aca="false">IF(S1682=R1682,"Yes","No")</f>
        <v>No</v>
      </c>
    </row>
    <row r="1683" customFormat="false" ht="15" hidden="false" customHeight="false" outlineLevel="0" collapsed="false">
      <c r="A1683" s="15" t="n">
        <v>2394</v>
      </c>
      <c r="B1683" s="16" t="n">
        <v>3.39995959637159</v>
      </c>
      <c r="C1683" s="15" t="n">
        <v>300</v>
      </c>
      <c r="D1683" s="15" t="n">
        <v>325</v>
      </c>
      <c r="E1683" s="15" t="n">
        <v>25</v>
      </c>
      <c r="F1683" s="16" t="n">
        <v>0.67080270183412</v>
      </c>
      <c r="G1683" s="17" t="s">
        <v>91</v>
      </c>
      <c r="H1683" s="18" t="n">
        <v>0.2</v>
      </c>
      <c r="I1683" s="18" t="n">
        <v>1</v>
      </c>
      <c r="J1683" s="19" t="n">
        <v>0.891276588026211</v>
      </c>
      <c r="K1683" s="19" t="n">
        <v>0.498607388126897</v>
      </c>
      <c r="L1683" s="16" t="n">
        <v>12.0995003429594</v>
      </c>
      <c r="M1683" s="19" t="n">
        <v>0.416717233878761</v>
      </c>
      <c r="N1683" s="19" t="n">
        <v>0.941826010941196</v>
      </c>
      <c r="O1683" s="19" t="n">
        <v>0.891276588026211</v>
      </c>
      <c r="P1683" s="19" t="n">
        <v>0.638280585989058</v>
      </c>
      <c r="Q1683" s="17" t="s">
        <v>29</v>
      </c>
      <c r="R1683" s="5" t="str">
        <f aca="false">IF(OR(Q1683="Steel plate",Q1683="Concrete jacket"),"Steel plate or jacket",Q1683)</f>
        <v>Monitor</v>
      </c>
      <c r="S1683" s="5" t="str">
        <f aca="false">IF(O1683&lt;='Tree rules'!$C$4,IF(N1683&lt;='Tree rules'!$C$5,IF(P1683&lt;='Tree rules'!$C$6,"Monitor","Polymer laminate"),IF(P1683&lt;='Tree rules'!$C$7,"Seal cracks","Polymer laminate")),IF(O1683&lt;='Tree rules'!$C$8,IF(M1683&lt;='Tree rules'!$C$9,"Steel plate or jacket","Polymer laminate"),IF(L1683&lt;='Tree rules'!$C$10,"Steel plate or jacket","Polymer laminate")))</f>
        <v>Monitor</v>
      </c>
      <c r="T1683" s="5" t="str">
        <f aca="false">IF(S1683=R1683,"Yes","No")</f>
        <v>Yes</v>
      </c>
    </row>
    <row r="1684" customFormat="false" ht="15" hidden="false" customHeight="false" outlineLevel="0" collapsed="false">
      <c r="A1684" s="15" t="n">
        <v>2395</v>
      </c>
      <c r="B1684" s="16" t="n">
        <v>3.0070393928766</v>
      </c>
      <c r="C1684" s="15" t="n">
        <v>230</v>
      </c>
      <c r="D1684" s="15" t="n">
        <v>300</v>
      </c>
      <c r="E1684" s="15" t="n">
        <v>30</v>
      </c>
      <c r="F1684" s="16" t="n">
        <v>0.768324290280112</v>
      </c>
      <c r="G1684" s="17" t="s">
        <v>89</v>
      </c>
      <c r="H1684" s="18" t="n">
        <v>0.3</v>
      </c>
      <c r="I1684" s="18" t="n">
        <v>1</v>
      </c>
      <c r="J1684" s="19" t="n">
        <v>0.990111197130444</v>
      </c>
      <c r="K1684" s="19" t="n">
        <v>0.463426879765521</v>
      </c>
      <c r="L1684" s="16" t="n">
        <v>11.7462476284242</v>
      </c>
      <c r="M1684" s="19" t="n">
        <v>0.363419897278014</v>
      </c>
      <c r="N1684" s="19" t="n">
        <v>0.709546863326294</v>
      </c>
      <c r="O1684" s="19" t="n">
        <v>0.990111197130444</v>
      </c>
      <c r="P1684" s="19" t="n">
        <v>0.75727536037093</v>
      </c>
      <c r="Q1684" s="17" t="s">
        <v>29</v>
      </c>
      <c r="R1684" s="5" t="str">
        <f aca="false">IF(OR(Q1684="Steel plate",Q1684="Concrete jacket"),"Steel plate or jacket",Q1684)</f>
        <v>Monitor</v>
      </c>
      <c r="S1684" s="5" t="str">
        <f aca="false">IF(O1684&lt;='Tree rules'!$C$4,IF(N1684&lt;='Tree rules'!$C$5,IF(P1684&lt;='Tree rules'!$C$6,"Monitor","Polymer laminate"),IF(P1684&lt;='Tree rules'!$C$7,"Seal cracks","Polymer laminate")),IF(O1684&lt;='Tree rules'!$C$8,IF(M1684&lt;='Tree rules'!$C$9,"Steel plate or jacket","Polymer laminate"),IF(L1684&lt;='Tree rules'!$C$10,"Steel plate or jacket","Polymer laminate")))</f>
        <v>Monitor</v>
      </c>
      <c r="T1684" s="5" t="str">
        <f aca="false">IF(S1684=R1684,"Yes","No")</f>
        <v>Yes</v>
      </c>
    </row>
    <row r="1685" customFormat="false" ht="15" hidden="false" customHeight="false" outlineLevel="0" collapsed="false">
      <c r="A1685" s="15" t="n">
        <v>2400</v>
      </c>
      <c r="B1685" s="16" t="n">
        <v>7.09767297302937</v>
      </c>
      <c r="C1685" s="15" t="n">
        <v>230</v>
      </c>
      <c r="D1685" s="15" t="n">
        <v>675</v>
      </c>
      <c r="E1685" s="15" t="n">
        <v>20</v>
      </c>
      <c r="F1685" s="16" t="n">
        <v>0.555918794027087</v>
      </c>
      <c r="G1685" s="17" t="s">
        <v>89</v>
      </c>
      <c r="H1685" s="18" t="n">
        <v>0.3</v>
      </c>
      <c r="I1685" s="18" t="n">
        <v>1.5</v>
      </c>
      <c r="J1685" s="19" t="n">
        <v>0.902866588075618</v>
      </c>
      <c r="K1685" s="19" t="n">
        <v>0.504575844573548</v>
      </c>
      <c r="L1685" s="16" t="n">
        <v>11.2840587806508</v>
      </c>
      <c r="M1685" s="19" t="n">
        <v>0.362597505750027</v>
      </c>
      <c r="N1685" s="19" t="n">
        <v>0.736734432711282</v>
      </c>
      <c r="O1685" s="19" t="n">
        <v>1.12651754650568</v>
      </c>
      <c r="P1685" s="19" t="n">
        <v>0.894171284756044</v>
      </c>
      <c r="Q1685" s="17" t="s">
        <v>31</v>
      </c>
      <c r="R1685" s="5" t="str">
        <f aca="false">IF(OR(Q1685="Steel plate",Q1685="Concrete jacket"),"Steel plate or jacket",Q1685)</f>
        <v>Polymer laminate</v>
      </c>
      <c r="S1685" s="5" t="str">
        <f aca="false">IF(O1685&lt;='Tree rules'!$C$4,IF(N1685&lt;='Tree rules'!$C$5,IF(P1685&lt;='Tree rules'!$C$6,"Monitor","Polymer laminate"),IF(P1685&lt;='Tree rules'!$C$7,"Seal cracks","Polymer laminate")),IF(O1685&lt;='Tree rules'!$C$8,IF(M1685&lt;='Tree rules'!$C$9,"Steel plate or jacket","Polymer laminate"),IF(L1685&lt;='Tree rules'!$C$10,"Steel plate or jacket","Polymer laminate")))</f>
        <v>Polymer laminate</v>
      </c>
      <c r="T1685" s="5" t="str">
        <f aca="false">IF(S1685=R1685,"Yes","No")</f>
        <v>Yes</v>
      </c>
    </row>
    <row r="1686" customFormat="false" ht="15" hidden="false" customHeight="false" outlineLevel="0" collapsed="false">
      <c r="A1686" s="15" t="n">
        <v>2402</v>
      </c>
      <c r="B1686" s="16" t="n">
        <v>3.97839493719384</v>
      </c>
      <c r="C1686" s="15" t="n">
        <v>230</v>
      </c>
      <c r="D1686" s="15" t="n">
        <v>300</v>
      </c>
      <c r="E1686" s="15" t="n">
        <v>25</v>
      </c>
      <c r="F1686" s="16" t="n">
        <v>0.688332522525665</v>
      </c>
      <c r="G1686" s="17" t="s">
        <v>91</v>
      </c>
      <c r="H1686" s="18" t="n">
        <v>0.2</v>
      </c>
      <c r="I1686" s="18" t="n">
        <v>1</v>
      </c>
      <c r="J1686" s="19" t="n">
        <v>0.916904182737343</v>
      </c>
      <c r="K1686" s="19" t="n">
        <v>0.537561292279154</v>
      </c>
      <c r="L1686" s="16" t="n">
        <v>15.6629721936765</v>
      </c>
      <c r="M1686" s="19" t="n">
        <v>0.928892676339414</v>
      </c>
      <c r="N1686" s="19" t="n">
        <v>1.15288611535072</v>
      </c>
      <c r="O1686" s="19" t="n">
        <v>0.916904182737343</v>
      </c>
      <c r="P1686" s="19" t="n">
        <v>0.398843690933829</v>
      </c>
      <c r="Q1686" s="17" t="s">
        <v>30</v>
      </c>
      <c r="R1686" s="5" t="str">
        <f aca="false">IF(OR(Q1686="Steel plate",Q1686="Concrete jacket"),"Steel plate or jacket",Q1686)</f>
        <v>Seal cracks</v>
      </c>
      <c r="S1686" s="5" t="str">
        <f aca="false">IF(O1686&lt;='Tree rules'!$C$4,IF(N1686&lt;='Tree rules'!$C$5,IF(P1686&lt;='Tree rules'!$C$6,"Monitor","Polymer laminate"),IF(P1686&lt;='Tree rules'!$C$7,"Seal cracks","Polymer laminate")),IF(O1686&lt;='Tree rules'!$C$8,IF(M1686&lt;='Tree rules'!$C$9,"Steel plate or jacket","Polymer laminate"),IF(L1686&lt;='Tree rules'!$C$10,"Steel plate or jacket","Polymer laminate")))</f>
        <v>Seal cracks</v>
      </c>
      <c r="T1686" s="5" t="str">
        <f aca="false">IF(S1686=R1686,"Yes","No")</f>
        <v>Yes</v>
      </c>
    </row>
    <row r="1687" customFormat="false" ht="15" hidden="false" customHeight="false" outlineLevel="0" collapsed="false">
      <c r="A1687" s="15" t="n">
        <v>2404</v>
      </c>
      <c r="B1687" s="16" t="n">
        <v>4.29512837866596</v>
      </c>
      <c r="C1687" s="15" t="n">
        <v>300</v>
      </c>
      <c r="D1687" s="15" t="n">
        <v>350</v>
      </c>
      <c r="E1687" s="15" t="n">
        <v>25</v>
      </c>
      <c r="F1687" s="16" t="n">
        <v>0.661387927071535</v>
      </c>
      <c r="G1687" s="17" t="s">
        <v>91</v>
      </c>
      <c r="H1687" s="18" t="n">
        <v>0.2</v>
      </c>
      <c r="I1687" s="18" t="n">
        <v>1</v>
      </c>
      <c r="J1687" s="19" t="n">
        <v>0.988625029780221</v>
      </c>
      <c r="K1687" s="19" t="n">
        <v>0.464953870192208</v>
      </c>
      <c r="L1687" s="16" t="n">
        <v>14.1287117719275</v>
      </c>
      <c r="M1687" s="19" t="n">
        <v>0.54664361391226</v>
      </c>
      <c r="N1687" s="19" t="n">
        <v>1.23823958044125</v>
      </c>
      <c r="O1687" s="19" t="n">
        <v>0.988625029780221</v>
      </c>
      <c r="P1687" s="19" t="n">
        <v>0.623101220988764</v>
      </c>
      <c r="Q1687" s="17" t="s">
        <v>30</v>
      </c>
      <c r="R1687" s="5" t="str">
        <f aca="false">IF(OR(Q1687="Steel plate",Q1687="Concrete jacket"),"Steel plate or jacket",Q1687)</f>
        <v>Seal cracks</v>
      </c>
      <c r="S1687" s="5" t="str">
        <f aca="false">IF(O1687&lt;='Tree rules'!$C$4,IF(N1687&lt;='Tree rules'!$C$5,IF(P1687&lt;='Tree rules'!$C$6,"Monitor","Polymer laminate"),IF(P1687&lt;='Tree rules'!$C$7,"Seal cracks","Polymer laminate")),IF(O1687&lt;='Tree rules'!$C$8,IF(M1687&lt;='Tree rules'!$C$9,"Steel plate or jacket","Polymer laminate"),IF(L1687&lt;='Tree rules'!$C$10,"Steel plate or jacket","Polymer laminate")))</f>
        <v>Seal cracks</v>
      </c>
      <c r="T1687" s="5" t="str">
        <f aca="false">IF(S1687=R1687,"Yes","No")</f>
        <v>Yes</v>
      </c>
    </row>
    <row r="1688" customFormat="false" ht="15" hidden="false" customHeight="false" outlineLevel="0" collapsed="false">
      <c r="A1688" s="15" t="n">
        <v>2405</v>
      </c>
      <c r="B1688" s="16" t="n">
        <v>3.29319636840753</v>
      </c>
      <c r="C1688" s="15" t="n">
        <v>300</v>
      </c>
      <c r="D1688" s="15" t="n">
        <v>300</v>
      </c>
      <c r="E1688" s="15" t="n">
        <v>30</v>
      </c>
      <c r="F1688" s="16" t="n">
        <v>0.736310778185108</v>
      </c>
      <c r="G1688" s="17" t="s">
        <v>91</v>
      </c>
      <c r="H1688" s="18" t="n">
        <v>0.2</v>
      </c>
      <c r="I1688" s="18" t="n">
        <v>2</v>
      </c>
      <c r="J1688" s="19" t="n">
        <v>0.850157497285296</v>
      </c>
      <c r="K1688" s="19" t="n">
        <v>0.475925018815828</v>
      </c>
      <c r="L1688" s="16" t="n">
        <v>12.8640483140919</v>
      </c>
      <c r="M1688" s="19" t="n">
        <v>0.666141152883083</v>
      </c>
      <c r="N1688" s="19" t="n">
        <v>1.35888518006549</v>
      </c>
      <c r="O1688" s="19" t="n">
        <v>1.29570377167867</v>
      </c>
      <c r="P1688" s="19" t="n">
        <v>0.514105112473722</v>
      </c>
      <c r="Q1688" s="17" t="s">
        <v>31</v>
      </c>
      <c r="R1688" s="5" t="str">
        <f aca="false">IF(OR(Q1688="Steel plate",Q1688="Concrete jacket"),"Steel plate or jacket",Q1688)</f>
        <v>Polymer laminate</v>
      </c>
      <c r="S1688" s="5" t="str">
        <f aca="false">IF(O1688&lt;='Tree rules'!$C$4,IF(N1688&lt;='Tree rules'!$C$5,IF(P1688&lt;='Tree rules'!$C$6,"Monitor","Polymer laminate"),IF(P1688&lt;='Tree rules'!$C$7,"Seal cracks","Polymer laminate")),IF(O1688&lt;='Tree rules'!$C$8,IF(M1688&lt;='Tree rules'!$C$9,"Steel plate or jacket","Polymer laminate"),IF(L1688&lt;='Tree rules'!$C$10,"Steel plate or jacket","Polymer laminate")))</f>
        <v>Steel plate or jacket</v>
      </c>
      <c r="T1688" s="5" t="str">
        <f aca="false">IF(S1688=R1688,"Yes","No")</f>
        <v>No</v>
      </c>
    </row>
    <row r="1689" customFormat="false" ht="15" hidden="false" customHeight="false" outlineLevel="0" collapsed="false">
      <c r="A1689" s="15" t="n">
        <v>2407</v>
      </c>
      <c r="B1689" s="16" t="n">
        <v>3.83523110441201</v>
      </c>
      <c r="C1689" s="15" t="n">
        <v>300</v>
      </c>
      <c r="D1689" s="15" t="n">
        <v>300</v>
      </c>
      <c r="E1689" s="15" t="n">
        <v>25</v>
      </c>
      <c r="F1689" s="16" t="n">
        <v>0.831109167616348</v>
      </c>
      <c r="G1689" s="17" t="s">
        <v>91</v>
      </c>
      <c r="H1689" s="18" t="n">
        <v>0.2</v>
      </c>
      <c r="I1689" s="18" t="n">
        <v>2</v>
      </c>
      <c r="J1689" s="19" t="n">
        <v>0.874992773998666</v>
      </c>
      <c r="K1689" s="19" t="n">
        <v>0.40950381666715</v>
      </c>
      <c r="L1689" s="16" t="n">
        <v>15.219171049254</v>
      </c>
      <c r="M1689" s="19" t="n">
        <v>0.92864322776934</v>
      </c>
      <c r="N1689" s="19" t="n">
        <v>2.18943002930509</v>
      </c>
      <c r="O1689" s="19" t="n">
        <v>1.3916726674887</v>
      </c>
      <c r="P1689" s="19" t="n">
        <v>0.514016773148231</v>
      </c>
      <c r="Q1689" s="17" t="s">
        <v>31</v>
      </c>
      <c r="R1689" s="5" t="str">
        <f aca="false">IF(OR(Q1689="Steel plate",Q1689="Concrete jacket"),"Steel plate or jacket",Q1689)</f>
        <v>Polymer laminate</v>
      </c>
      <c r="S1689" s="5" t="str">
        <f aca="false">IF(O1689&lt;='Tree rules'!$C$4,IF(N1689&lt;='Tree rules'!$C$5,IF(P1689&lt;='Tree rules'!$C$6,"Monitor","Polymer laminate"),IF(P1689&lt;='Tree rules'!$C$7,"Seal cracks","Polymer laminate")),IF(O1689&lt;='Tree rules'!$C$8,IF(M1689&lt;='Tree rules'!$C$9,"Steel plate or jacket","Polymer laminate"),IF(L1689&lt;='Tree rules'!$C$10,"Steel plate or jacket","Polymer laminate")))</f>
        <v>Polymer laminate</v>
      </c>
      <c r="T1689" s="5" t="str">
        <f aca="false">IF(S1689=R1689,"Yes","No")</f>
        <v>Yes</v>
      </c>
    </row>
    <row r="1690" customFormat="false" ht="15" hidden="false" customHeight="false" outlineLevel="0" collapsed="false">
      <c r="A1690" s="15" t="n">
        <v>2408</v>
      </c>
      <c r="B1690" s="16" t="n">
        <v>7.86252162771124</v>
      </c>
      <c r="C1690" s="15" t="n">
        <v>300</v>
      </c>
      <c r="D1690" s="15" t="n">
        <v>750</v>
      </c>
      <c r="E1690" s="15" t="n">
        <v>25</v>
      </c>
      <c r="F1690" s="16" t="n">
        <v>0.596693761365583</v>
      </c>
      <c r="G1690" s="17" t="s">
        <v>91</v>
      </c>
      <c r="H1690" s="18" t="n">
        <v>0.2</v>
      </c>
      <c r="I1690" s="18" t="n">
        <v>1.5</v>
      </c>
      <c r="J1690" s="19" t="n">
        <v>0.89442585523344</v>
      </c>
      <c r="K1690" s="19" t="n">
        <v>0.546613836478201</v>
      </c>
      <c r="L1690" s="16" t="n">
        <v>11.2001732588479</v>
      </c>
      <c r="M1690" s="19" t="n">
        <v>0.374351859236888</v>
      </c>
      <c r="N1690" s="19" t="n">
        <v>1.18488915674472</v>
      </c>
      <c r="O1690" s="19" t="n">
        <v>1.09718600876294</v>
      </c>
      <c r="P1690" s="19" t="n">
        <v>0.865945228816622</v>
      </c>
      <c r="Q1690" s="17" t="s">
        <v>31</v>
      </c>
      <c r="R1690" s="5" t="str">
        <f aca="false">IF(OR(Q1690="Steel plate",Q1690="Concrete jacket"),"Steel plate or jacket",Q1690)</f>
        <v>Polymer laminate</v>
      </c>
      <c r="S1690" s="5" t="str">
        <f aca="false">IF(O1690&lt;='Tree rules'!$C$4,IF(N1690&lt;='Tree rules'!$C$5,IF(P1690&lt;='Tree rules'!$C$6,"Monitor","Polymer laminate"),IF(P1690&lt;='Tree rules'!$C$7,"Seal cracks","Polymer laminate")),IF(O1690&lt;='Tree rules'!$C$8,IF(M1690&lt;='Tree rules'!$C$9,"Steel plate or jacket","Polymer laminate"),IF(L1690&lt;='Tree rules'!$C$10,"Steel plate or jacket","Polymer laminate")))</f>
        <v>Polymer laminate</v>
      </c>
      <c r="T1690" s="5" t="str">
        <f aca="false">IF(S1690=R1690,"Yes","No")</f>
        <v>Yes</v>
      </c>
    </row>
    <row r="1691" customFormat="false" ht="15" hidden="false" customHeight="false" outlineLevel="0" collapsed="false">
      <c r="A1691" s="15" t="n">
        <v>2409</v>
      </c>
      <c r="B1691" s="16" t="n">
        <v>5.76702599785195</v>
      </c>
      <c r="C1691" s="15" t="n">
        <v>230</v>
      </c>
      <c r="D1691" s="15" t="n">
        <v>475</v>
      </c>
      <c r="E1691" s="15" t="n">
        <v>30</v>
      </c>
      <c r="F1691" s="16" t="n">
        <v>0.611316296229087</v>
      </c>
      <c r="G1691" s="17" t="s">
        <v>91</v>
      </c>
      <c r="H1691" s="18" t="n">
        <v>0.2</v>
      </c>
      <c r="I1691" s="18" t="n">
        <v>1.5</v>
      </c>
      <c r="J1691" s="19" t="n">
        <v>0.866732389345013</v>
      </c>
      <c r="K1691" s="19" t="n">
        <v>0.636196152621218</v>
      </c>
      <c r="L1691" s="16" t="n">
        <v>13.4429510439439</v>
      </c>
      <c r="M1691" s="19" t="n">
        <v>0.435682946606349</v>
      </c>
      <c r="N1691" s="19" t="n">
        <v>1.13636248697186</v>
      </c>
      <c r="O1691" s="19" t="n">
        <v>1.02439267829077</v>
      </c>
      <c r="P1691" s="19" t="n">
        <v>0.7867163170343</v>
      </c>
      <c r="Q1691" s="17" t="s">
        <v>31</v>
      </c>
      <c r="R1691" s="5" t="str">
        <f aca="false">IF(OR(Q1691="Steel plate",Q1691="Concrete jacket"),"Steel plate or jacket",Q1691)</f>
        <v>Polymer laminate</v>
      </c>
      <c r="S1691" s="5" t="str">
        <f aca="false">IF(O1691&lt;='Tree rules'!$C$4,IF(N1691&lt;='Tree rules'!$C$5,IF(P1691&lt;='Tree rules'!$C$6,"Monitor","Polymer laminate"),IF(P1691&lt;='Tree rules'!$C$7,"Seal cracks","Polymer laminate")),IF(O1691&lt;='Tree rules'!$C$8,IF(M1691&lt;='Tree rules'!$C$9,"Steel plate or jacket","Polymer laminate"),IF(L1691&lt;='Tree rules'!$C$10,"Steel plate or jacket","Polymer laminate")))</f>
        <v>Polymer laminate</v>
      </c>
      <c r="T1691" s="5" t="str">
        <f aca="false">IF(S1691=R1691,"Yes","No")</f>
        <v>Yes</v>
      </c>
    </row>
    <row r="1692" customFormat="false" ht="15" hidden="false" customHeight="false" outlineLevel="0" collapsed="false">
      <c r="A1692" s="15" t="n">
        <v>2410</v>
      </c>
      <c r="B1692" s="16" t="n">
        <v>6.01744461076449</v>
      </c>
      <c r="C1692" s="15" t="n">
        <v>230</v>
      </c>
      <c r="D1692" s="15" t="n">
        <v>500</v>
      </c>
      <c r="E1692" s="15" t="n">
        <v>30</v>
      </c>
      <c r="F1692" s="16" t="n">
        <v>0.577653504586516</v>
      </c>
      <c r="G1692" s="17" t="s">
        <v>89</v>
      </c>
      <c r="H1692" s="18" t="n">
        <v>0.3</v>
      </c>
      <c r="I1692" s="18" t="n">
        <v>2</v>
      </c>
      <c r="J1692" s="19" t="n">
        <v>0.967531684746861</v>
      </c>
      <c r="K1692" s="19" t="n">
        <v>0.407884556686961</v>
      </c>
      <c r="L1692" s="16" t="n">
        <v>13.2542832836222</v>
      </c>
      <c r="M1692" s="19" t="n">
        <v>0.433772552935864</v>
      </c>
      <c r="N1692" s="19" t="n">
        <v>1.15142146421861</v>
      </c>
      <c r="O1692" s="19" t="n">
        <v>1.54042213718016</v>
      </c>
      <c r="P1692" s="19" t="n">
        <v>0.852273149500585</v>
      </c>
      <c r="Q1692" s="17" t="s">
        <v>31</v>
      </c>
      <c r="R1692" s="5" t="str">
        <f aca="false">IF(OR(Q1692="Steel plate",Q1692="Concrete jacket"),"Steel plate or jacket",Q1692)</f>
        <v>Polymer laminate</v>
      </c>
      <c r="S1692" s="5" t="str">
        <f aca="false">IF(O1692&lt;='Tree rules'!$C$4,IF(N1692&lt;='Tree rules'!$C$5,IF(P1692&lt;='Tree rules'!$C$6,"Monitor","Polymer laminate"),IF(P1692&lt;='Tree rules'!$C$7,"Seal cracks","Polymer laminate")),IF(O1692&lt;='Tree rules'!$C$8,IF(M1692&lt;='Tree rules'!$C$9,"Steel plate or jacket","Polymer laminate"),IF(L1692&lt;='Tree rules'!$C$10,"Steel plate or jacket","Polymer laminate")))</f>
        <v>Polymer laminate</v>
      </c>
      <c r="T1692" s="5" t="str">
        <f aca="false">IF(S1692=R1692,"Yes","No")</f>
        <v>Yes</v>
      </c>
    </row>
    <row r="1693" customFormat="false" ht="15" hidden="false" customHeight="false" outlineLevel="0" collapsed="false">
      <c r="A1693" s="15" t="n">
        <v>2411</v>
      </c>
      <c r="B1693" s="16" t="n">
        <v>3.11518521911387</v>
      </c>
      <c r="C1693" s="15" t="n">
        <v>300</v>
      </c>
      <c r="D1693" s="15" t="n">
        <v>300</v>
      </c>
      <c r="E1693" s="15" t="n">
        <v>30</v>
      </c>
      <c r="F1693" s="16" t="n">
        <v>0.736310778185108</v>
      </c>
      <c r="G1693" s="17" t="s">
        <v>91</v>
      </c>
      <c r="H1693" s="18" t="n">
        <v>0.2</v>
      </c>
      <c r="I1693" s="18" t="n">
        <v>2</v>
      </c>
      <c r="J1693" s="19" t="n">
        <v>0.891151727426517</v>
      </c>
      <c r="K1693" s="19" t="n">
        <v>0.523993870471676</v>
      </c>
      <c r="L1693" s="16" t="n">
        <v>12.1686922621636</v>
      </c>
      <c r="M1693" s="19" t="n">
        <v>0.734309561554009</v>
      </c>
      <c r="N1693" s="19" t="n">
        <v>1.36591889785186</v>
      </c>
      <c r="O1693" s="19" t="n">
        <v>1.31534541202129</v>
      </c>
      <c r="P1693" s="19" t="n">
        <v>0.469888932607628</v>
      </c>
      <c r="Q1693" s="17" t="s">
        <v>31</v>
      </c>
      <c r="R1693" s="5" t="str">
        <f aca="false">IF(OR(Q1693="Steel plate",Q1693="Concrete jacket"),"Steel plate or jacket",Q1693)</f>
        <v>Polymer laminate</v>
      </c>
      <c r="S1693" s="5" t="str">
        <f aca="false">IF(O1693&lt;='Tree rules'!$C$4,IF(N1693&lt;='Tree rules'!$C$5,IF(P1693&lt;='Tree rules'!$C$6,"Monitor","Polymer laminate"),IF(P1693&lt;='Tree rules'!$C$7,"Seal cracks","Polymer laminate")),IF(O1693&lt;='Tree rules'!$C$8,IF(M1693&lt;='Tree rules'!$C$9,"Steel plate or jacket","Polymer laminate"),IF(L1693&lt;='Tree rules'!$C$10,"Steel plate or jacket","Polymer laminate")))</f>
        <v>Steel plate or jacket</v>
      </c>
      <c r="T1693" s="5" t="str">
        <f aca="false">IF(S1693=R1693,"Yes","No")</f>
        <v>No</v>
      </c>
    </row>
    <row r="1694" customFormat="false" ht="15" hidden="false" customHeight="false" outlineLevel="0" collapsed="false">
      <c r="A1694" s="15" t="n">
        <v>2413</v>
      </c>
      <c r="B1694" s="16" t="n">
        <v>5.16240774873876</v>
      </c>
      <c r="C1694" s="15" t="n">
        <v>230</v>
      </c>
      <c r="D1694" s="15" t="n">
        <v>450</v>
      </c>
      <c r="E1694" s="15" t="n">
        <v>20</v>
      </c>
      <c r="F1694" s="16" t="n">
        <v>0.649145274956135</v>
      </c>
      <c r="G1694" s="17" t="s">
        <v>89</v>
      </c>
      <c r="H1694" s="18" t="n">
        <v>0.3</v>
      </c>
      <c r="I1694" s="18" t="n">
        <v>1</v>
      </c>
      <c r="J1694" s="19" t="n">
        <v>0.853147028259854</v>
      </c>
      <c r="K1694" s="19" t="n">
        <v>0.570098352829534</v>
      </c>
      <c r="L1694" s="16" t="n">
        <v>12.7782370018286</v>
      </c>
      <c r="M1694" s="19" t="n">
        <v>0.898418036359556</v>
      </c>
      <c r="N1694" s="19" t="n">
        <v>0.544380708329023</v>
      </c>
      <c r="O1694" s="19" t="n">
        <v>0.853147028259854</v>
      </c>
      <c r="P1694" s="19" t="n">
        <v>0.397813979877473</v>
      </c>
      <c r="Q1694" s="17" t="s">
        <v>29</v>
      </c>
      <c r="R1694" s="5" t="str">
        <f aca="false">IF(OR(Q1694="Steel plate",Q1694="Concrete jacket"),"Steel plate or jacket",Q1694)</f>
        <v>Monitor</v>
      </c>
      <c r="S1694" s="5" t="str">
        <f aca="false">IF(O1694&lt;='Tree rules'!$C$4,IF(N1694&lt;='Tree rules'!$C$5,IF(P1694&lt;='Tree rules'!$C$6,"Monitor","Polymer laminate"),IF(P1694&lt;='Tree rules'!$C$7,"Seal cracks","Polymer laminate")),IF(O1694&lt;='Tree rules'!$C$8,IF(M1694&lt;='Tree rules'!$C$9,"Steel plate or jacket","Polymer laminate"),IF(L1694&lt;='Tree rules'!$C$10,"Steel plate or jacket","Polymer laminate")))</f>
        <v>Monitor</v>
      </c>
      <c r="T1694" s="5" t="str">
        <f aca="false">IF(S1694=R1694,"Yes","No")</f>
        <v>Yes</v>
      </c>
    </row>
    <row r="1695" customFormat="false" ht="15" hidden="false" customHeight="false" outlineLevel="0" collapsed="false">
      <c r="A1695" s="15" t="n">
        <v>2414</v>
      </c>
      <c r="B1695" s="16" t="n">
        <v>3.10236402089053</v>
      </c>
      <c r="C1695" s="15" t="n">
        <v>230</v>
      </c>
      <c r="D1695" s="15" t="n">
        <v>300</v>
      </c>
      <c r="E1695" s="15" t="n">
        <v>25</v>
      </c>
      <c r="F1695" s="16" t="n">
        <v>0.688332522525665</v>
      </c>
      <c r="G1695" s="17" t="s">
        <v>91</v>
      </c>
      <c r="H1695" s="18" t="n">
        <v>0.2</v>
      </c>
      <c r="I1695" s="18" t="n">
        <v>1</v>
      </c>
      <c r="J1695" s="19" t="n">
        <v>0.970173162988222</v>
      </c>
      <c r="K1695" s="19" t="n">
        <v>0.466354786864057</v>
      </c>
      <c r="L1695" s="16" t="n">
        <v>12.2140315783092</v>
      </c>
      <c r="M1695" s="19" t="n">
        <v>0.531096672757252</v>
      </c>
      <c r="N1695" s="19" t="n">
        <v>1.35932289696764</v>
      </c>
      <c r="O1695" s="19" t="n">
        <v>0.970173162988222</v>
      </c>
      <c r="P1695" s="19" t="n">
        <v>0.514306151317702</v>
      </c>
      <c r="Q1695" s="17" t="s">
        <v>30</v>
      </c>
      <c r="R1695" s="5" t="str">
        <f aca="false">IF(OR(Q1695="Steel plate",Q1695="Concrete jacket"),"Steel plate or jacket",Q1695)</f>
        <v>Seal cracks</v>
      </c>
      <c r="S1695" s="5" t="str">
        <f aca="false">IF(O1695&lt;='Tree rules'!$C$4,IF(N1695&lt;='Tree rules'!$C$5,IF(P1695&lt;='Tree rules'!$C$6,"Monitor","Polymer laminate"),IF(P1695&lt;='Tree rules'!$C$7,"Seal cracks","Polymer laminate")),IF(O1695&lt;='Tree rules'!$C$8,IF(M1695&lt;='Tree rules'!$C$9,"Steel plate or jacket","Polymer laminate"),IF(L1695&lt;='Tree rules'!$C$10,"Steel plate or jacket","Polymer laminate")))</f>
        <v>Seal cracks</v>
      </c>
      <c r="T1695" s="5" t="str">
        <f aca="false">IF(S1695=R1695,"Yes","No")</f>
        <v>Yes</v>
      </c>
    </row>
    <row r="1696" customFormat="false" ht="15" hidden="false" customHeight="false" outlineLevel="0" collapsed="false">
      <c r="A1696" s="15" t="n">
        <v>2416</v>
      </c>
      <c r="B1696" s="16" t="n">
        <v>3.94847582761825</v>
      </c>
      <c r="C1696" s="15" t="n">
        <v>230</v>
      </c>
      <c r="D1696" s="15" t="n">
        <v>350</v>
      </c>
      <c r="E1696" s="15" t="n">
        <v>30</v>
      </c>
      <c r="F1696" s="16" t="n">
        <v>0.9045760591966</v>
      </c>
      <c r="G1696" s="17" t="s">
        <v>89</v>
      </c>
      <c r="H1696" s="18" t="n">
        <v>0.3</v>
      </c>
      <c r="I1696" s="18" t="n">
        <v>1.5</v>
      </c>
      <c r="J1696" s="19" t="n">
        <v>0.887288576925683</v>
      </c>
      <c r="K1696" s="19" t="n">
        <v>0.471564689168779</v>
      </c>
      <c r="L1696" s="16" t="n">
        <v>13.0744232702591</v>
      </c>
      <c r="M1696" s="19" t="n">
        <v>0.939952908335696</v>
      </c>
      <c r="N1696" s="19" t="n">
        <v>1.00521690156961</v>
      </c>
      <c r="O1696" s="19" t="n">
        <v>1.12172588439804</v>
      </c>
      <c r="P1696" s="19" t="n">
        <v>0.436656724315548</v>
      </c>
      <c r="Q1696" s="17" t="s">
        <v>31</v>
      </c>
      <c r="R1696" s="5" t="str">
        <f aca="false">IF(OR(Q1696="Steel plate",Q1696="Concrete jacket"),"Steel plate or jacket",Q1696)</f>
        <v>Polymer laminate</v>
      </c>
      <c r="S1696" s="5" t="str">
        <f aca="false">IF(O1696&lt;='Tree rules'!$C$4,IF(N1696&lt;='Tree rules'!$C$5,IF(P1696&lt;='Tree rules'!$C$6,"Monitor","Polymer laminate"),IF(P1696&lt;='Tree rules'!$C$7,"Seal cracks","Polymer laminate")),IF(O1696&lt;='Tree rules'!$C$8,IF(M1696&lt;='Tree rules'!$C$9,"Steel plate or jacket","Polymer laminate"),IF(L1696&lt;='Tree rules'!$C$10,"Steel plate or jacket","Polymer laminate")))</f>
        <v>Polymer laminate</v>
      </c>
      <c r="T1696" s="5" t="str">
        <f aca="false">IF(S1696=R1696,"Yes","No")</f>
        <v>Yes</v>
      </c>
    </row>
    <row r="1697" customFormat="false" ht="15" hidden="false" customHeight="false" outlineLevel="0" collapsed="false">
      <c r="A1697" s="15" t="n">
        <v>2417</v>
      </c>
      <c r="B1697" s="16" t="n">
        <v>3.99651386410448</v>
      </c>
      <c r="C1697" s="15" t="n">
        <v>300</v>
      </c>
      <c r="D1697" s="15" t="n">
        <v>400</v>
      </c>
      <c r="E1697" s="15" t="n">
        <v>20</v>
      </c>
      <c r="F1697" s="16" t="n">
        <v>0.594998608634431</v>
      </c>
      <c r="G1697" s="17" t="s">
        <v>89</v>
      </c>
      <c r="H1697" s="18" t="n">
        <v>0.3</v>
      </c>
      <c r="I1697" s="18" t="n">
        <v>1.5</v>
      </c>
      <c r="J1697" s="19" t="n">
        <v>0.888901855248843</v>
      </c>
      <c r="K1697" s="19" t="n">
        <v>0.408953082769083</v>
      </c>
      <c r="L1697" s="16" t="n">
        <v>11.3537325684786</v>
      </c>
      <c r="M1697" s="19" t="n">
        <v>0.321603408642057</v>
      </c>
      <c r="N1697" s="19" t="n">
        <v>1.37032168239593</v>
      </c>
      <c r="O1697" s="19" t="n">
        <v>1.15159320588168</v>
      </c>
      <c r="P1697" s="19" t="n">
        <v>0.853791050164778</v>
      </c>
      <c r="Q1697" s="17" t="s">
        <v>31</v>
      </c>
      <c r="R1697" s="5" t="str">
        <f aca="false">IF(OR(Q1697="Steel plate",Q1697="Concrete jacket"),"Steel plate or jacket",Q1697)</f>
        <v>Polymer laminate</v>
      </c>
      <c r="S1697" s="5" t="str">
        <f aca="false">IF(O1697&lt;='Tree rules'!$C$4,IF(N1697&lt;='Tree rules'!$C$5,IF(P1697&lt;='Tree rules'!$C$6,"Monitor","Polymer laminate"),IF(P1697&lt;='Tree rules'!$C$7,"Seal cracks","Polymer laminate")),IF(O1697&lt;='Tree rules'!$C$8,IF(M1697&lt;='Tree rules'!$C$9,"Steel plate or jacket","Polymer laminate"),IF(L1697&lt;='Tree rules'!$C$10,"Steel plate or jacket","Polymer laminate")))</f>
        <v>Polymer laminate</v>
      </c>
      <c r="T1697" s="5" t="str">
        <f aca="false">IF(S1697=R1697,"Yes","No")</f>
        <v>Yes</v>
      </c>
    </row>
    <row r="1698" customFormat="false" ht="15" hidden="false" customHeight="false" outlineLevel="0" collapsed="false">
      <c r="A1698" s="15" t="n">
        <v>2418</v>
      </c>
      <c r="B1698" s="16" t="n">
        <v>6.7815263507777</v>
      </c>
      <c r="C1698" s="15" t="n">
        <v>300</v>
      </c>
      <c r="D1698" s="15" t="n">
        <v>600</v>
      </c>
      <c r="E1698" s="15" t="n">
        <v>25</v>
      </c>
      <c r="F1698" s="16" t="n">
        <v>0.780035419885734</v>
      </c>
      <c r="G1698" s="17" t="s">
        <v>90</v>
      </c>
      <c r="H1698" s="18" t="n">
        <v>0.1</v>
      </c>
      <c r="I1698" s="18" t="n">
        <v>1</v>
      </c>
      <c r="J1698" s="19" t="n">
        <v>0.912341236519299</v>
      </c>
      <c r="K1698" s="19" t="n">
        <v>0.427732800274351</v>
      </c>
      <c r="L1698" s="16" t="n">
        <v>12.6285406904613</v>
      </c>
      <c r="M1698" s="19" t="n">
        <v>0.906479561620868</v>
      </c>
      <c r="N1698" s="19" t="n">
        <v>2.24229095650974</v>
      </c>
      <c r="O1698" s="19" t="n">
        <v>0.912341236519299</v>
      </c>
      <c r="P1698" s="19" t="n">
        <v>0.400873330610349</v>
      </c>
      <c r="Q1698" s="17" t="s">
        <v>30</v>
      </c>
      <c r="R1698" s="5" t="str">
        <f aca="false">IF(OR(Q1698="Steel plate",Q1698="Concrete jacket"),"Steel plate or jacket",Q1698)</f>
        <v>Seal cracks</v>
      </c>
      <c r="S1698" s="5" t="str">
        <f aca="false">IF(O1698&lt;='Tree rules'!$C$4,IF(N1698&lt;='Tree rules'!$C$5,IF(P1698&lt;='Tree rules'!$C$6,"Monitor","Polymer laminate"),IF(P1698&lt;='Tree rules'!$C$7,"Seal cracks","Polymer laminate")),IF(O1698&lt;='Tree rules'!$C$8,IF(M1698&lt;='Tree rules'!$C$9,"Steel plate or jacket","Polymer laminate"),IF(L1698&lt;='Tree rules'!$C$10,"Steel plate or jacket","Polymer laminate")))</f>
        <v>Seal cracks</v>
      </c>
      <c r="T1698" s="5" t="str">
        <f aca="false">IF(S1698=R1698,"Yes","No")</f>
        <v>Yes</v>
      </c>
    </row>
    <row r="1699" customFormat="false" ht="15" hidden="false" customHeight="false" outlineLevel="0" collapsed="false">
      <c r="A1699" s="15" t="n">
        <v>2419</v>
      </c>
      <c r="B1699" s="16" t="n">
        <v>6.18931559007376</v>
      </c>
      <c r="C1699" s="15" t="n">
        <v>230</v>
      </c>
      <c r="D1699" s="15" t="n">
        <v>625</v>
      </c>
      <c r="E1699" s="15" t="n">
        <v>20</v>
      </c>
      <c r="F1699" s="16" t="n">
        <v>0.710178431223674</v>
      </c>
      <c r="G1699" s="17" t="s">
        <v>91</v>
      </c>
      <c r="H1699" s="18" t="n">
        <v>0.2</v>
      </c>
      <c r="I1699" s="18" t="n">
        <v>2</v>
      </c>
      <c r="J1699" s="19" t="n">
        <v>0.975869059084666</v>
      </c>
      <c r="K1699" s="19" t="n">
        <v>0.465462637695182</v>
      </c>
      <c r="L1699" s="16" t="n">
        <v>10.7267167938887</v>
      </c>
      <c r="M1699" s="19" t="n">
        <v>0.886555204566206</v>
      </c>
      <c r="N1699" s="19" t="n">
        <v>1.48903418180974</v>
      </c>
      <c r="O1699" s="19" t="n">
        <v>1.49750753188267</v>
      </c>
      <c r="P1699" s="19" t="n">
        <v>0.513982611818081</v>
      </c>
      <c r="Q1699" s="17" t="s">
        <v>93</v>
      </c>
      <c r="R1699" s="5" t="str">
        <f aca="false">IF(OR(Q1699="Steel plate",Q1699="Concrete jacket"),"Steel plate or jacket",Q1699)</f>
        <v>Steel plate or jacket</v>
      </c>
      <c r="S1699" s="5" t="str">
        <f aca="false">IF(O1699&lt;='Tree rules'!$C$4,IF(N1699&lt;='Tree rules'!$C$5,IF(P1699&lt;='Tree rules'!$C$6,"Monitor","Polymer laminate"),IF(P1699&lt;='Tree rules'!$C$7,"Seal cracks","Polymer laminate")),IF(O1699&lt;='Tree rules'!$C$8,IF(M1699&lt;='Tree rules'!$C$9,"Steel plate or jacket","Polymer laminate"),IF(L1699&lt;='Tree rules'!$C$10,"Steel plate or jacket","Polymer laminate")))</f>
        <v>Steel plate or jacket</v>
      </c>
      <c r="T1699" s="5" t="str">
        <f aca="false">IF(S1699=R1699,"Yes","No")</f>
        <v>Yes</v>
      </c>
    </row>
    <row r="1700" customFormat="false" ht="15" hidden="false" customHeight="false" outlineLevel="0" collapsed="false">
      <c r="A1700" s="15" t="n">
        <v>2420</v>
      </c>
      <c r="B1700" s="16" t="n">
        <v>5.68987068658673</v>
      </c>
      <c r="C1700" s="15" t="n">
        <v>300</v>
      </c>
      <c r="D1700" s="15" t="n">
        <v>525</v>
      </c>
      <c r="E1700" s="15" t="n">
        <v>25</v>
      </c>
      <c r="F1700" s="16" t="n">
        <v>0.658614812073332</v>
      </c>
      <c r="G1700" s="17" t="s">
        <v>89</v>
      </c>
      <c r="H1700" s="18" t="n">
        <v>0.3</v>
      </c>
      <c r="I1700" s="18" t="n">
        <v>2</v>
      </c>
      <c r="J1700" s="19" t="n">
        <v>0.867771004322852</v>
      </c>
      <c r="K1700" s="19" t="n">
        <v>0.548266218887768</v>
      </c>
      <c r="L1700" s="16" t="n">
        <v>11.9284500767017</v>
      </c>
      <c r="M1700" s="19" t="n">
        <v>0.601601725157313</v>
      </c>
      <c r="N1700" s="19" t="n">
        <v>1.04255758147404</v>
      </c>
      <c r="O1700" s="19" t="n">
        <v>1.25977248124517</v>
      </c>
      <c r="P1700" s="19" t="n">
        <v>0.634185070024676</v>
      </c>
      <c r="Q1700" s="17" t="s">
        <v>31</v>
      </c>
      <c r="R1700" s="5" t="str">
        <f aca="false">IF(OR(Q1700="Steel plate",Q1700="Concrete jacket"),"Steel plate or jacket",Q1700)</f>
        <v>Polymer laminate</v>
      </c>
      <c r="S1700" s="5" t="str">
        <f aca="false">IF(O1700&lt;='Tree rules'!$C$4,IF(N1700&lt;='Tree rules'!$C$5,IF(P1700&lt;='Tree rules'!$C$6,"Monitor","Polymer laminate"),IF(P1700&lt;='Tree rules'!$C$7,"Seal cracks","Polymer laminate")),IF(O1700&lt;='Tree rules'!$C$8,IF(M1700&lt;='Tree rules'!$C$9,"Steel plate or jacket","Polymer laminate"),IF(L1700&lt;='Tree rules'!$C$10,"Steel plate or jacket","Polymer laminate")))</f>
        <v>Polymer laminate</v>
      </c>
      <c r="T1700" s="5" t="str">
        <f aca="false">IF(S1700=R1700,"Yes","No")</f>
        <v>Yes</v>
      </c>
    </row>
    <row r="1701" customFormat="false" ht="15" hidden="false" customHeight="false" outlineLevel="0" collapsed="false">
      <c r="A1701" s="15" t="n">
        <v>2421</v>
      </c>
      <c r="B1701" s="16" t="n">
        <v>6.45467415494935</v>
      </c>
      <c r="C1701" s="15" t="n">
        <v>300</v>
      </c>
      <c r="D1701" s="15" t="n">
        <v>550</v>
      </c>
      <c r="E1701" s="15" t="n">
        <v>20</v>
      </c>
      <c r="F1701" s="16" t="n">
        <v>0.664887334093078</v>
      </c>
      <c r="G1701" s="17" t="s">
        <v>89</v>
      </c>
      <c r="H1701" s="18" t="n">
        <v>0.3</v>
      </c>
      <c r="I1701" s="18" t="n">
        <v>1</v>
      </c>
      <c r="J1701" s="19" t="n">
        <v>0.903574112927267</v>
      </c>
      <c r="K1701" s="19" t="n">
        <v>0.45536006924122</v>
      </c>
      <c r="L1701" s="16" t="n">
        <v>12.8068931645821</v>
      </c>
      <c r="M1701" s="19" t="n">
        <v>0.37307342466919</v>
      </c>
      <c r="N1701" s="19" t="n">
        <v>0.605012040044685</v>
      </c>
      <c r="O1701" s="19" t="n">
        <v>0.903574112927267</v>
      </c>
      <c r="P1701" s="19" t="n">
        <v>0.921155568048406</v>
      </c>
      <c r="Q1701" s="17" t="s">
        <v>29</v>
      </c>
      <c r="R1701" s="5" t="str">
        <f aca="false">IF(OR(Q1701="Steel plate",Q1701="Concrete jacket"),"Steel plate or jacket",Q1701)</f>
        <v>Monitor</v>
      </c>
      <c r="S1701" s="5" t="str">
        <f aca="false">IF(O1701&lt;='Tree rules'!$C$4,IF(N1701&lt;='Tree rules'!$C$5,IF(P1701&lt;='Tree rules'!$C$6,"Monitor","Polymer laminate"),IF(P1701&lt;='Tree rules'!$C$7,"Seal cracks","Polymer laminate")),IF(O1701&lt;='Tree rules'!$C$8,IF(M1701&lt;='Tree rules'!$C$9,"Steel plate or jacket","Polymer laminate"),IF(L1701&lt;='Tree rules'!$C$10,"Steel plate or jacket","Polymer laminate")))</f>
        <v>Monitor</v>
      </c>
      <c r="T1701" s="5" t="str">
        <f aca="false">IF(S1701=R1701,"Yes","No")</f>
        <v>Yes</v>
      </c>
    </row>
    <row r="1702" customFormat="false" ht="15" hidden="false" customHeight="false" outlineLevel="0" collapsed="false">
      <c r="A1702" s="15" t="n">
        <v>2422</v>
      </c>
      <c r="B1702" s="16" t="n">
        <v>5.90785983606995</v>
      </c>
      <c r="C1702" s="15" t="n">
        <v>230</v>
      </c>
      <c r="D1702" s="15" t="n">
        <v>575</v>
      </c>
      <c r="E1702" s="15" t="n">
        <v>25</v>
      </c>
      <c r="F1702" s="16" t="n">
        <v>0.661007412935799</v>
      </c>
      <c r="G1702" s="17" t="s">
        <v>91</v>
      </c>
      <c r="H1702" s="18" t="n">
        <v>0.2</v>
      </c>
      <c r="I1702" s="18" t="n">
        <v>1</v>
      </c>
      <c r="J1702" s="19" t="n">
        <v>0.948482491894289</v>
      </c>
      <c r="K1702" s="19" t="n">
        <v>0.564618233363682</v>
      </c>
      <c r="L1702" s="16" t="n">
        <v>11.1679770058033</v>
      </c>
      <c r="M1702" s="19" t="n">
        <v>0.808618771687993</v>
      </c>
      <c r="N1702" s="19" t="n">
        <v>0.853598693676015</v>
      </c>
      <c r="O1702" s="19" t="n">
        <v>0.948482491894289</v>
      </c>
      <c r="P1702" s="19" t="n">
        <v>0.423310114047804</v>
      </c>
      <c r="Q1702" s="17" t="s">
        <v>29</v>
      </c>
      <c r="R1702" s="5" t="str">
        <f aca="false">IF(OR(Q1702="Steel plate",Q1702="Concrete jacket"),"Steel plate or jacket",Q1702)</f>
        <v>Monitor</v>
      </c>
      <c r="S1702" s="5" t="str">
        <f aca="false">IF(O1702&lt;='Tree rules'!$C$4,IF(N1702&lt;='Tree rules'!$C$5,IF(P1702&lt;='Tree rules'!$C$6,"Monitor","Polymer laminate"),IF(P1702&lt;='Tree rules'!$C$7,"Seal cracks","Polymer laminate")),IF(O1702&lt;='Tree rules'!$C$8,IF(M1702&lt;='Tree rules'!$C$9,"Steel plate or jacket","Polymer laminate"),IF(L1702&lt;='Tree rules'!$C$10,"Steel plate or jacket","Polymer laminate")))</f>
        <v>Monitor</v>
      </c>
      <c r="T1702" s="5" t="str">
        <f aca="false">IF(S1702=R1702,"Yes","No")</f>
        <v>Yes</v>
      </c>
    </row>
    <row r="1703" customFormat="false" ht="15" hidden="false" customHeight="false" outlineLevel="0" collapsed="false">
      <c r="A1703" s="15" t="n">
        <v>2423</v>
      </c>
      <c r="B1703" s="16" t="n">
        <v>5.50086657357048</v>
      </c>
      <c r="C1703" s="15" t="n">
        <v>230</v>
      </c>
      <c r="D1703" s="15" t="n">
        <v>525</v>
      </c>
      <c r="E1703" s="15" t="n">
        <v>30</v>
      </c>
      <c r="F1703" s="16" t="n">
        <v>0.88695444765381</v>
      </c>
      <c r="G1703" s="17" t="s">
        <v>90</v>
      </c>
      <c r="H1703" s="18" t="n">
        <v>0.1</v>
      </c>
      <c r="I1703" s="18" t="n">
        <v>1</v>
      </c>
      <c r="J1703" s="19" t="n">
        <v>0.884822498019488</v>
      </c>
      <c r="K1703" s="19" t="n">
        <v>0.562523687100236</v>
      </c>
      <c r="L1703" s="16" t="n">
        <v>11.9066376051309</v>
      </c>
      <c r="M1703" s="19" t="n">
        <v>0.455287008540127</v>
      </c>
      <c r="N1703" s="19" t="n">
        <v>2.45382855403899</v>
      </c>
      <c r="O1703" s="19" t="n">
        <v>0.884822498019488</v>
      </c>
      <c r="P1703" s="19" t="n">
        <v>0.756570702520918</v>
      </c>
      <c r="Q1703" s="17" t="s">
        <v>30</v>
      </c>
      <c r="R1703" s="5" t="str">
        <f aca="false">IF(OR(Q1703="Steel plate",Q1703="Concrete jacket"),"Steel plate or jacket",Q1703)</f>
        <v>Seal cracks</v>
      </c>
      <c r="S1703" s="5" t="str">
        <f aca="false">IF(O1703&lt;='Tree rules'!$C$4,IF(N1703&lt;='Tree rules'!$C$5,IF(P1703&lt;='Tree rules'!$C$6,"Monitor","Polymer laminate"),IF(P1703&lt;='Tree rules'!$C$7,"Seal cracks","Polymer laminate")),IF(O1703&lt;='Tree rules'!$C$8,IF(M1703&lt;='Tree rules'!$C$9,"Steel plate or jacket","Polymer laminate"),IF(L1703&lt;='Tree rules'!$C$10,"Steel plate or jacket","Polymer laminate")))</f>
        <v>Seal cracks</v>
      </c>
      <c r="T1703" s="5" t="str">
        <f aca="false">IF(S1703=R1703,"Yes","No")</f>
        <v>Yes</v>
      </c>
    </row>
    <row r="1704" customFormat="false" ht="15" hidden="false" customHeight="false" outlineLevel="0" collapsed="false">
      <c r="A1704" s="15" t="n">
        <v>2424</v>
      </c>
      <c r="B1704" s="16" t="n">
        <v>3.33024553614448</v>
      </c>
      <c r="C1704" s="15" t="n">
        <v>230</v>
      </c>
      <c r="D1704" s="15" t="n">
        <v>325</v>
      </c>
      <c r="E1704" s="15" t="n">
        <v>30</v>
      </c>
      <c r="F1704" s="16" t="n">
        <v>0.98621649775225</v>
      </c>
      <c r="G1704" s="17" t="s">
        <v>91</v>
      </c>
      <c r="H1704" s="18" t="n">
        <v>0.2</v>
      </c>
      <c r="I1704" s="18" t="n">
        <v>2</v>
      </c>
      <c r="J1704" s="19" t="n">
        <v>0.947102574187401</v>
      </c>
      <c r="K1704" s="19" t="n">
        <v>0.442692901218103</v>
      </c>
      <c r="L1704" s="16" t="n">
        <v>12.0225470618934</v>
      </c>
      <c r="M1704" s="19" t="n">
        <v>0.533998907443645</v>
      </c>
      <c r="N1704" s="19" t="n">
        <v>2.12372999663451</v>
      </c>
      <c r="O1704" s="19" t="n">
        <v>1.47492956205665</v>
      </c>
      <c r="P1704" s="19" t="n">
        <v>0.819420170268589</v>
      </c>
      <c r="Q1704" s="17" t="s">
        <v>31</v>
      </c>
      <c r="R1704" s="5" t="str">
        <f aca="false">IF(OR(Q1704="Steel plate",Q1704="Concrete jacket"),"Steel plate or jacket",Q1704)</f>
        <v>Polymer laminate</v>
      </c>
      <c r="S1704" s="5" t="str">
        <f aca="false">IF(O1704&lt;='Tree rules'!$C$4,IF(N1704&lt;='Tree rules'!$C$5,IF(P1704&lt;='Tree rules'!$C$6,"Monitor","Polymer laminate"),IF(P1704&lt;='Tree rules'!$C$7,"Seal cracks","Polymer laminate")),IF(O1704&lt;='Tree rules'!$C$8,IF(M1704&lt;='Tree rules'!$C$9,"Steel plate or jacket","Polymer laminate"),IF(L1704&lt;='Tree rules'!$C$10,"Steel plate or jacket","Polymer laminate")))</f>
        <v>Steel plate or jacket</v>
      </c>
      <c r="T1704" s="5" t="str">
        <f aca="false">IF(S1704=R1704,"Yes","No")</f>
        <v>No</v>
      </c>
    </row>
    <row r="1705" customFormat="false" ht="15" hidden="false" customHeight="false" outlineLevel="0" collapsed="false">
      <c r="A1705" s="15" t="n">
        <v>2426</v>
      </c>
      <c r="B1705" s="16" t="n">
        <v>4.10538807295546</v>
      </c>
      <c r="C1705" s="15" t="n">
        <v>300</v>
      </c>
      <c r="D1705" s="15" t="n">
        <v>375</v>
      </c>
      <c r="E1705" s="15" t="n">
        <v>30</v>
      </c>
      <c r="F1705" s="16" t="n">
        <v>0.814840647739602</v>
      </c>
      <c r="G1705" s="17" t="s">
        <v>89</v>
      </c>
      <c r="H1705" s="18" t="n">
        <v>0.3</v>
      </c>
      <c r="I1705" s="18" t="n">
        <v>1</v>
      </c>
      <c r="J1705" s="19" t="n">
        <v>0.935054931050078</v>
      </c>
      <c r="K1705" s="19" t="n">
        <v>0.542315639936959</v>
      </c>
      <c r="L1705" s="16" t="n">
        <v>12.4783832004725</v>
      </c>
      <c r="M1705" s="19" t="n">
        <v>0.870076350420207</v>
      </c>
      <c r="N1705" s="19" t="n">
        <v>0.644298591118525</v>
      </c>
      <c r="O1705" s="19" t="n">
        <v>0.935054931050078</v>
      </c>
      <c r="P1705" s="19" t="n">
        <v>0.423129618242146</v>
      </c>
      <c r="Q1705" s="17" t="s">
        <v>29</v>
      </c>
      <c r="R1705" s="5" t="str">
        <f aca="false">IF(OR(Q1705="Steel plate",Q1705="Concrete jacket"),"Steel plate or jacket",Q1705)</f>
        <v>Monitor</v>
      </c>
      <c r="S1705" s="5" t="str">
        <f aca="false">IF(O1705&lt;='Tree rules'!$C$4,IF(N1705&lt;='Tree rules'!$C$5,IF(P1705&lt;='Tree rules'!$C$6,"Monitor","Polymer laminate"),IF(P1705&lt;='Tree rules'!$C$7,"Seal cracks","Polymer laminate")),IF(O1705&lt;='Tree rules'!$C$8,IF(M1705&lt;='Tree rules'!$C$9,"Steel plate or jacket","Polymer laminate"),IF(L1705&lt;='Tree rules'!$C$10,"Steel plate or jacket","Polymer laminate")))</f>
        <v>Monitor</v>
      </c>
      <c r="T1705" s="5" t="str">
        <f aca="false">IF(S1705=R1705,"Yes","No")</f>
        <v>Yes</v>
      </c>
    </row>
    <row r="1706" customFormat="false" ht="15" hidden="false" customHeight="false" outlineLevel="0" collapsed="false">
      <c r="A1706" s="15" t="n">
        <v>2427</v>
      </c>
      <c r="B1706" s="16" t="n">
        <v>3.80492092151547</v>
      </c>
      <c r="C1706" s="15" t="n">
        <v>300</v>
      </c>
      <c r="D1706" s="15" t="n">
        <v>350</v>
      </c>
      <c r="E1706" s="15" t="n">
        <v>25</v>
      </c>
      <c r="F1706" s="16" t="n">
        <v>0.647751062595834</v>
      </c>
      <c r="G1706" s="17" t="s">
        <v>90</v>
      </c>
      <c r="H1706" s="18" t="n">
        <v>0.1</v>
      </c>
      <c r="I1706" s="18" t="n">
        <v>1.5</v>
      </c>
      <c r="J1706" s="19" t="n">
        <v>0.932124066104024</v>
      </c>
      <c r="K1706" s="19" t="n">
        <v>0.574483862675789</v>
      </c>
      <c r="L1706" s="16" t="n">
        <v>13.0753296272009</v>
      </c>
      <c r="M1706" s="19" t="n">
        <v>0.439408535957893</v>
      </c>
      <c r="N1706" s="19" t="n">
        <v>3.21614224257692</v>
      </c>
      <c r="O1706" s="19" t="n">
        <v>1.13044098216178</v>
      </c>
      <c r="P1706" s="19" t="n">
        <v>0.700103688117276</v>
      </c>
      <c r="Q1706" s="17" t="s">
        <v>31</v>
      </c>
      <c r="R1706" s="5" t="str">
        <f aca="false">IF(OR(Q1706="Steel plate",Q1706="Concrete jacket"),"Steel plate or jacket",Q1706)</f>
        <v>Polymer laminate</v>
      </c>
      <c r="S1706" s="5" t="str">
        <f aca="false">IF(O1706&lt;='Tree rules'!$C$4,IF(N1706&lt;='Tree rules'!$C$5,IF(P1706&lt;='Tree rules'!$C$6,"Monitor","Polymer laminate"),IF(P1706&lt;='Tree rules'!$C$7,"Seal cracks","Polymer laminate")),IF(O1706&lt;='Tree rules'!$C$8,IF(M1706&lt;='Tree rules'!$C$9,"Steel plate or jacket","Polymer laminate"),IF(L1706&lt;='Tree rules'!$C$10,"Steel plate or jacket","Polymer laminate")))</f>
        <v>Polymer laminate</v>
      </c>
      <c r="T1706" s="5" t="str">
        <f aca="false">IF(S1706=R1706,"Yes","No")</f>
        <v>Yes</v>
      </c>
    </row>
    <row r="1707" customFormat="false" ht="15" hidden="false" customHeight="false" outlineLevel="0" collapsed="false">
      <c r="A1707" s="15" t="n">
        <v>2428</v>
      </c>
      <c r="B1707" s="16" t="n">
        <v>4.92114811639098</v>
      </c>
      <c r="C1707" s="15" t="n">
        <v>300</v>
      </c>
      <c r="D1707" s="15" t="n">
        <v>425</v>
      </c>
      <c r="E1707" s="15" t="n">
        <v>20</v>
      </c>
      <c r="F1707" s="16" t="n">
        <v>0.555542467478301</v>
      </c>
      <c r="G1707" s="17" t="s">
        <v>89</v>
      </c>
      <c r="H1707" s="18" t="n">
        <v>0.3</v>
      </c>
      <c r="I1707" s="18" t="n">
        <v>1.5</v>
      </c>
      <c r="J1707" s="19" t="n">
        <v>0.891575114836896</v>
      </c>
      <c r="K1707" s="19" t="n">
        <v>0.632607537723631</v>
      </c>
      <c r="L1707" s="16" t="n">
        <v>13.0534432795517</v>
      </c>
      <c r="M1707" s="19" t="n">
        <v>0.917616146733819</v>
      </c>
      <c r="N1707" s="19" t="n">
        <v>1.0825336202721</v>
      </c>
      <c r="O1707" s="19" t="n">
        <v>1.05535410320903</v>
      </c>
      <c r="P1707" s="19" t="n">
        <v>0.40215843658559</v>
      </c>
      <c r="Q1707" s="17" t="s">
        <v>31</v>
      </c>
      <c r="R1707" s="5" t="str">
        <f aca="false">IF(OR(Q1707="Steel plate",Q1707="Concrete jacket"),"Steel plate or jacket",Q1707)</f>
        <v>Polymer laminate</v>
      </c>
      <c r="S1707" s="5" t="str">
        <f aca="false">IF(O1707&lt;='Tree rules'!$C$4,IF(N1707&lt;='Tree rules'!$C$5,IF(P1707&lt;='Tree rules'!$C$6,"Monitor","Polymer laminate"),IF(P1707&lt;='Tree rules'!$C$7,"Seal cracks","Polymer laminate")),IF(O1707&lt;='Tree rules'!$C$8,IF(M1707&lt;='Tree rules'!$C$9,"Steel plate or jacket","Polymer laminate"),IF(L1707&lt;='Tree rules'!$C$10,"Steel plate or jacket","Polymer laminate")))</f>
        <v>Polymer laminate</v>
      </c>
      <c r="T1707" s="5" t="str">
        <f aca="false">IF(S1707=R1707,"Yes","No")</f>
        <v>Yes</v>
      </c>
    </row>
    <row r="1708" customFormat="false" ht="15" hidden="false" customHeight="false" outlineLevel="0" collapsed="false">
      <c r="A1708" s="15" t="n">
        <v>2431</v>
      </c>
      <c r="B1708" s="16" t="n">
        <v>6.19292925681298</v>
      </c>
      <c r="C1708" s="15" t="n">
        <v>300</v>
      </c>
      <c r="D1708" s="15" t="n">
        <v>500</v>
      </c>
      <c r="E1708" s="15" t="n">
        <v>20</v>
      </c>
      <c r="F1708" s="16" t="n">
        <v>0.590490249132883</v>
      </c>
      <c r="G1708" s="17" t="s">
        <v>91</v>
      </c>
      <c r="H1708" s="18" t="n">
        <v>0.2</v>
      </c>
      <c r="I1708" s="18" t="n">
        <v>1.5</v>
      </c>
      <c r="J1708" s="19" t="n">
        <v>0.853720466137079</v>
      </c>
      <c r="K1708" s="19" t="n">
        <v>0.478822257953767</v>
      </c>
      <c r="L1708" s="16" t="n">
        <v>13.6408133409978</v>
      </c>
      <c r="M1708" s="19" t="n">
        <v>0.473872757597507</v>
      </c>
      <c r="N1708" s="19" t="n">
        <v>1.15997659402314</v>
      </c>
      <c r="O1708" s="19" t="n">
        <v>1.07619051857707</v>
      </c>
      <c r="P1708" s="19" t="n">
        <v>0.770176232177116</v>
      </c>
      <c r="Q1708" s="17" t="s">
        <v>31</v>
      </c>
      <c r="R1708" s="5" t="str">
        <f aca="false">IF(OR(Q1708="Steel plate",Q1708="Concrete jacket"),"Steel plate or jacket",Q1708)</f>
        <v>Polymer laminate</v>
      </c>
      <c r="S1708" s="5" t="str">
        <f aca="false">IF(O1708&lt;='Tree rules'!$C$4,IF(N1708&lt;='Tree rules'!$C$5,IF(P1708&lt;='Tree rules'!$C$6,"Monitor","Polymer laminate"),IF(P1708&lt;='Tree rules'!$C$7,"Seal cracks","Polymer laminate")),IF(O1708&lt;='Tree rules'!$C$8,IF(M1708&lt;='Tree rules'!$C$9,"Steel plate or jacket","Polymer laminate"),IF(L1708&lt;='Tree rules'!$C$10,"Steel plate or jacket","Polymer laminate")))</f>
        <v>Polymer laminate</v>
      </c>
      <c r="T1708" s="5" t="str">
        <f aca="false">IF(S1708=R1708,"Yes","No")</f>
        <v>Yes</v>
      </c>
    </row>
    <row r="1709" customFormat="false" ht="15" hidden="false" customHeight="false" outlineLevel="0" collapsed="false">
      <c r="A1709" s="15" t="n">
        <v>2432</v>
      </c>
      <c r="B1709" s="16" t="n">
        <v>4.125495603736</v>
      </c>
      <c r="C1709" s="15" t="n">
        <v>230</v>
      </c>
      <c r="D1709" s="15" t="n">
        <v>400</v>
      </c>
      <c r="E1709" s="15" t="n">
        <v>30</v>
      </c>
      <c r="F1709" s="16" t="n">
        <v>0.740832460684402</v>
      </c>
      <c r="G1709" s="17" t="s">
        <v>91</v>
      </c>
      <c r="H1709" s="18" t="n">
        <v>0.2</v>
      </c>
      <c r="I1709" s="18" t="n">
        <v>2</v>
      </c>
      <c r="J1709" s="19" t="n">
        <v>0.966504630838974</v>
      </c>
      <c r="K1709" s="19" t="n">
        <v>0.576389111220434</v>
      </c>
      <c r="L1709" s="16" t="n">
        <v>11.653942383435</v>
      </c>
      <c r="M1709" s="19" t="n">
        <v>0.930581545898468</v>
      </c>
      <c r="N1709" s="19" t="n">
        <v>1.45585756177276</v>
      </c>
      <c r="O1709" s="19" t="n">
        <v>1.37592651651824</v>
      </c>
      <c r="P1709" s="19" t="n">
        <v>0.440620054560552</v>
      </c>
      <c r="Q1709" s="17" t="s">
        <v>31</v>
      </c>
      <c r="R1709" s="5" t="str">
        <f aca="false">IF(OR(Q1709="Steel plate",Q1709="Concrete jacket"),"Steel plate or jacket",Q1709)</f>
        <v>Polymer laminate</v>
      </c>
      <c r="S1709" s="5" t="str">
        <f aca="false">IF(O1709&lt;='Tree rules'!$C$4,IF(N1709&lt;='Tree rules'!$C$5,IF(P1709&lt;='Tree rules'!$C$6,"Monitor","Polymer laminate"),IF(P1709&lt;='Tree rules'!$C$7,"Seal cracks","Polymer laminate")),IF(O1709&lt;='Tree rules'!$C$8,IF(M1709&lt;='Tree rules'!$C$9,"Steel plate or jacket","Polymer laminate"),IF(L1709&lt;='Tree rules'!$C$10,"Steel plate or jacket","Polymer laminate")))</f>
        <v>Steel plate or jacket</v>
      </c>
      <c r="T1709" s="5" t="str">
        <f aca="false">IF(S1709=R1709,"Yes","No")</f>
        <v>No</v>
      </c>
    </row>
    <row r="1710" customFormat="false" ht="15" hidden="false" customHeight="false" outlineLevel="0" collapsed="false">
      <c r="A1710" s="15" t="n">
        <v>2435</v>
      </c>
      <c r="B1710" s="16" t="n">
        <v>6.40629657823723</v>
      </c>
      <c r="C1710" s="15" t="n">
        <v>300</v>
      </c>
      <c r="D1710" s="15" t="n">
        <v>575</v>
      </c>
      <c r="E1710" s="15" t="n">
        <v>30</v>
      </c>
      <c r="F1710" s="16" t="n">
        <v>0.79483685100311</v>
      </c>
      <c r="G1710" s="17" t="s">
        <v>89</v>
      </c>
      <c r="H1710" s="18" t="n">
        <v>0.3</v>
      </c>
      <c r="I1710" s="18" t="n">
        <v>1.5</v>
      </c>
      <c r="J1710" s="19" t="n">
        <v>0.881657672092604</v>
      </c>
      <c r="K1710" s="19" t="n">
        <v>0.580560252125895</v>
      </c>
      <c r="L1710" s="16" t="n">
        <v>12.1561604900137</v>
      </c>
      <c r="M1710" s="19" t="n">
        <v>0.779824343764273</v>
      </c>
      <c r="N1710" s="19" t="n">
        <v>0.730576292607383</v>
      </c>
      <c r="O1710" s="19" t="n">
        <v>1.0665588079395</v>
      </c>
      <c r="P1710" s="19" t="n">
        <v>0.537104729399569</v>
      </c>
      <c r="Q1710" s="17" t="s">
        <v>31</v>
      </c>
      <c r="R1710" s="5" t="str">
        <f aca="false">IF(OR(Q1710="Steel plate",Q1710="Concrete jacket"),"Steel plate or jacket",Q1710)</f>
        <v>Polymer laminate</v>
      </c>
      <c r="S1710" s="5" t="str">
        <f aca="false">IF(O1710&lt;='Tree rules'!$C$4,IF(N1710&lt;='Tree rules'!$C$5,IF(P1710&lt;='Tree rules'!$C$6,"Monitor","Polymer laminate"),IF(P1710&lt;='Tree rules'!$C$7,"Seal cracks","Polymer laminate")),IF(O1710&lt;='Tree rules'!$C$8,IF(M1710&lt;='Tree rules'!$C$9,"Steel plate or jacket","Polymer laminate"),IF(L1710&lt;='Tree rules'!$C$10,"Steel plate or jacket","Polymer laminate")))</f>
        <v>Polymer laminate</v>
      </c>
      <c r="T1710" s="5" t="str">
        <f aca="false">IF(S1710=R1710,"Yes","No")</f>
        <v>Yes</v>
      </c>
    </row>
    <row r="1711" customFormat="false" ht="15" hidden="false" customHeight="false" outlineLevel="0" collapsed="false">
      <c r="A1711" s="15" t="n">
        <v>2437</v>
      </c>
      <c r="B1711" s="16" t="n">
        <v>4.62886792423886</v>
      </c>
      <c r="C1711" s="15" t="n">
        <v>230</v>
      </c>
      <c r="D1711" s="15" t="n">
        <v>400</v>
      </c>
      <c r="E1711" s="15" t="n">
        <v>30</v>
      </c>
      <c r="F1711" s="16" t="n">
        <v>0.776085141697083</v>
      </c>
      <c r="G1711" s="17" t="s">
        <v>89</v>
      </c>
      <c r="H1711" s="18" t="n">
        <v>0.3</v>
      </c>
      <c r="I1711" s="18" t="n">
        <v>1</v>
      </c>
      <c r="J1711" s="19" t="n">
        <v>0.892915753105606</v>
      </c>
      <c r="K1711" s="19" t="n">
        <v>0.567075661922902</v>
      </c>
      <c r="L1711" s="16" t="n">
        <v>13.1501929665877</v>
      </c>
      <c r="M1711" s="19" t="n">
        <v>0.929024103249053</v>
      </c>
      <c r="N1711" s="19" t="n">
        <v>0.773216244345705</v>
      </c>
      <c r="O1711" s="19" t="n">
        <v>0.892915753105606</v>
      </c>
      <c r="P1711" s="19" t="n">
        <v>0.396352317821729</v>
      </c>
      <c r="Q1711" s="17" t="s">
        <v>29</v>
      </c>
      <c r="R1711" s="5" t="str">
        <f aca="false">IF(OR(Q1711="Steel plate",Q1711="Concrete jacket"),"Steel plate or jacket",Q1711)</f>
        <v>Monitor</v>
      </c>
      <c r="S1711" s="5" t="str">
        <f aca="false">IF(O1711&lt;='Tree rules'!$C$4,IF(N1711&lt;='Tree rules'!$C$5,IF(P1711&lt;='Tree rules'!$C$6,"Monitor","Polymer laminate"),IF(P1711&lt;='Tree rules'!$C$7,"Seal cracks","Polymer laminate")),IF(O1711&lt;='Tree rules'!$C$8,IF(M1711&lt;='Tree rules'!$C$9,"Steel plate or jacket","Polymer laminate"),IF(L1711&lt;='Tree rules'!$C$10,"Steel plate or jacket","Polymer laminate")))</f>
        <v>Monitor</v>
      </c>
      <c r="T1711" s="5" t="str">
        <f aca="false">IF(S1711=R1711,"Yes","No")</f>
        <v>Yes</v>
      </c>
    </row>
    <row r="1712" customFormat="false" ht="15" hidden="false" customHeight="false" outlineLevel="0" collapsed="false">
      <c r="A1712" s="15" t="n">
        <v>2439</v>
      </c>
      <c r="B1712" s="16" t="n">
        <v>3.86108707354617</v>
      </c>
      <c r="C1712" s="15" t="n">
        <v>300</v>
      </c>
      <c r="D1712" s="15" t="n">
        <v>350</v>
      </c>
      <c r="E1712" s="15" t="n">
        <v>30</v>
      </c>
      <c r="F1712" s="16" t="n">
        <v>0.881850569428714</v>
      </c>
      <c r="G1712" s="17" t="s">
        <v>89</v>
      </c>
      <c r="H1712" s="18" t="n">
        <v>0.3</v>
      </c>
      <c r="I1712" s="18" t="n">
        <v>1</v>
      </c>
      <c r="J1712" s="19" t="n">
        <v>0.850407377542459</v>
      </c>
      <c r="K1712" s="19" t="n">
        <v>0.467077517466733</v>
      </c>
      <c r="L1712" s="16" t="n">
        <v>12.7009443208756</v>
      </c>
      <c r="M1712" s="19" t="n">
        <v>0.909603724339622</v>
      </c>
      <c r="N1712" s="19" t="n">
        <v>0.580558635288683</v>
      </c>
      <c r="O1712" s="19" t="n">
        <v>0.850407377542459</v>
      </c>
      <c r="P1712" s="19" t="n">
        <v>0.373615182762894</v>
      </c>
      <c r="Q1712" s="17" t="s">
        <v>29</v>
      </c>
      <c r="R1712" s="5" t="str">
        <f aca="false">IF(OR(Q1712="Steel plate",Q1712="Concrete jacket"),"Steel plate or jacket",Q1712)</f>
        <v>Monitor</v>
      </c>
      <c r="S1712" s="5" t="str">
        <f aca="false">IF(O1712&lt;='Tree rules'!$C$4,IF(N1712&lt;='Tree rules'!$C$5,IF(P1712&lt;='Tree rules'!$C$6,"Monitor","Polymer laminate"),IF(P1712&lt;='Tree rules'!$C$7,"Seal cracks","Polymer laminate")),IF(O1712&lt;='Tree rules'!$C$8,IF(M1712&lt;='Tree rules'!$C$9,"Steel plate or jacket","Polymer laminate"),IF(L1712&lt;='Tree rules'!$C$10,"Steel plate or jacket","Polymer laminate")))</f>
        <v>Monitor</v>
      </c>
      <c r="T1712" s="5" t="str">
        <f aca="false">IF(S1712=R1712,"Yes","No")</f>
        <v>Yes</v>
      </c>
    </row>
    <row r="1713" customFormat="false" ht="15" hidden="false" customHeight="false" outlineLevel="0" collapsed="false">
      <c r="A1713" s="15" t="n">
        <v>2443</v>
      </c>
      <c r="B1713" s="16" t="n">
        <v>3.97767059309449</v>
      </c>
      <c r="C1713" s="15" t="n">
        <v>300</v>
      </c>
      <c r="D1713" s="15" t="n">
        <v>350</v>
      </c>
      <c r="E1713" s="15" t="n">
        <v>25</v>
      </c>
      <c r="F1713" s="16" t="n">
        <v>0.661387927071535</v>
      </c>
      <c r="G1713" s="17" t="s">
        <v>91</v>
      </c>
      <c r="H1713" s="18" t="n">
        <v>0.2</v>
      </c>
      <c r="I1713" s="18" t="n">
        <v>1.5</v>
      </c>
      <c r="J1713" s="19" t="n">
        <v>0.923109814283421</v>
      </c>
      <c r="K1713" s="19" t="n">
        <v>0.507126304555241</v>
      </c>
      <c r="L1713" s="16" t="n">
        <v>13.0844427404424</v>
      </c>
      <c r="M1713" s="19" t="n">
        <v>0.883408347108344</v>
      </c>
      <c r="N1713" s="19" t="n">
        <v>1.35753356900018</v>
      </c>
      <c r="O1713" s="19" t="n">
        <v>1.15059808701702</v>
      </c>
      <c r="P1713" s="19" t="n">
        <v>0.408104896514558</v>
      </c>
      <c r="Q1713" s="17" t="s">
        <v>31</v>
      </c>
      <c r="R1713" s="5" t="str">
        <f aca="false">IF(OR(Q1713="Steel plate",Q1713="Concrete jacket"),"Steel plate or jacket",Q1713)</f>
        <v>Polymer laminate</v>
      </c>
      <c r="S1713" s="5" t="str">
        <f aca="false">IF(O1713&lt;='Tree rules'!$C$4,IF(N1713&lt;='Tree rules'!$C$5,IF(P1713&lt;='Tree rules'!$C$6,"Monitor","Polymer laminate"),IF(P1713&lt;='Tree rules'!$C$7,"Seal cracks","Polymer laminate")),IF(O1713&lt;='Tree rules'!$C$8,IF(M1713&lt;='Tree rules'!$C$9,"Steel plate or jacket","Polymer laminate"),IF(L1713&lt;='Tree rules'!$C$10,"Steel plate or jacket","Polymer laminate")))</f>
        <v>Polymer laminate</v>
      </c>
      <c r="T1713" s="5" t="str">
        <f aca="false">IF(S1713=R1713,"Yes","No")</f>
        <v>Yes</v>
      </c>
    </row>
    <row r="1714" customFormat="false" ht="15" hidden="false" customHeight="false" outlineLevel="0" collapsed="false">
      <c r="A1714" s="15" t="n">
        <v>2444</v>
      </c>
      <c r="B1714" s="16" t="n">
        <v>6.01977450436305</v>
      </c>
      <c r="C1714" s="15" t="n">
        <v>300</v>
      </c>
      <c r="D1714" s="15" t="n">
        <v>550</v>
      </c>
      <c r="E1714" s="15" t="n">
        <v>25</v>
      </c>
      <c r="F1714" s="16" t="n">
        <v>0.685282651089798</v>
      </c>
      <c r="G1714" s="17" t="s">
        <v>90</v>
      </c>
      <c r="H1714" s="18" t="n">
        <v>0.1</v>
      </c>
      <c r="I1714" s="18" t="n">
        <v>2</v>
      </c>
      <c r="J1714" s="19" t="n">
        <v>0.851595233744732</v>
      </c>
      <c r="K1714" s="19" t="n">
        <v>0.632112330943261</v>
      </c>
      <c r="L1714" s="16" t="n">
        <v>12.3103773095359</v>
      </c>
      <c r="M1714" s="19" t="n">
        <v>0.699924052232646</v>
      </c>
      <c r="N1714" s="19" t="n">
        <v>2.98093642574279</v>
      </c>
      <c r="O1714" s="19" t="n">
        <v>1.16488661926691</v>
      </c>
      <c r="P1714" s="19" t="n">
        <v>0.556378807362183</v>
      </c>
      <c r="Q1714" s="17" t="s">
        <v>31</v>
      </c>
      <c r="R1714" s="5" t="str">
        <f aca="false">IF(OR(Q1714="Steel plate",Q1714="Concrete jacket"),"Steel plate or jacket",Q1714)</f>
        <v>Polymer laminate</v>
      </c>
      <c r="S1714" s="5" t="str">
        <f aca="false">IF(O1714&lt;='Tree rules'!$C$4,IF(N1714&lt;='Tree rules'!$C$5,IF(P1714&lt;='Tree rules'!$C$6,"Monitor","Polymer laminate"),IF(P1714&lt;='Tree rules'!$C$7,"Seal cracks","Polymer laminate")),IF(O1714&lt;='Tree rules'!$C$8,IF(M1714&lt;='Tree rules'!$C$9,"Steel plate or jacket","Polymer laminate"),IF(L1714&lt;='Tree rules'!$C$10,"Steel plate or jacket","Polymer laminate")))</f>
        <v>Polymer laminate</v>
      </c>
      <c r="T1714" s="5" t="str">
        <f aca="false">IF(S1714=R1714,"Yes","No")</f>
        <v>Yes</v>
      </c>
    </row>
    <row r="1715" customFormat="false" ht="15" hidden="false" customHeight="false" outlineLevel="0" collapsed="false">
      <c r="A1715" s="15" t="n">
        <v>2445</v>
      </c>
      <c r="B1715" s="16" t="n">
        <v>4.51845909231712</v>
      </c>
      <c r="C1715" s="15" t="n">
        <v>300</v>
      </c>
      <c r="D1715" s="15" t="n">
        <v>350</v>
      </c>
      <c r="E1715" s="15" t="n">
        <v>20</v>
      </c>
      <c r="F1715" s="16" t="n">
        <v>0.661387927071535</v>
      </c>
      <c r="G1715" s="17" t="s">
        <v>89</v>
      </c>
      <c r="H1715" s="18" t="n">
        <v>0.3</v>
      </c>
      <c r="I1715" s="18" t="n">
        <v>1.5</v>
      </c>
      <c r="J1715" s="19" t="n">
        <v>0.868922671631394</v>
      </c>
      <c r="K1715" s="19" t="n">
        <v>0.417493718628608</v>
      </c>
      <c r="L1715" s="16" t="n">
        <v>14.8633522773589</v>
      </c>
      <c r="M1715" s="19" t="n">
        <v>0.91670032168657</v>
      </c>
      <c r="N1715" s="19" t="n">
        <v>0.860850543336164</v>
      </c>
      <c r="O1715" s="19" t="n">
        <v>1.12199912875704</v>
      </c>
      <c r="P1715" s="19" t="n">
        <v>0.437824906914721</v>
      </c>
      <c r="Q1715" s="17" t="s">
        <v>31</v>
      </c>
      <c r="R1715" s="5" t="str">
        <f aca="false">IF(OR(Q1715="Steel plate",Q1715="Concrete jacket"),"Steel plate or jacket",Q1715)</f>
        <v>Polymer laminate</v>
      </c>
      <c r="S1715" s="5" t="str">
        <f aca="false">IF(O1715&lt;='Tree rules'!$C$4,IF(N1715&lt;='Tree rules'!$C$5,IF(P1715&lt;='Tree rules'!$C$6,"Monitor","Polymer laminate"),IF(P1715&lt;='Tree rules'!$C$7,"Seal cracks","Polymer laminate")),IF(O1715&lt;='Tree rules'!$C$8,IF(M1715&lt;='Tree rules'!$C$9,"Steel plate or jacket","Polymer laminate"),IF(L1715&lt;='Tree rules'!$C$10,"Steel plate or jacket","Polymer laminate")))</f>
        <v>Polymer laminate</v>
      </c>
      <c r="T1715" s="5" t="str">
        <f aca="false">IF(S1715=R1715,"Yes","No")</f>
        <v>Yes</v>
      </c>
    </row>
    <row r="1716" customFormat="false" ht="15" hidden="false" customHeight="false" outlineLevel="0" collapsed="false">
      <c r="A1716" s="15" t="n">
        <v>2446</v>
      </c>
      <c r="B1716" s="16" t="n">
        <v>4.80982160997874</v>
      </c>
      <c r="C1716" s="15" t="n">
        <v>300</v>
      </c>
      <c r="D1716" s="15" t="n">
        <v>400</v>
      </c>
      <c r="E1716" s="15" t="n">
        <v>30</v>
      </c>
      <c r="F1716" s="16" t="n">
        <v>0.635378289490071</v>
      </c>
      <c r="G1716" s="17" t="s">
        <v>91</v>
      </c>
      <c r="H1716" s="18" t="n">
        <v>0.2</v>
      </c>
      <c r="I1716" s="18" t="n">
        <v>2</v>
      </c>
      <c r="J1716" s="19" t="n">
        <v>0.97522900408022</v>
      </c>
      <c r="K1716" s="19" t="n">
        <v>0.495819227449696</v>
      </c>
      <c r="L1716" s="16" t="n">
        <v>13.5107348594908</v>
      </c>
      <c r="M1716" s="19" t="n">
        <v>0.376323664453571</v>
      </c>
      <c r="N1716" s="19" t="n">
        <v>1.50291014253063</v>
      </c>
      <c r="O1716" s="19" t="n">
        <v>1.46692071677085</v>
      </c>
      <c r="P1716" s="19" t="n">
        <v>1.05076935954274</v>
      </c>
      <c r="Q1716" s="17" t="s">
        <v>31</v>
      </c>
      <c r="R1716" s="5" t="str">
        <f aca="false">IF(OR(Q1716="Steel plate",Q1716="Concrete jacket"),"Steel plate or jacket",Q1716)</f>
        <v>Polymer laminate</v>
      </c>
      <c r="S1716" s="5" t="str">
        <f aca="false">IF(O1716&lt;='Tree rules'!$C$4,IF(N1716&lt;='Tree rules'!$C$5,IF(P1716&lt;='Tree rules'!$C$6,"Monitor","Polymer laminate"),IF(P1716&lt;='Tree rules'!$C$7,"Seal cracks","Polymer laminate")),IF(O1716&lt;='Tree rules'!$C$8,IF(M1716&lt;='Tree rules'!$C$9,"Steel plate or jacket","Polymer laminate"),IF(L1716&lt;='Tree rules'!$C$10,"Steel plate or jacket","Polymer laminate")))</f>
        <v>Polymer laminate</v>
      </c>
      <c r="T1716" s="5" t="str">
        <f aca="false">IF(S1716=R1716,"Yes","No")</f>
        <v>Yes</v>
      </c>
    </row>
    <row r="1717" customFormat="false" ht="15" hidden="false" customHeight="false" outlineLevel="0" collapsed="false">
      <c r="A1717" s="15" t="n">
        <v>2450</v>
      </c>
      <c r="B1717" s="16" t="n">
        <v>6.65129680939462</v>
      </c>
      <c r="C1717" s="15" t="n">
        <v>230</v>
      </c>
      <c r="D1717" s="15" t="n">
        <v>575</v>
      </c>
      <c r="E1717" s="15" t="n">
        <v>25</v>
      </c>
      <c r="F1717" s="16" t="n">
        <v>0.661007412935799</v>
      </c>
      <c r="G1717" s="17" t="s">
        <v>89</v>
      </c>
      <c r="H1717" s="18" t="n">
        <v>0.3</v>
      </c>
      <c r="I1717" s="18" t="n">
        <v>1.5</v>
      </c>
      <c r="J1717" s="19" t="n">
        <v>0.873930999562223</v>
      </c>
      <c r="K1717" s="19" t="n">
        <v>0.486466559909707</v>
      </c>
      <c r="L1717" s="16" t="n">
        <v>12.5733399043377</v>
      </c>
      <c r="M1717" s="19" t="n">
        <v>0.888773459300369</v>
      </c>
      <c r="N1717" s="19" t="n">
        <v>0.659298488893255</v>
      </c>
      <c r="O1717" s="19" t="n">
        <v>1.09832739586559</v>
      </c>
      <c r="P1717" s="19" t="n">
        <v>0.432462068088893</v>
      </c>
      <c r="Q1717" s="17" t="s">
        <v>31</v>
      </c>
      <c r="R1717" s="5" t="str">
        <f aca="false">IF(OR(Q1717="Steel plate",Q1717="Concrete jacket"),"Steel plate or jacket",Q1717)</f>
        <v>Polymer laminate</v>
      </c>
      <c r="S1717" s="5" t="str">
        <f aca="false">IF(O1717&lt;='Tree rules'!$C$4,IF(N1717&lt;='Tree rules'!$C$5,IF(P1717&lt;='Tree rules'!$C$6,"Monitor","Polymer laminate"),IF(P1717&lt;='Tree rules'!$C$7,"Seal cracks","Polymer laminate")),IF(O1717&lt;='Tree rules'!$C$8,IF(M1717&lt;='Tree rules'!$C$9,"Steel plate or jacket","Polymer laminate"),IF(L1717&lt;='Tree rules'!$C$10,"Steel plate or jacket","Polymer laminate")))</f>
        <v>Polymer laminate</v>
      </c>
      <c r="T1717" s="5" t="str">
        <f aca="false">IF(S1717=R1717,"Yes","No")</f>
        <v>Yes</v>
      </c>
    </row>
    <row r="1718" customFormat="false" ht="15" hidden="false" customHeight="false" outlineLevel="0" collapsed="false">
      <c r="A1718" s="15" t="n">
        <v>2452</v>
      </c>
      <c r="B1718" s="16" t="n">
        <v>6.12002442237124</v>
      </c>
      <c r="C1718" s="15" t="n">
        <v>300</v>
      </c>
      <c r="D1718" s="15" t="n">
        <v>550</v>
      </c>
      <c r="E1718" s="15" t="n">
        <v>20</v>
      </c>
      <c r="F1718" s="16" t="n">
        <v>0.664887334093078</v>
      </c>
      <c r="G1718" s="17" t="s">
        <v>89</v>
      </c>
      <c r="H1718" s="18" t="n">
        <v>0.3</v>
      </c>
      <c r="I1718" s="18" t="n">
        <v>1</v>
      </c>
      <c r="J1718" s="19" t="n">
        <v>0.912832872795488</v>
      </c>
      <c r="K1718" s="19" t="n">
        <v>0.40289921094249</v>
      </c>
      <c r="L1718" s="16" t="n">
        <v>12.1429055999429</v>
      </c>
      <c r="M1718" s="19" t="n">
        <v>0.53345892434285</v>
      </c>
      <c r="N1718" s="19" t="n">
        <v>0.587274559838271</v>
      </c>
      <c r="O1718" s="19" t="n">
        <v>0.912832872795488</v>
      </c>
      <c r="P1718" s="19" t="n">
        <v>0.604042244452507</v>
      </c>
      <c r="Q1718" s="17" t="s">
        <v>29</v>
      </c>
      <c r="R1718" s="5" t="str">
        <f aca="false">IF(OR(Q1718="Steel plate",Q1718="Concrete jacket"),"Steel plate or jacket",Q1718)</f>
        <v>Monitor</v>
      </c>
      <c r="S1718" s="5" t="str">
        <f aca="false">IF(O1718&lt;='Tree rules'!$C$4,IF(N1718&lt;='Tree rules'!$C$5,IF(P1718&lt;='Tree rules'!$C$6,"Monitor","Polymer laminate"),IF(P1718&lt;='Tree rules'!$C$7,"Seal cracks","Polymer laminate")),IF(O1718&lt;='Tree rules'!$C$8,IF(M1718&lt;='Tree rules'!$C$9,"Steel plate or jacket","Polymer laminate"),IF(L1718&lt;='Tree rules'!$C$10,"Steel plate or jacket","Polymer laminate")))</f>
        <v>Monitor</v>
      </c>
      <c r="T1718" s="5" t="str">
        <f aca="false">IF(S1718=R1718,"Yes","No")</f>
        <v>Yes</v>
      </c>
    </row>
    <row r="1719" customFormat="false" ht="15" hidden="false" customHeight="false" outlineLevel="0" collapsed="false">
      <c r="A1719" s="15" t="n">
        <v>2453</v>
      </c>
      <c r="B1719" s="16" t="n">
        <v>4.06452579592333</v>
      </c>
      <c r="C1719" s="15" t="n">
        <v>230</v>
      </c>
      <c r="D1719" s="15" t="n">
        <v>400</v>
      </c>
      <c r="E1719" s="15" t="n">
        <v>30</v>
      </c>
      <c r="F1719" s="16" t="n">
        <v>0.740832460684402</v>
      </c>
      <c r="G1719" s="17" t="s">
        <v>91</v>
      </c>
      <c r="H1719" s="18" t="n">
        <v>0.2</v>
      </c>
      <c r="I1719" s="18" t="n">
        <v>1</v>
      </c>
      <c r="J1719" s="19" t="n">
        <v>0.858291871774317</v>
      </c>
      <c r="K1719" s="19" t="n">
        <v>0.567383845185853</v>
      </c>
      <c r="L1719" s="16" t="n">
        <v>11.481711287919</v>
      </c>
      <c r="M1719" s="19" t="n">
        <v>0.738430026795531</v>
      </c>
      <c r="N1719" s="19" t="n">
        <v>0.895019138687799</v>
      </c>
      <c r="O1719" s="19" t="n">
        <v>0.858291871774317</v>
      </c>
      <c r="P1719" s="19" t="n">
        <v>0.39902829507914</v>
      </c>
      <c r="Q1719" s="17" t="s">
        <v>29</v>
      </c>
      <c r="R1719" s="5" t="str">
        <f aca="false">IF(OR(Q1719="Steel plate",Q1719="Concrete jacket"),"Steel plate or jacket",Q1719)</f>
        <v>Monitor</v>
      </c>
      <c r="S1719" s="5" t="str">
        <f aca="false">IF(O1719&lt;='Tree rules'!$C$4,IF(N1719&lt;='Tree rules'!$C$5,IF(P1719&lt;='Tree rules'!$C$6,"Monitor","Polymer laminate"),IF(P1719&lt;='Tree rules'!$C$7,"Seal cracks","Polymer laminate")),IF(O1719&lt;='Tree rules'!$C$8,IF(M1719&lt;='Tree rules'!$C$9,"Steel plate or jacket","Polymer laminate"),IF(L1719&lt;='Tree rules'!$C$10,"Steel plate or jacket","Polymer laminate")))</f>
        <v>Monitor</v>
      </c>
      <c r="T1719" s="5" t="str">
        <f aca="false">IF(S1719=R1719,"Yes","No")</f>
        <v>Yes</v>
      </c>
    </row>
    <row r="1720" customFormat="false" ht="15" hidden="false" customHeight="false" outlineLevel="0" collapsed="false">
      <c r="A1720" s="15" t="n">
        <v>2454</v>
      </c>
      <c r="B1720" s="16" t="n">
        <v>4.73316982363192</v>
      </c>
      <c r="C1720" s="15" t="n">
        <v>300</v>
      </c>
      <c r="D1720" s="15" t="n">
        <v>425</v>
      </c>
      <c r="E1720" s="15" t="n">
        <v>25</v>
      </c>
      <c r="F1720" s="16" t="n">
        <v>0.736490585456948</v>
      </c>
      <c r="G1720" s="17" t="s">
        <v>90</v>
      </c>
      <c r="H1720" s="18" t="n">
        <v>0.1</v>
      </c>
      <c r="I1720" s="18" t="n">
        <v>2</v>
      </c>
      <c r="J1720" s="19" t="n">
        <v>0.885511362893657</v>
      </c>
      <c r="K1720" s="19" t="n">
        <v>0.499842272593633</v>
      </c>
      <c r="L1720" s="16" t="n">
        <v>13.0032138011866</v>
      </c>
      <c r="M1720" s="19" t="n">
        <v>0.951915168292579</v>
      </c>
      <c r="N1720" s="19" t="n">
        <v>3.52740328441689</v>
      </c>
      <c r="O1720" s="19" t="n">
        <v>1.32840671375106</v>
      </c>
      <c r="P1720" s="19" t="n">
        <v>0.427782234052999</v>
      </c>
      <c r="Q1720" s="17" t="s">
        <v>31</v>
      </c>
      <c r="R1720" s="5" t="str">
        <f aca="false">IF(OR(Q1720="Steel plate",Q1720="Concrete jacket"),"Steel plate or jacket",Q1720)</f>
        <v>Polymer laminate</v>
      </c>
      <c r="S1720" s="5" t="str">
        <f aca="false">IF(O1720&lt;='Tree rules'!$C$4,IF(N1720&lt;='Tree rules'!$C$5,IF(P1720&lt;='Tree rules'!$C$6,"Monitor","Polymer laminate"),IF(P1720&lt;='Tree rules'!$C$7,"Seal cracks","Polymer laminate")),IF(O1720&lt;='Tree rules'!$C$8,IF(M1720&lt;='Tree rules'!$C$9,"Steel plate or jacket","Polymer laminate"),IF(L1720&lt;='Tree rules'!$C$10,"Steel plate or jacket","Polymer laminate")))</f>
        <v>Steel plate or jacket</v>
      </c>
      <c r="T1720" s="5" t="str">
        <f aca="false">IF(S1720=R1720,"Yes","No")</f>
        <v>No</v>
      </c>
    </row>
    <row r="1721" customFormat="false" ht="15" hidden="false" customHeight="false" outlineLevel="0" collapsed="false">
      <c r="A1721" s="15" t="n">
        <v>2455</v>
      </c>
      <c r="B1721" s="16" t="n">
        <v>6.90986972891339</v>
      </c>
      <c r="C1721" s="15" t="n">
        <v>230</v>
      </c>
      <c r="D1721" s="15" t="n">
        <v>675</v>
      </c>
      <c r="E1721" s="15" t="n">
        <v>30</v>
      </c>
      <c r="F1721" s="16" t="n">
        <v>0.653545382481754</v>
      </c>
      <c r="G1721" s="17" t="s">
        <v>89</v>
      </c>
      <c r="H1721" s="18" t="n">
        <v>0.3</v>
      </c>
      <c r="I1721" s="18" t="n">
        <v>1</v>
      </c>
      <c r="J1721" s="19" t="n">
        <v>0.955531242515851</v>
      </c>
      <c r="K1721" s="19" t="n">
        <v>0.536769100177415</v>
      </c>
      <c r="L1721" s="16" t="n">
        <v>11.0205258834344</v>
      </c>
      <c r="M1721" s="19" t="n">
        <v>0.451562145853536</v>
      </c>
      <c r="N1721" s="19" t="n">
        <v>0.684460442512295</v>
      </c>
      <c r="O1721" s="19" t="n">
        <v>0.955531242515851</v>
      </c>
      <c r="P1721" s="19" t="n">
        <v>0.6717825760753</v>
      </c>
      <c r="Q1721" s="17" t="s">
        <v>29</v>
      </c>
      <c r="R1721" s="5" t="str">
        <f aca="false">IF(OR(Q1721="Steel plate",Q1721="Concrete jacket"),"Steel plate or jacket",Q1721)</f>
        <v>Monitor</v>
      </c>
      <c r="S1721" s="5" t="str">
        <f aca="false">IF(O1721&lt;='Tree rules'!$C$4,IF(N1721&lt;='Tree rules'!$C$5,IF(P1721&lt;='Tree rules'!$C$6,"Monitor","Polymer laminate"),IF(P1721&lt;='Tree rules'!$C$7,"Seal cracks","Polymer laminate")),IF(O1721&lt;='Tree rules'!$C$8,IF(M1721&lt;='Tree rules'!$C$9,"Steel plate or jacket","Polymer laminate"),IF(L1721&lt;='Tree rules'!$C$10,"Steel plate or jacket","Polymer laminate")))</f>
        <v>Monitor</v>
      </c>
      <c r="T1721" s="5" t="str">
        <f aca="false">IF(S1721=R1721,"Yes","No")</f>
        <v>Yes</v>
      </c>
    </row>
    <row r="1722" customFormat="false" ht="15" hidden="false" customHeight="false" outlineLevel="0" collapsed="false">
      <c r="A1722" s="15" t="n">
        <v>2457</v>
      </c>
      <c r="B1722" s="16" t="n">
        <v>6.60160044888948</v>
      </c>
      <c r="C1722" s="15" t="n">
        <v>300</v>
      </c>
      <c r="D1722" s="15" t="n">
        <v>600</v>
      </c>
      <c r="E1722" s="15" t="n">
        <v>25</v>
      </c>
      <c r="F1722" s="16" t="n">
        <v>0.725855342345656</v>
      </c>
      <c r="G1722" s="17" t="s">
        <v>89</v>
      </c>
      <c r="H1722" s="18" t="n">
        <v>0.3</v>
      </c>
      <c r="I1722" s="18" t="n">
        <v>1.5</v>
      </c>
      <c r="J1722" s="19" t="n">
        <v>0.908723688601275</v>
      </c>
      <c r="K1722" s="19" t="n">
        <v>0.445775411877732</v>
      </c>
      <c r="L1722" s="16" t="n">
        <v>11.9162462976344</v>
      </c>
      <c r="M1722" s="19" t="n">
        <v>0.888328352533787</v>
      </c>
      <c r="N1722" s="19" t="n">
        <v>0.684340665336042</v>
      </c>
      <c r="O1722" s="19" t="n">
        <v>1.16054219461727</v>
      </c>
      <c r="P1722" s="19" t="n">
        <v>0.453009144637088</v>
      </c>
      <c r="Q1722" s="17" t="s">
        <v>31</v>
      </c>
      <c r="R1722" s="5" t="str">
        <f aca="false">IF(OR(Q1722="Steel plate",Q1722="Concrete jacket"),"Steel plate or jacket",Q1722)</f>
        <v>Polymer laminate</v>
      </c>
      <c r="S1722" s="5" t="str">
        <f aca="false">IF(O1722&lt;='Tree rules'!$C$4,IF(N1722&lt;='Tree rules'!$C$5,IF(P1722&lt;='Tree rules'!$C$6,"Monitor","Polymer laminate"),IF(P1722&lt;='Tree rules'!$C$7,"Seal cracks","Polymer laminate")),IF(O1722&lt;='Tree rules'!$C$8,IF(M1722&lt;='Tree rules'!$C$9,"Steel plate or jacket","Polymer laminate"),IF(L1722&lt;='Tree rules'!$C$10,"Steel plate or jacket","Polymer laminate")))</f>
        <v>Polymer laminate</v>
      </c>
      <c r="T1722" s="5" t="str">
        <f aca="false">IF(S1722=R1722,"Yes","No")</f>
        <v>Yes</v>
      </c>
    </row>
    <row r="1723" customFormat="false" ht="15" hidden="false" customHeight="false" outlineLevel="0" collapsed="false">
      <c r="A1723" s="15" t="n">
        <v>2458</v>
      </c>
      <c r="B1723" s="16" t="n">
        <v>3.87474149057637</v>
      </c>
      <c r="C1723" s="15" t="n">
        <v>230</v>
      </c>
      <c r="D1723" s="15" t="n">
        <v>325</v>
      </c>
      <c r="E1723" s="15" t="n">
        <v>30</v>
      </c>
      <c r="F1723" s="16" t="n">
        <v>0.662259320914844</v>
      </c>
      <c r="G1723" s="17" t="s">
        <v>90</v>
      </c>
      <c r="H1723" s="18" t="n">
        <v>0.1</v>
      </c>
      <c r="I1723" s="18" t="n">
        <v>2</v>
      </c>
      <c r="J1723" s="19" t="n">
        <v>0.868550906405004</v>
      </c>
      <c r="K1723" s="19" t="n">
        <v>0.415279818428701</v>
      </c>
      <c r="L1723" s="16" t="n">
        <v>14.6770511006681</v>
      </c>
      <c r="M1723" s="19" t="n">
        <v>0.241572107119786</v>
      </c>
      <c r="N1723" s="19" t="n">
        <v>4.82990265786041</v>
      </c>
      <c r="O1723" s="19" t="n">
        <v>1.37641015010205</v>
      </c>
      <c r="P1723" s="19" t="n">
        <v>1.21388642647921</v>
      </c>
      <c r="Q1723" s="17" t="s">
        <v>31</v>
      </c>
      <c r="R1723" s="5" t="str">
        <f aca="false">IF(OR(Q1723="Steel plate",Q1723="Concrete jacket"),"Steel plate or jacket",Q1723)</f>
        <v>Polymer laminate</v>
      </c>
      <c r="S1723" s="5" t="str">
        <f aca="false">IF(O1723&lt;='Tree rules'!$C$4,IF(N1723&lt;='Tree rules'!$C$5,IF(P1723&lt;='Tree rules'!$C$6,"Monitor","Polymer laminate"),IF(P1723&lt;='Tree rules'!$C$7,"Seal cracks","Polymer laminate")),IF(O1723&lt;='Tree rules'!$C$8,IF(M1723&lt;='Tree rules'!$C$9,"Steel plate or jacket","Polymer laminate"),IF(L1723&lt;='Tree rules'!$C$10,"Steel plate or jacket","Polymer laminate")))</f>
        <v>Polymer laminate</v>
      </c>
      <c r="T1723" s="5" t="str">
        <f aca="false">IF(S1723=R1723,"Yes","No")</f>
        <v>Yes</v>
      </c>
    </row>
    <row r="1724" customFormat="false" ht="15" hidden="false" customHeight="false" outlineLevel="0" collapsed="false">
      <c r="A1724" s="15" t="n">
        <v>2460</v>
      </c>
      <c r="B1724" s="16" t="n">
        <v>6.68533576385084</v>
      </c>
      <c r="C1724" s="15" t="n">
        <v>300</v>
      </c>
      <c r="D1724" s="15" t="n">
        <v>650</v>
      </c>
      <c r="E1724" s="15" t="n">
        <v>20</v>
      </c>
      <c r="F1724" s="16" t="n">
        <v>0.554806649640582</v>
      </c>
      <c r="G1724" s="17" t="s">
        <v>89</v>
      </c>
      <c r="H1724" s="18" t="n">
        <v>0.3</v>
      </c>
      <c r="I1724" s="18" t="n">
        <v>2</v>
      </c>
      <c r="J1724" s="19" t="n">
        <v>0.886209404208533</v>
      </c>
      <c r="K1724" s="19" t="n">
        <v>0.443169002738364</v>
      </c>
      <c r="L1724" s="16" t="n">
        <v>11.0684366951173</v>
      </c>
      <c r="M1724" s="19" t="n">
        <v>0.357776247781681</v>
      </c>
      <c r="N1724" s="19" t="n">
        <v>0.926386351023582</v>
      </c>
      <c r="O1724" s="19" t="n">
        <v>1.37967827053661</v>
      </c>
      <c r="P1724" s="19" t="n">
        <v>0.948308410288841</v>
      </c>
      <c r="Q1724" s="17" t="s">
        <v>92</v>
      </c>
      <c r="R1724" s="5" t="str">
        <f aca="false">IF(OR(Q1724="Steel plate",Q1724="Concrete jacket"),"Steel plate or jacket",Q1724)</f>
        <v>Steel plate or jacket</v>
      </c>
      <c r="S1724" s="5" t="str">
        <f aca="false">IF(O1724&lt;='Tree rules'!$C$4,IF(N1724&lt;='Tree rules'!$C$5,IF(P1724&lt;='Tree rules'!$C$6,"Monitor","Polymer laminate"),IF(P1724&lt;='Tree rules'!$C$7,"Seal cracks","Polymer laminate")),IF(O1724&lt;='Tree rules'!$C$8,IF(M1724&lt;='Tree rules'!$C$9,"Steel plate or jacket","Polymer laminate"),IF(L1724&lt;='Tree rules'!$C$10,"Steel plate or jacket","Polymer laminate")))</f>
        <v>Steel plate or jacket</v>
      </c>
      <c r="T1724" s="5" t="str">
        <f aca="false">IF(S1724=R1724,"Yes","No")</f>
        <v>Yes</v>
      </c>
    </row>
    <row r="1725" customFormat="false" ht="15" hidden="false" customHeight="false" outlineLevel="0" collapsed="false">
      <c r="A1725" s="15" t="n">
        <v>2461</v>
      </c>
      <c r="B1725" s="16" t="n">
        <v>6.33725049455041</v>
      </c>
      <c r="C1725" s="15" t="n">
        <v>230</v>
      </c>
      <c r="D1725" s="15" t="n">
        <v>575</v>
      </c>
      <c r="E1725" s="15" t="n">
        <v>25</v>
      </c>
      <c r="F1725" s="16" t="n">
        <v>0.661007412935799</v>
      </c>
      <c r="G1725" s="17" t="s">
        <v>91</v>
      </c>
      <c r="H1725" s="18" t="n">
        <v>0.2</v>
      </c>
      <c r="I1725" s="18" t="n">
        <v>2</v>
      </c>
      <c r="J1725" s="19" t="n">
        <v>0.86267726918185</v>
      </c>
      <c r="K1725" s="19" t="n">
        <v>0.400039211118374</v>
      </c>
      <c r="L1725" s="16" t="n">
        <v>11.9796795738193</v>
      </c>
      <c r="M1725" s="19" t="n">
        <v>0.948486105775848</v>
      </c>
      <c r="N1725" s="19" t="n">
        <v>1.26316505713783</v>
      </c>
      <c r="O1725" s="19" t="n">
        <v>1.38024980415044</v>
      </c>
      <c r="P1725" s="19" t="n">
        <v>0.418624222880873</v>
      </c>
      <c r="Q1725" s="17" t="s">
        <v>92</v>
      </c>
      <c r="R1725" s="5" t="str">
        <f aca="false">IF(OR(Q1725="Steel plate",Q1725="Concrete jacket"),"Steel plate or jacket",Q1725)</f>
        <v>Steel plate or jacket</v>
      </c>
      <c r="S1725" s="5" t="str">
        <f aca="false">IF(O1725&lt;='Tree rules'!$C$4,IF(N1725&lt;='Tree rules'!$C$5,IF(P1725&lt;='Tree rules'!$C$6,"Monitor","Polymer laminate"),IF(P1725&lt;='Tree rules'!$C$7,"Seal cracks","Polymer laminate")),IF(O1725&lt;='Tree rules'!$C$8,IF(M1725&lt;='Tree rules'!$C$9,"Steel plate or jacket","Polymer laminate"),IF(L1725&lt;='Tree rules'!$C$10,"Steel plate or jacket","Polymer laminate")))</f>
        <v>Steel plate or jacket</v>
      </c>
      <c r="T1725" s="5" t="str">
        <f aca="false">IF(S1725=R1725,"Yes","No")</f>
        <v>Yes</v>
      </c>
    </row>
    <row r="1726" customFormat="false" ht="15" hidden="false" customHeight="false" outlineLevel="0" collapsed="false">
      <c r="A1726" s="15" t="n">
        <v>2463</v>
      </c>
      <c r="B1726" s="16" t="n">
        <v>5.01490509748299</v>
      </c>
      <c r="C1726" s="15" t="n">
        <v>230</v>
      </c>
      <c r="D1726" s="15" t="n">
        <v>475</v>
      </c>
      <c r="E1726" s="15" t="n">
        <v>30</v>
      </c>
      <c r="F1726" s="16" t="n">
        <v>0.633465437396808</v>
      </c>
      <c r="G1726" s="17" t="s">
        <v>90</v>
      </c>
      <c r="H1726" s="18" t="n">
        <v>0.1</v>
      </c>
      <c r="I1726" s="18" t="n">
        <v>1</v>
      </c>
      <c r="J1726" s="19" t="n">
        <v>0.857020711110677</v>
      </c>
      <c r="K1726" s="19" t="n">
        <v>0.623485302875787</v>
      </c>
      <c r="L1726" s="16" t="n">
        <v>12.1132973369154</v>
      </c>
      <c r="M1726" s="19" t="n">
        <v>0.61988459678223</v>
      </c>
      <c r="N1726" s="19" t="n">
        <v>2.26177601484348</v>
      </c>
      <c r="O1726" s="19" t="n">
        <v>0.857020711110677</v>
      </c>
      <c r="P1726" s="19" t="n">
        <v>0.432768406020229</v>
      </c>
      <c r="Q1726" s="17" t="s">
        <v>30</v>
      </c>
      <c r="R1726" s="5" t="str">
        <f aca="false">IF(OR(Q1726="Steel plate",Q1726="Concrete jacket"),"Steel plate or jacket",Q1726)</f>
        <v>Seal cracks</v>
      </c>
      <c r="S1726" s="5" t="str">
        <f aca="false">IF(O1726&lt;='Tree rules'!$C$4,IF(N1726&lt;='Tree rules'!$C$5,IF(P1726&lt;='Tree rules'!$C$6,"Monitor","Polymer laminate"),IF(P1726&lt;='Tree rules'!$C$7,"Seal cracks","Polymer laminate")),IF(O1726&lt;='Tree rules'!$C$8,IF(M1726&lt;='Tree rules'!$C$9,"Steel plate or jacket","Polymer laminate"),IF(L1726&lt;='Tree rules'!$C$10,"Steel plate or jacket","Polymer laminate")))</f>
        <v>Seal cracks</v>
      </c>
      <c r="T1726" s="5" t="str">
        <f aca="false">IF(S1726=R1726,"Yes","No")</f>
        <v>Yes</v>
      </c>
    </row>
    <row r="1727" customFormat="false" ht="15" hidden="false" customHeight="false" outlineLevel="0" collapsed="false">
      <c r="A1727" s="15" t="n">
        <v>2465</v>
      </c>
      <c r="B1727" s="16" t="n">
        <v>3.28773895827033</v>
      </c>
      <c r="C1727" s="15" t="n">
        <v>300</v>
      </c>
      <c r="D1727" s="15" t="n">
        <v>300</v>
      </c>
      <c r="E1727" s="15" t="n">
        <v>30</v>
      </c>
      <c r="F1727" s="16" t="n">
        <v>1.05544320120602</v>
      </c>
      <c r="G1727" s="17" t="s">
        <v>89</v>
      </c>
      <c r="H1727" s="18" t="n">
        <v>0.3</v>
      </c>
      <c r="I1727" s="18" t="n">
        <v>1.5</v>
      </c>
      <c r="J1727" s="19" t="n">
        <v>0.87193328353803</v>
      </c>
      <c r="K1727" s="19" t="n">
        <v>0.438474295416141</v>
      </c>
      <c r="L1727" s="16" t="n">
        <v>12.9438541664186</v>
      </c>
      <c r="M1727" s="19" t="n">
        <v>0.775143390828519</v>
      </c>
      <c r="N1727" s="19" t="n">
        <v>0.820289359816407</v>
      </c>
      <c r="O1727" s="19" t="n">
        <v>1.11673975923244</v>
      </c>
      <c r="P1727" s="19" t="n">
        <v>0.53541909860184</v>
      </c>
      <c r="Q1727" s="17" t="s">
        <v>31</v>
      </c>
      <c r="R1727" s="5" t="str">
        <f aca="false">IF(OR(Q1727="Steel plate",Q1727="Concrete jacket"),"Steel plate or jacket",Q1727)</f>
        <v>Polymer laminate</v>
      </c>
      <c r="S1727" s="5" t="str">
        <f aca="false">IF(O1727&lt;='Tree rules'!$C$4,IF(N1727&lt;='Tree rules'!$C$5,IF(P1727&lt;='Tree rules'!$C$6,"Monitor","Polymer laminate"),IF(P1727&lt;='Tree rules'!$C$7,"Seal cracks","Polymer laminate")),IF(O1727&lt;='Tree rules'!$C$8,IF(M1727&lt;='Tree rules'!$C$9,"Steel plate or jacket","Polymer laminate"),IF(L1727&lt;='Tree rules'!$C$10,"Steel plate or jacket","Polymer laminate")))</f>
        <v>Polymer laminate</v>
      </c>
      <c r="T1727" s="5" t="str">
        <f aca="false">IF(S1727=R1727,"Yes","No")</f>
        <v>Yes</v>
      </c>
    </row>
    <row r="1728" customFormat="false" ht="15" hidden="false" customHeight="false" outlineLevel="0" collapsed="false">
      <c r="A1728" s="15" t="n">
        <v>2466</v>
      </c>
      <c r="B1728" s="16" t="n">
        <v>7.63303112025277</v>
      </c>
      <c r="C1728" s="15" t="n">
        <v>300</v>
      </c>
      <c r="D1728" s="15" t="n">
        <v>650</v>
      </c>
      <c r="E1728" s="15" t="n">
        <v>25</v>
      </c>
      <c r="F1728" s="16" t="n">
        <v>0.554806649640582</v>
      </c>
      <c r="G1728" s="17" t="s">
        <v>89</v>
      </c>
      <c r="H1728" s="18" t="n">
        <v>0.3</v>
      </c>
      <c r="I1728" s="18" t="n">
        <v>1</v>
      </c>
      <c r="J1728" s="19" t="n">
        <v>0.899588405137848</v>
      </c>
      <c r="K1728" s="19" t="n">
        <v>0.530164590399267</v>
      </c>
      <c r="L1728" s="16" t="n">
        <v>12.6374687421403</v>
      </c>
      <c r="M1728" s="19" t="n">
        <v>0.484534675611151</v>
      </c>
      <c r="N1728" s="19" t="n">
        <v>0.585123521767489</v>
      </c>
      <c r="O1728" s="19" t="n">
        <v>0.899588405137848</v>
      </c>
      <c r="P1728" s="19" t="n">
        <v>0.633542466742707</v>
      </c>
      <c r="Q1728" s="17" t="s">
        <v>29</v>
      </c>
      <c r="R1728" s="5" t="str">
        <f aca="false">IF(OR(Q1728="Steel plate",Q1728="Concrete jacket"),"Steel plate or jacket",Q1728)</f>
        <v>Monitor</v>
      </c>
      <c r="S1728" s="5" t="str">
        <f aca="false">IF(O1728&lt;='Tree rules'!$C$4,IF(N1728&lt;='Tree rules'!$C$5,IF(P1728&lt;='Tree rules'!$C$6,"Monitor","Polymer laminate"),IF(P1728&lt;='Tree rules'!$C$7,"Seal cracks","Polymer laminate")),IF(O1728&lt;='Tree rules'!$C$8,IF(M1728&lt;='Tree rules'!$C$9,"Steel plate or jacket","Polymer laminate"),IF(L1728&lt;='Tree rules'!$C$10,"Steel plate or jacket","Polymer laminate")))</f>
        <v>Monitor</v>
      </c>
      <c r="T1728" s="5" t="str">
        <f aca="false">IF(S1728=R1728,"Yes","No")</f>
        <v>Yes</v>
      </c>
    </row>
    <row r="1729" customFormat="false" ht="15" hidden="false" customHeight="false" outlineLevel="0" collapsed="false">
      <c r="A1729" s="15" t="n">
        <v>2467</v>
      </c>
      <c r="B1729" s="16" t="n">
        <v>6.3471092160498</v>
      </c>
      <c r="C1729" s="15" t="n">
        <v>230</v>
      </c>
      <c r="D1729" s="15" t="n">
        <v>500</v>
      </c>
      <c r="E1729" s="15" t="n">
        <v>25</v>
      </c>
      <c r="F1729" s="16" t="n">
        <v>0.604384889109233</v>
      </c>
      <c r="G1729" s="17" t="s">
        <v>89</v>
      </c>
      <c r="H1729" s="18" t="n">
        <v>0.3</v>
      </c>
      <c r="I1729" s="18" t="n">
        <v>2</v>
      </c>
      <c r="J1729" s="19" t="n">
        <v>0.912257533147197</v>
      </c>
      <c r="K1729" s="19" t="n">
        <v>0.4780637164505</v>
      </c>
      <c r="L1729" s="16" t="n">
        <v>14.0422770266589</v>
      </c>
      <c r="M1729" s="19" t="n">
        <v>0.551233070610404</v>
      </c>
      <c r="N1729" s="19" t="n">
        <v>1.33526114609589</v>
      </c>
      <c r="O1729" s="19" t="n">
        <v>1.38839783963808</v>
      </c>
      <c r="P1729" s="19" t="n">
        <v>0.763242482084412</v>
      </c>
      <c r="Q1729" s="17" t="s">
        <v>31</v>
      </c>
      <c r="R1729" s="5" t="str">
        <f aca="false">IF(OR(Q1729="Steel plate",Q1729="Concrete jacket"),"Steel plate or jacket",Q1729)</f>
        <v>Polymer laminate</v>
      </c>
      <c r="S1729" s="5" t="str">
        <f aca="false">IF(O1729&lt;='Tree rules'!$C$4,IF(N1729&lt;='Tree rules'!$C$5,IF(P1729&lt;='Tree rules'!$C$6,"Monitor","Polymer laminate"),IF(P1729&lt;='Tree rules'!$C$7,"Seal cracks","Polymer laminate")),IF(O1729&lt;='Tree rules'!$C$8,IF(M1729&lt;='Tree rules'!$C$9,"Steel plate or jacket","Polymer laminate"),IF(L1729&lt;='Tree rules'!$C$10,"Steel plate or jacket","Polymer laminate")))</f>
        <v>Polymer laminate</v>
      </c>
      <c r="T1729" s="5" t="str">
        <f aca="false">IF(S1729=R1729,"Yes","No")</f>
        <v>Yes</v>
      </c>
    </row>
    <row r="1730" customFormat="false" ht="15" hidden="false" customHeight="false" outlineLevel="0" collapsed="false">
      <c r="A1730" s="15" t="n">
        <v>2468</v>
      </c>
      <c r="B1730" s="16" t="n">
        <v>6.11376398658331</v>
      </c>
      <c r="C1730" s="15" t="n">
        <v>230</v>
      </c>
      <c r="D1730" s="15" t="n">
        <v>500</v>
      </c>
      <c r="E1730" s="15" t="n">
        <v>25</v>
      </c>
      <c r="F1730" s="16" t="n">
        <v>0.604384889109233</v>
      </c>
      <c r="G1730" s="17" t="s">
        <v>89</v>
      </c>
      <c r="H1730" s="18" t="n">
        <v>0.3</v>
      </c>
      <c r="I1730" s="18" t="n">
        <v>1</v>
      </c>
      <c r="J1730" s="19" t="n">
        <v>0.89306104667712</v>
      </c>
      <c r="K1730" s="19" t="n">
        <v>0.649747751527651</v>
      </c>
      <c r="L1730" s="16" t="n">
        <v>13.5260265189896</v>
      </c>
      <c r="M1730" s="19" t="n">
        <v>0.256021526965066</v>
      </c>
      <c r="N1730" s="19" t="n">
        <v>0.902543378519636</v>
      </c>
      <c r="O1730" s="19" t="n">
        <v>0.89306104667712</v>
      </c>
      <c r="P1730" s="19" t="n">
        <v>1.33971525989245</v>
      </c>
      <c r="Q1730" s="17" t="s">
        <v>31</v>
      </c>
      <c r="R1730" s="5" t="str">
        <f aca="false">IF(OR(Q1730="Steel plate",Q1730="Concrete jacket"),"Steel plate or jacket",Q1730)</f>
        <v>Polymer laminate</v>
      </c>
      <c r="S1730" s="5" t="str">
        <f aca="false">IF(O1730&lt;='Tree rules'!$C$4,IF(N1730&lt;='Tree rules'!$C$5,IF(P1730&lt;='Tree rules'!$C$6,"Monitor","Polymer laminate"),IF(P1730&lt;='Tree rules'!$C$7,"Seal cracks","Polymer laminate")),IF(O1730&lt;='Tree rules'!$C$8,IF(M1730&lt;='Tree rules'!$C$9,"Steel plate or jacket","Polymer laminate"),IF(L1730&lt;='Tree rules'!$C$10,"Steel plate or jacket","Polymer laminate")))</f>
        <v>Polymer laminate</v>
      </c>
      <c r="T1730" s="5" t="str">
        <f aca="false">IF(S1730=R1730,"Yes","No")</f>
        <v>Yes</v>
      </c>
    </row>
    <row r="1731" customFormat="false" ht="15" hidden="false" customHeight="false" outlineLevel="0" collapsed="false">
      <c r="A1731" s="15" t="n">
        <v>2469</v>
      </c>
      <c r="B1731" s="16" t="n">
        <v>3.78620390923876</v>
      </c>
      <c r="C1731" s="15" t="n">
        <v>230</v>
      </c>
      <c r="D1731" s="15" t="n">
        <v>325</v>
      </c>
      <c r="E1731" s="15" t="n">
        <v>20</v>
      </c>
      <c r="F1731" s="16" t="n">
        <v>0.524976027522354</v>
      </c>
      <c r="G1731" s="17" t="s">
        <v>89</v>
      </c>
      <c r="H1731" s="18" t="n">
        <v>0.3</v>
      </c>
      <c r="I1731" s="18" t="n">
        <v>2</v>
      </c>
      <c r="J1731" s="19" t="n">
        <v>0.906105244672983</v>
      </c>
      <c r="K1731" s="19" t="n">
        <v>0.568261683743934</v>
      </c>
      <c r="L1731" s="16" t="n">
        <v>13.4740352641949</v>
      </c>
      <c r="M1731" s="19" t="n">
        <v>0.23984773295577</v>
      </c>
      <c r="N1731" s="19" t="n">
        <v>1.01697128922388</v>
      </c>
      <c r="O1731" s="19" t="n">
        <v>1.29730559735889</v>
      </c>
      <c r="P1731" s="19" t="n">
        <v>1.37314171642266</v>
      </c>
      <c r="Q1731" s="17" t="s">
        <v>31</v>
      </c>
      <c r="R1731" s="5" t="str">
        <f aca="false">IF(OR(Q1731="Steel plate",Q1731="Concrete jacket"),"Steel plate or jacket",Q1731)</f>
        <v>Polymer laminate</v>
      </c>
      <c r="S1731" s="5" t="str">
        <f aca="false">IF(O1731&lt;='Tree rules'!$C$4,IF(N1731&lt;='Tree rules'!$C$5,IF(P1731&lt;='Tree rules'!$C$6,"Monitor","Polymer laminate"),IF(P1731&lt;='Tree rules'!$C$7,"Seal cracks","Polymer laminate")),IF(O1731&lt;='Tree rules'!$C$8,IF(M1731&lt;='Tree rules'!$C$9,"Steel plate or jacket","Polymer laminate"),IF(L1731&lt;='Tree rules'!$C$10,"Steel plate or jacket","Polymer laminate")))</f>
        <v>Polymer laminate</v>
      </c>
      <c r="T1731" s="5" t="str">
        <f aca="false">IF(S1731=R1731,"Yes","No")</f>
        <v>Yes</v>
      </c>
    </row>
    <row r="1732" customFormat="false" ht="15" hidden="false" customHeight="false" outlineLevel="0" collapsed="false">
      <c r="A1732" s="15" t="n">
        <v>2470</v>
      </c>
      <c r="B1732" s="16" t="n">
        <v>3.29159509661472</v>
      </c>
      <c r="C1732" s="15" t="n">
        <v>300</v>
      </c>
      <c r="D1732" s="15" t="n">
        <v>300</v>
      </c>
      <c r="E1732" s="15" t="n">
        <v>25</v>
      </c>
      <c r="F1732" s="16" t="n">
        <v>0.589048622548086</v>
      </c>
      <c r="G1732" s="17" t="s">
        <v>91</v>
      </c>
      <c r="H1732" s="18" t="n">
        <v>0.2</v>
      </c>
      <c r="I1732" s="18" t="n">
        <v>1</v>
      </c>
      <c r="J1732" s="19" t="n">
        <v>0.922923997078243</v>
      </c>
      <c r="K1732" s="19" t="n">
        <v>0.602896970701478</v>
      </c>
      <c r="L1732" s="16" t="n">
        <v>12.8577933461512</v>
      </c>
      <c r="M1732" s="19" t="n">
        <v>0.298306560725686</v>
      </c>
      <c r="N1732" s="19" t="n">
        <v>1.07744269803712</v>
      </c>
      <c r="O1732" s="19" t="n">
        <v>0.922923997078243</v>
      </c>
      <c r="P1732" s="19" t="n">
        <v>0.899047448803756</v>
      </c>
      <c r="Q1732" s="17" t="s">
        <v>30</v>
      </c>
      <c r="R1732" s="5" t="str">
        <f aca="false">IF(OR(Q1732="Steel plate",Q1732="Concrete jacket"),"Steel plate or jacket",Q1732)</f>
        <v>Seal cracks</v>
      </c>
      <c r="S1732" s="5" t="str">
        <f aca="false">IF(O1732&lt;='Tree rules'!$C$4,IF(N1732&lt;='Tree rules'!$C$5,IF(P1732&lt;='Tree rules'!$C$6,"Monitor","Polymer laminate"),IF(P1732&lt;='Tree rules'!$C$7,"Seal cracks","Polymer laminate")),IF(O1732&lt;='Tree rules'!$C$8,IF(M1732&lt;='Tree rules'!$C$9,"Steel plate or jacket","Polymer laminate"),IF(L1732&lt;='Tree rules'!$C$10,"Steel plate or jacket","Polymer laminate")))</f>
        <v>Seal cracks</v>
      </c>
      <c r="T1732" s="5" t="str">
        <f aca="false">IF(S1732=R1732,"Yes","No")</f>
        <v>Yes</v>
      </c>
    </row>
    <row r="1733" customFormat="false" ht="15" hidden="false" customHeight="false" outlineLevel="0" collapsed="false">
      <c r="A1733" s="15" t="n">
        <v>2472</v>
      </c>
      <c r="B1733" s="16" t="n">
        <v>5.59383598834597</v>
      </c>
      <c r="C1733" s="15" t="n">
        <v>300</v>
      </c>
      <c r="D1733" s="15" t="n">
        <v>500</v>
      </c>
      <c r="E1733" s="15" t="n">
        <v>30</v>
      </c>
      <c r="F1733" s="16" t="n">
        <v>0.610666453545169</v>
      </c>
      <c r="G1733" s="17" t="s">
        <v>90</v>
      </c>
      <c r="H1733" s="18" t="n">
        <v>0.1</v>
      </c>
      <c r="I1733" s="18" t="n">
        <v>2</v>
      </c>
      <c r="J1733" s="19" t="n">
        <v>0.910966551641911</v>
      </c>
      <c r="K1733" s="19" t="n">
        <v>0.643353601726598</v>
      </c>
      <c r="L1733" s="16" t="n">
        <v>12.7422232080774</v>
      </c>
      <c r="M1733" s="19" t="n">
        <v>0.393138140662692</v>
      </c>
      <c r="N1733" s="19" t="n">
        <v>3.53792120713459</v>
      </c>
      <c r="O1733" s="19" t="n">
        <v>1.23585949123254</v>
      </c>
      <c r="P1733" s="19" t="n">
        <v>0.863868738074507</v>
      </c>
      <c r="Q1733" s="17" t="s">
        <v>31</v>
      </c>
      <c r="R1733" s="5" t="str">
        <f aca="false">IF(OR(Q1733="Steel plate",Q1733="Concrete jacket"),"Steel plate or jacket",Q1733)</f>
        <v>Polymer laminate</v>
      </c>
      <c r="S1733" s="5" t="str">
        <f aca="false">IF(O1733&lt;='Tree rules'!$C$4,IF(N1733&lt;='Tree rules'!$C$5,IF(P1733&lt;='Tree rules'!$C$6,"Monitor","Polymer laminate"),IF(P1733&lt;='Tree rules'!$C$7,"Seal cracks","Polymer laminate")),IF(O1733&lt;='Tree rules'!$C$8,IF(M1733&lt;='Tree rules'!$C$9,"Steel plate or jacket","Polymer laminate"),IF(L1733&lt;='Tree rules'!$C$10,"Steel plate or jacket","Polymer laminate")))</f>
        <v>Polymer laminate</v>
      </c>
      <c r="T1733" s="5" t="str">
        <f aca="false">IF(S1733=R1733,"Yes","No")</f>
        <v>Yes</v>
      </c>
    </row>
    <row r="1734" customFormat="false" ht="15" hidden="false" customHeight="false" outlineLevel="0" collapsed="false">
      <c r="A1734" s="15" t="n">
        <v>2473</v>
      </c>
      <c r="B1734" s="16" t="n">
        <v>3.77059867216206</v>
      </c>
      <c r="C1734" s="15" t="n">
        <v>300</v>
      </c>
      <c r="D1734" s="15" t="n">
        <v>300</v>
      </c>
      <c r="E1734" s="15" t="n">
        <v>30</v>
      </c>
      <c r="F1734" s="16" t="n">
        <v>0.589048622548086</v>
      </c>
      <c r="G1734" s="17" t="s">
        <v>91</v>
      </c>
      <c r="H1734" s="18" t="n">
        <v>0.2</v>
      </c>
      <c r="I1734" s="18" t="n">
        <v>1.5</v>
      </c>
      <c r="J1734" s="19" t="n">
        <v>0.899006313403083</v>
      </c>
      <c r="K1734" s="19" t="n">
        <v>0.419796252160407</v>
      </c>
      <c r="L1734" s="16" t="n">
        <v>14.7289010631331</v>
      </c>
      <c r="M1734" s="19" t="n">
        <v>0.943888701471398</v>
      </c>
      <c r="N1734" s="19" t="n">
        <v>1.18595624842724</v>
      </c>
      <c r="O1734" s="19" t="n">
        <v>1.15980972958705</v>
      </c>
      <c r="P1734" s="19" t="n">
        <v>0.325682547185253</v>
      </c>
      <c r="Q1734" s="17" t="s">
        <v>31</v>
      </c>
      <c r="R1734" s="5" t="str">
        <f aca="false">IF(OR(Q1734="Steel plate",Q1734="Concrete jacket"),"Steel plate or jacket",Q1734)</f>
        <v>Polymer laminate</v>
      </c>
      <c r="S1734" s="5" t="str">
        <f aca="false">IF(O1734&lt;='Tree rules'!$C$4,IF(N1734&lt;='Tree rules'!$C$5,IF(P1734&lt;='Tree rules'!$C$6,"Monitor","Polymer laminate"),IF(P1734&lt;='Tree rules'!$C$7,"Seal cracks","Polymer laminate")),IF(O1734&lt;='Tree rules'!$C$8,IF(M1734&lt;='Tree rules'!$C$9,"Steel plate or jacket","Polymer laminate"),IF(L1734&lt;='Tree rules'!$C$10,"Steel plate or jacket","Polymer laminate")))</f>
        <v>Polymer laminate</v>
      </c>
      <c r="T1734" s="5" t="str">
        <f aca="false">IF(S1734=R1734,"Yes","No")</f>
        <v>Yes</v>
      </c>
    </row>
    <row r="1735" customFormat="false" ht="15" hidden="false" customHeight="false" outlineLevel="0" collapsed="false">
      <c r="A1735" s="15" t="n">
        <v>2476</v>
      </c>
      <c r="B1735" s="16" t="n">
        <v>5.16076224247665</v>
      </c>
      <c r="C1735" s="15" t="n">
        <v>230</v>
      </c>
      <c r="D1735" s="15" t="n">
        <v>425</v>
      </c>
      <c r="E1735" s="15" t="n">
        <v>25</v>
      </c>
      <c r="F1735" s="16" t="n">
        <v>0.691964884122107</v>
      </c>
      <c r="G1735" s="17" t="s">
        <v>89</v>
      </c>
      <c r="H1735" s="18" t="n">
        <v>0.3</v>
      </c>
      <c r="I1735" s="18" t="n">
        <v>1.5</v>
      </c>
      <c r="J1735" s="19" t="n">
        <v>0.933311833563121</v>
      </c>
      <c r="K1735" s="19" t="n">
        <v>0.46026778048974</v>
      </c>
      <c r="L1735" s="16" t="n">
        <v>13.6167869194635</v>
      </c>
      <c r="M1735" s="19" t="n">
        <v>0.639713715148608</v>
      </c>
      <c r="N1735" s="19" t="n">
        <v>0.853383899604714</v>
      </c>
      <c r="O1735" s="19" t="n">
        <v>1.18518106727523</v>
      </c>
      <c r="P1735" s="19" t="n">
        <v>0.625736933901135</v>
      </c>
      <c r="Q1735" s="17" t="s">
        <v>31</v>
      </c>
      <c r="R1735" s="5" t="str">
        <f aca="false">IF(OR(Q1735="Steel plate",Q1735="Concrete jacket"),"Steel plate or jacket",Q1735)</f>
        <v>Polymer laminate</v>
      </c>
      <c r="S1735" s="5" t="str">
        <f aca="false">IF(O1735&lt;='Tree rules'!$C$4,IF(N1735&lt;='Tree rules'!$C$5,IF(P1735&lt;='Tree rules'!$C$6,"Monitor","Polymer laminate"),IF(P1735&lt;='Tree rules'!$C$7,"Seal cracks","Polymer laminate")),IF(O1735&lt;='Tree rules'!$C$8,IF(M1735&lt;='Tree rules'!$C$9,"Steel plate or jacket","Polymer laminate"),IF(L1735&lt;='Tree rules'!$C$10,"Steel plate or jacket","Polymer laminate")))</f>
        <v>Polymer laminate</v>
      </c>
      <c r="T1735" s="5" t="str">
        <f aca="false">IF(S1735=R1735,"Yes","No")</f>
        <v>Yes</v>
      </c>
    </row>
    <row r="1736" customFormat="false" ht="15" hidden="false" customHeight="false" outlineLevel="0" collapsed="false">
      <c r="A1736" s="15" t="n">
        <v>2478</v>
      </c>
      <c r="B1736" s="16" t="n">
        <v>5.93208336830601</v>
      </c>
      <c r="C1736" s="15" t="n">
        <v>230</v>
      </c>
      <c r="D1736" s="15" t="n">
        <v>500</v>
      </c>
      <c r="E1736" s="15" t="n">
        <v>30</v>
      </c>
      <c r="F1736" s="16" t="n">
        <v>0.577653504586516</v>
      </c>
      <c r="G1736" s="17" t="s">
        <v>89</v>
      </c>
      <c r="H1736" s="18" t="n">
        <v>0.3</v>
      </c>
      <c r="I1736" s="18" t="n">
        <v>1</v>
      </c>
      <c r="J1736" s="19" t="n">
        <v>0.968167520270442</v>
      </c>
      <c r="K1736" s="19" t="n">
        <v>0.427071556266695</v>
      </c>
      <c r="L1736" s="16" t="n">
        <v>13.0662629257842</v>
      </c>
      <c r="M1736" s="19" t="n">
        <v>0.601529589103552</v>
      </c>
      <c r="N1736" s="19" t="n">
        <v>0.68054812230364</v>
      </c>
      <c r="O1736" s="19" t="n">
        <v>0.968167520270442</v>
      </c>
      <c r="P1736" s="19" t="n">
        <v>0.475294419525028</v>
      </c>
      <c r="Q1736" s="17" t="s">
        <v>29</v>
      </c>
      <c r="R1736" s="5" t="str">
        <f aca="false">IF(OR(Q1736="Steel plate",Q1736="Concrete jacket"),"Steel plate or jacket",Q1736)</f>
        <v>Monitor</v>
      </c>
      <c r="S1736" s="5" t="str">
        <f aca="false">IF(O1736&lt;='Tree rules'!$C$4,IF(N1736&lt;='Tree rules'!$C$5,IF(P1736&lt;='Tree rules'!$C$6,"Monitor","Polymer laminate"),IF(P1736&lt;='Tree rules'!$C$7,"Seal cracks","Polymer laminate")),IF(O1736&lt;='Tree rules'!$C$8,IF(M1736&lt;='Tree rules'!$C$9,"Steel plate or jacket","Polymer laminate"),IF(L1736&lt;='Tree rules'!$C$10,"Steel plate or jacket","Polymer laminate")))</f>
        <v>Monitor</v>
      </c>
      <c r="T1736" s="5" t="str">
        <f aca="false">IF(S1736=R1736,"Yes","No")</f>
        <v>Yes</v>
      </c>
    </row>
    <row r="1737" customFormat="false" ht="15" hidden="false" customHeight="false" outlineLevel="0" collapsed="false">
      <c r="A1737" s="15" t="n">
        <v>2479</v>
      </c>
      <c r="B1737" s="16" t="n">
        <v>3.19459267740116</v>
      </c>
      <c r="C1737" s="15" t="n">
        <v>300</v>
      </c>
      <c r="D1737" s="15" t="n">
        <v>300</v>
      </c>
      <c r="E1737" s="15" t="n">
        <v>25</v>
      </c>
      <c r="F1737" s="16" t="n">
        <v>0.589048622548086</v>
      </c>
      <c r="G1737" s="17" t="s">
        <v>89</v>
      </c>
      <c r="H1737" s="18" t="n">
        <v>0.3</v>
      </c>
      <c r="I1737" s="18" t="n">
        <v>1</v>
      </c>
      <c r="J1737" s="19" t="n">
        <v>0.99200644112961</v>
      </c>
      <c r="K1737" s="19" t="n">
        <v>0.490466148327603</v>
      </c>
      <c r="L1737" s="16" t="n">
        <v>12.4788776460983</v>
      </c>
      <c r="M1737" s="19" t="n">
        <v>0.268580975215346</v>
      </c>
      <c r="N1737" s="19" t="n">
        <v>0.778993491675218</v>
      </c>
      <c r="O1737" s="19" t="n">
        <v>0.99200644112961</v>
      </c>
      <c r="P1737" s="19" t="n">
        <v>0.943242652996317</v>
      </c>
      <c r="Q1737" s="17" t="s">
        <v>29</v>
      </c>
      <c r="R1737" s="5" t="str">
        <f aca="false">IF(OR(Q1737="Steel plate",Q1737="Concrete jacket"),"Steel plate or jacket",Q1737)</f>
        <v>Monitor</v>
      </c>
      <c r="S1737" s="5" t="str">
        <f aca="false">IF(O1737&lt;='Tree rules'!$C$4,IF(N1737&lt;='Tree rules'!$C$5,IF(P1737&lt;='Tree rules'!$C$6,"Monitor","Polymer laminate"),IF(P1737&lt;='Tree rules'!$C$7,"Seal cracks","Polymer laminate")),IF(O1737&lt;='Tree rules'!$C$8,IF(M1737&lt;='Tree rules'!$C$9,"Steel plate or jacket","Polymer laminate"),IF(L1737&lt;='Tree rules'!$C$10,"Steel plate or jacket","Polymer laminate")))</f>
        <v>Monitor</v>
      </c>
      <c r="T1737" s="5" t="str">
        <f aca="false">IF(S1737=R1737,"Yes","No")</f>
        <v>Yes</v>
      </c>
    </row>
    <row r="1738" customFormat="false" ht="15" hidden="false" customHeight="false" outlineLevel="0" collapsed="false">
      <c r="A1738" s="15" t="n">
        <v>2482</v>
      </c>
      <c r="B1738" s="16" t="n">
        <v>3.2089874462385</v>
      </c>
      <c r="C1738" s="15" t="n">
        <v>300</v>
      </c>
      <c r="D1738" s="15" t="n">
        <v>300</v>
      </c>
      <c r="E1738" s="15" t="n">
        <v>30</v>
      </c>
      <c r="F1738" s="16" t="n">
        <v>0.831109167616348</v>
      </c>
      <c r="G1738" s="17" t="s">
        <v>89</v>
      </c>
      <c r="H1738" s="18" t="n">
        <v>0.3</v>
      </c>
      <c r="I1738" s="18" t="n">
        <v>1</v>
      </c>
      <c r="J1738" s="19" t="n">
        <v>0.992483434601735</v>
      </c>
      <c r="K1738" s="19" t="n">
        <v>0.420036574345262</v>
      </c>
      <c r="L1738" s="16" t="n">
        <v>12.7340771676131</v>
      </c>
      <c r="M1738" s="19" t="n">
        <v>0.511989986463651</v>
      </c>
      <c r="N1738" s="19" t="n">
        <v>1.10394759635151</v>
      </c>
      <c r="O1738" s="19" t="n">
        <v>0.992483434601735</v>
      </c>
      <c r="P1738" s="19" t="n">
        <v>0.596022860287763</v>
      </c>
      <c r="Q1738" s="17" t="s">
        <v>30</v>
      </c>
      <c r="R1738" s="5" t="str">
        <f aca="false">IF(OR(Q1738="Steel plate",Q1738="Concrete jacket"),"Steel plate or jacket",Q1738)</f>
        <v>Seal cracks</v>
      </c>
      <c r="S1738" s="5" t="str">
        <f aca="false">IF(O1738&lt;='Tree rules'!$C$4,IF(N1738&lt;='Tree rules'!$C$5,IF(P1738&lt;='Tree rules'!$C$6,"Monitor","Polymer laminate"),IF(P1738&lt;='Tree rules'!$C$7,"Seal cracks","Polymer laminate")),IF(O1738&lt;='Tree rules'!$C$8,IF(M1738&lt;='Tree rules'!$C$9,"Steel plate or jacket","Polymer laminate"),IF(L1738&lt;='Tree rules'!$C$10,"Steel plate or jacket","Polymer laminate")))</f>
        <v>Seal cracks</v>
      </c>
      <c r="T1738" s="5" t="str">
        <f aca="false">IF(S1738=R1738,"Yes","No")</f>
        <v>Yes</v>
      </c>
    </row>
    <row r="1739" customFormat="false" ht="15" hidden="false" customHeight="false" outlineLevel="0" collapsed="false">
      <c r="A1739" s="15" t="n">
        <v>2483</v>
      </c>
      <c r="B1739" s="16" t="n">
        <v>6.56508422205867</v>
      </c>
      <c r="C1739" s="15" t="n">
        <v>230</v>
      </c>
      <c r="D1739" s="15" t="n">
        <v>525</v>
      </c>
      <c r="E1739" s="15" t="n">
        <v>20</v>
      </c>
      <c r="F1739" s="16" t="n">
        <v>0.547504574284506</v>
      </c>
      <c r="G1739" s="17" t="s">
        <v>89</v>
      </c>
      <c r="H1739" s="18" t="n">
        <v>0.3</v>
      </c>
      <c r="I1739" s="18" t="n">
        <v>1</v>
      </c>
      <c r="J1739" s="19" t="n">
        <v>0.982400508490251</v>
      </c>
      <c r="K1739" s="19" t="n">
        <v>0.429257328853508</v>
      </c>
      <c r="L1739" s="16" t="n">
        <v>13.7058125721475</v>
      </c>
      <c r="M1739" s="19" t="n">
        <v>0.532708769717325</v>
      </c>
      <c r="N1739" s="19" t="n">
        <v>0.693042039932987</v>
      </c>
      <c r="O1739" s="19" t="n">
        <v>0.982400508490251</v>
      </c>
      <c r="P1739" s="19" t="n">
        <v>0.634579920712999</v>
      </c>
      <c r="Q1739" s="17" t="s">
        <v>29</v>
      </c>
      <c r="R1739" s="5" t="str">
        <f aca="false">IF(OR(Q1739="Steel plate",Q1739="Concrete jacket"),"Steel plate or jacket",Q1739)</f>
        <v>Monitor</v>
      </c>
      <c r="S1739" s="5" t="str">
        <f aca="false">IF(O1739&lt;='Tree rules'!$C$4,IF(N1739&lt;='Tree rules'!$C$5,IF(P1739&lt;='Tree rules'!$C$6,"Monitor","Polymer laminate"),IF(P1739&lt;='Tree rules'!$C$7,"Seal cracks","Polymer laminate")),IF(O1739&lt;='Tree rules'!$C$8,IF(M1739&lt;='Tree rules'!$C$9,"Steel plate or jacket","Polymer laminate"),IF(L1739&lt;='Tree rules'!$C$10,"Steel plate or jacket","Polymer laminate")))</f>
        <v>Monitor</v>
      </c>
      <c r="T1739" s="5" t="str">
        <f aca="false">IF(S1739=R1739,"Yes","No")</f>
        <v>Yes</v>
      </c>
    </row>
    <row r="1740" customFormat="false" ht="15" hidden="false" customHeight="false" outlineLevel="0" collapsed="false">
      <c r="A1740" s="15" t="n">
        <v>2485</v>
      </c>
      <c r="B1740" s="16" t="n">
        <v>3.03499795945785</v>
      </c>
      <c r="C1740" s="15" t="n">
        <v>300</v>
      </c>
      <c r="D1740" s="15" t="n">
        <v>300</v>
      </c>
      <c r="E1740" s="15" t="n">
        <v>25</v>
      </c>
      <c r="F1740" s="16" t="n">
        <v>0.736310778185108</v>
      </c>
      <c r="G1740" s="17" t="s">
        <v>89</v>
      </c>
      <c r="H1740" s="18" t="n">
        <v>0.3</v>
      </c>
      <c r="I1740" s="18" t="n">
        <v>1</v>
      </c>
      <c r="J1740" s="19" t="n">
        <v>0.939611160777624</v>
      </c>
      <c r="K1740" s="19" t="n">
        <v>0.403031982132266</v>
      </c>
      <c r="L1740" s="16" t="n">
        <v>11.8554607791322</v>
      </c>
      <c r="M1740" s="19" t="n">
        <v>0.471271745368998</v>
      </c>
      <c r="N1740" s="19" t="n">
        <v>0.662539052489007</v>
      </c>
      <c r="O1740" s="19" t="n">
        <v>0.939611160777624</v>
      </c>
      <c r="P1740" s="19" t="n">
        <v>0.560873804789565</v>
      </c>
      <c r="Q1740" s="17" t="s">
        <v>29</v>
      </c>
      <c r="R1740" s="5" t="str">
        <f aca="false">IF(OR(Q1740="Steel plate",Q1740="Concrete jacket"),"Steel plate or jacket",Q1740)</f>
        <v>Monitor</v>
      </c>
      <c r="S1740" s="5" t="str">
        <f aca="false">IF(O1740&lt;='Tree rules'!$C$4,IF(N1740&lt;='Tree rules'!$C$5,IF(P1740&lt;='Tree rules'!$C$6,"Monitor","Polymer laminate"),IF(P1740&lt;='Tree rules'!$C$7,"Seal cracks","Polymer laminate")),IF(O1740&lt;='Tree rules'!$C$8,IF(M1740&lt;='Tree rules'!$C$9,"Steel plate or jacket","Polymer laminate"),IF(L1740&lt;='Tree rules'!$C$10,"Steel plate or jacket","Polymer laminate")))</f>
        <v>Monitor</v>
      </c>
      <c r="T1740" s="5" t="str">
        <f aca="false">IF(S1740=R1740,"Yes","No")</f>
        <v>Yes</v>
      </c>
    </row>
    <row r="1741" customFormat="false" ht="15" hidden="false" customHeight="false" outlineLevel="0" collapsed="false">
      <c r="A1741" s="15" t="n">
        <v>2486</v>
      </c>
      <c r="B1741" s="16" t="n">
        <v>3.85132132818311</v>
      </c>
      <c r="C1741" s="15" t="n">
        <v>230</v>
      </c>
      <c r="D1741" s="15" t="n">
        <v>300</v>
      </c>
      <c r="E1741" s="15" t="n">
        <v>20</v>
      </c>
      <c r="F1741" s="16" t="n">
        <v>0.688332522525665</v>
      </c>
      <c r="G1741" s="17" t="s">
        <v>91</v>
      </c>
      <c r="H1741" s="18" t="n">
        <v>0.2</v>
      </c>
      <c r="I1741" s="18" t="n">
        <v>2</v>
      </c>
      <c r="J1741" s="19" t="n">
        <v>0.906917872810943</v>
      </c>
      <c r="K1741" s="19" t="n">
        <v>0.484942400982608</v>
      </c>
      <c r="L1741" s="16" t="n">
        <v>15.1626823944217</v>
      </c>
      <c r="M1741" s="19" t="n">
        <v>0.951355349885063</v>
      </c>
      <c r="N1741" s="19" t="n">
        <v>1.80655849374101</v>
      </c>
      <c r="O1741" s="19" t="n">
        <v>1.37403281488691</v>
      </c>
      <c r="P1741" s="19" t="n">
        <v>0.486250368069938</v>
      </c>
      <c r="Q1741" s="17" t="s">
        <v>31</v>
      </c>
      <c r="R1741" s="5" t="str">
        <f aca="false">IF(OR(Q1741="Steel plate",Q1741="Concrete jacket"),"Steel plate or jacket",Q1741)</f>
        <v>Polymer laminate</v>
      </c>
      <c r="S1741" s="5" t="str">
        <f aca="false">IF(O1741&lt;='Tree rules'!$C$4,IF(N1741&lt;='Tree rules'!$C$5,IF(P1741&lt;='Tree rules'!$C$6,"Monitor","Polymer laminate"),IF(P1741&lt;='Tree rules'!$C$7,"Seal cracks","Polymer laminate")),IF(O1741&lt;='Tree rules'!$C$8,IF(M1741&lt;='Tree rules'!$C$9,"Steel plate or jacket","Polymer laminate"),IF(L1741&lt;='Tree rules'!$C$10,"Steel plate or jacket","Polymer laminate")))</f>
        <v>Polymer laminate</v>
      </c>
      <c r="T1741" s="5" t="str">
        <f aca="false">IF(S1741=R1741,"Yes","No")</f>
        <v>Yes</v>
      </c>
    </row>
    <row r="1742" customFormat="false" ht="15" hidden="false" customHeight="false" outlineLevel="0" collapsed="false">
      <c r="A1742" s="15" t="n">
        <v>2487</v>
      </c>
      <c r="B1742" s="16" t="n">
        <v>6.40160597851064</v>
      </c>
      <c r="C1742" s="15" t="n">
        <v>300</v>
      </c>
      <c r="D1742" s="15" t="n">
        <v>550</v>
      </c>
      <c r="E1742" s="15" t="n">
        <v>30</v>
      </c>
      <c r="F1742" s="16" t="n">
        <v>0.548226120871839</v>
      </c>
      <c r="G1742" s="17" t="s">
        <v>90</v>
      </c>
      <c r="H1742" s="18" t="n">
        <v>0.1</v>
      </c>
      <c r="I1742" s="18" t="n">
        <v>1</v>
      </c>
      <c r="J1742" s="19" t="n">
        <v>0.956013934210394</v>
      </c>
      <c r="K1742" s="19" t="n">
        <v>0.585430391521004</v>
      </c>
      <c r="L1742" s="16" t="n">
        <v>13.0912187699604</v>
      </c>
      <c r="M1742" s="19" t="n">
        <v>0.928014877152017</v>
      </c>
      <c r="N1742" s="19" t="n">
        <v>2.28478053737774</v>
      </c>
      <c r="O1742" s="19" t="n">
        <v>0.956013934210394</v>
      </c>
      <c r="P1742" s="19" t="n">
        <v>0.332636357413243</v>
      </c>
      <c r="Q1742" s="17" t="s">
        <v>30</v>
      </c>
      <c r="R1742" s="5" t="str">
        <f aca="false">IF(OR(Q1742="Steel plate",Q1742="Concrete jacket"),"Steel plate or jacket",Q1742)</f>
        <v>Seal cracks</v>
      </c>
      <c r="S1742" s="5" t="str">
        <f aca="false">IF(O1742&lt;='Tree rules'!$C$4,IF(N1742&lt;='Tree rules'!$C$5,IF(P1742&lt;='Tree rules'!$C$6,"Monitor","Polymer laminate"),IF(P1742&lt;='Tree rules'!$C$7,"Seal cracks","Polymer laminate")),IF(O1742&lt;='Tree rules'!$C$8,IF(M1742&lt;='Tree rules'!$C$9,"Steel plate or jacket","Polymer laminate"),IF(L1742&lt;='Tree rules'!$C$10,"Steel plate or jacket","Polymer laminate")))</f>
        <v>Seal cracks</v>
      </c>
      <c r="T1742" s="5" t="str">
        <f aca="false">IF(S1742=R1742,"Yes","No")</f>
        <v>Yes</v>
      </c>
    </row>
    <row r="1743" customFormat="false" ht="15" hidden="false" customHeight="false" outlineLevel="0" collapsed="false">
      <c r="A1743" s="15" t="n">
        <v>2488</v>
      </c>
      <c r="B1743" s="16" t="n">
        <v>5.36964327128652</v>
      </c>
      <c r="C1743" s="15" t="n">
        <v>230</v>
      </c>
      <c r="D1743" s="15" t="n">
        <v>500</v>
      </c>
      <c r="E1743" s="15" t="n">
        <v>30</v>
      </c>
      <c r="F1743" s="16" t="n">
        <v>0.770204672782022</v>
      </c>
      <c r="G1743" s="17" t="s">
        <v>91</v>
      </c>
      <c r="H1743" s="18" t="n">
        <v>0.2</v>
      </c>
      <c r="I1743" s="18" t="n">
        <v>2</v>
      </c>
      <c r="J1743" s="19" t="n">
        <v>0.897899819761332</v>
      </c>
      <c r="K1743" s="19" t="n">
        <v>0.507926127812938</v>
      </c>
      <c r="L1743" s="16" t="n">
        <v>11.8274080865342</v>
      </c>
      <c r="M1743" s="19" t="n">
        <v>0.735156961424557</v>
      </c>
      <c r="N1743" s="19" t="n">
        <v>1.30428016582545</v>
      </c>
      <c r="O1743" s="19" t="n">
        <v>1.33973286090736</v>
      </c>
      <c r="P1743" s="19" t="n">
        <v>0.568265741948913</v>
      </c>
      <c r="Q1743" s="17" t="s">
        <v>31</v>
      </c>
      <c r="R1743" s="5" t="str">
        <f aca="false">IF(OR(Q1743="Steel plate",Q1743="Concrete jacket"),"Steel plate or jacket",Q1743)</f>
        <v>Polymer laminate</v>
      </c>
      <c r="S1743" s="5" t="str">
        <f aca="false">IF(O1743&lt;='Tree rules'!$C$4,IF(N1743&lt;='Tree rules'!$C$5,IF(P1743&lt;='Tree rules'!$C$6,"Monitor","Polymer laminate"),IF(P1743&lt;='Tree rules'!$C$7,"Seal cracks","Polymer laminate")),IF(O1743&lt;='Tree rules'!$C$8,IF(M1743&lt;='Tree rules'!$C$9,"Steel plate or jacket","Polymer laminate"),IF(L1743&lt;='Tree rules'!$C$10,"Steel plate or jacket","Polymer laminate")))</f>
        <v>Steel plate or jacket</v>
      </c>
      <c r="T1743" s="5" t="str">
        <f aca="false">IF(S1743=R1743,"Yes","No")</f>
        <v>No</v>
      </c>
    </row>
    <row r="1744" customFormat="false" ht="15" hidden="false" customHeight="false" outlineLevel="0" collapsed="false">
      <c r="A1744" s="15" t="n">
        <v>2489</v>
      </c>
      <c r="B1744" s="16" t="n">
        <v>6.33889583978538</v>
      </c>
      <c r="C1744" s="15" t="n">
        <v>230</v>
      </c>
      <c r="D1744" s="15" t="n">
        <v>600</v>
      </c>
      <c r="E1744" s="15" t="n">
        <v>20</v>
      </c>
      <c r="F1744" s="16" t="n">
        <v>0.742342309449384</v>
      </c>
      <c r="G1744" s="17" t="s">
        <v>89</v>
      </c>
      <c r="H1744" s="18" t="n">
        <v>0.3</v>
      </c>
      <c r="I1744" s="18" t="n">
        <v>2</v>
      </c>
      <c r="J1744" s="19" t="n">
        <v>0.896956556346695</v>
      </c>
      <c r="K1744" s="19" t="n">
        <v>0.485558956672762</v>
      </c>
      <c r="L1744" s="16" t="n">
        <v>11.4835069561329</v>
      </c>
      <c r="M1744" s="19" t="n">
        <v>0.926647224889397</v>
      </c>
      <c r="N1744" s="19" t="n">
        <v>0.888870873740418</v>
      </c>
      <c r="O1744" s="19" t="n">
        <v>1.3583878230129</v>
      </c>
      <c r="P1744" s="19" t="n">
        <v>0.503890857052556</v>
      </c>
      <c r="Q1744" s="17" t="s">
        <v>92</v>
      </c>
      <c r="R1744" s="5" t="str">
        <f aca="false">IF(OR(Q1744="Steel plate",Q1744="Concrete jacket"),"Steel plate or jacket",Q1744)</f>
        <v>Steel plate or jacket</v>
      </c>
      <c r="S1744" s="5" t="str">
        <f aca="false">IF(O1744&lt;='Tree rules'!$C$4,IF(N1744&lt;='Tree rules'!$C$5,IF(P1744&lt;='Tree rules'!$C$6,"Monitor","Polymer laminate"),IF(P1744&lt;='Tree rules'!$C$7,"Seal cracks","Polymer laminate")),IF(O1744&lt;='Tree rules'!$C$8,IF(M1744&lt;='Tree rules'!$C$9,"Steel plate or jacket","Polymer laminate"),IF(L1744&lt;='Tree rules'!$C$10,"Steel plate or jacket","Polymer laminate")))</f>
        <v>Steel plate or jacket</v>
      </c>
      <c r="T1744" s="5" t="str">
        <f aca="false">IF(S1744=R1744,"Yes","No")</f>
        <v>Yes</v>
      </c>
    </row>
    <row r="1745" customFormat="false" ht="15" hidden="false" customHeight="false" outlineLevel="0" collapsed="false">
      <c r="A1745" s="15" t="n">
        <v>2490</v>
      </c>
      <c r="B1745" s="16" t="n">
        <v>3.56450975258625</v>
      </c>
      <c r="C1745" s="15" t="n">
        <v>300</v>
      </c>
      <c r="D1745" s="15" t="n">
        <v>300</v>
      </c>
      <c r="E1745" s="15" t="n">
        <v>25</v>
      </c>
      <c r="F1745" s="16" t="n">
        <v>0.791582400904515</v>
      </c>
      <c r="G1745" s="17" t="s">
        <v>91</v>
      </c>
      <c r="H1745" s="18" t="n">
        <v>0.2</v>
      </c>
      <c r="I1745" s="18" t="n">
        <v>1.5</v>
      </c>
      <c r="J1745" s="19" t="n">
        <v>0.853050382490669</v>
      </c>
      <c r="K1745" s="19" t="n">
        <v>0.438914972324435</v>
      </c>
      <c r="L1745" s="16" t="n">
        <v>14.033502962938</v>
      </c>
      <c r="M1745" s="19" t="n">
        <v>0.846517213421541</v>
      </c>
      <c r="N1745" s="19" t="n">
        <v>1.30925439356201</v>
      </c>
      <c r="O1745" s="19" t="n">
        <v>1.09236728122488</v>
      </c>
      <c r="P1745" s="19" t="n">
        <v>0.441613965172313</v>
      </c>
      <c r="Q1745" s="17" t="s">
        <v>31</v>
      </c>
      <c r="R1745" s="5" t="str">
        <f aca="false">IF(OR(Q1745="Steel plate",Q1745="Concrete jacket"),"Steel plate or jacket",Q1745)</f>
        <v>Polymer laminate</v>
      </c>
      <c r="S1745" s="5" t="str">
        <f aca="false">IF(O1745&lt;='Tree rules'!$C$4,IF(N1745&lt;='Tree rules'!$C$5,IF(P1745&lt;='Tree rules'!$C$6,"Monitor","Polymer laminate"),IF(P1745&lt;='Tree rules'!$C$7,"Seal cracks","Polymer laminate")),IF(O1745&lt;='Tree rules'!$C$8,IF(M1745&lt;='Tree rules'!$C$9,"Steel plate or jacket","Polymer laminate"),IF(L1745&lt;='Tree rules'!$C$10,"Steel plate or jacket","Polymer laminate")))</f>
        <v>Polymer laminate</v>
      </c>
      <c r="T1745" s="5" t="str">
        <f aca="false">IF(S1745=R1745,"Yes","No")</f>
        <v>Yes</v>
      </c>
    </row>
    <row r="1746" customFormat="false" ht="15" hidden="false" customHeight="false" outlineLevel="0" collapsed="false">
      <c r="A1746" s="15" t="n">
        <v>2491</v>
      </c>
      <c r="B1746" s="16" t="n">
        <v>5.12589374270969</v>
      </c>
      <c r="C1746" s="15" t="n">
        <v>230</v>
      </c>
      <c r="D1746" s="15" t="n">
        <v>475</v>
      </c>
      <c r="E1746" s="15" t="n">
        <v>20</v>
      </c>
      <c r="F1746" s="16" t="n">
        <v>0.611316296229087</v>
      </c>
      <c r="G1746" s="17" t="s">
        <v>89</v>
      </c>
      <c r="H1746" s="18" t="n">
        <v>0.3</v>
      </c>
      <c r="I1746" s="18" t="n">
        <v>1</v>
      </c>
      <c r="J1746" s="19" t="n">
        <v>0.901985463590197</v>
      </c>
      <c r="K1746" s="19" t="n">
        <v>0.408017769945026</v>
      </c>
      <c r="L1746" s="16" t="n">
        <v>11.9484702627266</v>
      </c>
      <c r="M1746" s="19" t="n">
        <v>0.655887086097554</v>
      </c>
      <c r="N1746" s="19" t="n">
        <v>0.617783475188722</v>
      </c>
      <c r="O1746" s="19" t="n">
        <v>0.901985463590197</v>
      </c>
      <c r="P1746" s="19" t="n">
        <v>0.440851070619621</v>
      </c>
      <c r="Q1746" s="17" t="s">
        <v>29</v>
      </c>
      <c r="R1746" s="5" t="str">
        <f aca="false">IF(OR(Q1746="Steel plate",Q1746="Concrete jacket"),"Steel plate or jacket",Q1746)</f>
        <v>Monitor</v>
      </c>
      <c r="S1746" s="5" t="str">
        <f aca="false">IF(O1746&lt;='Tree rules'!$C$4,IF(N1746&lt;='Tree rules'!$C$5,IF(P1746&lt;='Tree rules'!$C$6,"Monitor","Polymer laminate"),IF(P1746&lt;='Tree rules'!$C$7,"Seal cracks","Polymer laminate")),IF(O1746&lt;='Tree rules'!$C$8,IF(M1746&lt;='Tree rules'!$C$9,"Steel plate or jacket","Polymer laminate"),IF(L1746&lt;='Tree rules'!$C$10,"Steel plate or jacket","Polymer laminate")))</f>
        <v>Monitor</v>
      </c>
      <c r="T1746" s="5" t="str">
        <f aca="false">IF(S1746=R1746,"Yes","No")</f>
        <v>Yes</v>
      </c>
    </row>
    <row r="1747" customFormat="false" ht="15" hidden="false" customHeight="false" outlineLevel="0" collapsed="false">
      <c r="A1747" s="15" t="n">
        <v>2493</v>
      </c>
      <c r="B1747" s="16" t="n">
        <v>5.17817753987595</v>
      </c>
      <c r="C1747" s="15" t="n">
        <v>300</v>
      </c>
      <c r="D1747" s="15" t="n">
        <v>500</v>
      </c>
      <c r="E1747" s="15" t="n">
        <v>25</v>
      </c>
      <c r="F1747" s="16" t="n">
        <v>0.738112811416104</v>
      </c>
      <c r="G1747" s="17" t="s">
        <v>91</v>
      </c>
      <c r="H1747" s="18" t="n">
        <v>0.2</v>
      </c>
      <c r="I1747" s="18" t="n">
        <v>1.5</v>
      </c>
      <c r="J1747" s="19" t="n">
        <v>0.864583314103811</v>
      </c>
      <c r="K1747" s="19" t="n">
        <v>0.596627372881754</v>
      </c>
      <c r="L1747" s="16" t="n">
        <v>11.4056774006078</v>
      </c>
      <c r="M1747" s="19" t="n">
        <v>0.642921438660706</v>
      </c>
      <c r="N1747" s="19" t="n">
        <v>1.01468613169366</v>
      </c>
      <c r="O1747" s="19" t="n">
        <v>1.03895793549014</v>
      </c>
      <c r="P1747" s="19" t="n">
        <v>0.57776683671001</v>
      </c>
      <c r="Q1747" s="17" t="s">
        <v>31</v>
      </c>
      <c r="R1747" s="5" t="str">
        <f aca="false">IF(OR(Q1747="Steel plate",Q1747="Concrete jacket"),"Steel plate or jacket",Q1747)</f>
        <v>Polymer laminate</v>
      </c>
      <c r="S1747" s="5" t="str">
        <f aca="false">IF(O1747&lt;='Tree rules'!$C$4,IF(N1747&lt;='Tree rules'!$C$5,IF(P1747&lt;='Tree rules'!$C$6,"Monitor","Polymer laminate"),IF(P1747&lt;='Tree rules'!$C$7,"Seal cracks","Polymer laminate")),IF(O1747&lt;='Tree rules'!$C$8,IF(M1747&lt;='Tree rules'!$C$9,"Steel plate or jacket","Polymer laminate"),IF(L1747&lt;='Tree rules'!$C$10,"Steel plate or jacket","Polymer laminate")))</f>
        <v>Polymer laminate</v>
      </c>
      <c r="T1747" s="5" t="str">
        <f aca="false">IF(S1747=R1747,"Yes","No")</f>
        <v>Yes</v>
      </c>
    </row>
    <row r="1748" customFormat="false" ht="15" hidden="false" customHeight="false" outlineLevel="0" collapsed="false">
      <c r="A1748" s="15" t="n">
        <v>2494</v>
      </c>
      <c r="B1748" s="16" t="n">
        <v>6.04828804462155</v>
      </c>
      <c r="C1748" s="15" t="n">
        <v>230</v>
      </c>
      <c r="D1748" s="15" t="n">
        <v>575</v>
      </c>
      <c r="E1748" s="15" t="n">
        <v>25</v>
      </c>
      <c r="F1748" s="16" t="n">
        <v>0.661007412935799</v>
      </c>
      <c r="G1748" s="17" t="s">
        <v>91</v>
      </c>
      <c r="H1748" s="18" t="n">
        <v>0.2</v>
      </c>
      <c r="I1748" s="18" t="n">
        <v>1.5</v>
      </c>
      <c r="J1748" s="19" t="n">
        <v>0.974835094027824</v>
      </c>
      <c r="K1748" s="19" t="n">
        <v>0.630411345162163</v>
      </c>
      <c r="L1748" s="16" t="n">
        <v>11.4334367573186</v>
      </c>
      <c r="M1748" s="19" t="n">
        <v>0.926121017644845</v>
      </c>
      <c r="N1748" s="19" t="n">
        <v>1.03860594553979</v>
      </c>
      <c r="O1748" s="19" t="n">
        <v>1.15497908957305</v>
      </c>
      <c r="P1748" s="19" t="n">
        <v>0.44658082728211</v>
      </c>
      <c r="Q1748" s="17" t="s">
        <v>31</v>
      </c>
      <c r="R1748" s="5" t="str">
        <f aca="false">IF(OR(Q1748="Steel plate",Q1748="Concrete jacket"),"Steel plate or jacket",Q1748)</f>
        <v>Polymer laminate</v>
      </c>
      <c r="S1748" s="5" t="str">
        <f aca="false">IF(O1748&lt;='Tree rules'!$C$4,IF(N1748&lt;='Tree rules'!$C$5,IF(P1748&lt;='Tree rules'!$C$6,"Monitor","Polymer laminate"),IF(P1748&lt;='Tree rules'!$C$7,"Seal cracks","Polymer laminate")),IF(O1748&lt;='Tree rules'!$C$8,IF(M1748&lt;='Tree rules'!$C$9,"Steel plate or jacket","Polymer laminate"),IF(L1748&lt;='Tree rules'!$C$10,"Steel plate or jacket","Polymer laminate")))</f>
        <v>Polymer laminate</v>
      </c>
      <c r="T1748" s="5" t="str">
        <f aca="false">IF(S1748=R1748,"Yes","No")</f>
        <v>Yes</v>
      </c>
    </row>
    <row r="1749" customFormat="false" ht="15" hidden="false" customHeight="false" outlineLevel="0" collapsed="false">
      <c r="A1749" s="15" t="n">
        <v>2496</v>
      </c>
      <c r="B1749" s="16" t="n">
        <v>6.31500575565955</v>
      </c>
      <c r="C1749" s="15" t="n">
        <v>230</v>
      </c>
      <c r="D1749" s="15" t="n">
        <v>550</v>
      </c>
      <c r="E1749" s="15" t="n">
        <v>25</v>
      </c>
      <c r="F1749" s="16" t="n">
        <v>0.693795479053647</v>
      </c>
      <c r="G1749" s="17" t="s">
        <v>89</v>
      </c>
      <c r="H1749" s="18" t="n">
        <v>0.3</v>
      </c>
      <c r="I1749" s="18" t="n">
        <v>1.5</v>
      </c>
      <c r="J1749" s="19" t="n">
        <v>0.875226743012912</v>
      </c>
      <c r="K1749" s="19" t="n">
        <v>0.433483005015529</v>
      </c>
      <c r="L1749" s="16" t="n">
        <v>12.5297733247213</v>
      </c>
      <c r="M1749" s="19" t="n">
        <v>0.940143545592071</v>
      </c>
      <c r="N1749" s="19" t="n">
        <v>0.673975939430488</v>
      </c>
      <c r="O1749" s="19" t="n">
        <v>1.12314215520377</v>
      </c>
      <c r="P1749" s="19" t="n">
        <v>0.41151690212852</v>
      </c>
      <c r="Q1749" s="17" t="s">
        <v>31</v>
      </c>
      <c r="R1749" s="5" t="str">
        <f aca="false">IF(OR(Q1749="Steel plate",Q1749="Concrete jacket"),"Steel plate or jacket",Q1749)</f>
        <v>Polymer laminate</v>
      </c>
      <c r="S1749" s="5" t="str">
        <f aca="false">IF(O1749&lt;='Tree rules'!$C$4,IF(N1749&lt;='Tree rules'!$C$5,IF(P1749&lt;='Tree rules'!$C$6,"Monitor","Polymer laminate"),IF(P1749&lt;='Tree rules'!$C$7,"Seal cracks","Polymer laminate")),IF(O1749&lt;='Tree rules'!$C$8,IF(M1749&lt;='Tree rules'!$C$9,"Steel plate or jacket","Polymer laminate"),IF(L1749&lt;='Tree rules'!$C$10,"Steel plate or jacket","Polymer laminate")))</f>
        <v>Polymer laminate</v>
      </c>
      <c r="T1749" s="5" t="str">
        <f aca="false">IF(S1749=R1749,"Yes","No")</f>
        <v>Yes</v>
      </c>
    </row>
    <row r="1750" customFormat="false" ht="15" hidden="false" customHeight="false" outlineLevel="0" collapsed="false">
      <c r="A1750" s="15" t="n">
        <v>2498</v>
      </c>
      <c r="B1750" s="16" t="n">
        <v>3.43207526025791</v>
      </c>
      <c r="C1750" s="15" t="n">
        <v>300</v>
      </c>
      <c r="D1750" s="15" t="n">
        <v>300</v>
      </c>
      <c r="E1750" s="15" t="n">
        <v>20</v>
      </c>
      <c r="F1750" s="16" t="n">
        <v>0.625711399885104</v>
      </c>
      <c r="G1750" s="17" t="s">
        <v>90</v>
      </c>
      <c r="H1750" s="18" t="n">
        <v>0.1</v>
      </c>
      <c r="I1750" s="18" t="n">
        <v>1</v>
      </c>
      <c r="J1750" s="19" t="n">
        <v>0.991488320594363</v>
      </c>
      <c r="K1750" s="19" t="n">
        <v>0.623584778794786</v>
      </c>
      <c r="L1750" s="16" t="n">
        <v>14.2409761836428</v>
      </c>
      <c r="M1750" s="19" t="n">
        <v>0.44473199756835</v>
      </c>
      <c r="N1750" s="19" t="n">
        <v>2.9045497664453</v>
      </c>
      <c r="O1750" s="19" t="n">
        <v>0.991488320594363</v>
      </c>
      <c r="P1750" s="19" t="n">
        <v>0.709470793732918</v>
      </c>
      <c r="Q1750" s="17" t="s">
        <v>30</v>
      </c>
      <c r="R1750" s="5" t="str">
        <f aca="false">IF(OR(Q1750="Steel plate",Q1750="Concrete jacket"),"Steel plate or jacket",Q1750)</f>
        <v>Seal cracks</v>
      </c>
      <c r="S1750" s="5" t="str">
        <f aca="false">IF(O1750&lt;='Tree rules'!$C$4,IF(N1750&lt;='Tree rules'!$C$5,IF(P1750&lt;='Tree rules'!$C$6,"Monitor","Polymer laminate"),IF(P1750&lt;='Tree rules'!$C$7,"Seal cracks","Polymer laminate")),IF(O1750&lt;='Tree rules'!$C$8,IF(M1750&lt;='Tree rules'!$C$9,"Steel plate or jacket","Polymer laminate"),IF(L1750&lt;='Tree rules'!$C$10,"Steel plate or jacket","Polymer laminate")))</f>
        <v>Seal cracks</v>
      </c>
      <c r="T1750" s="5" t="str">
        <f aca="false">IF(S1750=R1750,"Yes","No")</f>
        <v>Yes</v>
      </c>
    </row>
    <row r="1751" customFormat="false" ht="15" hidden="false" customHeight="false" outlineLevel="0" collapsed="false">
      <c r="A1751" s="15" t="n">
        <v>2501</v>
      </c>
      <c r="B1751" s="16" t="n">
        <v>6.99936783330407</v>
      </c>
      <c r="C1751" s="15" t="n">
        <v>230</v>
      </c>
      <c r="D1751" s="15" t="n">
        <v>575</v>
      </c>
      <c r="E1751" s="15" t="n">
        <v>30</v>
      </c>
      <c r="F1751" s="16" t="n">
        <v>0.777557789024782</v>
      </c>
      <c r="G1751" s="17" t="s">
        <v>89</v>
      </c>
      <c r="H1751" s="18" t="n">
        <v>0.3</v>
      </c>
      <c r="I1751" s="18" t="n">
        <v>1</v>
      </c>
      <c r="J1751" s="19" t="n">
        <v>0.87185787879637</v>
      </c>
      <c r="K1751" s="19" t="n">
        <v>0.550334905880786</v>
      </c>
      <c r="L1751" s="16" t="n">
        <v>13.2815328905201</v>
      </c>
      <c r="M1751" s="19" t="n">
        <v>0.765648573958818</v>
      </c>
      <c r="N1751" s="19" t="n">
        <v>0.587636381857513</v>
      </c>
      <c r="O1751" s="19" t="n">
        <v>0.87185787879637</v>
      </c>
      <c r="P1751" s="19" t="n">
        <v>0.516494524887645</v>
      </c>
      <c r="Q1751" s="17" t="s">
        <v>29</v>
      </c>
      <c r="R1751" s="5" t="str">
        <f aca="false">IF(OR(Q1751="Steel plate",Q1751="Concrete jacket"),"Steel plate or jacket",Q1751)</f>
        <v>Monitor</v>
      </c>
      <c r="S1751" s="5" t="str">
        <f aca="false">IF(O1751&lt;='Tree rules'!$C$4,IF(N1751&lt;='Tree rules'!$C$5,IF(P1751&lt;='Tree rules'!$C$6,"Monitor","Polymer laminate"),IF(P1751&lt;='Tree rules'!$C$7,"Seal cracks","Polymer laminate")),IF(O1751&lt;='Tree rules'!$C$8,IF(M1751&lt;='Tree rules'!$C$9,"Steel plate or jacket","Polymer laminate"),IF(L1751&lt;='Tree rules'!$C$10,"Steel plate or jacket","Polymer laminate")))</f>
        <v>Monitor</v>
      </c>
      <c r="T1751" s="5" t="str">
        <f aca="false">IF(S1751=R1751,"Yes","No")</f>
        <v>Yes</v>
      </c>
    </row>
    <row r="1752" customFormat="false" ht="15" hidden="false" customHeight="false" outlineLevel="0" collapsed="false">
      <c r="A1752" s="15" t="n">
        <v>2503</v>
      </c>
      <c r="B1752" s="16" t="n">
        <v>3.30126170129412</v>
      </c>
      <c r="C1752" s="15" t="n">
        <v>300</v>
      </c>
      <c r="D1752" s="15" t="n">
        <v>300</v>
      </c>
      <c r="E1752" s="15" t="n">
        <v>25</v>
      </c>
      <c r="F1752" s="16" t="n">
        <v>0.736310778185108</v>
      </c>
      <c r="G1752" s="17" t="s">
        <v>91</v>
      </c>
      <c r="H1752" s="18" t="n">
        <v>0.2</v>
      </c>
      <c r="I1752" s="18" t="n">
        <v>1</v>
      </c>
      <c r="J1752" s="19" t="n">
        <v>0.950106007772387</v>
      </c>
      <c r="K1752" s="19" t="n">
        <v>0.604253856245272</v>
      </c>
      <c r="L1752" s="16" t="n">
        <v>12.8955535206802</v>
      </c>
      <c r="M1752" s="19" t="n">
        <v>0.807013261255414</v>
      </c>
      <c r="N1752" s="19" t="n">
        <v>0.930632069119696</v>
      </c>
      <c r="O1752" s="19" t="n">
        <v>0.950106007772387</v>
      </c>
      <c r="P1752" s="19" t="n">
        <v>0.444291089641587</v>
      </c>
      <c r="Q1752" s="17" t="s">
        <v>29</v>
      </c>
      <c r="R1752" s="5" t="str">
        <f aca="false">IF(OR(Q1752="Steel plate",Q1752="Concrete jacket"),"Steel plate or jacket",Q1752)</f>
        <v>Monitor</v>
      </c>
      <c r="S1752" s="5" t="str">
        <f aca="false">IF(O1752&lt;='Tree rules'!$C$4,IF(N1752&lt;='Tree rules'!$C$5,IF(P1752&lt;='Tree rules'!$C$6,"Monitor","Polymer laminate"),IF(P1752&lt;='Tree rules'!$C$7,"Seal cracks","Polymer laminate")),IF(O1752&lt;='Tree rules'!$C$8,IF(M1752&lt;='Tree rules'!$C$9,"Steel plate or jacket","Polymer laminate"),IF(L1752&lt;='Tree rules'!$C$10,"Steel plate or jacket","Polymer laminate")))</f>
        <v>Monitor</v>
      </c>
      <c r="T1752" s="5" t="str">
        <f aca="false">IF(S1752=R1752,"Yes","No")</f>
        <v>Yes</v>
      </c>
    </row>
    <row r="1753" customFormat="false" ht="15" hidden="false" customHeight="false" outlineLevel="0" collapsed="false">
      <c r="A1753" s="15" t="n">
        <v>2508</v>
      </c>
      <c r="B1753" s="16" t="n">
        <v>3.11914406467378</v>
      </c>
      <c r="C1753" s="15" t="n">
        <v>300</v>
      </c>
      <c r="D1753" s="15" t="n">
        <v>300</v>
      </c>
      <c r="E1753" s="15" t="n">
        <v>25</v>
      </c>
      <c r="F1753" s="16" t="n">
        <v>0.736310778185108</v>
      </c>
      <c r="G1753" s="17" t="s">
        <v>89</v>
      </c>
      <c r="H1753" s="18" t="n">
        <v>0.3</v>
      </c>
      <c r="I1753" s="18" t="n">
        <v>1</v>
      </c>
      <c r="J1753" s="19" t="n">
        <v>0.862048052884301</v>
      </c>
      <c r="K1753" s="19" t="n">
        <v>0.448635665028675</v>
      </c>
      <c r="L1753" s="16" t="n">
        <v>12.1841565026319</v>
      </c>
      <c r="M1753" s="19" t="n">
        <v>0.53546141857624</v>
      </c>
      <c r="N1753" s="19" t="n">
        <v>0.595638344372071</v>
      </c>
      <c r="O1753" s="19" t="n">
        <v>0.862048052884301</v>
      </c>
      <c r="P1753" s="19" t="n">
        <v>0.492908408693666</v>
      </c>
      <c r="Q1753" s="17" t="s">
        <v>29</v>
      </c>
      <c r="R1753" s="5" t="str">
        <f aca="false">IF(OR(Q1753="Steel plate",Q1753="Concrete jacket"),"Steel plate or jacket",Q1753)</f>
        <v>Monitor</v>
      </c>
      <c r="S1753" s="5" t="str">
        <f aca="false">IF(O1753&lt;='Tree rules'!$C$4,IF(N1753&lt;='Tree rules'!$C$5,IF(P1753&lt;='Tree rules'!$C$6,"Monitor","Polymer laminate"),IF(P1753&lt;='Tree rules'!$C$7,"Seal cracks","Polymer laminate")),IF(O1753&lt;='Tree rules'!$C$8,IF(M1753&lt;='Tree rules'!$C$9,"Steel plate or jacket","Polymer laminate"),IF(L1753&lt;='Tree rules'!$C$10,"Steel plate or jacket","Polymer laminate")))</f>
        <v>Monitor</v>
      </c>
      <c r="T1753" s="5" t="str">
        <f aca="false">IF(S1753=R1753,"Yes","No")</f>
        <v>Yes</v>
      </c>
    </row>
    <row r="1754" customFormat="false" ht="15" hidden="false" customHeight="false" outlineLevel="0" collapsed="false">
      <c r="A1754" s="15" t="n">
        <v>2509</v>
      </c>
      <c r="B1754" s="16" t="n">
        <v>4.05904624223575</v>
      </c>
      <c r="C1754" s="15" t="n">
        <v>230</v>
      </c>
      <c r="D1754" s="15" t="n">
        <v>350</v>
      </c>
      <c r="E1754" s="15" t="n">
        <v>30</v>
      </c>
      <c r="F1754" s="16" t="n">
        <v>0.575119936583944</v>
      </c>
      <c r="G1754" s="17" t="s">
        <v>89</v>
      </c>
      <c r="H1754" s="18" t="n">
        <v>0.3</v>
      </c>
      <c r="I1754" s="18" t="n">
        <v>1.5</v>
      </c>
      <c r="J1754" s="19" t="n">
        <v>0.936852876749908</v>
      </c>
      <c r="K1754" s="19" t="n">
        <v>0.53116833255209</v>
      </c>
      <c r="L1754" s="16" t="n">
        <v>13.3521257968281</v>
      </c>
      <c r="M1754" s="19" t="n">
        <v>0.860190860261429</v>
      </c>
      <c r="N1754" s="19" t="n">
        <v>1.0222551137604</v>
      </c>
      <c r="O1754" s="19" t="n">
        <v>1.15646602492992</v>
      </c>
      <c r="P1754" s="19" t="n">
        <v>0.357009318439819</v>
      </c>
      <c r="Q1754" s="17" t="s">
        <v>31</v>
      </c>
      <c r="R1754" s="5" t="str">
        <f aca="false">IF(OR(Q1754="Steel plate",Q1754="Concrete jacket"),"Steel plate or jacket",Q1754)</f>
        <v>Polymer laminate</v>
      </c>
      <c r="S1754" s="5" t="str">
        <f aca="false">IF(O1754&lt;='Tree rules'!$C$4,IF(N1754&lt;='Tree rules'!$C$5,IF(P1754&lt;='Tree rules'!$C$6,"Monitor","Polymer laminate"),IF(P1754&lt;='Tree rules'!$C$7,"Seal cracks","Polymer laminate")),IF(O1754&lt;='Tree rules'!$C$8,IF(M1754&lt;='Tree rules'!$C$9,"Steel plate or jacket","Polymer laminate"),IF(L1754&lt;='Tree rules'!$C$10,"Steel plate or jacket","Polymer laminate")))</f>
        <v>Polymer laminate</v>
      </c>
      <c r="T1754" s="5" t="str">
        <f aca="false">IF(S1754=R1754,"Yes","No")</f>
        <v>Yes</v>
      </c>
    </row>
    <row r="1755" customFormat="false" ht="15" hidden="false" customHeight="false" outlineLevel="0" collapsed="false">
      <c r="A1755" s="15" t="n">
        <v>2510</v>
      </c>
      <c r="B1755" s="16" t="n">
        <v>3.79585984170855</v>
      </c>
      <c r="C1755" s="15" t="n">
        <v>300</v>
      </c>
      <c r="D1755" s="15" t="n">
        <v>350</v>
      </c>
      <c r="E1755" s="15" t="n">
        <v>20</v>
      </c>
      <c r="F1755" s="16" t="n">
        <v>0.693508312050727</v>
      </c>
      <c r="G1755" s="17" t="s">
        <v>89</v>
      </c>
      <c r="H1755" s="18" t="n">
        <v>0.3</v>
      </c>
      <c r="I1755" s="18" t="n">
        <v>1</v>
      </c>
      <c r="J1755" s="19" t="n">
        <v>0.887186191516498</v>
      </c>
      <c r="K1755" s="19" t="n">
        <v>0.483762105109464</v>
      </c>
      <c r="L1755" s="16" t="n">
        <v>12.5690723235382</v>
      </c>
      <c r="M1755" s="19" t="n">
        <v>0.894541300529323</v>
      </c>
      <c r="N1755" s="19" t="n">
        <v>0.880453521937243</v>
      </c>
      <c r="O1755" s="19" t="n">
        <v>0.887186191516498</v>
      </c>
      <c r="P1755" s="19" t="n">
        <v>0.361073580971217</v>
      </c>
      <c r="Q1755" s="17" t="s">
        <v>29</v>
      </c>
      <c r="R1755" s="5" t="str">
        <f aca="false">IF(OR(Q1755="Steel plate",Q1755="Concrete jacket"),"Steel plate or jacket",Q1755)</f>
        <v>Monitor</v>
      </c>
      <c r="S1755" s="5" t="str">
        <f aca="false">IF(O1755&lt;='Tree rules'!$C$4,IF(N1755&lt;='Tree rules'!$C$5,IF(P1755&lt;='Tree rules'!$C$6,"Monitor","Polymer laminate"),IF(P1755&lt;='Tree rules'!$C$7,"Seal cracks","Polymer laminate")),IF(O1755&lt;='Tree rules'!$C$8,IF(M1755&lt;='Tree rules'!$C$9,"Steel plate or jacket","Polymer laminate"),IF(L1755&lt;='Tree rules'!$C$10,"Steel plate or jacket","Polymer laminate")))</f>
        <v>Monitor</v>
      </c>
      <c r="T1755" s="5" t="str">
        <f aca="false">IF(S1755=R1755,"Yes","No")</f>
        <v>Yes</v>
      </c>
    </row>
    <row r="1756" customFormat="false" ht="15" hidden="false" customHeight="false" outlineLevel="0" collapsed="false">
      <c r="A1756" s="15" t="n">
        <v>2513</v>
      </c>
      <c r="B1756" s="16" t="n">
        <v>4.69436603993849</v>
      </c>
      <c r="C1756" s="15" t="n">
        <v>300</v>
      </c>
      <c r="D1756" s="15" t="n">
        <v>450</v>
      </c>
      <c r="E1756" s="15" t="n">
        <v>25</v>
      </c>
      <c r="F1756" s="16" t="n">
        <v>0.663570725510715</v>
      </c>
      <c r="G1756" s="17" t="s">
        <v>91</v>
      </c>
      <c r="H1756" s="18" t="n">
        <v>0.2</v>
      </c>
      <c r="I1756" s="18" t="n">
        <v>1</v>
      </c>
      <c r="J1756" s="19" t="n">
        <v>0.881692858917781</v>
      </c>
      <c r="K1756" s="19" t="n">
        <v>0.519137240693257</v>
      </c>
      <c r="L1756" s="16" t="n">
        <v>11.6197179206398</v>
      </c>
      <c r="M1756" s="19" t="n">
        <v>0.343565063102822</v>
      </c>
      <c r="N1756" s="19" t="n">
        <v>0.99300404288824</v>
      </c>
      <c r="O1756" s="19" t="n">
        <v>0.881692858917781</v>
      </c>
      <c r="P1756" s="19" t="n">
        <v>0.821527879195078</v>
      </c>
      <c r="Q1756" s="17" t="s">
        <v>29</v>
      </c>
      <c r="R1756" s="5" t="str">
        <f aca="false">IF(OR(Q1756="Steel plate",Q1756="Concrete jacket"),"Steel plate or jacket",Q1756)</f>
        <v>Monitor</v>
      </c>
      <c r="S1756" s="5" t="str">
        <f aca="false">IF(O1756&lt;='Tree rules'!$C$4,IF(N1756&lt;='Tree rules'!$C$5,IF(P1756&lt;='Tree rules'!$C$6,"Monitor","Polymer laminate"),IF(P1756&lt;='Tree rules'!$C$7,"Seal cracks","Polymer laminate")),IF(O1756&lt;='Tree rules'!$C$8,IF(M1756&lt;='Tree rules'!$C$9,"Steel plate or jacket","Polymer laminate"),IF(L1756&lt;='Tree rules'!$C$10,"Steel plate or jacket","Polymer laminate")))</f>
        <v>Monitor</v>
      </c>
      <c r="T1756" s="5" t="str">
        <f aca="false">IF(S1756=R1756,"Yes","No")</f>
        <v>Yes</v>
      </c>
    </row>
    <row r="1757" customFormat="false" ht="15" hidden="false" customHeight="false" outlineLevel="0" collapsed="false">
      <c r="A1757" s="15" t="n">
        <v>2514</v>
      </c>
      <c r="B1757" s="16" t="n">
        <v>3.76753398605601</v>
      </c>
      <c r="C1757" s="15" t="n">
        <v>230</v>
      </c>
      <c r="D1757" s="15" t="n">
        <v>375</v>
      </c>
      <c r="E1757" s="15" t="n">
        <v>30</v>
      </c>
      <c r="F1757" s="16" t="n">
        <v>0.594232683721175</v>
      </c>
      <c r="G1757" s="17" t="s">
        <v>89</v>
      </c>
      <c r="H1757" s="18" t="n">
        <v>0.3</v>
      </c>
      <c r="I1757" s="18" t="n">
        <v>2</v>
      </c>
      <c r="J1757" s="19" t="n">
        <v>0.93706105460499</v>
      </c>
      <c r="K1757" s="19" t="n">
        <v>0.517934838308724</v>
      </c>
      <c r="L1757" s="16" t="n">
        <v>11.3822779034925</v>
      </c>
      <c r="M1757" s="19" t="n">
        <v>0.309078553872594</v>
      </c>
      <c r="N1757" s="19" t="n">
        <v>0.981493002582964</v>
      </c>
      <c r="O1757" s="19" t="n">
        <v>1.38878554340774</v>
      </c>
      <c r="P1757" s="19" t="n">
        <v>0.944630497205345</v>
      </c>
      <c r="Q1757" s="17" t="s">
        <v>31</v>
      </c>
      <c r="R1757" s="5" t="str">
        <f aca="false">IF(OR(Q1757="Steel plate",Q1757="Concrete jacket"),"Steel plate or jacket",Q1757)</f>
        <v>Polymer laminate</v>
      </c>
      <c r="S1757" s="5" t="str">
        <f aca="false">IF(O1757&lt;='Tree rules'!$C$4,IF(N1757&lt;='Tree rules'!$C$5,IF(P1757&lt;='Tree rules'!$C$6,"Monitor","Polymer laminate"),IF(P1757&lt;='Tree rules'!$C$7,"Seal cracks","Polymer laminate")),IF(O1757&lt;='Tree rules'!$C$8,IF(M1757&lt;='Tree rules'!$C$9,"Steel plate or jacket","Polymer laminate"),IF(L1757&lt;='Tree rules'!$C$10,"Steel plate or jacket","Polymer laminate")))</f>
        <v>Steel plate or jacket</v>
      </c>
      <c r="T1757" s="5" t="str">
        <f aca="false">IF(S1757=R1757,"Yes","No")</f>
        <v>No</v>
      </c>
    </row>
    <row r="1758" customFormat="false" ht="15" hidden="false" customHeight="false" outlineLevel="0" collapsed="false">
      <c r="A1758" s="15" t="n">
        <v>2515</v>
      </c>
      <c r="B1758" s="16" t="n">
        <v>6.51494761623474</v>
      </c>
      <c r="C1758" s="15" t="n">
        <v>230</v>
      </c>
      <c r="D1758" s="15" t="n">
        <v>550</v>
      </c>
      <c r="E1758" s="15" t="n">
        <v>25</v>
      </c>
      <c r="F1758" s="16" t="n">
        <v>0.520346609290235</v>
      </c>
      <c r="G1758" s="17" t="s">
        <v>89</v>
      </c>
      <c r="H1758" s="18" t="n">
        <v>0.3</v>
      </c>
      <c r="I1758" s="18" t="n">
        <v>1</v>
      </c>
      <c r="J1758" s="19" t="n">
        <v>0.999570014028877</v>
      </c>
      <c r="K1758" s="19" t="n">
        <v>0.456130611713205</v>
      </c>
      <c r="L1758" s="16" t="n">
        <v>12.9264833655451</v>
      </c>
      <c r="M1758" s="19" t="n">
        <v>0.841812087840587</v>
      </c>
      <c r="N1758" s="19" t="n">
        <v>0.645265446187546</v>
      </c>
      <c r="O1758" s="19" t="n">
        <v>0.999570014028877</v>
      </c>
      <c r="P1758" s="19" t="n">
        <v>0.368447946133308</v>
      </c>
      <c r="Q1758" s="17" t="s">
        <v>29</v>
      </c>
      <c r="R1758" s="5" t="str">
        <f aca="false">IF(OR(Q1758="Steel plate",Q1758="Concrete jacket"),"Steel plate or jacket",Q1758)</f>
        <v>Monitor</v>
      </c>
      <c r="S1758" s="5" t="str">
        <f aca="false">IF(O1758&lt;='Tree rules'!$C$4,IF(N1758&lt;='Tree rules'!$C$5,IF(P1758&lt;='Tree rules'!$C$6,"Monitor","Polymer laminate"),IF(P1758&lt;='Tree rules'!$C$7,"Seal cracks","Polymer laminate")),IF(O1758&lt;='Tree rules'!$C$8,IF(M1758&lt;='Tree rules'!$C$9,"Steel plate or jacket","Polymer laminate"),IF(L1758&lt;='Tree rules'!$C$10,"Steel plate or jacket","Polymer laminate")))</f>
        <v>Monitor</v>
      </c>
      <c r="T1758" s="5" t="str">
        <f aca="false">IF(S1758=R1758,"Yes","No")</f>
        <v>Yes</v>
      </c>
    </row>
    <row r="1759" customFormat="false" ht="15" hidden="false" customHeight="false" outlineLevel="0" collapsed="false">
      <c r="A1759" s="15" t="n">
        <v>2516</v>
      </c>
      <c r="B1759" s="16" t="n">
        <v>3.80270566001848</v>
      </c>
      <c r="C1759" s="15" t="n">
        <v>300</v>
      </c>
      <c r="D1759" s="15" t="n">
        <v>350</v>
      </c>
      <c r="E1759" s="15" t="n">
        <v>30</v>
      </c>
      <c r="F1759" s="16" t="n">
        <v>0.693508312050727</v>
      </c>
      <c r="G1759" s="17" t="s">
        <v>89</v>
      </c>
      <c r="H1759" s="18" t="n">
        <v>0.3</v>
      </c>
      <c r="I1759" s="18" t="n">
        <v>1</v>
      </c>
      <c r="J1759" s="19" t="n">
        <v>0.874267932175746</v>
      </c>
      <c r="K1759" s="19" t="n">
        <v>0.543506153883315</v>
      </c>
      <c r="L1759" s="16" t="n">
        <v>12.5917405960877</v>
      </c>
      <c r="M1759" s="19" t="n">
        <v>0.815126830412991</v>
      </c>
      <c r="N1759" s="19" t="n">
        <v>0.910998927480584</v>
      </c>
      <c r="O1759" s="19" t="n">
        <v>0.874267932175746</v>
      </c>
      <c r="P1759" s="19" t="n">
        <v>0.355998577023791</v>
      </c>
      <c r="Q1759" s="17" t="s">
        <v>29</v>
      </c>
      <c r="R1759" s="5" t="str">
        <f aca="false">IF(OR(Q1759="Steel plate",Q1759="Concrete jacket"),"Steel plate or jacket",Q1759)</f>
        <v>Monitor</v>
      </c>
      <c r="S1759" s="5" t="str">
        <f aca="false">IF(O1759&lt;='Tree rules'!$C$4,IF(N1759&lt;='Tree rules'!$C$5,IF(P1759&lt;='Tree rules'!$C$6,"Monitor","Polymer laminate"),IF(P1759&lt;='Tree rules'!$C$7,"Seal cracks","Polymer laminate")),IF(O1759&lt;='Tree rules'!$C$8,IF(M1759&lt;='Tree rules'!$C$9,"Steel plate or jacket","Polymer laminate"),IF(L1759&lt;='Tree rules'!$C$10,"Steel plate or jacket","Polymer laminate")))</f>
        <v>Monitor</v>
      </c>
      <c r="T1759" s="5" t="str">
        <f aca="false">IF(S1759=R1759,"Yes","No")</f>
        <v>Yes</v>
      </c>
    </row>
    <row r="1760" customFormat="false" ht="15" hidden="false" customHeight="false" outlineLevel="0" collapsed="false">
      <c r="A1760" s="15" t="n">
        <v>2519</v>
      </c>
      <c r="B1760" s="16" t="n">
        <v>4.28659868329282</v>
      </c>
      <c r="C1760" s="15" t="n">
        <v>300</v>
      </c>
      <c r="D1760" s="15" t="n">
        <v>425</v>
      </c>
      <c r="E1760" s="15" t="n">
        <v>20</v>
      </c>
      <c r="F1760" s="16" t="n">
        <v>0.707341881547042</v>
      </c>
      <c r="G1760" s="17" t="s">
        <v>91</v>
      </c>
      <c r="H1760" s="18" t="n">
        <v>0.2</v>
      </c>
      <c r="I1760" s="18" t="n">
        <v>1</v>
      </c>
      <c r="J1760" s="19" t="n">
        <v>0.977036797520756</v>
      </c>
      <c r="K1760" s="19" t="n">
        <v>0.402860567808704</v>
      </c>
      <c r="L1760" s="16" t="n">
        <v>11.3102867633056</v>
      </c>
      <c r="M1760" s="19" t="n">
        <v>0.325112095796818</v>
      </c>
      <c r="N1760" s="19" t="n">
        <v>1.09458101926424</v>
      </c>
      <c r="O1760" s="19" t="n">
        <v>0.977036797520756</v>
      </c>
      <c r="P1760" s="19" t="n">
        <v>0.93116193893371</v>
      </c>
      <c r="Q1760" s="17" t="s">
        <v>31</v>
      </c>
      <c r="R1760" s="5" t="str">
        <f aca="false">IF(OR(Q1760="Steel plate",Q1760="Concrete jacket"),"Steel plate or jacket",Q1760)</f>
        <v>Polymer laminate</v>
      </c>
      <c r="S1760" s="5" t="str">
        <f aca="false">IF(O1760&lt;='Tree rules'!$C$4,IF(N1760&lt;='Tree rules'!$C$5,IF(P1760&lt;='Tree rules'!$C$6,"Monitor","Polymer laminate"),IF(P1760&lt;='Tree rules'!$C$7,"Seal cracks","Polymer laminate")),IF(O1760&lt;='Tree rules'!$C$8,IF(M1760&lt;='Tree rules'!$C$9,"Steel plate or jacket","Polymer laminate"),IF(L1760&lt;='Tree rules'!$C$10,"Steel plate or jacket","Polymer laminate")))</f>
        <v>Seal cracks</v>
      </c>
      <c r="T1760" s="5" t="str">
        <f aca="false">IF(S1760=R1760,"Yes","No")</f>
        <v>No</v>
      </c>
    </row>
    <row r="1761" customFormat="false" ht="15" hidden="false" customHeight="false" outlineLevel="0" collapsed="false">
      <c r="A1761" s="15" t="n">
        <v>2522</v>
      </c>
      <c r="B1761" s="16" t="n">
        <v>3.29611159258883</v>
      </c>
      <c r="C1761" s="15" t="n">
        <v>300</v>
      </c>
      <c r="D1761" s="15" t="n">
        <v>325</v>
      </c>
      <c r="E1761" s="15" t="n">
        <v>20</v>
      </c>
      <c r="F1761" s="16" t="n">
        <v>0.756099314943392</v>
      </c>
      <c r="G1761" s="17" t="s">
        <v>91</v>
      </c>
      <c r="H1761" s="18" t="n">
        <v>0.2</v>
      </c>
      <c r="I1761" s="18" t="n">
        <v>2</v>
      </c>
      <c r="J1761" s="19" t="n">
        <v>0.851833731861792</v>
      </c>
      <c r="K1761" s="19" t="n">
        <v>0.484444919467313</v>
      </c>
      <c r="L1761" s="16" t="n">
        <v>11.8993198288405</v>
      </c>
      <c r="M1761" s="19" t="n">
        <v>0.357393519763038</v>
      </c>
      <c r="N1761" s="19" t="n">
        <v>2.19633043128505</v>
      </c>
      <c r="O1761" s="19" t="n">
        <v>1.29100094009226</v>
      </c>
      <c r="P1761" s="19" t="n">
        <v>1.00293001693764</v>
      </c>
      <c r="Q1761" s="17" t="s">
        <v>31</v>
      </c>
      <c r="R1761" s="5" t="str">
        <f aca="false">IF(OR(Q1761="Steel plate",Q1761="Concrete jacket"),"Steel plate or jacket",Q1761)</f>
        <v>Polymer laminate</v>
      </c>
      <c r="S1761" s="5" t="str">
        <f aca="false">IF(O1761&lt;='Tree rules'!$C$4,IF(N1761&lt;='Tree rules'!$C$5,IF(P1761&lt;='Tree rules'!$C$6,"Monitor","Polymer laminate"),IF(P1761&lt;='Tree rules'!$C$7,"Seal cracks","Polymer laminate")),IF(O1761&lt;='Tree rules'!$C$8,IF(M1761&lt;='Tree rules'!$C$9,"Steel plate or jacket","Polymer laminate"),IF(L1761&lt;='Tree rules'!$C$10,"Steel plate or jacket","Polymer laminate")))</f>
        <v>Polymer laminate</v>
      </c>
      <c r="T1761" s="5" t="str">
        <f aca="false">IF(S1761=R1761,"Yes","No")</f>
        <v>Yes</v>
      </c>
    </row>
    <row r="1762" customFormat="false" ht="15" hidden="false" customHeight="false" outlineLevel="0" collapsed="false">
      <c r="A1762" s="15" t="n">
        <v>2524</v>
      </c>
      <c r="B1762" s="16" t="n">
        <v>3.57201372804364</v>
      </c>
      <c r="C1762" s="15" t="n">
        <v>230</v>
      </c>
      <c r="D1762" s="15" t="n">
        <v>300</v>
      </c>
      <c r="E1762" s="15" t="n">
        <v>25</v>
      </c>
      <c r="F1762" s="16" t="n">
        <v>0.731533308458238</v>
      </c>
      <c r="G1762" s="17" t="s">
        <v>90</v>
      </c>
      <c r="H1762" s="18" t="n">
        <v>0.1</v>
      </c>
      <c r="I1762" s="18" t="n">
        <v>1.5</v>
      </c>
      <c r="J1762" s="19" t="n">
        <v>0.935055415595843</v>
      </c>
      <c r="K1762" s="19" t="n">
        <v>0.598242160926293</v>
      </c>
      <c r="L1762" s="16" t="n">
        <v>14.9456641340738</v>
      </c>
      <c r="M1762" s="19" t="n">
        <v>0.870303353327204</v>
      </c>
      <c r="N1762" s="19" t="n">
        <v>3.44779523764854</v>
      </c>
      <c r="O1762" s="19" t="n">
        <v>1.12288833718782</v>
      </c>
      <c r="P1762" s="19" t="n">
        <v>0.417580853041194</v>
      </c>
      <c r="Q1762" s="17" t="s">
        <v>31</v>
      </c>
      <c r="R1762" s="5" t="str">
        <f aca="false">IF(OR(Q1762="Steel plate",Q1762="Concrete jacket"),"Steel plate or jacket",Q1762)</f>
        <v>Polymer laminate</v>
      </c>
      <c r="S1762" s="5" t="str">
        <f aca="false">IF(O1762&lt;='Tree rules'!$C$4,IF(N1762&lt;='Tree rules'!$C$5,IF(P1762&lt;='Tree rules'!$C$6,"Monitor","Polymer laminate"),IF(P1762&lt;='Tree rules'!$C$7,"Seal cracks","Polymer laminate")),IF(O1762&lt;='Tree rules'!$C$8,IF(M1762&lt;='Tree rules'!$C$9,"Steel plate or jacket","Polymer laminate"),IF(L1762&lt;='Tree rules'!$C$10,"Steel plate or jacket","Polymer laminate")))</f>
        <v>Polymer laminate</v>
      </c>
      <c r="T1762" s="5" t="str">
        <f aca="false">IF(S1762=R1762,"Yes","No")</f>
        <v>Yes</v>
      </c>
    </row>
    <row r="1763" customFormat="false" ht="15" hidden="false" customHeight="false" outlineLevel="0" collapsed="false">
      <c r="A1763" s="15" t="n">
        <v>2525</v>
      </c>
      <c r="B1763" s="16" t="n">
        <v>5.63904529762298</v>
      </c>
      <c r="C1763" s="15" t="n">
        <v>230</v>
      </c>
      <c r="D1763" s="15" t="n">
        <v>525</v>
      </c>
      <c r="E1763" s="15" t="n">
        <v>20</v>
      </c>
      <c r="F1763" s="16" t="n">
        <v>0.730006099046008</v>
      </c>
      <c r="G1763" s="17" t="s">
        <v>89</v>
      </c>
      <c r="H1763" s="18" t="n">
        <v>0.3</v>
      </c>
      <c r="I1763" s="18" t="n">
        <v>1</v>
      </c>
      <c r="J1763" s="19" t="n">
        <v>0.85993037311091</v>
      </c>
      <c r="K1763" s="19" t="n">
        <v>0.504357141871553</v>
      </c>
      <c r="L1763" s="16" t="n">
        <v>11.7725371557891</v>
      </c>
      <c r="M1763" s="19" t="n">
        <v>0.337481026308942</v>
      </c>
      <c r="N1763" s="19" t="n">
        <v>0.571518300534033</v>
      </c>
      <c r="O1763" s="19" t="n">
        <v>0.85993037311091</v>
      </c>
      <c r="P1763" s="19" t="n">
        <v>0.984304418156193</v>
      </c>
      <c r="Q1763" s="17" t="s">
        <v>31</v>
      </c>
      <c r="R1763" s="5" t="str">
        <f aca="false">IF(OR(Q1763="Steel plate",Q1763="Concrete jacket"),"Steel plate or jacket",Q1763)</f>
        <v>Polymer laminate</v>
      </c>
      <c r="S1763" s="5" t="str">
        <f aca="false">IF(O1763&lt;='Tree rules'!$C$4,IF(N1763&lt;='Tree rules'!$C$5,IF(P1763&lt;='Tree rules'!$C$6,"Monitor","Polymer laminate"),IF(P1763&lt;='Tree rules'!$C$7,"Seal cracks","Polymer laminate")),IF(O1763&lt;='Tree rules'!$C$8,IF(M1763&lt;='Tree rules'!$C$9,"Steel plate or jacket","Polymer laminate"),IF(L1763&lt;='Tree rules'!$C$10,"Steel plate or jacket","Polymer laminate")))</f>
        <v>Polymer laminate</v>
      </c>
      <c r="T1763" s="5" t="str">
        <f aca="false">IF(S1763=R1763,"Yes","No")</f>
        <v>Yes</v>
      </c>
    </row>
    <row r="1764" customFormat="false" ht="15" hidden="false" customHeight="false" outlineLevel="0" collapsed="false">
      <c r="A1764" s="15" t="n">
        <v>2527</v>
      </c>
      <c r="B1764" s="16" t="n">
        <v>3.49864637802614</v>
      </c>
      <c r="C1764" s="15" t="n">
        <v>300</v>
      </c>
      <c r="D1764" s="15" t="n">
        <v>350</v>
      </c>
      <c r="E1764" s="15" t="n">
        <v>30</v>
      </c>
      <c r="F1764" s="16" t="n">
        <v>0.61599855952741</v>
      </c>
      <c r="G1764" s="17" t="s">
        <v>91</v>
      </c>
      <c r="H1764" s="18" t="n">
        <v>0.2</v>
      </c>
      <c r="I1764" s="18" t="n">
        <v>2</v>
      </c>
      <c r="J1764" s="19" t="n">
        <v>0.995971619287543</v>
      </c>
      <c r="K1764" s="19" t="n">
        <v>0.597169082688084</v>
      </c>
      <c r="L1764" s="16" t="n">
        <v>11.4334848955103</v>
      </c>
      <c r="M1764" s="19" t="n">
        <v>0.471998424327128</v>
      </c>
      <c r="N1764" s="19" t="n">
        <v>1.48293495372129</v>
      </c>
      <c r="O1764" s="19" t="n">
        <v>1.39717978030178</v>
      </c>
      <c r="P1764" s="19" t="n">
        <v>0.692113189072121</v>
      </c>
      <c r="Q1764" s="17" t="s">
        <v>31</v>
      </c>
      <c r="R1764" s="5" t="str">
        <f aca="false">IF(OR(Q1764="Steel plate",Q1764="Concrete jacket"),"Steel plate or jacket",Q1764)</f>
        <v>Polymer laminate</v>
      </c>
      <c r="S1764" s="5" t="str">
        <f aca="false">IF(O1764&lt;='Tree rules'!$C$4,IF(N1764&lt;='Tree rules'!$C$5,IF(P1764&lt;='Tree rules'!$C$6,"Monitor","Polymer laminate"),IF(P1764&lt;='Tree rules'!$C$7,"Seal cracks","Polymer laminate")),IF(O1764&lt;='Tree rules'!$C$8,IF(M1764&lt;='Tree rules'!$C$9,"Steel plate or jacket","Polymer laminate"),IF(L1764&lt;='Tree rules'!$C$10,"Steel plate or jacket","Polymer laminate")))</f>
        <v>Steel plate or jacket</v>
      </c>
      <c r="T1764" s="5" t="str">
        <f aca="false">IF(S1764=R1764,"Yes","No")</f>
        <v>No</v>
      </c>
    </row>
    <row r="1765" customFormat="false" ht="15" hidden="false" customHeight="false" outlineLevel="0" collapsed="false">
      <c r="A1765" s="15" t="n">
        <v>2528</v>
      </c>
      <c r="B1765" s="16" t="n">
        <v>6.47116612860326</v>
      </c>
      <c r="C1765" s="15" t="n">
        <v>300</v>
      </c>
      <c r="D1765" s="15" t="n">
        <v>625</v>
      </c>
      <c r="E1765" s="15" t="n">
        <v>25</v>
      </c>
      <c r="F1765" s="16" t="n">
        <v>0.907450217674695</v>
      </c>
      <c r="G1765" s="17" t="s">
        <v>91</v>
      </c>
      <c r="H1765" s="18" t="n">
        <v>0.2</v>
      </c>
      <c r="I1765" s="18" t="n">
        <v>1.5</v>
      </c>
      <c r="J1765" s="19" t="n">
        <v>0.940141599648323</v>
      </c>
      <c r="K1765" s="19" t="n">
        <v>0.410268986338939</v>
      </c>
      <c r="L1765" s="16" t="n">
        <v>11.2151925972327</v>
      </c>
      <c r="M1765" s="19" t="n">
        <v>0.721741717156692</v>
      </c>
      <c r="N1765" s="19" t="n">
        <v>1.14462060755639</v>
      </c>
      <c r="O1765" s="19" t="n">
        <v>1.21735692892109</v>
      </c>
      <c r="P1765" s="19" t="n">
        <v>0.610077180706341</v>
      </c>
      <c r="Q1765" s="17" t="s">
        <v>31</v>
      </c>
      <c r="R1765" s="5" t="str">
        <f aca="false">IF(OR(Q1765="Steel plate",Q1765="Concrete jacket"),"Steel plate or jacket",Q1765)</f>
        <v>Polymer laminate</v>
      </c>
      <c r="S1765" s="5" t="str">
        <f aca="false">IF(O1765&lt;='Tree rules'!$C$4,IF(N1765&lt;='Tree rules'!$C$5,IF(P1765&lt;='Tree rules'!$C$6,"Monitor","Polymer laminate"),IF(P1765&lt;='Tree rules'!$C$7,"Seal cracks","Polymer laminate")),IF(O1765&lt;='Tree rules'!$C$8,IF(M1765&lt;='Tree rules'!$C$9,"Steel plate or jacket","Polymer laminate"),IF(L1765&lt;='Tree rules'!$C$10,"Steel plate or jacket","Polymer laminate")))</f>
        <v>Polymer laminate</v>
      </c>
      <c r="T1765" s="5" t="str">
        <f aca="false">IF(S1765=R1765,"Yes","No")</f>
        <v>Yes</v>
      </c>
    </row>
    <row r="1766" customFormat="false" ht="15" hidden="false" customHeight="false" outlineLevel="0" collapsed="false">
      <c r="A1766" s="15" t="n">
        <v>2530</v>
      </c>
      <c r="B1766" s="16" t="n">
        <v>4.91790561172716</v>
      </c>
      <c r="C1766" s="15" t="n">
        <v>230</v>
      </c>
      <c r="D1766" s="15" t="n">
        <v>425</v>
      </c>
      <c r="E1766" s="15" t="n">
        <v>25</v>
      </c>
      <c r="F1766" s="16" t="n">
        <v>0.724620609754306</v>
      </c>
      <c r="G1766" s="17" t="s">
        <v>91</v>
      </c>
      <c r="H1766" s="18" t="n">
        <v>0.2</v>
      </c>
      <c r="I1766" s="18" t="n">
        <v>1.5</v>
      </c>
      <c r="J1766" s="19" t="n">
        <v>0.851535537274762</v>
      </c>
      <c r="K1766" s="19" t="n">
        <v>0.478279164806891</v>
      </c>
      <c r="L1766" s="16" t="n">
        <v>13.0448424714248</v>
      </c>
      <c r="M1766" s="19" t="n">
        <v>0.335119547840398</v>
      </c>
      <c r="N1766" s="19" t="n">
        <v>1.58882190015858</v>
      </c>
      <c r="O1766" s="19" t="n">
        <v>1.07366745312656</v>
      </c>
      <c r="P1766" s="19" t="n">
        <v>1.04324408204471</v>
      </c>
      <c r="Q1766" s="17" t="s">
        <v>31</v>
      </c>
      <c r="R1766" s="5" t="str">
        <f aca="false">IF(OR(Q1766="Steel plate",Q1766="Concrete jacket"),"Steel plate or jacket",Q1766)</f>
        <v>Polymer laminate</v>
      </c>
      <c r="S1766" s="5" t="str">
        <f aca="false">IF(O1766&lt;='Tree rules'!$C$4,IF(N1766&lt;='Tree rules'!$C$5,IF(P1766&lt;='Tree rules'!$C$6,"Monitor","Polymer laminate"),IF(P1766&lt;='Tree rules'!$C$7,"Seal cracks","Polymer laminate")),IF(O1766&lt;='Tree rules'!$C$8,IF(M1766&lt;='Tree rules'!$C$9,"Steel plate or jacket","Polymer laminate"),IF(L1766&lt;='Tree rules'!$C$10,"Steel plate or jacket","Polymer laminate")))</f>
        <v>Polymer laminate</v>
      </c>
      <c r="T1766" s="5" t="str">
        <f aca="false">IF(S1766=R1766,"Yes","No")</f>
        <v>Yes</v>
      </c>
    </row>
    <row r="1767" customFormat="false" ht="15" hidden="false" customHeight="false" outlineLevel="0" collapsed="false">
      <c r="A1767" s="15" t="n">
        <v>2531</v>
      </c>
      <c r="B1767" s="16" t="n">
        <v>3.27666249015478</v>
      </c>
      <c r="C1767" s="15" t="n">
        <v>300</v>
      </c>
      <c r="D1767" s="15" t="n">
        <v>300</v>
      </c>
      <c r="E1767" s="15" t="n">
        <v>30</v>
      </c>
      <c r="F1767" s="16" t="n">
        <v>0.791582400904515</v>
      </c>
      <c r="G1767" s="17" t="s">
        <v>91</v>
      </c>
      <c r="H1767" s="18" t="n">
        <v>0.2</v>
      </c>
      <c r="I1767" s="18" t="n">
        <v>2</v>
      </c>
      <c r="J1767" s="19" t="n">
        <v>0.912278223978157</v>
      </c>
      <c r="K1767" s="19" t="n">
        <v>0.57549634722492</v>
      </c>
      <c r="L1767" s="16" t="n">
        <v>12.9002460242314</v>
      </c>
      <c r="M1767" s="19" t="n">
        <v>0.55705860966425</v>
      </c>
      <c r="N1767" s="19" t="n">
        <v>1.6785723121007</v>
      </c>
      <c r="O1767" s="19" t="n">
        <v>1.29954366240405</v>
      </c>
      <c r="P1767" s="19" t="n">
        <v>0.692018412218694</v>
      </c>
      <c r="Q1767" s="17" t="s">
        <v>31</v>
      </c>
      <c r="R1767" s="5" t="str">
        <f aca="false">IF(OR(Q1767="Steel plate",Q1767="Concrete jacket"),"Steel plate or jacket",Q1767)</f>
        <v>Polymer laminate</v>
      </c>
      <c r="S1767" s="5" t="str">
        <f aca="false">IF(O1767&lt;='Tree rules'!$C$4,IF(N1767&lt;='Tree rules'!$C$5,IF(P1767&lt;='Tree rules'!$C$6,"Monitor","Polymer laminate"),IF(P1767&lt;='Tree rules'!$C$7,"Seal cracks","Polymer laminate")),IF(O1767&lt;='Tree rules'!$C$8,IF(M1767&lt;='Tree rules'!$C$9,"Steel plate or jacket","Polymer laminate"),IF(L1767&lt;='Tree rules'!$C$10,"Steel plate or jacket","Polymer laminate")))</f>
        <v>Steel plate or jacket</v>
      </c>
      <c r="T1767" s="5" t="str">
        <f aca="false">IF(S1767=R1767,"Yes","No")</f>
        <v>No</v>
      </c>
    </row>
    <row r="1768" customFormat="false" ht="15" hidden="false" customHeight="false" outlineLevel="0" collapsed="false">
      <c r="A1768" s="15" t="n">
        <v>2532</v>
      </c>
      <c r="B1768" s="16" t="n">
        <v>4.83309018071532</v>
      </c>
      <c r="C1768" s="15" t="n">
        <v>230</v>
      </c>
      <c r="D1768" s="15" t="n">
        <v>400</v>
      </c>
      <c r="E1768" s="15" t="n">
        <v>25</v>
      </c>
      <c r="F1768" s="16" t="n">
        <v>0.740832460684402</v>
      </c>
      <c r="G1768" s="17" t="s">
        <v>91</v>
      </c>
      <c r="H1768" s="18" t="n">
        <v>0.2</v>
      </c>
      <c r="I1768" s="18" t="n">
        <v>1</v>
      </c>
      <c r="J1768" s="19" t="n">
        <v>0.853766637046932</v>
      </c>
      <c r="K1768" s="19" t="n">
        <v>0.642763768675116</v>
      </c>
      <c r="L1768" s="16" t="n">
        <v>13.6527971206648</v>
      </c>
      <c r="M1768" s="19" t="n">
        <v>0.946371925689798</v>
      </c>
      <c r="N1768" s="19" t="n">
        <v>0.836265777762464</v>
      </c>
      <c r="O1768" s="19" t="n">
        <v>0.853766637046932</v>
      </c>
      <c r="P1768" s="19" t="n">
        <v>0.42519075262094</v>
      </c>
      <c r="Q1768" s="17" t="s">
        <v>29</v>
      </c>
      <c r="R1768" s="5" t="str">
        <f aca="false">IF(OR(Q1768="Steel plate",Q1768="Concrete jacket"),"Steel plate or jacket",Q1768)</f>
        <v>Monitor</v>
      </c>
      <c r="S1768" s="5" t="str">
        <f aca="false">IF(O1768&lt;='Tree rules'!$C$4,IF(N1768&lt;='Tree rules'!$C$5,IF(P1768&lt;='Tree rules'!$C$6,"Monitor","Polymer laminate"),IF(P1768&lt;='Tree rules'!$C$7,"Seal cracks","Polymer laminate")),IF(O1768&lt;='Tree rules'!$C$8,IF(M1768&lt;='Tree rules'!$C$9,"Steel plate or jacket","Polymer laminate"),IF(L1768&lt;='Tree rules'!$C$10,"Steel plate or jacket","Polymer laminate")))</f>
        <v>Monitor</v>
      </c>
      <c r="T1768" s="5" t="str">
        <f aca="false">IF(S1768=R1768,"Yes","No")</f>
        <v>Yes</v>
      </c>
    </row>
    <row r="1769" customFormat="false" ht="15" hidden="false" customHeight="false" outlineLevel="0" collapsed="false">
      <c r="A1769" s="15" t="n">
        <v>2534</v>
      </c>
      <c r="B1769" s="16" t="n">
        <v>6.68078130385813</v>
      </c>
      <c r="C1769" s="15" t="n">
        <v>230</v>
      </c>
      <c r="D1769" s="15" t="n">
        <v>625</v>
      </c>
      <c r="E1769" s="15" t="n">
        <v>25</v>
      </c>
      <c r="F1769" s="16" t="n">
        <v>0.729133371558826</v>
      </c>
      <c r="G1769" s="17" t="s">
        <v>90</v>
      </c>
      <c r="H1769" s="18" t="n">
        <v>0.1</v>
      </c>
      <c r="I1769" s="18" t="n">
        <v>2</v>
      </c>
      <c r="J1769" s="19" t="n">
        <v>0.889414855125663</v>
      </c>
      <c r="K1769" s="19" t="n">
        <v>0.512333059843642</v>
      </c>
      <c r="L1769" s="16" t="n">
        <v>11.8875112168294</v>
      </c>
      <c r="M1769" s="19" t="n">
        <v>0.349024712732997</v>
      </c>
      <c r="N1769" s="19" t="n">
        <v>3.6550258963323</v>
      </c>
      <c r="O1769" s="19" t="n">
        <v>1.32315307605441</v>
      </c>
      <c r="P1769" s="19" t="n">
        <v>1.12715029701657</v>
      </c>
      <c r="Q1769" s="17" t="s">
        <v>31</v>
      </c>
      <c r="R1769" s="5" t="str">
        <f aca="false">IF(OR(Q1769="Steel plate",Q1769="Concrete jacket"),"Steel plate or jacket",Q1769)</f>
        <v>Polymer laminate</v>
      </c>
      <c r="S1769" s="5" t="str">
        <f aca="false">IF(O1769&lt;='Tree rules'!$C$4,IF(N1769&lt;='Tree rules'!$C$5,IF(P1769&lt;='Tree rules'!$C$6,"Monitor","Polymer laminate"),IF(P1769&lt;='Tree rules'!$C$7,"Seal cracks","Polymer laminate")),IF(O1769&lt;='Tree rules'!$C$8,IF(M1769&lt;='Tree rules'!$C$9,"Steel plate or jacket","Polymer laminate"),IF(L1769&lt;='Tree rules'!$C$10,"Steel plate or jacket","Polymer laminate")))</f>
        <v>Steel plate or jacket</v>
      </c>
      <c r="T1769" s="5" t="str">
        <f aca="false">IF(S1769=R1769,"Yes","No")</f>
        <v>No</v>
      </c>
    </row>
    <row r="1770" customFormat="false" ht="15" hidden="false" customHeight="false" outlineLevel="0" collapsed="false">
      <c r="A1770" s="15" t="n">
        <v>2538</v>
      </c>
      <c r="B1770" s="16" t="n">
        <v>4.6472871775533</v>
      </c>
      <c r="C1770" s="15" t="n">
        <v>230</v>
      </c>
      <c r="D1770" s="15" t="n">
        <v>400</v>
      </c>
      <c r="E1770" s="15" t="n">
        <v>20</v>
      </c>
      <c r="F1770" s="16" t="n">
        <v>0.740832460684402</v>
      </c>
      <c r="G1770" s="17" t="s">
        <v>89</v>
      </c>
      <c r="H1770" s="18" t="n">
        <v>0.3</v>
      </c>
      <c r="I1770" s="18" t="n">
        <v>1.5</v>
      </c>
      <c r="J1770" s="19" t="n">
        <v>0.870755925931327</v>
      </c>
      <c r="K1770" s="19" t="n">
        <v>0.474559186208348</v>
      </c>
      <c r="L1770" s="16" t="n">
        <v>13.1279298800941</v>
      </c>
      <c r="M1770" s="19" t="n">
        <v>0.87510623727522</v>
      </c>
      <c r="N1770" s="19" t="n">
        <v>0.747650586728878</v>
      </c>
      <c r="O1770" s="19" t="n">
        <v>1.09952127709896</v>
      </c>
      <c r="P1770" s="19" t="n">
        <v>0.477167025337657</v>
      </c>
      <c r="Q1770" s="17" t="s">
        <v>31</v>
      </c>
      <c r="R1770" s="5" t="str">
        <f aca="false">IF(OR(Q1770="Steel plate",Q1770="Concrete jacket"),"Steel plate or jacket",Q1770)</f>
        <v>Polymer laminate</v>
      </c>
      <c r="S1770" s="5" t="str">
        <f aca="false">IF(O1770&lt;='Tree rules'!$C$4,IF(N1770&lt;='Tree rules'!$C$5,IF(P1770&lt;='Tree rules'!$C$6,"Monitor","Polymer laminate"),IF(P1770&lt;='Tree rules'!$C$7,"Seal cracks","Polymer laminate")),IF(O1770&lt;='Tree rules'!$C$8,IF(M1770&lt;='Tree rules'!$C$9,"Steel plate or jacket","Polymer laminate"),IF(L1770&lt;='Tree rules'!$C$10,"Steel plate or jacket","Polymer laminate")))</f>
        <v>Polymer laminate</v>
      </c>
      <c r="T1770" s="5" t="str">
        <f aca="false">IF(S1770=R1770,"Yes","No")</f>
        <v>Yes</v>
      </c>
    </row>
    <row r="1771" customFormat="false" ht="15" hidden="false" customHeight="false" outlineLevel="0" collapsed="false">
      <c r="A1771" s="15" t="n">
        <v>2539</v>
      </c>
      <c r="B1771" s="16" t="n">
        <v>6.9443736287011</v>
      </c>
      <c r="C1771" s="15" t="n">
        <v>300</v>
      </c>
      <c r="D1771" s="15" t="n">
        <v>600</v>
      </c>
      <c r="E1771" s="15" t="n">
        <v>30</v>
      </c>
      <c r="F1771" s="16" t="n">
        <v>0.5850265649143</v>
      </c>
      <c r="G1771" s="17" t="s">
        <v>90</v>
      </c>
      <c r="H1771" s="18" t="n">
        <v>0.1</v>
      </c>
      <c r="I1771" s="18" t="n">
        <v>1</v>
      </c>
      <c r="J1771" s="19" t="n">
        <v>0.990211149899025</v>
      </c>
      <c r="K1771" s="19" t="n">
        <v>0.501621616652771</v>
      </c>
      <c r="L1771" s="16" t="n">
        <v>12.9317944668549</v>
      </c>
      <c r="M1771" s="19" t="n">
        <v>0.821256739010759</v>
      </c>
      <c r="N1771" s="19" t="n">
        <v>2.6857113739343</v>
      </c>
      <c r="O1771" s="19" t="n">
        <v>0.990211149899025</v>
      </c>
      <c r="P1771" s="19" t="n">
        <v>0.381846777646461</v>
      </c>
      <c r="Q1771" s="17" t="s">
        <v>30</v>
      </c>
      <c r="R1771" s="5" t="str">
        <f aca="false">IF(OR(Q1771="Steel plate",Q1771="Concrete jacket"),"Steel plate or jacket",Q1771)</f>
        <v>Seal cracks</v>
      </c>
      <c r="S1771" s="5" t="str">
        <f aca="false">IF(O1771&lt;='Tree rules'!$C$4,IF(N1771&lt;='Tree rules'!$C$5,IF(P1771&lt;='Tree rules'!$C$6,"Monitor","Polymer laminate"),IF(P1771&lt;='Tree rules'!$C$7,"Seal cracks","Polymer laminate")),IF(O1771&lt;='Tree rules'!$C$8,IF(M1771&lt;='Tree rules'!$C$9,"Steel plate or jacket","Polymer laminate"),IF(L1771&lt;='Tree rules'!$C$10,"Steel plate or jacket","Polymer laminate")))</f>
        <v>Seal cracks</v>
      </c>
      <c r="T1771" s="5" t="str">
        <f aca="false">IF(S1771=R1771,"Yes","No")</f>
        <v>Yes</v>
      </c>
    </row>
    <row r="1772" customFormat="false" ht="15" hidden="false" customHeight="false" outlineLevel="0" collapsed="false">
      <c r="A1772" s="15" t="n">
        <v>2541</v>
      </c>
      <c r="B1772" s="16" t="n">
        <v>4.89084176346187</v>
      </c>
      <c r="C1772" s="15" t="n">
        <v>300</v>
      </c>
      <c r="D1772" s="15" t="n">
        <v>475</v>
      </c>
      <c r="E1772" s="15" t="n">
        <v>20</v>
      </c>
      <c r="F1772" s="16" t="n">
        <v>0.735735984447258</v>
      </c>
      <c r="G1772" s="17" t="s">
        <v>89</v>
      </c>
      <c r="H1772" s="18" t="n">
        <v>0.3</v>
      </c>
      <c r="I1772" s="18" t="n">
        <v>2</v>
      </c>
      <c r="J1772" s="19" t="n">
        <v>0.920278783474111</v>
      </c>
      <c r="K1772" s="19" t="n">
        <v>0.514718092460397</v>
      </c>
      <c r="L1772" s="16" t="n">
        <v>11.4539619753205</v>
      </c>
      <c r="M1772" s="19" t="n">
        <v>0.629071506847884</v>
      </c>
      <c r="N1772" s="19" t="n">
        <v>1.10830163874822</v>
      </c>
      <c r="O1772" s="19" t="n">
        <v>1.36687342698665</v>
      </c>
      <c r="P1772" s="19" t="n">
        <v>0.692681355695359</v>
      </c>
      <c r="Q1772" s="17" t="s">
        <v>92</v>
      </c>
      <c r="R1772" s="5" t="str">
        <f aca="false">IF(OR(Q1772="Steel plate",Q1772="Concrete jacket"),"Steel plate or jacket",Q1772)</f>
        <v>Steel plate or jacket</v>
      </c>
      <c r="S1772" s="5" t="str">
        <f aca="false">IF(O1772&lt;='Tree rules'!$C$4,IF(N1772&lt;='Tree rules'!$C$5,IF(P1772&lt;='Tree rules'!$C$6,"Monitor","Polymer laminate"),IF(P1772&lt;='Tree rules'!$C$7,"Seal cracks","Polymer laminate")),IF(O1772&lt;='Tree rules'!$C$8,IF(M1772&lt;='Tree rules'!$C$9,"Steel plate or jacket","Polymer laminate"),IF(L1772&lt;='Tree rules'!$C$10,"Steel plate or jacket","Polymer laminate")))</f>
        <v>Steel plate or jacket</v>
      </c>
      <c r="T1772" s="5" t="str">
        <f aca="false">IF(S1772=R1772,"Yes","No")</f>
        <v>Yes</v>
      </c>
    </row>
    <row r="1773" customFormat="false" ht="15" hidden="false" customHeight="false" outlineLevel="0" collapsed="false">
      <c r="A1773" s="15" t="n">
        <v>2542</v>
      </c>
      <c r="B1773" s="16" t="n">
        <v>3.27114541416863</v>
      </c>
      <c r="C1773" s="15" t="n">
        <v>230</v>
      </c>
      <c r="D1773" s="15" t="n">
        <v>300</v>
      </c>
      <c r="E1773" s="15" t="n">
        <v>30</v>
      </c>
      <c r="F1773" s="16" t="n">
        <v>0.731533308458238</v>
      </c>
      <c r="G1773" s="17" t="s">
        <v>90</v>
      </c>
      <c r="H1773" s="18" t="n">
        <v>0.1</v>
      </c>
      <c r="I1773" s="18" t="n">
        <v>1.5</v>
      </c>
      <c r="J1773" s="19" t="n">
        <v>0.897325061036097</v>
      </c>
      <c r="K1773" s="19" t="n">
        <v>0.556683858049058</v>
      </c>
      <c r="L1773" s="16" t="n">
        <v>13.6868008961031</v>
      </c>
      <c r="M1773" s="19" t="n">
        <v>0.426680463714908</v>
      </c>
      <c r="N1773" s="19" t="n">
        <v>3.73695427122488</v>
      </c>
      <c r="O1773" s="19" t="n">
        <v>1.09622440310331</v>
      </c>
      <c r="P1773" s="19" t="n">
        <v>0.657518656549671</v>
      </c>
      <c r="Q1773" s="17" t="s">
        <v>31</v>
      </c>
      <c r="R1773" s="5" t="str">
        <f aca="false">IF(OR(Q1773="Steel plate",Q1773="Concrete jacket"),"Steel plate or jacket",Q1773)</f>
        <v>Polymer laminate</v>
      </c>
      <c r="S1773" s="5" t="str">
        <f aca="false">IF(O1773&lt;='Tree rules'!$C$4,IF(N1773&lt;='Tree rules'!$C$5,IF(P1773&lt;='Tree rules'!$C$6,"Monitor","Polymer laminate"),IF(P1773&lt;='Tree rules'!$C$7,"Seal cracks","Polymer laminate")),IF(O1773&lt;='Tree rules'!$C$8,IF(M1773&lt;='Tree rules'!$C$9,"Steel plate or jacket","Polymer laminate"),IF(L1773&lt;='Tree rules'!$C$10,"Steel plate or jacket","Polymer laminate")))</f>
        <v>Polymer laminate</v>
      </c>
      <c r="T1773" s="5" t="str">
        <f aca="false">IF(S1773=R1773,"Yes","No")</f>
        <v>Yes</v>
      </c>
    </row>
    <row r="1774" customFormat="false" ht="15" hidden="false" customHeight="false" outlineLevel="0" collapsed="false">
      <c r="A1774" s="15" t="n">
        <v>2544</v>
      </c>
      <c r="B1774" s="16" t="n">
        <v>5.43258794006943</v>
      </c>
      <c r="C1774" s="15" t="n">
        <v>230</v>
      </c>
      <c r="D1774" s="15" t="n">
        <v>475</v>
      </c>
      <c r="E1774" s="15" t="n">
        <v>30</v>
      </c>
      <c r="F1774" s="16" t="n">
        <v>0.611316296229087</v>
      </c>
      <c r="G1774" s="17" t="s">
        <v>89</v>
      </c>
      <c r="H1774" s="18" t="n">
        <v>0.3</v>
      </c>
      <c r="I1774" s="18" t="n">
        <v>1.5</v>
      </c>
      <c r="J1774" s="19" t="n">
        <v>0.978767546505202</v>
      </c>
      <c r="K1774" s="19" t="n">
        <v>0.49156926304015</v>
      </c>
      <c r="L1774" s="16" t="n">
        <v>12.663375151677</v>
      </c>
      <c r="M1774" s="19" t="n">
        <v>0.325169351530682</v>
      </c>
      <c r="N1774" s="19" t="n">
        <v>0.933317741177278</v>
      </c>
      <c r="O1774" s="19" t="n">
        <v>1.22758529899621</v>
      </c>
      <c r="P1774" s="19" t="n">
        <v>1.02220538919589</v>
      </c>
      <c r="Q1774" s="17" t="s">
        <v>31</v>
      </c>
      <c r="R1774" s="5" t="str">
        <f aca="false">IF(OR(Q1774="Steel plate",Q1774="Concrete jacket"),"Steel plate or jacket",Q1774)</f>
        <v>Polymer laminate</v>
      </c>
      <c r="S1774" s="5" t="str">
        <f aca="false">IF(O1774&lt;='Tree rules'!$C$4,IF(N1774&lt;='Tree rules'!$C$5,IF(P1774&lt;='Tree rules'!$C$6,"Monitor","Polymer laminate"),IF(P1774&lt;='Tree rules'!$C$7,"Seal cracks","Polymer laminate")),IF(O1774&lt;='Tree rules'!$C$8,IF(M1774&lt;='Tree rules'!$C$9,"Steel plate or jacket","Polymer laminate"),IF(L1774&lt;='Tree rules'!$C$10,"Steel plate or jacket","Polymer laminate")))</f>
        <v>Polymer laminate</v>
      </c>
      <c r="T1774" s="5" t="str">
        <f aca="false">IF(S1774=R1774,"Yes","No")</f>
        <v>Yes</v>
      </c>
    </row>
    <row r="1775" customFormat="false" ht="15" hidden="false" customHeight="false" outlineLevel="0" collapsed="false">
      <c r="A1775" s="15" t="n">
        <v>2545</v>
      </c>
      <c r="B1775" s="16" t="n">
        <v>3.26087402501469</v>
      </c>
      <c r="C1775" s="15" t="n">
        <v>230</v>
      </c>
      <c r="D1775" s="15" t="n">
        <v>325</v>
      </c>
      <c r="E1775" s="15" t="n">
        <v>25</v>
      </c>
      <c r="F1775" s="16" t="n">
        <v>0.699968036696473</v>
      </c>
      <c r="G1775" s="17" t="s">
        <v>91</v>
      </c>
      <c r="H1775" s="18" t="n">
        <v>0.2</v>
      </c>
      <c r="I1775" s="18" t="n">
        <v>1</v>
      </c>
      <c r="J1775" s="19" t="n">
        <v>0.862606910300446</v>
      </c>
      <c r="K1775" s="19" t="n">
        <v>0.473830728281052</v>
      </c>
      <c r="L1775" s="16" t="n">
        <v>11.6045338968494</v>
      </c>
      <c r="M1775" s="19" t="n">
        <v>0.612158947287061</v>
      </c>
      <c r="N1775" s="19" t="n">
        <v>0.852348925071898</v>
      </c>
      <c r="O1775" s="19" t="n">
        <v>0.862606910300446</v>
      </c>
      <c r="P1775" s="19" t="n">
        <v>0.418228888976969</v>
      </c>
      <c r="Q1775" s="17" t="s">
        <v>29</v>
      </c>
      <c r="R1775" s="5" t="str">
        <f aca="false">IF(OR(Q1775="Steel plate",Q1775="Concrete jacket"),"Steel plate or jacket",Q1775)</f>
        <v>Monitor</v>
      </c>
      <c r="S1775" s="5" t="str">
        <f aca="false">IF(O1775&lt;='Tree rules'!$C$4,IF(N1775&lt;='Tree rules'!$C$5,IF(P1775&lt;='Tree rules'!$C$6,"Monitor","Polymer laminate"),IF(P1775&lt;='Tree rules'!$C$7,"Seal cracks","Polymer laminate")),IF(O1775&lt;='Tree rules'!$C$8,IF(M1775&lt;='Tree rules'!$C$9,"Steel plate or jacket","Polymer laminate"),IF(L1775&lt;='Tree rules'!$C$10,"Steel plate or jacket","Polymer laminate")))</f>
        <v>Monitor</v>
      </c>
      <c r="T1775" s="5" t="str">
        <f aca="false">IF(S1775=R1775,"Yes","No")</f>
        <v>Yes</v>
      </c>
    </row>
    <row r="1776" customFormat="false" ht="15" hidden="false" customHeight="false" outlineLevel="0" collapsed="false">
      <c r="A1776" s="15" t="n">
        <v>2546</v>
      </c>
      <c r="B1776" s="16" t="n">
        <v>3.0461051048469</v>
      </c>
      <c r="C1776" s="15" t="n">
        <v>300</v>
      </c>
      <c r="D1776" s="15" t="n">
        <v>300</v>
      </c>
      <c r="E1776" s="15" t="n">
        <v>30</v>
      </c>
      <c r="F1776" s="16" t="n">
        <v>0.791582400904515</v>
      </c>
      <c r="G1776" s="17" t="s">
        <v>91</v>
      </c>
      <c r="H1776" s="18" t="n">
        <v>0.2</v>
      </c>
      <c r="I1776" s="18" t="n">
        <v>1.5</v>
      </c>
      <c r="J1776" s="19" t="n">
        <v>0.966719161021835</v>
      </c>
      <c r="K1776" s="19" t="n">
        <v>0.610841338722368</v>
      </c>
      <c r="L1776" s="16" t="n">
        <v>11.9925397828618</v>
      </c>
      <c r="M1776" s="19" t="n">
        <v>0.887264331058758</v>
      </c>
      <c r="N1776" s="19" t="n">
        <v>1.40017055293272</v>
      </c>
      <c r="O1776" s="19" t="n">
        <v>1.15482272828918</v>
      </c>
      <c r="P1776" s="19" t="n">
        <v>0.413680314221798</v>
      </c>
      <c r="Q1776" s="17" t="s">
        <v>31</v>
      </c>
      <c r="R1776" s="5" t="str">
        <f aca="false">IF(OR(Q1776="Steel plate",Q1776="Concrete jacket"),"Steel plate or jacket",Q1776)</f>
        <v>Polymer laminate</v>
      </c>
      <c r="S1776" s="5" t="str">
        <f aca="false">IF(O1776&lt;='Tree rules'!$C$4,IF(N1776&lt;='Tree rules'!$C$5,IF(P1776&lt;='Tree rules'!$C$6,"Monitor","Polymer laminate"),IF(P1776&lt;='Tree rules'!$C$7,"Seal cracks","Polymer laminate")),IF(O1776&lt;='Tree rules'!$C$8,IF(M1776&lt;='Tree rules'!$C$9,"Steel plate or jacket","Polymer laminate"),IF(L1776&lt;='Tree rules'!$C$10,"Steel plate or jacket","Polymer laminate")))</f>
        <v>Polymer laminate</v>
      </c>
      <c r="T1776" s="5" t="str">
        <f aca="false">IF(S1776=R1776,"Yes","No")</f>
        <v>Yes</v>
      </c>
    </row>
    <row r="1777" customFormat="false" ht="15" hidden="false" customHeight="false" outlineLevel="0" collapsed="false">
      <c r="A1777" s="15" t="n">
        <v>2549</v>
      </c>
      <c r="B1777" s="16" t="n">
        <v>3.43485707080002</v>
      </c>
      <c r="C1777" s="15" t="n">
        <v>300</v>
      </c>
      <c r="D1777" s="15" t="n">
        <v>300</v>
      </c>
      <c r="E1777" s="15" t="n">
        <v>30</v>
      </c>
      <c r="F1777" s="16" t="n">
        <v>0.791582400904515</v>
      </c>
      <c r="G1777" s="17" t="s">
        <v>89</v>
      </c>
      <c r="H1777" s="18" t="n">
        <v>0.3</v>
      </c>
      <c r="I1777" s="18" t="n">
        <v>1</v>
      </c>
      <c r="J1777" s="19" t="n">
        <v>0.957165773641211</v>
      </c>
      <c r="K1777" s="19" t="n">
        <v>0.531895517407992</v>
      </c>
      <c r="L1777" s="16" t="n">
        <v>13.5230593338583</v>
      </c>
      <c r="M1777" s="19" t="n">
        <v>0.384903801914749</v>
      </c>
      <c r="N1777" s="19" t="n">
        <v>0.839258523354721</v>
      </c>
      <c r="O1777" s="19" t="n">
        <v>0.957165773641212</v>
      </c>
      <c r="P1777" s="19" t="n">
        <v>0.859306608013762</v>
      </c>
      <c r="Q1777" s="17" t="s">
        <v>29</v>
      </c>
      <c r="R1777" s="5" t="str">
        <f aca="false">IF(OR(Q1777="Steel plate",Q1777="Concrete jacket"),"Steel plate or jacket",Q1777)</f>
        <v>Monitor</v>
      </c>
      <c r="S1777" s="5" t="str">
        <f aca="false">IF(O1777&lt;='Tree rules'!$C$4,IF(N1777&lt;='Tree rules'!$C$5,IF(P1777&lt;='Tree rules'!$C$6,"Monitor","Polymer laminate"),IF(P1777&lt;='Tree rules'!$C$7,"Seal cracks","Polymer laminate")),IF(O1777&lt;='Tree rules'!$C$8,IF(M1777&lt;='Tree rules'!$C$9,"Steel plate or jacket","Polymer laminate"),IF(L1777&lt;='Tree rules'!$C$10,"Steel plate or jacket","Polymer laminate")))</f>
        <v>Monitor</v>
      </c>
      <c r="T1777" s="5" t="str">
        <f aca="false">IF(S1777=R1777,"Yes","No")</f>
        <v>Yes</v>
      </c>
    </row>
    <row r="1778" customFormat="false" ht="15" hidden="false" customHeight="false" outlineLevel="0" collapsed="false">
      <c r="A1778" s="15" t="n">
        <v>2550</v>
      </c>
      <c r="B1778" s="16" t="n">
        <v>4.06314509105177</v>
      </c>
      <c r="C1778" s="15" t="n">
        <v>300</v>
      </c>
      <c r="D1778" s="15" t="n">
        <v>325</v>
      </c>
      <c r="E1778" s="15" t="n">
        <v>30</v>
      </c>
      <c r="F1778" s="16" t="n">
        <v>0.761598219052071</v>
      </c>
      <c r="G1778" s="17" t="s">
        <v>90</v>
      </c>
      <c r="H1778" s="18" t="n">
        <v>0.1</v>
      </c>
      <c r="I1778" s="18" t="n">
        <v>1.5</v>
      </c>
      <c r="J1778" s="19" t="n">
        <v>0.954098386424631</v>
      </c>
      <c r="K1778" s="19" t="n">
        <v>0.588864366258489</v>
      </c>
      <c r="L1778" s="16" t="n">
        <v>15.3907011024688</v>
      </c>
      <c r="M1778" s="19" t="n">
        <v>0.621849164786991</v>
      </c>
      <c r="N1778" s="19" t="n">
        <v>3.59963658594252</v>
      </c>
      <c r="O1778" s="19" t="n">
        <v>1.15023030880185</v>
      </c>
      <c r="P1778" s="19" t="n">
        <v>0.621332303457985</v>
      </c>
      <c r="Q1778" s="17" t="s">
        <v>31</v>
      </c>
      <c r="R1778" s="5" t="str">
        <f aca="false">IF(OR(Q1778="Steel plate",Q1778="Concrete jacket"),"Steel plate or jacket",Q1778)</f>
        <v>Polymer laminate</v>
      </c>
      <c r="S1778" s="5" t="str">
        <f aca="false">IF(O1778&lt;='Tree rules'!$C$4,IF(N1778&lt;='Tree rules'!$C$5,IF(P1778&lt;='Tree rules'!$C$6,"Monitor","Polymer laminate"),IF(P1778&lt;='Tree rules'!$C$7,"Seal cracks","Polymer laminate")),IF(O1778&lt;='Tree rules'!$C$8,IF(M1778&lt;='Tree rules'!$C$9,"Steel plate or jacket","Polymer laminate"),IF(L1778&lt;='Tree rules'!$C$10,"Steel plate or jacket","Polymer laminate")))</f>
        <v>Polymer laminate</v>
      </c>
      <c r="T1778" s="5" t="str">
        <f aca="false">IF(S1778=R1778,"Yes","No")</f>
        <v>Yes</v>
      </c>
    </row>
    <row r="1779" customFormat="false" ht="15" hidden="false" customHeight="false" outlineLevel="0" collapsed="false">
      <c r="A1779" s="15" t="n">
        <v>2551</v>
      </c>
      <c r="B1779" s="16" t="n">
        <v>7.23737695477472</v>
      </c>
      <c r="C1779" s="15" t="n">
        <v>230</v>
      </c>
      <c r="D1779" s="15" t="n">
        <v>650</v>
      </c>
      <c r="E1779" s="15" t="n">
        <v>30</v>
      </c>
      <c r="F1779" s="16" t="n">
        <v>0.680685971455249</v>
      </c>
      <c r="G1779" s="17" t="s">
        <v>91</v>
      </c>
      <c r="H1779" s="18" t="n">
        <v>0.2</v>
      </c>
      <c r="I1779" s="18" t="n">
        <v>1</v>
      </c>
      <c r="J1779" s="19" t="n">
        <v>0.867476723571555</v>
      </c>
      <c r="K1779" s="19" t="n">
        <v>0.498741121072149</v>
      </c>
      <c r="L1779" s="16" t="n">
        <v>12.0222208551075</v>
      </c>
      <c r="M1779" s="19" t="n">
        <v>0.871890417481859</v>
      </c>
      <c r="N1779" s="19" t="n">
        <v>0.837062572199397</v>
      </c>
      <c r="O1779" s="19" t="n">
        <v>0.867476723571555</v>
      </c>
      <c r="P1779" s="19" t="n">
        <v>0.369942266382286</v>
      </c>
      <c r="Q1779" s="17" t="s">
        <v>29</v>
      </c>
      <c r="R1779" s="5" t="str">
        <f aca="false">IF(OR(Q1779="Steel plate",Q1779="Concrete jacket"),"Steel plate or jacket",Q1779)</f>
        <v>Monitor</v>
      </c>
      <c r="S1779" s="5" t="str">
        <f aca="false">IF(O1779&lt;='Tree rules'!$C$4,IF(N1779&lt;='Tree rules'!$C$5,IF(P1779&lt;='Tree rules'!$C$6,"Monitor","Polymer laminate"),IF(P1779&lt;='Tree rules'!$C$7,"Seal cracks","Polymer laminate")),IF(O1779&lt;='Tree rules'!$C$8,IF(M1779&lt;='Tree rules'!$C$9,"Steel plate or jacket","Polymer laminate"),IF(L1779&lt;='Tree rules'!$C$10,"Steel plate or jacket","Polymer laminate")))</f>
        <v>Monitor</v>
      </c>
      <c r="T1779" s="5" t="str">
        <f aca="false">IF(S1779=R1779,"Yes","No")</f>
        <v>Yes</v>
      </c>
    </row>
    <row r="1780" customFormat="false" ht="15" hidden="false" customHeight="false" outlineLevel="0" collapsed="false">
      <c r="A1780" s="15" t="n">
        <v>2552</v>
      </c>
      <c r="B1780" s="16" t="n">
        <v>4.39567466189232</v>
      </c>
      <c r="C1780" s="15" t="n">
        <v>300</v>
      </c>
      <c r="D1780" s="15" t="n">
        <v>350</v>
      </c>
      <c r="E1780" s="15" t="n">
        <v>20</v>
      </c>
      <c r="F1780" s="16" t="n">
        <v>0.695716020172134</v>
      </c>
      <c r="G1780" s="17" t="s">
        <v>90</v>
      </c>
      <c r="H1780" s="18" t="n">
        <v>0.1</v>
      </c>
      <c r="I1780" s="18" t="n">
        <v>2</v>
      </c>
      <c r="J1780" s="19" t="n">
        <v>0.909047089174796</v>
      </c>
      <c r="K1780" s="19" t="n">
        <v>0.548782651888314</v>
      </c>
      <c r="L1780" s="16" t="n">
        <v>15.2099469269631</v>
      </c>
      <c r="M1780" s="19" t="n">
        <v>0.490689496823968</v>
      </c>
      <c r="N1780" s="19" t="n">
        <v>4.08670978280372</v>
      </c>
      <c r="O1780" s="19" t="n">
        <v>1.31922490606089</v>
      </c>
      <c r="P1780" s="19" t="n">
        <v>0.874252468518548</v>
      </c>
      <c r="Q1780" s="17" t="s">
        <v>31</v>
      </c>
      <c r="R1780" s="5" t="str">
        <f aca="false">IF(OR(Q1780="Steel plate",Q1780="Concrete jacket"),"Steel plate or jacket",Q1780)</f>
        <v>Polymer laminate</v>
      </c>
      <c r="S1780" s="5" t="str">
        <f aca="false">IF(O1780&lt;='Tree rules'!$C$4,IF(N1780&lt;='Tree rules'!$C$5,IF(P1780&lt;='Tree rules'!$C$6,"Monitor","Polymer laminate"),IF(P1780&lt;='Tree rules'!$C$7,"Seal cracks","Polymer laminate")),IF(O1780&lt;='Tree rules'!$C$8,IF(M1780&lt;='Tree rules'!$C$9,"Steel plate or jacket","Polymer laminate"),IF(L1780&lt;='Tree rules'!$C$10,"Steel plate or jacket","Polymer laminate")))</f>
        <v>Polymer laminate</v>
      </c>
      <c r="T1780" s="5" t="str">
        <f aca="false">IF(S1780=R1780,"Yes","No")</f>
        <v>Yes</v>
      </c>
    </row>
    <row r="1781" customFormat="false" ht="15" hidden="false" customHeight="false" outlineLevel="0" collapsed="false">
      <c r="A1781" s="15" t="n">
        <v>2553</v>
      </c>
      <c r="B1781" s="16" t="n">
        <v>3.82607737008246</v>
      </c>
      <c r="C1781" s="15" t="n">
        <v>300</v>
      </c>
      <c r="D1781" s="15" t="n">
        <v>350</v>
      </c>
      <c r="E1781" s="15" t="n">
        <v>20</v>
      </c>
      <c r="F1781" s="16" t="n">
        <v>0.695716020172134</v>
      </c>
      <c r="G1781" s="17" t="s">
        <v>90</v>
      </c>
      <c r="H1781" s="18" t="n">
        <v>0.1</v>
      </c>
      <c r="I1781" s="18" t="n">
        <v>2</v>
      </c>
      <c r="J1781" s="19" t="n">
        <v>0.940330675546652</v>
      </c>
      <c r="K1781" s="19" t="n">
        <v>0.57123992826184</v>
      </c>
      <c r="L1781" s="16" t="n">
        <v>13.2390220418078</v>
      </c>
      <c r="M1781" s="19" t="n">
        <v>0.332014251642776</v>
      </c>
      <c r="N1781" s="19" t="n">
        <v>4.27921083445946</v>
      </c>
      <c r="O1781" s="19" t="n">
        <v>1.34350692345163</v>
      </c>
      <c r="P1781" s="19" t="n">
        <v>1.14560492410219</v>
      </c>
      <c r="Q1781" s="17" t="s">
        <v>31</v>
      </c>
      <c r="R1781" s="5" t="str">
        <f aca="false">IF(OR(Q1781="Steel plate",Q1781="Concrete jacket"),"Steel plate or jacket",Q1781)</f>
        <v>Polymer laminate</v>
      </c>
      <c r="S1781" s="5" t="str">
        <f aca="false">IF(O1781&lt;='Tree rules'!$C$4,IF(N1781&lt;='Tree rules'!$C$5,IF(P1781&lt;='Tree rules'!$C$6,"Monitor","Polymer laminate"),IF(P1781&lt;='Tree rules'!$C$7,"Seal cracks","Polymer laminate")),IF(O1781&lt;='Tree rules'!$C$8,IF(M1781&lt;='Tree rules'!$C$9,"Steel plate or jacket","Polymer laminate"),IF(L1781&lt;='Tree rules'!$C$10,"Steel plate or jacket","Polymer laminate")))</f>
        <v>Polymer laminate</v>
      </c>
      <c r="T1781" s="5" t="str">
        <f aca="false">IF(S1781=R1781,"Yes","No")</f>
        <v>Yes</v>
      </c>
    </row>
    <row r="1782" customFormat="false" ht="15" hidden="false" customHeight="false" outlineLevel="0" collapsed="false">
      <c r="A1782" s="15" t="n">
        <v>2554</v>
      </c>
      <c r="B1782" s="16" t="n">
        <v>4.0825540322103</v>
      </c>
      <c r="C1782" s="15" t="n">
        <v>230</v>
      </c>
      <c r="D1782" s="15" t="n">
        <v>325</v>
      </c>
      <c r="E1782" s="15" t="n">
        <v>25</v>
      </c>
      <c r="F1782" s="16" t="n">
        <v>0.662259320914844</v>
      </c>
      <c r="G1782" s="17" t="s">
        <v>90</v>
      </c>
      <c r="H1782" s="18" t="n">
        <v>0.1</v>
      </c>
      <c r="I1782" s="18" t="n">
        <v>1.5</v>
      </c>
      <c r="J1782" s="19" t="n">
        <v>0.863267242334011</v>
      </c>
      <c r="K1782" s="19" t="n">
        <v>0.445628899389398</v>
      </c>
      <c r="L1782" s="16" t="n">
        <v>15.4642198189784</v>
      </c>
      <c r="M1782" s="19" t="n">
        <v>0.654620335307835</v>
      </c>
      <c r="N1782" s="19" t="n">
        <v>3.48963378842045</v>
      </c>
      <c r="O1782" s="19" t="n">
        <v>1.1025524479609</v>
      </c>
      <c r="P1782" s="19" t="n">
        <v>0.470446989626335</v>
      </c>
      <c r="Q1782" s="17" t="s">
        <v>31</v>
      </c>
      <c r="R1782" s="5" t="str">
        <f aca="false">IF(OR(Q1782="Steel plate",Q1782="Concrete jacket"),"Steel plate or jacket",Q1782)</f>
        <v>Polymer laminate</v>
      </c>
      <c r="S1782" s="5" t="str">
        <f aca="false">IF(O1782&lt;='Tree rules'!$C$4,IF(N1782&lt;='Tree rules'!$C$5,IF(P1782&lt;='Tree rules'!$C$6,"Monitor","Polymer laminate"),IF(P1782&lt;='Tree rules'!$C$7,"Seal cracks","Polymer laminate")),IF(O1782&lt;='Tree rules'!$C$8,IF(M1782&lt;='Tree rules'!$C$9,"Steel plate or jacket","Polymer laminate"),IF(L1782&lt;='Tree rules'!$C$10,"Steel plate or jacket","Polymer laminate")))</f>
        <v>Polymer laminate</v>
      </c>
      <c r="T1782" s="5" t="str">
        <f aca="false">IF(S1782=R1782,"Yes","No")</f>
        <v>Yes</v>
      </c>
    </row>
    <row r="1783" customFormat="false" ht="15" hidden="false" customHeight="false" outlineLevel="0" collapsed="false">
      <c r="A1783" s="15" t="n">
        <v>2555</v>
      </c>
      <c r="B1783" s="16" t="n">
        <v>5.31458233866631</v>
      </c>
      <c r="C1783" s="15" t="n">
        <v>230</v>
      </c>
      <c r="D1783" s="15" t="n">
        <v>525</v>
      </c>
      <c r="E1783" s="15" t="n">
        <v>30</v>
      </c>
      <c r="F1783" s="16" t="n">
        <v>0.85906279835652</v>
      </c>
      <c r="G1783" s="17" t="s">
        <v>89</v>
      </c>
      <c r="H1783" s="18" t="n">
        <v>0.3</v>
      </c>
      <c r="I1783" s="18" t="n">
        <v>1.5</v>
      </c>
      <c r="J1783" s="19" t="n">
        <v>0.96804631630104</v>
      </c>
      <c r="K1783" s="19" t="n">
        <v>0.518648343833643</v>
      </c>
      <c r="L1783" s="16" t="n">
        <v>11.1416820517114</v>
      </c>
      <c r="M1783" s="19" t="n">
        <v>0.52010498220576</v>
      </c>
      <c r="N1783" s="19" t="n">
        <v>0.871420261313262</v>
      </c>
      <c r="O1783" s="19" t="n">
        <v>1.20103166509966</v>
      </c>
      <c r="P1783" s="19" t="n">
        <v>0.781251477991126</v>
      </c>
      <c r="Q1783" s="17" t="s">
        <v>31</v>
      </c>
      <c r="R1783" s="5" t="str">
        <f aca="false">IF(OR(Q1783="Steel plate",Q1783="Concrete jacket"),"Steel plate or jacket",Q1783)</f>
        <v>Polymer laminate</v>
      </c>
      <c r="S1783" s="5" t="str">
        <f aca="false">IF(O1783&lt;='Tree rules'!$C$4,IF(N1783&lt;='Tree rules'!$C$5,IF(P1783&lt;='Tree rules'!$C$6,"Monitor","Polymer laminate"),IF(P1783&lt;='Tree rules'!$C$7,"Seal cracks","Polymer laminate")),IF(O1783&lt;='Tree rules'!$C$8,IF(M1783&lt;='Tree rules'!$C$9,"Steel plate or jacket","Polymer laminate"),IF(L1783&lt;='Tree rules'!$C$10,"Steel plate or jacket","Polymer laminate")))</f>
        <v>Polymer laminate</v>
      </c>
      <c r="T1783" s="5" t="str">
        <f aca="false">IF(S1783=R1783,"Yes","No")</f>
        <v>Yes</v>
      </c>
    </row>
    <row r="1784" customFormat="false" ht="15" hidden="false" customHeight="false" outlineLevel="0" collapsed="false">
      <c r="A1784" s="15" t="n">
        <v>2556</v>
      </c>
      <c r="B1784" s="16" t="n">
        <v>3.91246536730144</v>
      </c>
      <c r="C1784" s="15" t="n">
        <v>300</v>
      </c>
      <c r="D1784" s="15" t="n">
        <v>375</v>
      </c>
      <c r="E1784" s="15" t="n">
        <v>20</v>
      </c>
      <c r="F1784" s="16" t="n">
        <v>0.683367586279351</v>
      </c>
      <c r="G1784" s="17" t="s">
        <v>91</v>
      </c>
      <c r="H1784" s="18" t="n">
        <v>0.2</v>
      </c>
      <c r="I1784" s="18" t="n">
        <v>1.5</v>
      </c>
      <c r="J1784" s="19" t="n">
        <v>0.899025556388582</v>
      </c>
      <c r="K1784" s="19" t="n">
        <v>0.46296948129298</v>
      </c>
      <c r="L1784" s="16" t="n">
        <v>11.8201370613336</v>
      </c>
      <c r="M1784" s="19" t="n">
        <v>0.303514448995609</v>
      </c>
      <c r="N1784" s="19" t="n">
        <v>1.16745010412895</v>
      </c>
      <c r="O1784" s="19" t="n">
        <v>1.1404276368277</v>
      </c>
      <c r="P1784" s="19" t="n">
        <v>1.09967849705231</v>
      </c>
      <c r="Q1784" s="17" t="s">
        <v>31</v>
      </c>
      <c r="R1784" s="5" t="str">
        <f aca="false">IF(OR(Q1784="Steel plate",Q1784="Concrete jacket"),"Steel plate or jacket",Q1784)</f>
        <v>Polymer laminate</v>
      </c>
      <c r="S1784" s="5" t="str">
        <f aca="false">IF(O1784&lt;='Tree rules'!$C$4,IF(N1784&lt;='Tree rules'!$C$5,IF(P1784&lt;='Tree rules'!$C$6,"Monitor","Polymer laminate"),IF(P1784&lt;='Tree rules'!$C$7,"Seal cracks","Polymer laminate")),IF(O1784&lt;='Tree rules'!$C$8,IF(M1784&lt;='Tree rules'!$C$9,"Steel plate or jacket","Polymer laminate"),IF(L1784&lt;='Tree rules'!$C$10,"Steel plate or jacket","Polymer laminate")))</f>
        <v>Polymer laminate</v>
      </c>
      <c r="T1784" s="5" t="str">
        <f aca="false">IF(S1784=R1784,"Yes","No")</f>
        <v>Yes</v>
      </c>
    </row>
    <row r="1785" customFormat="false" ht="15" hidden="false" customHeight="false" outlineLevel="0" collapsed="false">
      <c r="A1785" s="15" t="n">
        <v>2557</v>
      </c>
      <c r="B1785" s="16" t="n">
        <v>4.9899755724247</v>
      </c>
      <c r="C1785" s="15" t="n">
        <v>300</v>
      </c>
      <c r="D1785" s="15" t="n">
        <v>450</v>
      </c>
      <c r="E1785" s="15" t="n">
        <v>30</v>
      </c>
      <c r="F1785" s="16" t="n">
        <v>0.781490709848207</v>
      </c>
      <c r="G1785" s="17" t="s">
        <v>89</v>
      </c>
      <c r="H1785" s="18" t="n">
        <v>0.3</v>
      </c>
      <c r="I1785" s="18" t="n">
        <v>2</v>
      </c>
      <c r="J1785" s="19" t="n">
        <v>0.883729938959516</v>
      </c>
      <c r="K1785" s="19" t="n">
        <v>0.616043994767552</v>
      </c>
      <c r="L1785" s="16" t="n">
        <v>12.4128745582704</v>
      </c>
      <c r="M1785" s="19" t="n">
        <v>0.314816718595207</v>
      </c>
      <c r="N1785" s="19" t="n">
        <v>1.07428368970626</v>
      </c>
      <c r="O1785" s="19" t="n">
        <v>1.22304335602673</v>
      </c>
      <c r="P1785" s="19" t="n">
        <v>1.29483640256126</v>
      </c>
      <c r="Q1785" s="17" t="s">
        <v>31</v>
      </c>
      <c r="R1785" s="5" t="str">
        <f aca="false">IF(OR(Q1785="Steel plate",Q1785="Concrete jacket"),"Steel plate or jacket",Q1785)</f>
        <v>Polymer laminate</v>
      </c>
      <c r="S1785" s="5" t="str">
        <f aca="false">IF(O1785&lt;='Tree rules'!$C$4,IF(N1785&lt;='Tree rules'!$C$5,IF(P1785&lt;='Tree rules'!$C$6,"Monitor","Polymer laminate"),IF(P1785&lt;='Tree rules'!$C$7,"Seal cracks","Polymer laminate")),IF(O1785&lt;='Tree rules'!$C$8,IF(M1785&lt;='Tree rules'!$C$9,"Steel plate or jacket","Polymer laminate"),IF(L1785&lt;='Tree rules'!$C$10,"Steel plate or jacket","Polymer laminate")))</f>
        <v>Polymer laminate</v>
      </c>
      <c r="T1785" s="5" t="str">
        <f aca="false">IF(S1785=R1785,"Yes","No")</f>
        <v>Yes</v>
      </c>
    </row>
    <row r="1786" customFormat="false" ht="15" hidden="false" customHeight="false" outlineLevel="0" collapsed="false">
      <c r="A1786" s="15" t="n">
        <v>2558</v>
      </c>
      <c r="B1786" s="16" t="n">
        <v>3.24962086155848</v>
      </c>
      <c r="C1786" s="15" t="n">
        <v>300</v>
      </c>
      <c r="D1786" s="15" t="n">
        <v>325</v>
      </c>
      <c r="E1786" s="15" t="n">
        <v>25</v>
      </c>
      <c r="F1786" s="16" t="n">
        <v>0.72065207824282</v>
      </c>
      <c r="G1786" s="17" t="s">
        <v>91</v>
      </c>
      <c r="H1786" s="18" t="n">
        <v>0.2</v>
      </c>
      <c r="I1786" s="18" t="n">
        <v>1</v>
      </c>
      <c r="J1786" s="19" t="n">
        <v>0.952128833238441</v>
      </c>
      <c r="K1786" s="19" t="n">
        <v>0.536028541424269</v>
      </c>
      <c r="L1786" s="16" t="n">
        <v>11.647386600568</v>
      </c>
      <c r="M1786" s="19" t="n">
        <v>0.693806127594592</v>
      </c>
      <c r="N1786" s="19" t="n">
        <v>1.15404248461882</v>
      </c>
      <c r="O1786" s="19" t="n">
        <v>0.952128833238441</v>
      </c>
      <c r="P1786" s="19" t="n">
        <v>0.43904527487156</v>
      </c>
      <c r="Q1786" s="17" t="s">
        <v>30</v>
      </c>
      <c r="R1786" s="5" t="str">
        <f aca="false">IF(OR(Q1786="Steel plate",Q1786="Concrete jacket"),"Steel plate or jacket",Q1786)</f>
        <v>Seal cracks</v>
      </c>
      <c r="S1786" s="5" t="str">
        <f aca="false">IF(O1786&lt;='Tree rules'!$C$4,IF(N1786&lt;='Tree rules'!$C$5,IF(P1786&lt;='Tree rules'!$C$6,"Monitor","Polymer laminate"),IF(P1786&lt;='Tree rules'!$C$7,"Seal cracks","Polymer laminate")),IF(O1786&lt;='Tree rules'!$C$8,IF(M1786&lt;='Tree rules'!$C$9,"Steel plate or jacket","Polymer laminate"),IF(L1786&lt;='Tree rules'!$C$10,"Steel plate or jacket","Polymer laminate")))</f>
        <v>Seal cracks</v>
      </c>
      <c r="T1786" s="5" t="str">
        <f aca="false">IF(S1786=R1786,"Yes","No")</f>
        <v>Yes</v>
      </c>
    </row>
    <row r="1787" customFormat="false" ht="15" hidden="false" customHeight="false" outlineLevel="0" collapsed="false">
      <c r="A1787" s="15" t="n">
        <v>2559</v>
      </c>
      <c r="B1787" s="16" t="n">
        <v>6.94013360382734</v>
      </c>
      <c r="C1787" s="15" t="n">
        <v>300</v>
      </c>
      <c r="D1787" s="15" t="n">
        <v>625</v>
      </c>
      <c r="E1787" s="15" t="n">
        <v>25</v>
      </c>
      <c r="F1787" s="16" t="n">
        <v>0.578762031749415</v>
      </c>
      <c r="G1787" s="17" t="s">
        <v>89</v>
      </c>
      <c r="H1787" s="18" t="n">
        <v>0.3</v>
      </c>
      <c r="I1787" s="18" t="n">
        <v>1</v>
      </c>
      <c r="J1787" s="19" t="n">
        <v>0.974987780447677</v>
      </c>
      <c r="K1787" s="19" t="n">
        <v>0.583786295278385</v>
      </c>
      <c r="L1787" s="16" t="n">
        <v>11.986413823536</v>
      </c>
      <c r="M1787" s="19" t="n">
        <v>0.928305751641119</v>
      </c>
      <c r="N1787" s="19" t="n">
        <v>0.567875791050885</v>
      </c>
      <c r="O1787" s="19" t="n">
        <v>0.974987780447677</v>
      </c>
      <c r="P1787" s="19" t="n">
        <v>0.384722768081318</v>
      </c>
      <c r="Q1787" s="17" t="s">
        <v>29</v>
      </c>
      <c r="R1787" s="5" t="str">
        <f aca="false">IF(OR(Q1787="Steel plate",Q1787="Concrete jacket"),"Steel plate or jacket",Q1787)</f>
        <v>Monitor</v>
      </c>
      <c r="S1787" s="5" t="str">
        <f aca="false">IF(O1787&lt;='Tree rules'!$C$4,IF(N1787&lt;='Tree rules'!$C$5,IF(P1787&lt;='Tree rules'!$C$6,"Monitor","Polymer laminate"),IF(P1787&lt;='Tree rules'!$C$7,"Seal cracks","Polymer laminate")),IF(O1787&lt;='Tree rules'!$C$8,IF(M1787&lt;='Tree rules'!$C$9,"Steel plate or jacket","Polymer laminate"),IF(L1787&lt;='Tree rules'!$C$10,"Steel plate or jacket","Polymer laminate")))</f>
        <v>Monitor</v>
      </c>
      <c r="T1787" s="5" t="str">
        <f aca="false">IF(S1787=R1787,"Yes","No")</f>
        <v>Yes</v>
      </c>
    </row>
    <row r="1788" customFormat="false" ht="15" hidden="false" customHeight="false" outlineLevel="0" collapsed="false">
      <c r="A1788" s="15" t="n">
        <v>2561</v>
      </c>
      <c r="B1788" s="16" t="n">
        <v>7.03742546020469</v>
      </c>
      <c r="C1788" s="15" t="n">
        <v>300</v>
      </c>
      <c r="D1788" s="15" t="n">
        <v>575</v>
      </c>
      <c r="E1788" s="15" t="n">
        <v>30</v>
      </c>
      <c r="F1788" s="16" t="n">
        <v>0.613592315154257</v>
      </c>
      <c r="G1788" s="17" t="s">
        <v>90</v>
      </c>
      <c r="H1788" s="18" t="n">
        <v>0.1</v>
      </c>
      <c r="I1788" s="18" t="n">
        <v>1</v>
      </c>
      <c r="J1788" s="19" t="n">
        <v>0.905938157316921</v>
      </c>
      <c r="K1788" s="19" t="n">
        <v>0.559335685984804</v>
      </c>
      <c r="L1788" s="16" t="n">
        <v>13.7449716019623</v>
      </c>
      <c r="M1788" s="19" t="n">
        <v>0.269331321462911</v>
      </c>
      <c r="N1788" s="19" t="n">
        <v>2.83367259736907</v>
      </c>
      <c r="O1788" s="19" t="n">
        <v>0.905938157316921</v>
      </c>
      <c r="P1788" s="19" t="n">
        <v>1.11656532335573</v>
      </c>
      <c r="Q1788" s="17" t="s">
        <v>31</v>
      </c>
      <c r="R1788" s="5" t="str">
        <f aca="false">IF(OR(Q1788="Steel plate",Q1788="Concrete jacket"),"Steel plate or jacket",Q1788)</f>
        <v>Polymer laminate</v>
      </c>
      <c r="S1788" s="5" t="str">
        <f aca="false">IF(O1788&lt;='Tree rules'!$C$4,IF(N1788&lt;='Tree rules'!$C$5,IF(P1788&lt;='Tree rules'!$C$6,"Monitor","Polymer laminate"),IF(P1788&lt;='Tree rules'!$C$7,"Seal cracks","Polymer laminate")),IF(O1788&lt;='Tree rules'!$C$8,IF(M1788&lt;='Tree rules'!$C$9,"Steel plate or jacket","Polymer laminate"),IF(L1788&lt;='Tree rules'!$C$10,"Steel plate or jacket","Polymer laminate")))</f>
        <v>Polymer laminate</v>
      </c>
      <c r="T1788" s="5" t="str">
        <f aca="false">IF(S1788=R1788,"Yes","No")</f>
        <v>Yes</v>
      </c>
    </row>
    <row r="1789" customFormat="false" ht="15" hidden="false" customHeight="false" outlineLevel="0" collapsed="false">
      <c r="A1789" s="15" t="n">
        <v>2562</v>
      </c>
      <c r="B1789" s="16" t="n">
        <v>3.9583786697034</v>
      </c>
      <c r="C1789" s="15" t="n">
        <v>230</v>
      </c>
      <c r="D1789" s="15" t="n">
        <v>325</v>
      </c>
      <c r="E1789" s="15" t="n">
        <v>20</v>
      </c>
      <c r="F1789" s="16" t="n">
        <v>0.626653981080713</v>
      </c>
      <c r="G1789" s="17" t="s">
        <v>89</v>
      </c>
      <c r="H1789" s="18" t="n">
        <v>0.3</v>
      </c>
      <c r="I1789" s="18" t="n">
        <v>2</v>
      </c>
      <c r="J1789" s="19" t="n">
        <v>0.943491856188546</v>
      </c>
      <c r="K1789" s="19" t="n">
        <v>0.507488171218189</v>
      </c>
      <c r="L1789" s="16" t="n">
        <v>14.1877371673957</v>
      </c>
      <c r="M1789" s="19" t="n">
        <v>0.474025886801944</v>
      </c>
      <c r="N1789" s="19" t="n">
        <v>1.34775672134858</v>
      </c>
      <c r="O1789" s="19" t="n">
        <v>1.40817275572071</v>
      </c>
      <c r="P1789" s="19" t="n">
        <v>0.877537569804252</v>
      </c>
      <c r="Q1789" s="17" t="s">
        <v>31</v>
      </c>
      <c r="R1789" s="5" t="str">
        <f aca="false">IF(OR(Q1789="Steel plate",Q1789="Concrete jacket"),"Steel plate or jacket",Q1789)</f>
        <v>Polymer laminate</v>
      </c>
      <c r="S1789" s="5" t="str">
        <f aca="false">IF(O1789&lt;='Tree rules'!$C$4,IF(N1789&lt;='Tree rules'!$C$5,IF(P1789&lt;='Tree rules'!$C$6,"Monitor","Polymer laminate"),IF(P1789&lt;='Tree rules'!$C$7,"Seal cracks","Polymer laminate")),IF(O1789&lt;='Tree rules'!$C$8,IF(M1789&lt;='Tree rules'!$C$9,"Steel plate or jacket","Polymer laminate"),IF(L1789&lt;='Tree rules'!$C$10,"Steel plate or jacket","Polymer laminate")))</f>
        <v>Polymer laminate</v>
      </c>
      <c r="T1789" s="5" t="str">
        <f aca="false">IF(S1789=R1789,"Yes","No")</f>
        <v>Yes</v>
      </c>
    </row>
    <row r="1790" customFormat="false" ht="15" hidden="false" customHeight="false" outlineLevel="0" collapsed="false">
      <c r="A1790" s="15" t="n">
        <v>2563</v>
      </c>
      <c r="B1790" s="16" t="n">
        <v>6.58852353005883</v>
      </c>
      <c r="C1790" s="15" t="n">
        <v>230</v>
      </c>
      <c r="D1790" s="15" t="n">
        <v>575</v>
      </c>
      <c r="E1790" s="15" t="n">
        <v>20</v>
      </c>
      <c r="F1790" s="16" t="n">
        <v>0.661007412935799</v>
      </c>
      <c r="G1790" s="17" t="s">
        <v>89</v>
      </c>
      <c r="H1790" s="18" t="n">
        <v>0.3</v>
      </c>
      <c r="I1790" s="18" t="n">
        <v>1</v>
      </c>
      <c r="J1790" s="19" t="n">
        <v>0.871702671959605</v>
      </c>
      <c r="K1790" s="19" t="n">
        <v>0.426231253307407</v>
      </c>
      <c r="L1790" s="16" t="n">
        <v>12.4546758602246</v>
      </c>
      <c r="M1790" s="19" t="n">
        <v>0.638238430361831</v>
      </c>
      <c r="N1790" s="19" t="n">
        <v>0.532890606701961</v>
      </c>
      <c r="O1790" s="19" t="n">
        <v>0.871702671959605</v>
      </c>
      <c r="P1790" s="19" t="n">
        <v>0.518001048303866</v>
      </c>
      <c r="Q1790" s="17" t="s">
        <v>29</v>
      </c>
      <c r="R1790" s="5" t="str">
        <f aca="false">IF(OR(Q1790="Steel plate",Q1790="Concrete jacket"),"Steel plate or jacket",Q1790)</f>
        <v>Monitor</v>
      </c>
      <c r="S1790" s="5" t="str">
        <f aca="false">IF(O1790&lt;='Tree rules'!$C$4,IF(N1790&lt;='Tree rules'!$C$5,IF(P1790&lt;='Tree rules'!$C$6,"Monitor","Polymer laminate"),IF(P1790&lt;='Tree rules'!$C$7,"Seal cracks","Polymer laminate")),IF(O1790&lt;='Tree rules'!$C$8,IF(M1790&lt;='Tree rules'!$C$9,"Steel plate or jacket","Polymer laminate"),IF(L1790&lt;='Tree rules'!$C$10,"Steel plate or jacket","Polymer laminate")))</f>
        <v>Monitor</v>
      </c>
      <c r="T1790" s="5" t="str">
        <f aca="false">IF(S1790=R1790,"Yes","No")</f>
        <v>Yes</v>
      </c>
    </row>
    <row r="1791" customFormat="false" ht="15" hidden="false" customHeight="false" outlineLevel="0" collapsed="false">
      <c r="A1791" s="15" t="n">
        <v>2565</v>
      </c>
      <c r="B1791" s="16" t="n">
        <v>4.24533964520588</v>
      </c>
      <c r="C1791" s="15" t="n">
        <v>230</v>
      </c>
      <c r="D1791" s="15" t="n">
        <v>375</v>
      </c>
      <c r="E1791" s="15" t="n">
        <v>30</v>
      </c>
      <c r="F1791" s="16" t="n">
        <v>0.797126720614828</v>
      </c>
      <c r="G1791" s="17" t="s">
        <v>91</v>
      </c>
      <c r="H1791" s="18" t="n">
        <v>0.2</v>
      </c>
      <c r="I1791" s="18" t="n">
        <v>2</v>
      </c>
      <c r="J1791" s="19" t="n">
        <v>0.908407366500238</v>
      </c>
      <c r="K1791" s="19" t="n">
        <v>0.560407195371544</v>
      </c>
      <c r="L1791" s="16" t="n">
        <v>12.9037679185589</v>
      </c>
      <c r="M1791" s="19" t="n">
        <v>0.482969393827363</v>
      </c>
      <c r="N1791" s="19" t="n">
        <v>1.48439172430377</v>
      </c>
      <c r="O1791" s="19" t="n">
        <v>1.30773670848523</v>
      </c>
      <c r="P1791" s="19" t="n">
        <v>0.871141680987541</v>
      </c>
      <c r="Q1791" s="17" t="s">
        <v>31</v>
      </c>
      <c r="R1791" s="5" t="str">
        <f aca="false">IF(OR(Q1791="Steel plate",Q1791="Concrete jacket"),"Steel plate or jacket",Q1791)</f>
        <v>Polymer laminate</v>
      </c>
      <c r="S1791" s="5" t="str">
        <f aca="false">IF(O1791&lt;='Tree rules'!$C$4,IF(N1791&lt;='Tree rules'!$C$5,IF(P1791&lt;='Tree rules'!$C$6,"Monitor","Polymer laminate"),IF(P1791&lt;='Tree rules'!$C$7,"Seal cracks","Polymer laminate")),IF(O1791&lt;='Tree rules'!$C$8,IF(M1791&lt;='Tree rules'!$C$9,"Steel plate or jacket","Polymer laminate"),IF(L1791&lt;='Tree rules'!$C$10,"Steel plate or jacket","Polymer laminate")))</f>
        <v>Steel plate or jacket</v>
      </c>
      <c r="T1791" s="5" t="str">
        <f aca="false">IF(S1791=R1791,"Yes","No")</f>
        <v>No</v>
      </c>
    </row>
    <row r="1792" customFormat="false" ht="15" hidden="false" customHeight="false" outlineLevel="0" collapsed="false">
      <c r="A1792" s="15" t="n">
        <v>2566</v>
      </c>
      <c r="B1792" s="16" t="n">
        <v>5.54393568790821</v>
      </c>
      <c r="C1792" s="15" t="n">
        <v>300</v>
      </c>
      <c r="D1792" s="15" t="n">
        <v>525</v>
      </c>
      <c r="E1792" s="15" t="n">
        <v>20</v>
      </c>
      <c r="F1792" s="16" t="n">
        <v>0.55967134260194</v>
      </c>
      <c r="G1792" s="17" t="s">
        <v>91</v>
      </c>
      <c r="H1792" s="18" t="n">
        <v>0.2</v>
      </c>
      <c r="I1792" s="18" t="n">
        <v>1</v>
      </c>
      <c r="J1792" s="19" t="n">
        <v>0.969113565301479</v>
      </c>
      <c r="K1792" s="19" t="n">
        <v>0.570528284005994</v>
      </c>
      <c r="L1792" s="16" t="n">
        <v>11.5739784716247</v>
      </c>
      <c r="M1792" s="19" t="n">
        <v>0.950493112286165</v>
      </c>
      <c r="N1792" s="19" t="n">
        <v>0.900989396166617</v>
      </c>
      <c r="O1792" s="19" t="n">
        <v>0.969113565301479</v>
      </c>
      <c r="P1792" s="19" t="n">
        <v>0.358895149611046</v>
      </c>
      <c r="Q1792" s="17" t="s">
        <v>29</v>
      </c>
      <c r="R1792" s="5" t="str">
        <f aca="false">IF(OR(Q1792="Steel plate",Q1792="Concrete jacket"),"Steel plate or jacket",Q1792)</f>
        <v>Monitor</v>
      </c>
      <c r="S1792" s="5" t="str">
        <f aca="false">IF(O1792&lt;='Tree rules'!$C$4,IF(N1792&lt;='Tree rules'!$C$5,IF(P1792&lt;='Tree rules'!$C$6,"Monitor","Polymer laminate"),IF(P1792&lt;='Tree rules'!$C$7,"Seal cracks","Polymer laminate")),IF(O1792&lt;='Tree rules'!$C$8,IF(M1792&lt;='Tree rules'!$C$9,"Steel plate or jacket","Polymer laminate"),IF(L1792&lt;='Tree rules'!$C$10,"Steel plate or jacket","Polymer laminate")))</f>
        <v>Monitor</v>
      </c>
      <c r="T1792" s="5" t="str">
        <f aca="false">IF(S1792=R1792,"Yes","No")</f>
        <v>Yes</v>
      </c>
    </row>
    <row r="1793" customFormat="false" ht="15" hidden="false" customHeight="false" outlineLevel="0" collapsed="false">
      <c r="A1793" s="15" t="n">
        <v>2567</v>
      </c>
      <c r="B1793" s="16" t="n">
        <v>3.93488645485054</v>
      </c>
      <c r="C1793" s="15" t="n">
        <v>300</v>
      </c>
      <c r="D1793" s="15" t="n">
        <v>350</v>
      </c>
      <c r="E1793" s="15" t="n">
        <v>20</v>
      </c>
      <c r="F1793" s="16" t="n">
        <v>0.647751062595834</v>
      </c>
      <c r="G1793" s="17" t="s">
        <v>90</v>
      </c>
      <c r="H1793" s="18" t="n">
        <v>0.1</v>
      </c>
      <c r="I1793" s="18" t="n">
        <v>1</v>
      </c>
      <c r="J1793" s="19" t="n">
        <v>0.993794890573099</v>
      </c>
      <c r="K1793" s="19" t="n">
        <v>0.577472574696014</v>
      </c>
      <c r="L1793" s="16" t="n">
        <v>13.5219465802424</v>
      </c>
      <c r="M1793" s="19" t="n">
        <v>0.54645836457793</v>
      </c>
      <c r="N1793" s="19" t="n">
        <v>2.69843450076539</v>
      </c>
      <c r="O1793" s="19" t="n">
        <v>0.993794890573099</v>
      </c>
      <c r="P1793" s="19" t="n">
        <v>0.613527277183589</v>
      </c>
      <c r="Q1793" s="17" t="s">
        <v>30</v>
      </c>
      <c r="R1793" s="5" t="str">
        <f aca="false">IF(OR(Q1793="Steel plate",Q1793="Concrete jacket"),"Steel plate or jacket",Q1793)</f>
        <v>Seal cracks</v>
      </c>
      <c r="S1793" s="5" t="str">
        <f aca="false">IF(O1793&lt;='Tree rules'!$C$4,IF(N1793&lt;='Tree rules'!$C$5,IF(P1793&lt;='Tree rules'!$C$6,"Monitor","Polymer laminate"),IF(P1793&lt;='Tree rules'!$C$7,"Seal cracks","Polymer laminate")),IF(O1793&lt;='Tree rules'!$C$8,IF(M1793&lt;='Tree rules'!$C$9,"Steel plate or jacket","Polymer laminate"),IF(L1793&lt;='Tree rules'!$C$10,"Steel plate or jacket","Polymer laminate")))</f>
        <v>Seal cracks</v>
      </c>
      <c r="T1793" s="5" t="str">
        <f aca="false">IF(S1793=R1793,"Yes","No")</f>
        <v>Yes</v>
      </c>
    </row>
    <row r="1794" customFormat="false" ht="15" hidden="false" customHeight="false" outlineLevel="0" collapsed="false">
      <c r="A1794" s="15" t="n">
        <v>2569</v>
      </c>
      <c r="B1794" s="16" t="n">
        <v>3.76551824326631</v>
      </c>
      <c r="C1794" s="15" t="n">
        <v>300</v>
      </c>
      <c r="D1794" s="15" t="n">
        <v>325</v>
      </c>
      <c r="E1794" s="15" t="n">
        <v>30</v>
      </c>
      <c r="F1794" s="16" t="n">
        <v>0.67080270183412</v>
      </c>
      <c r="G1794" s="17" t="s">
        <v>91</v>
      </c>
      <c r="H1794" s="18" t="n">
        <v>0.2</v>
      </c>
      <c r="I1794" s="18" t="n">
        <v>2</v>
      </c>
      <c r="J1794" s="19" t="n">
        <v>0.884648587201648</v>
      </c>
      <c r="K1794" s="19" t="n">
        <v>0.633055937817395</v>
      </c>
      <c r="L1794" s="16" t="n">
        <v>13.400420794542</v>
      </c>
      <c r="M1794" s="19" t="n">
        <v>0.393858970870147</v>
      </c>
      <c r="N1794" s="19" t="n">
        <v>1.30752093409622</v>
      </c>
      <c r="O1794" s="19" t="n">
        <v>1.20926513339352</v>
      </c>
      <c r="P1794" s="19" t="n">
        <v>0.903894041892227</v>
      </c>
      <c r="Q1794" s="17" t="s">
        <v>31</v>
      </c>
      <c r="R1794" s="5" t="str">
        <f aca="false">IF(OR(Q1794="Steel plate",Q1794="Concrete jacket"),"Steel plate or jacket",Q1794)</f>
        <v>Polymer laminate</v>
      </c>
      <c r="S1794" s="5" t="str">
        <f aca="false">IF(O1794&lt;='Tree rules'!$C$4,IF(N1794&lt;='Tree rules'!$C$5,IF(P1794&lt;='Tree rules'!$C$6,"Monitor","Polymer laminate"),IF(P1794&lt;='Tree rules'!$C$7,"Seal cracks","Polymer laminate")),IF(O1794&lt;='Tree rules'!$C$8,IF(M1794&lt;='Tree rules'!$C$9,"Steel plate or jacket","Polymer laminate"),IF(L1794&lt;='Tree rules'!$C$10,"Steel plate or jacket","Polymer laminate")))</f>
        <v>Polymer laminate</v>
      </c>
      <c r="T1794" s="5" t="str">
        <f aca="false">IF(S1794=R1794,"Yes","No")</f>
        <v>Yes</v>
      </c>
    </row>
    <row r="1795" customFormat="false" ht="15" hidden="false" customHeight="false" outlineLevel="0" collapsed="false">
      <c r="A1795" s="15" t="n">
        <v>2570</v>
      </c>
      <c r="B1795" s="16" t="n">
        <v>3.95653367152684</v>
      </c>
      <c r="C1795" s="15" t="n">
        <v>230</v>
      </c>
      <c r="D1795" s="15" t="n">
        <v>400</v>
      </c>
      <c r="E1795" s="15" t="n">
        <v>30</v>
      </c>
      <c r="F1795" s="16" t="n">
        <v>0.773612658059818</v>
      </c>
      <c r="G1795" s="17" t="s">
        <v>90</v>
      </c>
      <c r="H1795" s="18" t="n">
        <v>0.1</v>
      </c>
      <c r="I1795" s="18" t="n">
        <v>1</v>
      </c>
      <c r="J1795" s="19" t="n">
        <v>0.90787631651302</v>
      </c>
      <c r="K1795" s="19" t="n">
        <v>0.645678163341979</v>
      </c>
      <c r="L1795" s="16" t="n">
        <v>11.6711907714656</v>
      </c>
      <c r="M1795" s="19" t="n">
        <v>0.89808516244363</v>
      </c>
      <c r="N1795" s="19" t="n">
        <v>2.35046153049856</v>
      </c>
      <c r="O1795" s="19" t="n">
        <v>0.90787631651302</v>
      </c>
      <c r="P1795" s="19" t="n">
        <v>0.349760969339394</v>
      </c>
      <c r="Q1795" s="17" t="s">
        <v>30</v>
      </c>
      <c r="R1795" s="5" t="str">
        <f aca="false">IF(OR(Q1795="Steel plate",Q1795="Concrete jacket"),"Steel plate or jacket",Q1795)</f>
        <v>Seal cracks</v>
      </c>
      <c r="S1795" s="5" t="str">
        <f aca="false">IF(O1795&lt;='Tree rules'!$C$4,IF(N1795&lt;='Tree rules'!$C$5,IF(P1795&lt;='Tree rules'!$C$6,"Monitor","Polymer laminate"),IF(P1795&lt;='Tree rules'!$C$7,"Seal cracks","Polymer laminate")),IF(O1795&lt;='Tree rules'!$C$8,IF(M1795&lt;='Tree rules'!$C$9,"Steel plate or jacket","Polymer laminate"),IF(L1795&lt;='Tree rules'!$C$10,"Steel plate or jacket","Polymer laminate")))</f>
        <v>Seal cracks</v>
      </c>
      <c r="T1795" s="5" t="str">
        <f aca="false">IF(S1795=R1795,"Yes","No")</f>
        <v>Yes</v>
      </c>
    </row>
    <row r="1796" customFormat="false" ht="15" hidden="false" customHeight="false" outlineLevel="0" collapsed="false">
      <c r="A1796" s="15" t="n">
        <v>2571</v>
      </c>
      <c r="B1796" s="16" t="n">
        <v>7.66591396637403</v>
      </c>
      <c r="C1796" s="15" t="n">
        <v>230</v>
      </c>
      <c r="D1796" s="15" t="n">
        <v>750</v>
      </c>
      <c r="E1796" s="15" t="n">
        <v>20</v>
      </c>
      <c r="F1796" s="16" t="n">
        <v>0.583722157857635</v>
      </c>
      <c r="G1796" s="17" t="s">
        <v>89</v>
      </c>
      <c r="H1796" s="18" t="n">
        <v>0.3</v>
      </c>
      <c r="I1796" s="18" t="n">
        <v>1</v>
      </c>
      <c r="J1796" s="19" t="n">
        <v>0.949142348272125</v>
      </c>
      <c r="K1796" s="19" t="n">
        <v>0.450053863283179</v>
      </c>
      <c r="L1796" s="16" t="n">
        <v>10.9201053652052</v>
      </c>
      <c r="M1796" s="19" t="n">
        <v>0.940147865979043</v>
      </c>
      <c r="N1796" s="19" t="n">
        <v>0.574505520060171</v>
      </c>
      <c r="O1796" s="19" t="n">
        <v>0.949142348272125</v>
      </c>
      <c r="P1796" s="19" t="n">
        <v>0.337456755654742</v>
      </c>
      <c r="Q1796" s="17" t="s">
        <v>29</v>
      </c>
      <c r="R1796" s="5" t="str">
        <f aca="false">IF(OR(Q1796="Steel plate",Q1796="Concrete jacket"),"Steel plate or jacket",Q1796)</f>
        <v>Monitor</v>
      </c>
      <c r="S1796" s="5" t="str">
        <f aca="false">IF(O1796&lt;='Tree rules'!$C$4,IF(N1796&lt;='Tree rules'!$C$5,IF(P1796&lt;='Tree rules'!$C$6,"Monitor","Polymer laminate"),IF(P1796&lt;='Tree rules'!$C$7,"Seal cracks","Polymer laminate")),IF(O1796&lt;='Tree rules'!$C$8,IF(M1796&lt;='Tree rules'!$C$9,"Steel plate or jacket","Polymer laminate"),IF(L1796&lt;='Tree rules'!$C$10,"Steel plate or jacket","Polymer laminate")))</f>
        <v>Monitor</v>
      </c>
      <c r="T1796" s="5" t="str">
        <f aca="false">IF(S1796=R1796,"Yes","No")</f>
        <v>Yes</v>
      </c>
    </row>
    <row r="1797" customFormat="false" ht="15" hidden="false" customHeight="false" outlineLevel="0" collapsed="false">
      <c r="A1797" s="15" t="n">
        <v>2572</v>
      </c>
      <c r="B1797" s="16" t="n">
        <v>3.48915824300406</v>
      </c>
      <c r="C1797" s="15" t="n">
        <v>300</v>
      </c>
      <c r="D1797" s="15" t="n">
        <v>300</v>
      </c>
      <c r="E1797" s="15" t="n">
        <v>30</v>
      </c>
      <c r="F1797" s="16" t="n">
        <v>0.841263304726974</v>
      </c>
      <c r="G1797" s="17" t="s">
        <v>90</v>
      </c>
      <c r="H1797" s="18" t="n">
        <v>0.1</v>
      </c>
      <c r="I1797" s="18" t="n">
        <v>1.5</v>
      </c>
      <c r="J1797" s="19" t="n">
        <v>0.859692742317516</v>
      </c>
      <c r="K1797" s="19" t="n">
        <v>0.572163935067524</v>
      </c>
      <c r="L1797" s="16" t="n">
        <v>14.5989884644521</v>
      </c>
      <c r="M1797" s="19" t="n">
        <v>0.217533004158043</v>
      </c>
      <c r="N1797" s="19" t="n">
        <v>3.5450243719293</v>
      </c>
      <c r="O1797" s="19" t="n">
        <v>1.04359652227958</v>
      </c>
      <c r="P1797" s="19" t="n">
        <v>1.46438210483396</v>
      </c>
      <c r="Q1797" s="17" t="s">
        <v>31</v>
      </c>
      <c r="R1797" s="5" t="str">
        <f aca="false">IF(OR(Q1797="Steel plate",Q1797="Concrete jacket"),"Steel plate or jacket",Q1797)</f>
        <v>Polymer laminate</v>
      </c>
      <c r="S1797" s="5" t="str">
        <f aca="false">IF(O1797&lt;='Tree rules'!$C$4,IF(N1797&lt;='Tree rules'!$C$5,IF(P1797&lt;='Tree rules'!$C$6,"Monitor","Polymer laminate"),IF(P1797&lt;='Tree rules'!$C$7,"Seal cracks","Polymer laminate")),IF(O1797&lt;='Tree rules'!$C$8,IF(M1797&lt;='Tree rules'!$C$9,"Steel plate or jacket","Polymer laminate"),IF(L1797&lt;='Tree rules'!$C$10,"Steel plate or jacket","Polymer laminate")))</f>
        <v>Steel plate or jacket</v>
      </c>
      <c r="T1797" s="5" t="str">
        <f aca="false">IF(S1797=R1797,"Yes","No")</f>
        <v>No</v>
      </c>
    </row>
    <row r="1798" customFormat="false" ht="15" hidden="false" customHeight="false" outlineLevel="0" collapsed="false">
      <c r="A1798" s="15" t="n">
        <v>2573</v>
      </c>
      <c r="B1798" s="16" t="n">
        <v>3.65860842663797</v>
      </c>
      <c r="C1798" s="15" t="n">
        <v>300</v>
      </c>
      <c r="D1798" s="15" t="n">
        <v>350</v>
      </c>
      <c r="E1798" s="15" t="n">
        <v>30</v>
      </c>
      <c r="F1798" s="16" t="n">
        <v>0.661387927071535</v>
      </c>
      <c r="G1798" s="17" t="s">
        <v>89</v>
      </c>
      <c r="H1798" s="18" t="n">
        <v>0.3</v>
      </c>
      <c r="I1798" s="18" t="n">
        <v>1.5</v>
      </c>
      <c r="J1798" s="19" t="n">
        <v>0.98579159863801</v>
      </c>
      <c r="K1798" s="19" t="n">
        <v>0.419458055199481</v>
      </c>
      <c r="L1798" s="16" t="n">
        <v>12.0348961402565</v>
      </c>
      <c r="M1798" s="19" t="n">
        <v>0.430971254122234</v>
      </c>
      <c r="N1798" s="19" t="n">
        <v>1.11033954167487</v>
      </c>
      <c r="O1798" s="19" t="n">
        <v>1.27193828455867</v>
      </c>
      <c r="P1798" s="19" t="n">
        <v>0.690733179841386</v>
      </c>
      <c r="Q1798" s="17" t="s">
        <v>31</v>
      </c>
      <c r="R1798" s="5" t="str">
        <f aca="false">IF(OR(Q1798="Steel plate",Q1798="Concrete jacket"),"Steel plate or jacket",Q1798)</f>
        <v>Polymer laminate</v>
      </c>
      <c r="S1798" s="5" t="str">
        <f aca="false">IF(O1798&lt;='Tree rules'!$C$4,IF(N1798&lt;='Tree rules'!$C$5,IF(P1798&lt;='Tree rules'!$C$6,"Monitor","Polymer laminate"),IF(P1798&lt;='Tree rules'!$C$7,"Seal cracks","Polymer laminate")),IF(O1798&lt;='Tree rules'!$C$8,IF(M1798&lt;='Tree rules'!$C$9,"Steel plate or jacket","Polymer laminate"),IF(L1798&lt;='Tree rules'!$C$10,"Steel plate or jacket","Polymer laminate")))</f>
        <v>Polymer laminate</v>
      </c>
      <c r="T1798" s="5" t="str">
        <f aca="false">IF(S1798=R1798,"Yes","No")</f>
        <v>Yes</v>
      </c>
    </row>
    <row r="1799" customFormat="false" ht="15" hidden="false" customHeight="false" outlineLevel="0" collapsed="false">
      <c r="A1799" s="15" t="n">
        <v>2574</v>
      </c>
      <c r="B1799" s="16" t="n">
        <v>3.1293340692572</v>
      </c>
      <c r="C1799" s="15" t="n">
        <v>300</v>
      </c>
      <c r="D1799" s="15" t="n">
        <v>300</v>
      </c>
      <c r="E1799" s="15" t="n">
        <v>20</v>
      </c>
      <c r="F1799" s="16" t="n">
        <v>0.736310778185108</v>
      </c>
      <c r="G1799" s="17" t="s">
        <v>89</v>
      </c>
      <c r="H1799" s="18" t="n">
        <v>0.3</v>
      </c>
      <c r="I1799" s="18" t="n">
        <v>1.5</v>
      </c>
      <c r="J1799" s="19" t="n">
        <v>0.947781598536461</v>
      </c>
      <c r="K1799" s="19" t="n">
        <v>0.447156399524224</v>
      </c>
      <c r="L1799" s="16" t="n">
        <v>12.2239612080359</v>
      </c>
      <c r="M1799" s="19" t="n">
        <v>0.648537583596658</v>
      </c>
      <c r="N1799" s="19" t="n">
        <v>0.824939545278134</v>
      </c>
      <c r="O1799" s="19" t="n">
        <v>1.20976909423625</v>
      </c>
      <c r="P1799" s="19" t="n">
        <v>0.557267156521409</v>
      </c>
      <c r="Q1799" s="17" t="s">
        <v>31</v>
      </c>
      <c r="R1799" s="5" t="str">
        <f aca="false">IF(OR(Q1799="Steel plate",Q1799="Concrete jacket"),"Steel plate or jacket",Q1799)</f>
        <v>Polymer laminate</v>
      </c>
      <c r="S1799" s="5" t="str">
        <f aca="false">IF(O1799&lt;='Tree rules'!$C$4,IF(N1799&lt;='Tree rules'!$C$5,IF(P1799&lt;='Tree rules'!$C$6,"Monitor","Polymer laminate"),IF(P1799&lt;='Tree rules'!$C$7,"Seal cracks","Polymer laminate")),IF(O1799&lt;='Tree rules'!$C$8,IF(M1799&lt;='Tree rules'!$C$9,"Steel plate or jacket","Polymer laminate"),IF(L1799&lt;='Tree rules'!$C$10,"Steel plate or jacket","Polymer laminate")))</f>
        <v>Polymer laminate</v>
      </c>
      <c r="T1799" s="5" t="str">
        <f aca="false">IF(S1799=R1799,"Yes","No")</f>
        <v>Yes</v>
      </c>
    </row>
    <row r="1800" customFormat="false" ht="15" hidden="false" customHeight="false" outlineLevel="0" collapsed="false">
      <c r="A1800" s="15" t="n">
        <v>2576</v>
      </c>
      <c r="B1800" s="16" t="n">
        <v>5.32526207924212</v>
      </c>
      <c r="C1800" s="15" t="n">
        <v>300</v>
      </c>
      <c r="D1800" s="15" t="n">
        <v>500</v>
      </c>
      <c r="E1800" s="15" t="n">
        <v>25</v>
      </c>
      <c r="F1800" s="16" t="n">
        <v>0.610666453545169</v>
      </c>
      <c r="G1800" s="17" t="s">
        <v>90</v>
      </c>
      <c r="H1800" s="18" t="n">
        <v>0.1</v>
      </c>
      <c r="I1800" s="18" t="n">
        <v>2</v>
      </c>
      <c r="J1800" s="19" t="n">
        <v>0.990828298804685</v>
      </c>
      <c r="K1800" s="19" t="n">
        <v>0.448082659466951</v>
      </c>
      <c r="L1800" s="16" t="n">
        <v>12.1304375381369</v>
      </c>
      <c r="M1800" s="19" t="n">
        <v>0.308893358419139</v>
      </c>
      <c r="N1800" s="19" t="n">
        <v>4.45122338650529</v>
      </c>
      <c r="O1800" s="19" t="n">
        <v>1.53768361840585</v>
      </c>
      <c r="P1800" s="19" t="n">
        <v>1.14144084357979</v>
      </c>
      <c r="Q1800" s="17" t="s">
        <v>31</v>
      </c>
      <c r="R1800" s="5" t="str">
        <f aca="false">IF(OR(Q1800="Steel plate",Q1800="Concrete jacket"),"Steel plate or jacket",Q1800)</f>
        <v>Polymer laminate</v>
      </c>
      <c r="S1800" s="5" t="str">
        <f aca="false">IF(O1800&lt;='Tree rules'!$C$4,IF(N1800&lt;='Tree rules'!$C$5,IF(P1800&lt;='Tree rules'!$C$6,"Monitor","Polymer laminate"),IF(P1800&lt;='Tree rules'!$C$7,"Seal cracks","Polymer laminate")),IF(O1800&lt;='Tree rules'!$C$8,IF(M1800&lt;='Tree rules'!$C$9,"Steel plate or jacket","Polymer laminate"),IF(L1800&lt;='Tree rules'!$C$10,"Steel plate or jacket","Polymer laminate")))</f>
        <v>Steel plate or jacket</v>
      </c>
      <c r="T1800" s="5" t="str">
        <f aca="false">IF(S1800=R1800,"Yes","No")</f>
        <v>No</v>
      </c>
    </row>
    <row r="1801" customFormat="false" ht="15" hidden="false" customHeight="false" outlineLevel="0" collapsed="false">
      <c r="A1801" s="15" t="n">
        <v>2577</v>
      </c>
      <c r="B1801" s="16" t="n">
        <v>6.85551187329027</v>
      </c>
      <c r="C1801" s="15" t="n">
        <v>300</v>
      </c>
      <c r="D1801" s="15" t="n">
        <v>575</v>
      </c>
      <c r="E1801" s="15" t="n">
        <v>25</v>
      </c>
      <c r="F1801" s="16" t="n">
        <v>0.596127638252333</v>
      </c>
      <c r="G1801" s="17" t="s">
        <v>91</v>
      </c>
      <c r="H1801" s="18" t="n">
        <v>0.2</v>
      </c>
      <c r="I1801" s="18" t="n">
        <v>2</v>
      </c>
      <c r="J1801" s="19" t="n">
        <v>0.93454054690231</v>
      </c>
      <c r="K1801" s="19" t="n">
        <v>0.603905246614827</v>
      </c>
      <c r="L1801" s="16" t="n">
        <v>13.0085614293933</v>
      </c>
      <c r="M1801" s="19" t="n">
        <v>0.756355931846232</v>
      </c>
      <c r="N1801" s="19" t="n">
        <v>1.57043714262624</v>
      </c>
      <c r="O1801" s="19" t="n">
        <v>1.30470715435603</v>
      </c>
      <c r="P1801" s="19" t="n">
        <v>0.574661570071919</v>
      </c>
      <c r="Q1801" s="17" t="s">
        <v>31</v>
      </c>
      <c r="R1801" s="5" t="str">
        <f aca="false">IF(OR(Q1801="Steel plate",Q1801="Concrete jacket"),"Steel plate or jacket",Q1801)</f>
        <v>Polymer laminate</v>
      </c>
      <c r="S1801" s="5" t="str">
        <f aca="false">IF(O1801&lt;='Tree rules'!$C$4,IF(N1801&lt;='Tree rules'!$C$5,IF(P1801&lt;='Tree rules'!$C$6,"Monitor","Polymer laminate"),IF(P1801&lt;='Tree rules'!$C$7,"Seal cracks","Polymer laminate")),IF(O1801&lt;='Tree rules'!$C$8,IF(M1801&lt;='Tree rules'!$C$9,"Steel plate or jacket","Polymer laminate"),IF(L1801&lt;='Tree rules'!$C$10,"Steel plate or jacket","Polymer laminate")))</f>
        <v>Polymer laminate</v>
      </c>
      <c r="T1801" s="5" t="str">
        <f aca="false">IF(S1801=R1801,"Yes","No")</f>
        <v>Yes</v>
      </c>
    </row>
    <row r="1802" customFormat="false" ht="15" hidden="false" customHeight="false" outlineLevel="0" collapsed="false">
      <c r="A1802" s="15" t="n">
        <v>2578</v>
      </c>
      <c r="B1802" s="16" t="n">
        <v>5.8150804802338</v>
      </c>
      <c r="C1802" s="15" t="n">
        <v>230</v>
      </c>
      <c r="D1802" s="15" t="n">
        <v>525</v>
      </c>
      <c r="E1802" s="15" t="n">
        <v>30</v>
      </c>
      <c r="F1802" s="16" t="n">
        <v>0.730006099046008</v>
      </c>
      <c r="G1802" s="17" t="s">
        <v>89</v>
      </c>
      <c r="H1802" s="18" t="n">
        <v>0.3</v>
      </c>
      <c r="I1802" s="18" t="n">
        <v>1</v>
      </c>
      <c r="J1802" s="19" t="n">
        <v>0.891189906160668</v>
      </c>
      <c r="K1802" s="19" t="n">
        <v>0.553934599197426</v>
      </c>
      <c r="L1802" s="16" t="n">
        <v>12.1400427562292</v>
      </c>
      <c r="M1802" s="19" t="n">
        <v>0.290035732591851</v>
      </c>
      <c r="N1802" s="19" t="n">
        <v>0.613373255637793</v>
      </c>
      <c r="O1802" s="19" t="n">
        <v>0.891189906160668</v>
      </c>
      <c r="P1802" s="19" t="n">
        <v>1.11106187419144</v>
      </c>
      <c r="Q1802" s="17" t="s">
        <v>31</v>
      </c>
      <c r="R1802" s="5" t="str">
        <f aca="false">IF(OR(Q1802="Steel plate",Q1802="Concrete jacket"),"Steel plate or jacket",Q1802)</f>
        <v>Polymer laminate</v>
      </c>
      <c r="S1802" s="5" t="str">
        <f aca="false">IF(O1802&lt;='Tree rules'!$C$4,IF(N1802&lt;='Tree rules'!$C$5,IF(P1802&lt;='Tree rules'!$C$6,"Monitor","Polymer laminate"),IF(P1802&lt;='Tree rules'!$C$7,"Seal cracks","Polymer laminate")),IF(O1802&lt;='Tree rules'!$C$8,IF(M1802&lt;='Tree rules'!$C$9,"Steel plate or jacket","Polymer laminate"),IF(L1802&lt;='Tree rules'!$C$10,"Steel plate or jacket","Polymer laminate")))</f>
        <v>Polymer laminate</v>
      </c>
      <c r="T1802" s="5" t="str">
        <f aca="false">IF(S1802=R1802,"Yes","No")</f>
        <v>Yes</v>
      </c>
    </row>
    <row r="1803" customFormat="false" ht="15" hidden="false" customHeight="false" outlineLevel="0" collapsed="false">
      <c r="A1803" s="15" t="n">
        <v>2579</v>
      </c>
      <c r="B1803" s="16" t="n">
        <v>3.96846144749333</v>
      </c>
      <c r="C1803" s="15" t="n">
        <v>300</v>
      </c>
      <c r="D1803" s="15" t="n">
        <v>350</v>
      </c>
      <c r="E1803" s="15" t="n">
        <v>20</v>
      </c>
      <c r="F1803" s="16" t="n">
        <v>0.61599855952741</v>
      </c>
      <c r="G1803" s="17" t="s">
        <v>89</v>
      </c>
      <c r="H1803" s="18" t="n">
        <v>0.3</v>
      </c>
      <c r="I1803" s="18" t="n">
        <v>1</v>
      </c>
      <c r="J1803" s="19" t="n">
        <v>0.896575261033049</v>
      </c>
      <c r="K1803" s="19" t="n">
        <v>0.507817493846536</v>
      </c>
      <c r="L1803" s="16" t="n">
        <v>12.9688282597821</v>
      </c>
      <c r="M1803" s="19" t="n">
        <v>0.454210734876186</v>
      </c>
      <c r="N1803" s="19" t="n">
        <v>0.614084039651564</v>
      </c>
      <c r="O1803" s="19" t="n">
        <v>0.896575261033049</v>
      </c>
      <c r="P1803" s="19" t="n">
        <v>0.665089128273004</v>
      </c>
      <c r="Q1803" s="17" t="s">
        <v>29</v>
      </c>
      <c r="R1803" s="5" t="str">
        <f aca="false">IF(OR(Q1803="Steel plate",Q1803="Concrete jacket"),"Steel plate or jacket",Q1803)</f>
        <v>Monitor</v>
      </c>
      <c r="S1803" s="5" t="str">
        <f aca="false">IF(O1803&lt;='Tree rules'!$C$4,IF(N1803&lt;='Tree rules'!$C$5,IF(P1803&lt;='Tree rules'!$C$6,"Monitor","Polymer laminate"),IF(P1803&lt;='Tree rules'!$C$7,"Seal cracks","Polymer laminate")),IF(O1803&lt;='Tree rules'!$C$8,IF(M1803&lt;='Tree rules'!$C$9,"Steel plate or jacket","Polymer laminate"),IF(L1803&lt;='Tree rules'!$C$10,"Steel plate or jacket","Polymer laminate")))</f>
        <v>Monitor</v>
      </c>
      <c r="T1803" s="5" t="str">
        <f aca="false">IF(S1803=R1803,"Yes","No")</f>
        <v>Yes</v>
      </c>
    </row>
    <row r="1804" customFormat="false" ht="15" hidden="false" customHeight="false" outlineLevel="0" collapsed="false">
      <c r="A1804" s="15" t="n">
        <v>2580</v>
      </c>
      <c r="B1804" s="16" t="n">
        <v>4.16987588669759</v>
      </c>
      <c r="C1804" s="15" t="n">
        <v>300</v>
      </c>
      <c r="D1804" s="15" t="n">
        <v>400</v>
      </c>
      <c r="E1804" s="15" t="n">
        <v>30</v>
      </c>
      <c r="F1804" s="16" t="n">
        <v>0.892497912951646</v>
      </c>
      <c r="G1804" s="17" t="s">
        <v>91</v>
      </c>
      <c r="H1804" s="18" t="n">
        <v>0.2</v>
      </c>
      <c r="I1804" s="18" t="n">
        <v>2</v>
      </c>
      <c r="J1804" s="19" t="n">
        <v>0.856759522633016</v>
      </c>
      <c r="K1804" s="19" t="n">
        <v>0.636864536274716</v>
      </c>
      <c r="L1804" s="16" t="n">
        <v>11.8462383144818</v>
      </c>
      <c r="M1804" s="19" t="n">
        <v>0.598228305776407</v>
      </c>
      <c r="N1804" s="19" t="n">
        <v>1.47475426270413</v>
      </c>
      <c r="O1804" s="19" t="n">
        <v>1.16787928918541</v>
      </c>
      <c r="P1804" s="19" t="n">
        <v>0.703572633217163</v>
      </c>
      <c r="Q1804" s="17" t="s">
        <v>31</v>
      </c>
      <c r="R1804" s="5" t="str">
        <f aca="false">IF(OR(Q1804="Steel plate",Q1804="Concrete jacket"),"Steel plate or jacket",Q1804)</f>
        <v>Polymer laminate</v>
      </c>
      <c r="S1804" s="5" t="str">
        <f aca="false">IF(O1804&lt;='Tree rules'!$C$4,IF(N1804&lt;='Tree rules'!$C$5,IF(P1804&lt;='Tree rules'!$C$6,"Monitor","Polymer laminate"),IF(P1804&lt;='Tree rules'!$C$7,"Seal cracks","Polymer laminate")),IF(O1804&lt;='Tree rules'!$C$8,IF(M1804&lt;='Tree rules'!$C$9,"Steel plate or jacket","Polymer laminate"),IF(L1804&lt;='Tree rules'!$C$10,"Steel plate or jacket","Polymer laminate")))</f>
        <v>Polymer laminate</v>
      </c>
      <c r="T1804" s="5" t="str">
        <f aca="false">IF(S1804=R1804,"Yes","No")</f>
        <v>Yes</v>
      </c>
    </row>
    <row r="1805" customFormat="false" ht="15" hidden="false" customHeight="false" outlineLevel="0" collapsed="false">
      <c r="A1805" s="15" t="n">
        <v>2581</v>
      </c>
      <c r="B1805" s="16" t="n">
        <v>4.91056136654082</v>
      </c>
      <c r="C1805" s="15" t="n">
        <v>230</v>
      </c>
      <c r="D1805" s="15" t="n">
        <v>475</v>
      </c>
      <c r="E1805" s="15" t="n">
        <v>20</v>
      </c>
      <c r="F1805" s="16" t="n">
        <v>0.639770421258486</v>
      </c>
      <c r="G1805" s="17" t="s">
        <v>89</v>
      </c>
      <c r="H1805" s="18" t="n">
        <v>0.3</v>
      </c>
      <c r="I1805" s="18" t="n">
        <v>1</v>
      </c>
      <c r="J1805" s="19" t="n">
        <v>0.880711660692047</v>
      </c>
      <c r="K1805" s="19" t="n">
        <v>0.596120336394061</v>
      </c>
      <c r="L1805" s="16" t="n">
        <v>11.5001437155523</v>
      </c>
      <c r="M1805" s="19" t="n">
        <v>0.650782409375727</v>
      </c>
      <c r="N1805" s="19" t="n">
        <v>0.792509817708664</v>
      </c>
      <c r="O1805" s="19" t="n">
        <v>0.880711660692047</v>
      </c>
      <c r="P1805" s="19" t="n">
        <v>0.499093388049615</v>
      </c>
      <c r="Q1805" s="17" t="s">
        <v>29</v>
      </c>
      <c r="R1805" s="5" t="str">
        <f aca="false">IF(OR(Q1805="Steel plate",Q1805="Concrete jacket"),"Steel plate or jacket",Q1805)</f>
        <v>Monitor</v>
      </c>
      <c r="S1805" s="5" t="str">
        <f aca="false">IF(O1805&lt;='Tree rules'!$C$4,IF(N1805&lt;='Tree rules'!$C$5,IF(P1805&lt;='Tree rules'!$C$6,"Monitor","Polymer laminate"),IF(P1805&lt;='Tree rules'!$C$7,"Seal cracks","Polymer laminate")),IF(O1805&lt;='Tree rules'!$C$8,IF(M1805&lt;='Tree rules'!$C$9,"Steel plate or jacket","Polymer laminate"),IF(L1805&lt;='Tree rules'!$C$10,"Steel plate or jacket","Polymer laminate")))</f>
        <v>Monitor</v>
      </c>
      <c r="T1805" s="5" t="str">
        <f aca="false">IF(S1805=R1805,"Yes","No")</f>
        <v>Yes</v>
      </c>
    </row>
    <row r="1806" customFormat="false" ht="15" hidden="false" customHeight="false" outlineLevel="0" collapsed="false">
      <c r="A1806" s="15" t="n">
        <v>2582</v>
      </c>
      <c r="B1806" s="16" t="n">
        <v>5.90163545536501</v>
      </c>
      <c r="C1806" s="15" t="n">
        <v>230</v>
      </c>
      <c r="D1806" s="15" t="n">
        <v>475</v>
      </c>
      <c r="E1806" s="15" t="n">
        <v>25</v>
      </c>
      <c r="F1806" s="16" t="n">
        <v>0.611316296229087</v>
      </c>
      <c r="G1806" s="17" t="s">
        <v>89</v>
      </c>
      <c r="H1806" s="18" t="n">
        <v>0.3</v>
      </c>
      <c r="I1806" s="18" t="n">
        <v>1</v>
      </c>
      <c r="J1806" s="19" t="n">
        <v>0.928607899943364</v>
      </c>
      <c r="K1806" s="19" t="n">
        <v>0.634678505680246</v>
      </c>
      <c r="L1806" s="16" t="n">
        <v>13.7567260031818</v>
      </c>
      <c r="M1806" s="19" t="n">
        <v>0.414525144582718</v>
      </c>
      <c r="N1806" s="19" t="n">
        <v>0.684731534333755</v>
      </c>
      <c r="O1806" s="19" t="n">
        <v>0.928607899943364</v>
      </c>
      <c r="P1806" s="19" t="n">
        <v>0.886819809408329</v>
      </c>
      <c r="Q1806" s="17" t="s">
        <v>29</v>
      </c>
      <c r="R1806" s="5" t="str">
        <f aca="false">IF(OR(Q1806="Steel plate",Q1806="Concrete jacket"),"Steel plate or jacket",Q1806)</f>
        <v>Monitor</v>
      </c>
      <c r="S1806" s="5" t="str">
        <f aca="false">IF(O1806&lt;='Tree rules'!$C$4,IF(N1806&lt;='Tree rules'!$C$5,IF(P1806&lt;='Tree rules'!$C$6,"Monitor","Polymer laminate"),IF(P1806&lt;='Tree rules'!$C$7,"Seal cracks","Polymer laminate")),IF(O1806&lt;='Tree rules'!$C$8,IF(M1806&lt;='Tree rules'!$C$9,"Steel plate or jacket","Polymer laminate"),IF(L1806&lt;='Tree rules'!$C$10,"Steel plate or jacket","Polymer laminate")))</f>
        <v>Monitor</v>
      </c>
      <c r="T1806" s="5" t="str">
        <f aca="false">IF(S1806=R1806,"Yes","No")</f>
        <v>Yes</v>
      </c>
    </row>
    <row r="1807" customFormat="false" ht="15" hidden="false" customHeight="false" outlineLevel="0" collapsed="false">
      <c r="A1807" s="15" t="n">
        <v>2583</v>
      </c>
      <c r="B1807" s="16" t="n">
        <v>4.21923752703603</v>
      </c>
      <c r="C1807" s="15" t="n">
        <v>300</v>
      </c>
      <c r="D1807" s="15" t="n">
        <v>425</v>
      </c>
      <c r="E1807" s="15" t="n">
        <v>25</v>
      </c>
      <c r="F1807" s="16" t="n">
        <v>0.833313701217452</v>
      </c>
      <c r="G1807" s="17" t="s">
        <v>89</v>
      </c>
      <c r="H1807" s="18" t="n">
        <v>0.3</v>
      </c>
      <c r="I1807" s="18" t="n">
        <v>1</v>
      </c>
      <c r="J1807" s="19" t="n">
        <v>0.880856669544089</v>
      </c>
      <c r="K1807" s="19" t="n">
        <v>0.55737082657144</v>
      </c>
      <c r="L1807" s="16" t="n">
        <v>11.1916114775492</v>
      </c>
      <c r="M1807" s="19" t="n">
        <v>0.544071244210628</v>
      </c>
      <c r="N1807" s="19" t="n">
        <v>0.726647931461675</v>
      </c>
      <c r="O1807" s="19" t="n">
        <v>0.880856669544089</v>
      </c>
      <c r="P1807" s="19" t="n">
        <v>0.616037636418735</v>
      </c>
      <c r="Q1807" s="17" t="s">
        <v>29</v>
      </c>
      <c r="R1807" s="5" t="str">
        <f aca="false">IF(OR(Q1807="Steel plate",Q1807="Concrete jacket"),"Steel plate or jacket",Q1807)</f>
        <v>Monitor</v>
      </c>
      <c r="S1807" s="5" t="str">
        <f aca="false">IF(O1807&lt;='Tree rules'!$C$4,IF(N1807&lt;='Tree rules'!$C$5,IF(P1807&lt;='Tree rules'!$C$6,"Monitor","Polymer laminate"),IF(P1807&lt;='Tree rules'!$C$7,"Seal cracks","Polymer laminate")),IF(O1807&lt;='Tree rules'!$C$8,IF(M1807&lt;='Tree rules'!$C$9,"Steel plate or jacket","Polymer laminate"),IF(L1807&lt;='Tree rules'!$C$10,"Steel plate or jacket","Polymer laminate")))</f>
        <v>Monitor</v>
      </c>
      <c r="T1807" s="5" t="str">
        <f aca="false">IF(S1807=R1807,"Yes","No")</f>
        <v>Yes</v>
      </c>
    </row>
    <row r="1808" customFormat="false" ht="15" hidden="false" customHeight="false" outlineLevel="0" collapsed="false">
      <c r="A1808" s="15" t="n">
        <v>2584</v>
      </c>
      <c r="B1808" s="16" t="n">
        <v>5.31364107674611</v>
      </c>
      <c r="C1808" s="15" t="n">
        <v>300</v>
      </c>
      <c r="D1808" s="15" t="n">
        <v>425</v>
      </c>
      <c r="E1808" s="15" t="n">
        <v>30</v>
      </c>
      <c r="F1808" s="16" t="n">
        <v>0.707341881547042</v>
      </c>
      <c r="G1808" s="17" t="s">
        <v>89</v>
      </c>
      <c r="H1808" s="18" t="n">
        <v>0.3</v>
      </c>
      <c r="I1808" s="18" t="n">
        <v>1</v>
      </c>
      <c r="J1808" s="19" t="n">
        <v>0.871818439503691</v>
      </c>
      <c r="K1808" s="19" t="n">
        <v>0.543583741778435</v>
      </c>
      <c r="L1808" s="16" t="n">
        <v>14.0201611523644</v>
      </c>
      <c r="M1808" s="19" t="n">
        <v>0.507098805217936</v>
      </c>
      <c r="N1808" s="19" t="n">
        <v>0.636543050715796</v>
      </c>
      <c r="O1808" s="19" t="n">
        <v>0.871818439503691</v>
      </c>
      <c r="P1808" s="19" t="n">
        <v>0.676128622942205</v>
      </c>
      <c r="Q1808" s="17" t="s">
        <v>29</v>
      </c>
      <c r="R1808" s="5" t="str">
        <f aca="false">IF(OR(Q1808="Steel plate",Q1808="Concrete jacket"),"Steel plate or jacket",Q1808)</f>
        <v>Monitor</v>
      </c>
      <c r="S1808" s="5" t="str">
        <f aca="false">IF(O1808&lt;='Tree rules'!$C$4,IF(N1808&lt;='Tree rules'!$C$5,IF(P1808&lt;='Tree rules'!$C$6,"Monitor","Polymer laminate"),IF(P1808&lt;='Tree rules'!$C$7,"Seal cracks","Polymer laminate")),IF(O1808&lt;='Tree rules'!$C$8,IF(M1808&lt;='Tree rules'!$C$9,"Steel plate or jacket","Polymer laminate"),IF(L1808&lt;='Tree rules'!$C$10,"Steel plate or jacket","Polymer laminate")))</f>
        <v>Monitor</v>
      </c>
      <c r="T1808" s="5" t="str">
        <f aca="false">IF(S1808=R1808,"Yes","No")</f>
        <v>Yes</v>
      </c>
    </row>
    <row r="1809" customFormat="false" ht="15" hidden="false" customHeight="false" outlineLevel="0" collapsed="false">
      <c r="A1809" s="15" t="n">
        <v>2586</v>
      </c>
      <c r="B1809" s="16" t="n">
        <v>3.24338886149933</v>
      </c>
      <c r="C1809" s="15" t="n">
        <v>300</v>
      </c>
      <c r="D1809" s="15" t="n">
        <v>300</v>
      </c>
      <c r="E1809" s="15" t="n">
        <v>30</v>
      </c>
      <c r="F1809" s="16" t="n">
        <v>0.791582400904515</v>
      </c>
      <c r="G1809" s="17" t="s">
        <v>89</v>
      </c>
      <c r="H1809" s="18" t="n">
        <v>0.3</v>
      </c>
      <c r="I1809" s="18" t="n">
        <v>1</v>
      </c>
      <c r="J1809" s="19" t="n">
        <v>0.986661921405959</v>
      </c>
      <c r="K1809" s="19" t="n">
        <v>0.506587690362802</v>
      </c>
      <c r="L1809" s="16" t="n">
        <v>12.7692474862179</v>
      </c>
      <c r="M1809" s="19" t="n">
        <v>0.947118798162417</v>
      </c>
      <c r="N1809" s="19" t="n">
        <v>0.7718964020116</v>
      </c>
      <c r="O1809" s="19" t="n">
        <v>0.986661921405959</v>
      </c>
      <c r="P1809" s="19" t="n">
        <v>0.360820206777957</v>
      </c>
      <c r="Q1809" s="17" t="s">
        <v>29</v>
      </c>
      <c r="R1809" s="5" t="str">
        <f aca="false">IF(OR(Q1809="Steel plate",Q1809="Concrete jacket"),"Steel plate or jacket",Q1809)</f>
        <v>Monitor</v>
      </c>
      <c r="S1809" s="5" t="str">
        <f aca="false">IF(O1809&lt;='Tree rules'!$C$4,IF(N1809&lt;='Tree rules'!$C$5,IF(P1809&lt;='Tree rules'!$C$6,"Monitor","Polymer laminate"),IF(P1809&lt;='Tree rules'!$C$7,"Seal cracks","Polymer laminate")),IF(O1809&lt;='Tree rules'!$C$8,IF(M1809&lt;='Tree rules'!$C$9,"Steel plate or jacket","Polymer laminate"),IF(L1809&lt;='Tree rules'!$C$10,"Steel plate or jacket","Polymer laminate")))</f>
        <v>Monitor</v>
      </c>
      <c r="T1809" s="5" t="str">
        <f aca="false">IF(S1809=R1809,"Yes","No")</f>
        <v>Yes</v>
      </c>
    </row>
    <row r="1810" customFormat="false" ht="15" hidden="false" customHeight="false" outlineLevel="0" collapsed="false">
      <c r="A1810" s="15" t="n">
        <v>2587</v>
      </c>
      <c r="B1810" s="16" t="n">
        <v>5.12322578395143</v>
      </c>
      <c r="C1810" s="15" t="n">
        <v>230</v>
      </c>
      <c r="D1810" s="15" t="n">
        <v>425</v>
      </c>
      <c r="E1810" s="15" t="n">
        <v>25</v>
      </c>
      <c r="F1810" s="16" t="n">
        <v>0.691964884122107</v>
      </c>
      <c r="G1810" s="17" t="s">
        <v>89</v>
      </c>
      <c r="H1810" s="18" t="n">
        <v>0.3</v>
      </c>
      <c r="I1810" s="18" t="n">
        <v>1</v>
      </c>
      <c r="J1810" s="19" t="n">
        <v>0.924199471385744</v>
      </c>
      <c r="K1810" s="19" t="n">
        <v>0.496843086270077</v>
      </c>
      <c r="L1810" s="16" t="n">
        <v>13.517746131798</v>
      </c>
      <c r="M1810" s="19" t="n">
        <v>0.438682514401408</v>
      </c>
      <c r="N1810" s="19" t="n">
        <v>0.684442313905616</v>
      </c>
      <c r="O1810" s="19" t="n">
        <v>0.924199471385744</v>
      </c>
      <c r="P1810" s="19" t="n">
        <v>0.787902110496292</v>
      </c>
      <c r="Q1810" s="17" t="s">
        <v>29</v>
      </c>
      <c r="R1810" s="5" t="str">
        <f aca="false">IF(OR(Q1810="Steel plate",Q1810="Concrete jacket"),"Steel plate or jacket",Q1810)</f>
        <v>Monitor</v>
      </c>
      <c r="S1810" s="5" t="str">
        <f aca="false">IF(O1810&lt;='Tree rules'!$C$4,IF(N1810&lt;='Tree rules'!$C$5,IF(P1810&lt;='Tree rules'!$C$6,"Monitor","Polymer laminate"),IF(P1810&lt;='Tree rules'!$C$7,"Seal cracks","Polymer laminate")),IF(O1810&lt;='Tree rules'!$C$8,IF(M1810&lt;='Tree rules'!$C$9,"Steel plate or jacket","Polymer laminate"),IF(L1810&lt;='Tree rules'!$C$10,"Steel plate or jacket","Polymer laminate")))</f>
        <v>Monitor</v>
      </c>
      <c r="T1810" s="5" t="str">
        <f aca="false">IF(S1810=R1810,"Yes","No")</f>
        <v>Yes</v>
      </c>
    </row>
    <row r="1811" customFormat="false" ht="15" hidden="false" customHeight="false" outlineLevel="0" collapsed="false">
      <c r="A1811" s="15" t="n">
        <v>2589</v>
      </c>
      <c r="B1811" s="16" t="n">
        <v>7.20995738945153</v>
      </c>
      <c r="C1811" s="15" t="n">
        <v>230</v>
      </c>
      <c r="D1811" s="15" t="n">
        <v>725</v>
      </c>
      <c r="E1811" s="15" t="n">
        <v>30</v>
      </c>
      <c r="F1811" s="16" t="n">
        <v>0.605277628974978</v>
      </c>
      <c r="G1811" s="17" t="s">
        <v>89</v>
      </c>
      <c r="H1811" s="18" t="n">
        <v>0.3</v>
      </c>
      <c r="I1811" s="18" t="n">
        <v>1.5</v>
      </c>
      <c r="J1811" s="19" t="n">
        <v>0.873991246860519</v>
      </c>
      <c r="K1811" s="19" t="n">
        <v>0.595149618281626</v>
      </c>
      <c r="L1811" s="16" t="n">
        <v>10.6498632045074</v>
      </c>
      <c r="M1811" s="19" t="n">
        <v>0.597854410785299</v>
      </c>
      <c r="N1811" s="19" t="n">
        <v>0.72734077379863</v>
      </c>
      <c r="O1811" s="19" t="n">
        <v>1.05090909181552</v>
      </c>
      <c r="P1811" s="19" t="n">
        <v>0.50387428640947</v>
      </c>
      <c r="Q1811" s="17" t="s">
        <v>31</v>
      </c>
      <c r="R1811" s="5" t="str">
        <f aca="false">IF(OR(Q1811="Steel plate",Q1811="Concrete jacket"),"Steel plate or jacket",Q1811)</f>
        <v>Polymer laminate</v>
      </c>
      <c r="S1811" s="5" t="str">
        <f aca="false">IF(O1811&lt;='Tree rules'!$C$4,IF(N1811&lt;='Tree rules'!$C$5,IF(P1811&lt;='Tree rules'!$C$6,"Monitor","Polymer laminate"),IF(P1811&lt;='Tree rules'!$C$7,"Seal cracks","Polymer laminate")),IF(O1811&lt;='Tree rules'!$C$8,IF(M1811&lt;='Tree rules'!$C$9,"Steel plate or jacket","Polymer laminate"),IF(L1811&lt;='Tree rules'!$C$10,"Steel plate or jacket","Polymer laminate")))</f>
        <v>Polymer laminate</v>
      </c>
      <c r="T1811" s="5" t="str">
        <f aca="false">IF(S1811=R1811,"Yes","No")</f>
        <v>Yes</v>
      </c>
    </row>
    <row r="1812" customFormat="false" ht="15" hidden="false" customHeight="false" outlineLevel="0" collapsed="false">
      <c r="A1812" s="15" t="n">
        <v>2590</v>
      </c>
      <c r="B1812" s="16" t="n">
        <v>5.90694691168378</v>
      </c>
      <c r="C1812" s="15" t="n">
        <v>300</v>
      </c>
      <c r="D1812" s="15" t="n">
        <v>525</v>
      </c>
      <c r="E1812" s="15" t="n">
        <v>20</v>
      </c>
      <c r="F1812" s="16" t="n">
        <v>0.658614812073332</v>
      </c>
      <c r="G1812" s="17" t="s">
        <v>89</v>
      </c>
      <c r="H1812" s="18" t="n">
        <v>0.3</v>
      </c>
      <c r="I1812" s="18" t="n">
        <v>1</v>
      </c>
      <c r="J1812" s="19" t="n">
        <v>0.939972157408517</v>
      </c>
      <c r="K1812" s="19" t="n">
        <v>0.504902016658528</v>
      </c>
      <c r="L1812" s="16" t="n">
        <v>12.3835365024817</v>
      </c>
      <c r="M1812" s="19" t="n">
        <v>0.312819751706483</v>
      </c>
      <c r="N1812" s="19" t="n">
        <v>0.803516364198825</v>
      </c>
      <c r="O1812" s="19" t="n">
        <v>0.939972157408517</v>
      </c>
      <c r="P1812" s="19" t="n">
        <v>1.10844245543549</v>
      </c>
      <c r="Q1812" s="17" t="s">
        <v>31</v>
      </c>
      <c r="R1812" s="5" t="str">
        <f aca="false">IF(OR(Q1812="Steel plate",Q1812="Concrete jacket"),"Steel plate or jacket",Q1812)</f>
        <v>Polymer laminate</v>
      </c>
      <c r="S1812" s="5" t="str">
        <f aca="false">IF(O1812&lt;='Tree rules'!$C$4,IF(N1812&lt;='Tree rules'!$C$5,IF(P1812&lt;='Tree rules'!$C$6,"Monitor","Polymer laminate"),IF(P1812&lt;='Tree rules'!$C$7,"Seal cracks","Polymer laminate")),IF(O1812&lt;='Tree rules'!$C$8,IF(M1812&lt;='Tree rules'!$C$9,"Steel plate or jacket","Polymer laminate"),IF(L1812&lt;='Tree rules'!$C$10,"Steel plate or jacket","Polymer laminate")))</f>
        <v>Polymer laminate</v>
      </c>
      <c r="T1812" s="5" t="str">
        <f aca="false">IF(S1812=R1812,"Yes","No")</f>
        <v>Yes</v>
      </c>
    </row>
    <row r="1813" customFormat="false" ht="15" hidden="false" customHeight="false" outlineLevel="0" collapsed="false">
      <c r="A1813" s="15" t="n">
        <v>2594</v>
      </c>
      <c r="B1813" s="16" t="n">
        <v>4.38194480647859</v>
      </c>
      <c r="C1813" s="15" t="n">
        <v>300</v>
      </c>
      <c r="D1813" s="15" t="n">
        <v>400</v>
      </c>
      <c r="E1813" s="15" t="n">
        <v>20</v>
      </c>
      <c r="F1813" s="16" t="n">
        <v>0.567971553191375</v>
      </c>
      <c r="G1813" s="17" t="s">
        <v>91</v>
      </c>
      <c r="H1813" s="18" t="n">
        <v>0.2</v>
      </c>
      <c r="I1813" s="18" t="n">
        <v>2</v>
      </c>
      <c r="J1813" s="19" t="n">
        <v>0.902025626892235</v>
      </c>
      <c r="K1813" s="19" t="n">
        <v>0.575788208226982</v>
      </c>
      <c r="L1813" s="16" t="n">
        <v>12.378375159544</v>
      </c>
      <c r="M1813" s="19" t="n">
        <v>0.25051090465714</v>
      </c>
      <c r="N1813" s="19" t="n">
        <v>1.70899007166788</v>
      </c>
      <c r="O1813" s="19" t="n">
        <v>1.28467553430137</v>
      </c>
      <c r="P1813" s="19" t="n">
        <v>1.4006393006644</v>
      </c>
      <c r="Q1813" s="17" t="s">
        <v>31</v>
      </c>
      <c r="R1813" s="5" t="str">
        <f aca="false">IF(OR(Q1813="Steel plate",Q1813="Concrete jacket"),"Steel plate or jacket",Q1813)</f>
        <v>Polymer laminate</v>
      </c>
      <c r="S1813" s="5" t="str">
        <f aca="false">IF(O1813&lt;='Tree rules'!$C$4,IF(N1813&lt;='Tree rules'!$C$5,IF(P1813&lt;='Tree rules'!$C$6,"Monitor","Polymer laminate"),IF(P1813&lt;='Tree rules'!$C$7,"Seal cracks","Polymer laminate")),IF(O1813&lt;='Tree rules'!$C$8,IF(M1813&lt;='Tree rules'!$C$9,"Steel plate or jacket","Polymer laminate"),IF(L1813&lt;='Tree rules'!$C$10,"Steel plate or jacket","Polymer laminate")))</f>
        <v>Steel plate or jacket</v>
      </c>
      <c r="T1813" s="5" t="str">
        <f aca="false">IF(S1813=R1813,"Yes","No")</f>
        <v>No</v>
      </c>
    </row>
    <row r="1814" customFormat="false" ht="15" hidden="false" customHeight="false" outlineLevel="0" collapsed="false">
      <c r="A1814" s="15" t="n">
        <v>2595</v>
      </c>
      <c r="B1814" s="16" t="n">
        <v>4.22602458085579</v>
      </c>
      <c r="C1814" s="15" t="n">
        <v>300</v>
      </c>
      <c r="D1814" s="15" t="n">
        <v>400</v>
      </c>
      <c r="E1814" s="15" t="n">
        <v>25</v>
      </c>
      <c r="F1814" s="16" t="n">
        <v>0.567971553191375</v>
      </c>
      <c r="G1814" s="17" t="s">
        <v>91</v>
      </c>
      <c r="H1814" s="18" t="n">
        <v>0.2</v>
      </c>
      <c r="I1814" s="18" t="n">
        <v>1</v>
      </c>
      <c r="J1814" s="19" t="n">
        <v>0.952683596644003</v>
      </c>
      <c r="K1814" s="19" t="n">
        <v>0.565298417973092</v>
      </c>
      <c r="L1814" s="16" t="n">
        <v>11.9379225447904</v>
      </c>
      <c r="M1814" s="19" t="n">
        <v>0.326882449545214</v>
      </c>
      <c r="N1814" s="19" t="n">
        <v>1.25077951204337</v>
      </c>
      <c r="O1814" s="19" t="n">
        <v>0.952683596644003</v>
      </c>
      <c r="P1814" s="19" t="n">
        <v>0.830882636337693</v>
      </c>
      <c r="Q1814" s="17" t="s">
        <v>30</v>
      </c>
      <c r="R1814" s="5" t="str">
        <f aca="false">IF(OR(Q1814="Steel plate",Q1814="Concrete jacket"),"Steel plate or jacket",Q1814)</f>
        <v>Seal cracks</v>
      </c>
      <c r="S1814" s="5" t="str">
        <f aca="false">IF(O1814&lt;='Tree rules'!$C$4,IF(N1814&lt;='Tree rules'!$C$5,IF(P1814&lt;='Tree rules'!$C$6,"Monitor","Polymer laminate"),IF(P1814&lt;='Tree rules'!$C$7,"Seal cracks","Polymer laminate")),IF(O1814&lt;='Tree rules'!$C$8,IF(M1814&lt;='Tree rules'!$C$9,"Steel plate or jacket","Polymer laminate"),IF(L1814&lt;='Tree rules'!$C$10,"Steel plate or jacket","Polymer laminate")))</f>
        <v>Seal cracks</v>
      </c>
      <c r="T1814" s="5" t="str">
        <f aca="false">IF(S1814=R1814,"Yes","No")</f>
        <v>Yes</v>
      </c>
    </row>
    <row r="1815" customFormat="false" ht="15" hidden="false" customHeight="false" outlineLevel="0" collapsed="false">
      <c r="A1815" s="15" t="n">
        <v>2597</v>
      </c>
      <c r="B1815" s="16" t="n">
        <v>4.94415480875711</v>
      </c>
      <c r="C1815" s="15" t="n">
        <v>230</v>
      </c>
      <c r="D1815" s="15" t="n">
        <v>450</v>
      </c>
      <c r="E1815" s="15" t="n">
        <v>20</v>
      </c>
      <c r="F1815" s="16" t="n">
        <v>0.705896562990629</v>
      </c>
      <c r="G1815" s="17" t="s">
        <v>90</v>
      </c>
      <c r="H1815" s="18" t="n">
        <v>0.1</v>
      </c>
      <c r="I1815" s="18" t="n">
        <v>2</v>
      </c>
      <c r="J1815" s="19" t="n">
        <v>0.939027997631347</v>
      </c>
      <c r="K1815" s="19" t="n">
        <v>0.418909551876238</v>
      </c>
      <c r="L1815" s="16" t="n">
        <v>12.7755938210778</v>
      </c>
      <c r="M1815" s="19" t="n">
        <v>0.897688601319717</v>
      </c>
      <c r="N1815" s="19" t="n">
        <v>4.45359697120338</v>
      </c>
      <c r="O1815" s="19" t="n">
        <v>1.4846881975757</v>
      </c>
      <c r="P1815" s="19" t="n">
        <v>0.477221679293389</v>
      </c>
      <c r="Q1815" s="17" t="s">
        <v>92</v>
      </c>
      <c r="R1815" s="5" t="str">
        <f aca="false">IF(OR(Q1815="Steel plate",Q1815="Concrete jacket"),"Steel plate or jacket",Q1815)</f>
        <v>Steel plate or jacket</v>
      </c>
      <c r="S1815" s="5" t="str">
        <f aca="false">IF(O1815&lt;='Tree rules'!$C$4,IF(N1815&lt;='Tree rules'!$C$5,IF(P1815&lt;='Tree rules'!$C$6,"Monitor","Polymer laminate"),IF(P1815&lt;='Tree rules'!$C$7,"Seal cracks","Polymer laminate")),IF(O1815&lt;='Tree rules'!$C$8,IF(M1815&lt;='Tree rules'!$C$9,"Steel plate or jacket","Polymer laminate"),IF(L1815&lt;='Tree rules'!$C$10,"Steel plate or jacket","Polymer laminate")))</f>
        <v>Steel plate or jacket</v>
      </c>
      <c r="T1815" s="5" t="str">
        <f aca="false">IF(S1815=R1815,"Yes","No")</f>
        <v>Yes</v>
      </c>
    </row>
    <row r="1816" customFormat="false" ht="15" hidden="false" customHeight="false" outlineLevel="0" collapsed="false">
      <c r="A1816" s="15" t="n">
        <v>2598</v>
      </c>
      <c r="B1816" s="16" t="n">
        <v>5.89675096993386</v>
      </c>
      <c r="C1816" s="15" t="n">
        <v>230</v>
      </c>
      <c r="D1816" s="15" t="n">
        <v>475</v>
      </c>
      <c r="E1816" s="15" t="n">
        <v>30</v>
      </c>
      <c r="F1816" s="16" t="n">
        <v>0.815088394972116</v>
      </c>
      <c r="G1816" s="17" t="s">
        <v>89</v>
      </c>
      <c r="H1816" s="18" t="n">
        <v>0.3</v>
      </c>
      <c r="I1816" s="18" t="n">
        <v>1</v>
      </c>
      <c r="J1816" s="19" t="n">
        <v>0.86539523378347</v>
      </c>
      <c r="K1816" s="19" t="n">
        <v>0.407599826197894</v>
      </c>
      <c r="L1816" s="16" t="n">
        <v>13.7453402562561</v>
      </c>
      <c r="M1816" s="19" t="n">
        <v>0.427459450732232</v>
      </c>
      <c r="N1816" s="19" t="n">
        <v>0.583819802752845</v>
      </c>
      <c r="O1816" s="19" t="n">
        <v>0.86539523378347</v>
      </c>
      <c r="P1816" s="19" t="n">
        <v>0.79771561108691</v>
      </c>
      <c r="Q1816" s="17" t="s">
        <v>29</v>
      </c>
      <c r="R1816" s="5" t="str">
        <f aca="false">IF(OR(Q1816="Steel plate",Q1816="Concrete jacket"),"Steel plate or jacket",Q1816)</f>
        <v>Monitor</v>
      </c>
      <c r="S1816" s="5" t="str">
        <f aca="false">IF(O1816&lt;='Tree rules'!$C$4,IF(N1816&lt;='Tree rules'!$C$5,IF(P1816&lt;='Tree rules'!$C$6,"Monitor","Polymer laminate"),IF(P1816&lt;='Tree rules'!$C$7,"Seal cracks","Polymer laminate")),IF(O1816&lt;='Tree rules'!$C$8,IF(M1816&lt;='Tree rules'!$C$9,"Steel plate or jacket","Polymer laminate"),IF(L1816&lt;='Tree rules'!$C$10,"Steel plate or jacket","Polymer laminate")))</f>
        <v>Monitor</v>
      </c>
      <c r="T1816" s="5" t="str">
        <f aca="false">IF(S1816=R1816,"Yes","No")</f>
        <v>Yes</v>
      </c>
    </row>
    <row r="1817" customFormat="false" ht="15" hidden="false" customHeight="false" outlineLevel="0" collapsed="false">
      <c r="A1817" s="15" t="n">
        <v>2599</v>
      </c>
      <c r="B1817" s="16" t="n">
        <v>6.66445142996506</v>
      </c>
      <c r="C1817" s="15" t="n">
        <v>300</v>
      </c>
      <c r="D1817" s="15" t="n">
        <v>550</v>
      </c>
      <c r="E1817" s="15" t="n">
        <v>30</v>
      </c>
      <c r="F1817" s="16" t="n">
        <v>0.625815269639401</v>
      </c>
      <c r="G1817" s="17" t="s">
        <v>89</v>
      </c>
      <c r="H1817" s="18" t="n">
        <v>0.3</v>
      </c>
      <c r="I1817" s="18" t="n">
        <v>1</v>
      </c>
      <c r="J1817" s="19" t="n">
        <v>0.892013149733985</v>
      </c>
      <c r="K1817" s="19" t="n">
        <v>0.424841721434536</v>
      </c>
      <c r="L1817" s="16" t="n">
        <v>13.275799661285</v>
      </c>
      <c r="M1817" s="19" t="n">
        <v>0.402000493985077</v>
      </c>
      <c r="N1817" s="19" t="n">
        <v>0.762996959036192</v>
      </c>
      <c r="O1817" s="19" t="n">
        <v>0.892013149733985</v>
      </c>
      <c r="P1817" s="19" t="n">
        <v>0.709409472504591</v>
      </c>
      <c r="Q1817" s="17" t="s">
        <v>29</v>
      </c>
      <c r="R1817" s="5" t="str">
        <f aca="false">IF(OR(Q1817="Steel plate",Q1817="Concrete jacket"),"Steel plate or jacket",Q1817)</f>
        <v>Monitor</v>
      </c>
      <c r="S1817" s="5" t="str">
        <f aca="false">IF(O1817&lt;='Tree rules'!$C$4,IF(N1817&lt;='Tree rules'!$C$5,IF(P1817&lt;='Tree rules'!$C$6,"Monitor","Polymer laminate"),IF(P1817&lt;='Tree rules'!$C$7,"Seal cracks","Polymer laminate")),IF(O1817&lt;='Tree rules'!$C$8,IF(M1817&lt;='Tree rules'!$C$9,"Steel plate or jacket","Polymer laminate"),IF(L1817&lt;='Tree rules'!$C$10,"Steel plate or jacket","Polymer laminate")))</f>
        <v>Monitor</v>
      </c>
      <c r="T1817" s="5" t="str">
        <f aca="false">IF(S1817=R1817,"Yes","No")</f>
        <v>Yes</v>
      </c>
    </row>
    <row r="1818" customFormat="false" ht="15" hidden="false" customHeight="false" outlineLevel="0" collapsed="false">
      <c r="A1818" s="15" t="n">
        <v>2600</v>
      </c>
      <c r="B1818" s="16" t="n">
        <v>3.03556991318225</v>
      </c>
      <c r="C1818" s="15" t="n">
        <v>230</v>
      </c>
      <c r="D1818" s="15" t="n">
        <v>300</v>
      </c>
      <c r="E1818" s="15" t="n">
        <v>30</v>
      </c>
      <c r="F1818" s="16" t="n">
        <v>0.731533308458238</v>
      </c>
      <c r="G1818" s="17" t="s">
        <v>90</v>
      </c>
      <c r="H1818" s="18" t="n">
        <v>0.1</v>
      </c>
      <c r="I1818" s="18" t="n">
        <v>1</v>
      </c>
      <c r="J1818" s="19" t="n">
        <v>0.982309810558218</v>
      </c>
      <c r="K1818" s="19" t="n">
        <v>0.644793555680011</v>
      </c>
      <c r="L1818" s="16" t="n">
        <v>12.7011293438588</v>
      </c>
      <c r="M1818" s="19" t="n">
        <v>0.512808525316286</v>
      </c>
      <c r="N1818" s="19" t="n">
        <v>3.26788605760264</v>
      </c>
      <c r="O1818" s="19" t="n">
        <v>0.982309810558218</v>
      </c>
      <c r="P1818" s="19" t="n">
        <v>0.538953578112784</v>
      </c>
      <c r="Q1818" s="17" t="s">
        <v>30</v>
      </c>
      <c r="R1818" s="5" t="str">
        <f aca="false">IF(OR(Q1818="Steel plate",Q1818="Concrete jacket"),"Steel plate or jacket",Q1818)</f>
        <v>Seal cracks</v>
      </c>
      <c r="S1818" s="5" t="str">
        <f aca="false">IF(O1818&lt;='Tree rules'!$C$4,IF(N1818&lt;='Tree rules'!$C$5,IF(P1818&lt;='Tree rules'!$C$6,"Monitor","Polymer laminate"),IF(P1818&lt;='Tree rules'!$C$7,"Seal cracks","Polymer laminate")),IF(O1818&lt;='Tree rules'!$C$8,IF(M1818&lt;='Tree rules'!$C$9,"Steel plate or jacket","Polymer laminate"),IF(L1818&lt;='Tree rules'!$C$10,"Steel plate or jacket","Polymer laminate")))</f>
        <v>Seal cracks</v>
      </c>
      <c r="T1818" s="5" t="str">
        <f aca="false">IF(S1818=R1818,"Yes","No")</f>
        <v>Yes</v>
      </c>
    </row>
    <row r="1819" customFormat="false" ht="15" hidden="false" customHeight="false" outlineLevel="0" collapsed="false">
      <c r="A1819" s="15" t="n">
        <v>2601</v>
      </c>
      <c r="B1819" s="16" t="n">
        <v>5.58139550443549</v>
      </c>
      <c r="C1819" s="15" t="n">
        <v>300</v>
      </c>
      <c r="D1819" s="15" t="n">
        <v>500</v>
      </c>
      <c r="E1819" s="15" t="n">
        <v>30</v>
      </c>
      <c r="F1819" s="16" t="n">
        <v>0.738112811416104</v>
      </c>
      <c r="G1819" s="17" t="s">
        <v>91</v>
      </c>
      <c r="H1819" s="18" t="n">
        <v>0.2</v>
      </c>
      <c r="I1819" s="18" t="n">
        <v>1</v>
      </c>
      <c r="J1819" s="19" t="n">
        <v>0.927757158634826</v>
      </c>
      <c r="K1819" s="19" t="n">
        <v>0.491243870344325</v>
      </c>
      <c r="L1819" s="16" t="n">
        <v>12.2938226969945</v>
      </c>
      <c r="M1819" s="19" t="n">
        <v>0.629215728578633</v>
      </c>
      <c r="N1819" s="19" t="n">
        <v>0.913134767098118</v>
      </c>
      <c r="O1819" s="19" t="n">
        <v>0.927757158634826</v>
      </c>
      <c r="P1819" s="19" t="n">
        <v>0.539526479245178</v>
      </c>
      <c r="Q1819" s="17" t="s">
        <v>29</v>
      </c>
      <c r="R1819" s="5" t="str">
        <f aca="false">IF(OR(Q1819="Steel plate",Q1819="Concrete jacket"),"Steel plate or jacket",Q1819)</f>
        <v>Monitor</v>
      </c>
      <c r="S1819" s="5" t="str">
        <f aca="false">IF(O1819&lt;='Tree rules'!$C$4,IF(N1819&lt;='Tree rules'!$C$5,IF(P1819&lt;='Tree rules'!$C$6,"Monitor","Polymer laminate"),IF(P1819&lt;='Tree rules'!$C$7,"Seal cracks","Polymer laminate")),IF(O1819&lt;='Tree rules'!$C$8,IF(M1819&lt;='Tree rules'!$C$9,"Steel plate or jacket","Polymer laminate"),IF(L1819&lt;='Tree rules'!$C$10,"Steel plate or jacket","Polymer laminate")))</f>
        <v>Monitor</v>
      </c>
      <c r="T1819" s="5" t="str">
        <f aca="false">IF(S1819=R1819,"Yes","No")</f>
        <v>Yes</v>
      </c>
    </row>
    <row r="1820" customFormat="false" ht="15" hidden="false" customHeight="false" outlineLevel="0" collapsed="false">
      <c r="A1820" s="15" t="n">
        <v>2602</v>
      </c>
      <c r="B1820" s="16" t="n">
        <v>4.80764901453914</v>
      </c>
      <c r="C1820" s="15" t="n">
        <v>300</v>
      </c>
      <c r="D1820" s="15" t="n">
        <v>475</v>
      </c>
      <c r="E1820" s="15" t="n">
        <v>25</v>
      </c>
      <c r="F1820" s="16" t="n">
        <v>0.647542447116737</v>
      </c>
      <c r="G1820" s="17" t="s">
        <v>90</v>
      </c>
      <c r="H1820" s="18" t="n">
        <v>0.1</v>
      </c>
      <c r="I1820" s="18" t="n">
        <v>1.5</v>
      </c>
      <c r="J1820" s="19" t="n">
        <v>0.994504092539322</v>
      </c>
      <c r="K1820" s="19" t="n">
        <v>0.543310781522542</v>
      </c>
      <c r="L1820" s="16" t="n">
        <v>11.61267877908</v>
      </c>
      <c r="M1820" s="19" t="n">
        <v>0.842362360488093</v>
      </c>
      <c r="N1820" s="19" t="n">
        <v>3.2012336104357</v>
      </c>
      <c r="O1820" s="19" t="n">
        <v>1.22159374093653</v>
      </c>
      <c r="P1820" s="19" t="n">
        <v>0.411518766045632</v>
      </c>
      <c r="Q1820" s="17" t="s">
        <v>31</v>
      </c>
      <c r="R1820" s="5" t="str">
        <f aca="false">IF(OR(Q1820="Steel plate",Q1820="Concrete jacket"),"Steel plate or jacket",Q1820)</f>
        <v>Polymer laminate</v>
      </c>
      <c r="S1820" s="5" t="str">
        <f aca="false">IF(O1820&lt;='Tree rules'!$C$4,IF(N1820&lt;='Tree rules'!$C$5,IF(P1820&lt;='Tree rules'!$C$6,"Monitor","Polymer laminate"),IF(P1820&lt;='Tree rules'!$C$7,"Seal cracks","Polymer laminate")),IF(O1820&lt;='Tree rules'!$C$8,IF(M1820&lt;='Tree rules'!$C$9,"Steel plate or jacket","Polymer laminate"),IF(L1820&lt;='Tree rules'!$C$10,"Steel plate or jacket","Polymer laminate")))</f>
        <v>Polymer laminate</v>
      </c>
      <c r="T1820" s="5" t="str">
        <f aca="false">IF(S1820=R1820,"Yes","No")</f>
        <v>Yes</v>
      </c>
    </row>
    <row r="1821" customFormat="false" ht="15" hidden="false" customHeight="false" outlineLevel="0" collapsed="false">
      <c r="A1821" s="15" t="n">
        <v>2605</v>
      </c>
      <c r="B1821" s="16" t="n">
        <v>4.99027596351462</v>
      </c>
      <c r="C1821" s="15" t="n">
        <v>230</v>
      </c>
      <c r="D1821" s="15" t="n">
        <v>400</v>
      </c>
      <c r="E1821" s="15" t="n">
        <v>25</v>
      </c>
      <c r="F1821" s="16" t="n">
        <v>0.576806505312929</v>
      </c>
      <c r="G1821" s="17" t="s">
        <v>90</v>
      </c>
      <c r="H1821" s="18" t="n">
        <v>0.1</v>
      </c>
      <c r="I1821" s="18" t="n">
        <v>1.5</v>
      </c>
      <c r="J1821" s="19" t="n">
        <v>0.857970607865874</v>
      </c>
      <c r="K1821" s="19" t="n">
        <v>0.593587850205954</v>
      </c>
      <c r="L1821" s="16" t="n">
        <v>14.634240362213</v>
      </c>
      <c r="M1821" s="19" t="n">
        <v>0.936677414376222</v>
      </c>
      <c r="N1821" s="19" t="n">
        <v>2.45527892761157</v>
      </c>
      <c r="O1821" s="19" t="n">
        <v>1.03231544746731</v>
      </c>
      <c r="P1821" s="19" t="n">
        <v>0.353468222624202</v>
      </c>
      <c r="Q1821" s="17" t="s">
        <v>31</v>
      </c>
      <c r="R1821" s="5" t="str">
        <f aca="false">IF(OR(Q1821="Steel plate",Q1821="Concrete jacket"),"Steel plate or jacket",Q1821)</f>
        <v>Polymer laminate</v>
      </c>
      <c r="S1821" s="5" t="str">
        <f aca="false">IF(O1821&lt;='Tree rules'!$C$4,IF(N1821&lt;='Tree rules'!$C$5,IF(P1821&lt;='Tree rules'!$C$6,"Monitor","Polymer laminate"),IF(P1821&lt;='Tree rules'!$C$7,"Seal cracks","Polymer laminate")),IF(O1821&lt;='Tree rules'!$C$8,IF(M1821&lt;='Tree rules'!$C$9,"Steel plate or jacket","Polymer laminate"),IF(L1821&lt;='Tree rules'!$C$10,"Steel plate or jacket","Polymer laminate")))</f>
        <v>Polymer laminate</v>
      </c>
      <c r="T1821" s="5" t="str">
        <f aca="false">IF(S1821=R1821,"Yes","No")</f>
        <v>Yes</v>
      </c>
    </row>
    <row r="1822" customFormat="false" ht="15" hidden="false" customHeight="false" outlineLevel="0" collapsed="false">
      <c r="A1822" s="15" t="n">
        <v>2606</v>
      </c>
      <c r="B1822" s="16" t="n">
        <v>7.93900568221601</v>
      </c>
      <c r="C1822" s="15" t="n">
        <v>300</v>
      </c>
      <c r="D1822" s="15" t="n">
        <v>750</v>
      </c>
      <c r="E1822" s="15" t="n">
        <v>30</v>
      </c>
      <c r="F1822" s="16" t="n">
        <v>0.571198664289053</v>
      </c>
      <c r="G1822" s="17" t="s">
        <v>89</v>
      </c>
      <c r="H1822" s="18" t="n">
        <v>0.3</v>
      </c>
      <c r="I1822" s="18" t="n">
        <v>2</v>
      </c>
      <c r="J1822" s="19" t="n">
        <v>0.920878673826653</v>
      </c>
      <c r="K1822" s="19" t="n">
        <v>0.50993646816635</v>
      </c>
      <c r="L1822" s="16" t="n">
        <v>11.2769967076932</v>
      </c>
      <c r="M1822" s="19" t="n">
        <v>0.821589484035441</v>
      </c>
      <c r="N1822" s="19" t="n">
        <v>0.819871179415636</v>
      </c>
      <c r="O1822" s="19" t="n">
        <v>1.37216772911243</v>
      </c>
      <c r="P1822" s="19" t="n">
        <v>0.432745657406311</v>
      </c>
      <c r="Q1822" s="17" t="s">
        <v>31</v>
      </c>
      <c r="R1822" s="5" t="str">
        <f aca="false">IF(OR(Q1822="Steel plate",Q1822="Concrete jacket"),"Steel plate or jacket",Q1822)</f>
        <v>Polymer laminate</v>
      </c>
      <c r="S1822" s="5" t="str">
        <f aca="false">IF(O1822&lt;='Tree rules'!$C$4,IF(N1822&lt;='Tree rules'!$C$5,IF(P1822&lt;='Tree rules'!$C$6,"Monitor","Polymer laminate"),IF(P1822&lt;='Tree rules'!$C$7,"Seal cracks","Polymer laminate")),IF(O1822&lt;='Tree rules'!$C$8,IF(M1822&lt;='Tree rules'!$C$9,"Steel plate or jacket","Polymer laminate"),IF(L1822&lt;='Tree rules'!$C$10,"Steel plate or jacket","Polymer laminate")))</f>
        <v>Steel plate or jacket</v>
      </c>
      <c r="T1822" s="5" t="str">
        <f aca="false">IF(S1822=R1822,"Yes","No")</f>
        <v>No</v>
      </c>
    </row>
    <row r="1823" customFormat="false" ht="15" hidden="false" customHeight="false" outlineLevel="0" collapsed="false">
      <c r="A1823" s="15" t="n">
        <v>2607</v>
      </c>
      <c r="B1823" s="16" t="n">
        <v>6.16451096346559</v>
      </c>
      <c r="C1823" s="15" t="n">
        <v>230</v>
      </c>
      <c r="D1823" s="15" t="n">
        <v>550</v>
      </c>
      <c r="E1823" s="15" t="n">
        <v>25</v>
      </c>
      <c r="F1823" s="16" t="n">
        <v>0.544187190990784</v>
      </c>
      <c r="G1823" s="17" t="s">
        <v>89</v>
      </c>
      <c r="H1823" s="18" t="n">
        <v>0.3</v>
      </c>
      <c r="I1823" s="18" t="n">
        <v>2</v>
      </c>
      <c r="J1823" s="19" t="n">
        <v>0.861822430783342</v>
      </c>
      <c r="K1823" s="19" t="n">
        <v>0.581192696780156</v>
      </c>
      <c r="L1823" s="16" t="n">
        <v>12.2799023176605</v>
      </c>
      <c r="M1823" s="19" t="n">
        <v>0.928666696847893</v>
      </c>
      <c r="N1823" s="19" t="n">
        <v>1.07205745814232</v>
      </c>
      <c r="O1823" s="19" t="n">
        <v>1.22275995887408</v>
      </c>
      <c r="P1823" s="19" t="n">
        <v>0.379668601927719</v>
      </c>
      <c r="Q1823" s="17" t="s">
        <v>31</v>
      </c>
      <c r="R1823" s="5" t="str">
        <f aca="false">IF(OR(Q1823="Steel plate",Q1823="Concrete jacket"),"Steel plate or jacket",Q1823)</f>
        <v>Polymer laminate</v>
      </c>
      <c r="S1823" s="5" t="str">
        <f aca="false">IF(O1823&lt;='Tree rules'!$C$4,IF(N1823&lt;='Tree rules'!$C$5,IF(P1823&lt;='Tree rules'!$C$6,"Monitor","Polymer laminate"),IF(P1823&lt;='Tree rules'!$C$7,"Seal cracks","Polymer laminate")),IF(O1823&lt;='Tree rules'!$C$8,IF(M1823&lt;='Tree rules'!$C$9,"Steel plate or jacket","Polymer laminate"),IF(L1823&lt;='Tree rules'!$C$10,"Steel plate or jacket","Polymer laminate")))</f>
        <v>Polymer laminate</v>
      </c>
      <c r="T1823" s="5" t="str">
        <f aca="false">IF(S1823=R1823,"Yes","No")</f>
        <v>Yes</v>
      </c>
    </row>
    <row r="1824" customFormat="false" ht="15" hidden="false" customHeight="false" outlineLevel="0" collapsed="false">
      <c r="A1824" s="15" t="n">
        <v>2608</v>
      </c>
      <c r="B1824" s="16" t="n">
        <v>3.07678327804883</v>
      </c>
      <c r="C1824" s="15" t="n">
        <v>300</v>
      </c>
      <c r="D1824" s="15" t="n">
        <v>300</v>
      </c>
      <c r="E1824" s="15" t="n">
        <v>30</v>
      </c>
      <c r="F1824" s="16" t="n">
        <v>1.05544320120602</v>
      </c>
      <c r="G1824" s="17" t="s">
        <v>89</v>
      </c>
      <c r="H1824" s="18" t="n">
        <v>0.3</v>
      </c>
      <c r="I1824" s="18" t="n">
        <v>1.5</v>
      </c>
      <c r="J1824" s="19" t="n">
        <v>0.85214096333148</v>
      </c>
      <c r="K1824" s="19" t="n">
        <v>0.585863127352967</v>
      </c>
      <c r="L1824" s="16" t="n">
        <v>12.1133199923182</v>
      </c>
      <c r="M1824" s="19" t="n">
        <v>0.90714476641261</v>
      </c>
      <c r="N1824" s="19" t="n">
        <v>0.735872249408598</v>
      </c>
      <c r="O1824" s="19" t="n">
        <v>1.02859246013574</v>
      </c>
      <c r="P1824" s="19" t="n">
        <v>0.458185473798398</v>
      </c>
      <c r="Q1824" s="17" t="s">
        <v>31</v>
      </c>
      <c r="R1824" s="5" t="str">
        <f aca="false">IF(OR(Q1824="Steel plate",Q1824="Concrete jacket"),"Steel plate or jacket",Q1824)</f>
        <v>Polymer laminate</v>
      </c>
      <c r="S1824" s="5" t="str">
        <f aca="false">IF(O1824&lt;='Tree rules'!$C$4,IF(N1824&lt;='Tree rules'!$C$5,IF(P1824&lt;='Tree rules'!$C$6,"Monitor","Polymer laminate"),IF(P1824&lt;='Tree rules'!$C$7,"Seal cracks","Polymer laminate")),IF(O1824&lt;='Tree rules'!$C$8,IF(M1824&lt;='Tree rules'!$C$9,"Steel plate or jacket","Polymer laminate"),IF(L1824&lt;='Tree rules'!$C$10,"Steel plate or jacket","Polymer laminate")))</f>
        <v>Polymer laminate</v>
      </c>
      <c r="T1824" s="5" t="str">
        <f aca="false">IF(S1824=R1824,"Yes","No")</f>
        <v>Yes</v>
      </c>
    </row>
    <row r="1825" customFormat="false" ht="15" hidden="false" customHeight="false" outlineLevel="0" collapsed="false">
      <c r="A1825" s="15" t="n">
        <v>2609</v>
      </c>
      <c r="B1825" s="16" t="n">
        <v>3.2228166586644</v>
      </c>
      <c r="C1825" s="15" t="n">
        <v>300</v>
      </c>
      <c r="D1825" s="15" t="n">
        <v>300</v>
      </c>
      <c r="E1825" s="15" t="n">
        <v>25</v>
      </c>
      <c r="F1825" s="16" t="n">
        <v>0.831109167616348</v>
      </c>
      <c r="G1825" s="17" t="s">
        <v>89</v>
      </c>
      <c r="H1825" s="18" t="n">
        <v>0.3</v>
      </c>
      <c r="I1825" s="18" t="n">
        <v>1</v>
      </c>
      <c r="J1825" s="19" t="n">
        <v>0.96954998829636</v>
      </c>
      <c r="K1825" s="19" t="n">
        <v>0.450678117647439</v>
      </c>
      <c r="L1825" s="16" t="n">
        <v>12.7889549947</v>
      </c>
      <c r="M1825" s="19" t="n">
        <v>0.661758541083748</v>
      </c>
      <c r="N1825" s="19" t="n">
        <v>1.03074579333326</v>
      </c>
      <c r="O1825" s="19" t="n">
        <v>0.96954998829636</v>
      </c>
      <c r="P1825" s="19" t="n">
        <v>0.505234104749599</v>
      </c>
      <c r="Q1825" s="17" t="s">
        <v>30</v>
      </c>
      <c r="R1825" s="5" t="str">
        <f aca="false">IF(OR(Q1825="Steel plate",Q1825="Concrete jacket"),"Steel plate or jacket",Q1825)</f>
        <v>Seal cracks</v>
      </c>
      <c r="S1825" s="5" t="str">
        <f aca="false">IF(O1825&lt;='Tree rules'!$C$4,IF(N1825&lt;='Tree rules'!$C$5,IF(P1825&lt;='Tree rules'!$C$6,"Monitor","Polymer laminate"),IF(P1825&lt;='Tree rules'!$C$7,"Seal cracks","Polymer laminate")),IF(O1825&lt;='Tree rules'!$C$8,IF(M1825&lt;='Tree rules'!$C$9,"Steel plate or jacket","Polymer laminate"),IF(L1825&lt;='Tree rules'!$C$10,"Steel plate or jacket","Polymer laminate")))</f>
        <v>Seal cracks</v>
      </c>
      <c r="T1825" s="5" t="str">
        <f aca="false">IF(S1825=R1825,"Yes","No")</f>
        <v>Yes</v>
      </c>
    </row>
    <row r="1826" customFormat="false" ht="15" hidden="false" customHeight="false" outlineLevel="0" collapsed="false">
      <c r="A1826" s="15" t="n">
        <v>2610</v>
      </c>
      <c r="B1826" s="16" t="n">
        <v>6.32739477526702</v>
      </c>
      <c r="C1826" s="15" t="n">
        <v>300</v>
      </c>
      <c r="D1826" s="15" t="n">
        <v>600</v>
      </c>
      <c r="E1826" s="15" t="n">
        <v>25</v>
      </c>
      <c r="F1826" s="16" t="n">
        <v>0.604879451954714</v>
      </c>
      <c r="G1826" s="17" t="s">
        <v>89</v>
      </c>
      <c r="H1826" s="18" t="n">
        <v>0.3</v>
      </c>
      <c r="I1826" s="18" t="n">
        <v>1.5</v>
      </c>
      <c r="J1826" s="19" t="n">
        <v>0.95898092942758</v>
      </c>
      <c r="K1826" s="19" t="n">
        <v>0.619121277122037</v>
      </c>
      <c r="L1826" s="16" t="n">
        <v>11.4212902080632</v>
      </c>
      <c r="M1826" s="19" t="n">
        <v>0.440475492344407</v>
      </c>
      <c r="N1826" s="19" t="n">
        <v>0.765242831920519</v>
      </c>
      <c r="O1826" s="19" t="n">
        <v>1.14160864525993</v>
      </c>
      <c r="P1826" s="19" t="n">
        <v>0.817214675296733</v>
      </c>
      <c r="Q1826" s="17" t="s">
        <v>31</v>
      </c>
      <c r="R1826" s="5" t="str">
        <f aca="false">IF(OR(Q1826="Steel plate",Q1826="Concrete jacket"),"Steel plate or jacket",Q1826)</f>
        <v>Polymer laminate</v>
      </c>
      <c r="S1826" s="5" t="str">
        <f aca="false">IF(O1826&lt;='Tree rules'!$C$4,IF(N1826&lt;='Tree rules'!$C$5,IF(P1826&lt;='Tree rules'!$C$6,"Monitor","Polymer laminate"),IF(P1826&lt;='Tree rules'!$C$7,"Seal cracks","Polymer laminate")),IF(O1826&lt;='Tree rules'!$C$8,IF(M1826&lt;='Tree rules'!$C$9,"Steel plate or jacket","Polymer laminate"),IF(L1826&lt;='Tree rules'!$C$10,"Steel plate or jacket","Polymer laminate")))</f>
        <v>Polymer laminate</v>
      </c>
      <c r="T1826" s="5" t="str">
        <f aca="false">IF(S1826=R1826,"Yes","No")</f>
        <v>Yes</v>
      </c>
    </row>
    <row r="1827" customFormat="false" ht="15" hidden="false" customHeight="false" outlineLevel="0" collapsed="false">
      <c r="A1827" s="15" t="n">
        <v>2612</v>
      </c>
      <c r="B1827" s="16" t="n">
        <v>6.90931148768215</v>
      </c>
      <c r="C1827" s="15" t="n">
        <v>230</v>
      </c>
      <c r="D1827" s="15" t="n">
        <v>525</v>
      </c>
      <c r="E1827" s="15" t="n">
        <v>30</v>
      </c>
      <c r="F1827" s="16" t="n">
        <v>0.57270853223768</v>
      </c>
      <c r="G1827" s="17" t="s">
        <v>89</v>
      </c>
      <c r="H1827" s="18" t="n">
        <v>0.3</v>
      </c>
      <c r="I1827" s="18" t="n">
        <v>1</v>
      </c>
      <c r="J1827" s="19" t="n">
        <v>0.859870320068118</v>
      </c>
      <c r="K1827" s="19" t="n">
        <v>0.616917597122192</v>
      </c>
      <c r="L1827" s="16" t="n">
        <v>14.4849297435684</v>
      </c>
      <c r="M1827" s="19" t="n">
        <v>0.946250160819302</v>
      </c>
      <c r="N1827" s="19" t="n">
        <v>0.70900589392366</v>
      </c>
      <c r="O1827" s="19" t="n">
        <v>0.859870320068118</v>
      </c>
      <c r="P1827" s="19" t="n">
        <v>0.366951431669699</v>
      </c>
      <c r="Q1827" s="17" t="s">
        <v>29</v>
      </c>
      <c r="R1827" s="5" t="str">
        <f aca="false">IF(OR(Q1827="Steel plate",Q1827="Concrete jacket"),"Steel plate or jacket",Q1827)</f>
        <v>Monitor</v>
      </c>
      <c r="S1827" s="5" t="str">
        <f aca="false">IF(O1827&lt;='Tree rules'!$C$4,IF(N1827&lt;='Tree rules'!$C$5,IF(P1827&lt;='Tree rules'!$C$6,"Monitor","Polymer laminate"),IF(P1827&lt;='Tree rules'!$C$7,"Seal cracks","Polymer laminate")),IF(O1827&lt;='Tree rules'!$C$8,IF(M1827&lt;='Tree rules'!$C$9,"Steel plate or jacket","Polymer laminate"),IF(L1827&lt;='Tree rules'!$C$10,"Steel plate or jacket","Polymer laminate")))</f>
        <v>Monitor</v>
      </c>
      <c r="T1827" s="5" t="str">
        <f aca="false">IF(S1827=R1827,"Yes","No")</f>
        <v>Yes</v>
      </c>
    </row>
    <row r="1828" customFormat="false" ht="15" hidden="false" customHeight="false" outlineLevel="0" collapsed="false">
      <c r="A1828" s="15" t="n">
        <v>2613</v>
      </c>
      <c r="B1828" s="16" t="n">
        <v>6.44596275350639</v>
      </c>
      <c r="C1828" s="15" t="n">
        <v>230</v>
      </c>
      <c r="D1828" s="15" t="n">
        <v>600</v>
      </c>
      <c r="E1828" s="15" t="n">
        <v>30</v>
      </c>
      <c r="F1828" s="16" t="n">
        <v>0.63117855856144</v>
      </c>
      <c r="G1828" s="17" t="s">
        <v>89</v>
      </c>
      <c r="H1828" s="18" t="n">
        <v>0.3</v>
      </c>
      <c r="I1828" s="18" t="n">
        <v>1.5</v>
      </c>
      <c r="J1828" s="19" t="n">
        <v>0.94276392268784</v>
      </c>
      <c r="K1828" s="19" t="n">
        <v>0.441410740167749</v>
      </c>
      <c r="L1828" s="16" t="n">
        <v>11.6353118294339</v>
      </c>
      <c r="M1828" s="19" t="n">
        <v>0.882556439388379</v>
      </c>
      <c r="N1828" s="19" t="n">
        <v>0.735747947238001</v>
      </c>
      <c r="O1828" s="19" t="n">
        <v>1.20607282357322</v>
      </c>
      <c r="P1828" s="19" t="n">
        <v>0.38659849234753</v>
      </c>
      <c r="Q1828" s="17" t="s">
        <v>31</v>
      </c>
      <c r="R1828" s="5" t="str">
        <f aca="false">IF(OR(Q1828="Steel plate",Q1828="Concrete jacket"),"Steel plate or jacket",Q1828)</f>
        <v>Polymer laminate</v>
      </c>
      <c r="S1828" s="5" t="str">
        <f aca="false">IF(O1828&lt;='Tree rules'!$C$4,IF(N1828&lt;='Tree rules'!$C$5,IF(P1828&lt;='Tree rules'!$C$6,"Monitor","Polymer laminate"),IF(P1828&lt;='Tree rules'!$C$7,"Seal cracks","Polymer laminate")),IF(O1828&lt;='Tree rules'!$C$8,IF(M1828&lt;='Tree rules'!$C$9,"Steel plate or jacket","Polymer laminate"),IF(L1828&lt;='Tree rules'!$C$10,"Steel plate or jacket","Polymer laminate")))</f>
        <v>Polymer laminate</v>
      </c>
      <c r="T1828" s="5" t="str">
        <f aca="false">IF(S1828=R1828,"Yes","No")</f>
        <v>Yes</v>
      </c>
    </row>
    <row r="1829" customFormat="false" ht="15" hidden="false" customHeight="false" outlineLevel="0" collapsed="false">
      <c r="A1829" s="15" t="n">
        <v>2615</v>
      </c>
      <c r="B1829" s="16" t="n">
        <v>3.0353841469689</v>
      </c>
      <c r="C1829" s="15" t="n">
        <v>300</v>
      </c>
      <c r="D1829" s="15" t="n">
        <v>300</v>
      </c>
      <c r="E1829" s="15" t="n">
        <v>30</v>
      </c>
      <c r="F1829" s="16" t="n">
        <v>0.841263304726974</v>
      </c>
      <c r="G1829" s="17" t="s">
        <v>90</v>
      </c>
      <c r="H1829" s="18" t="n">
        <v>0.1</v>
      </c>
      <c r="I1829" s="18" t="n">
        <v>1</v>
      </c>
      <c r="J1829" s="19" t="n">
        <v>0.98980692016432</v>
      </c>
      <c r="K1829" s="19" t="n">
        <v>0.536966221616037</v>
      </c>
      <c r="L1829" s="16" t="n">
        <v>12.7003520793678</v>
      </c>
      <c r="M1829" s="19" t="n">
        <v>0.921056744917469</v>
      </c>
      <c r="N1829" s="19" t="n">
        <v>2.92453068948388</v>
      </c>
      <c r="O1829" s="19" t="n">
        <v>0.98980692016432</v>
      </c>
      <c r="P1829" s="19" t="n">
        <v>0.337779595463008</v>
      </c>
      <c r="Q1829" s="17" t="s">
        <v>30</v>
      </c>
      <c r="R1829" s="5" t="str">
        <f aca="false">IF(OR(Q1829="Steel plate",Q1829="Concrete jacket"),"Steel plate or jacket",Q1829)</f>
        <v>Seal cracks</v>
      </c>
      <c r="S1829" s="5" t="str">
        <f aca="false">IF(O1829&lt;='Tree rules'!$C$4,IF(N1829&lt;='Tree rules'!$C$5,IF(P1829&lt;='Tree rules'!$C$6,"Monitor","Polymer laminate"),IF(P1829&lt;='Tree rules'!$C$7,"Seal cracks","Polymer laminate")),IF(O1829&lt;='Tree rules'!$C$8,IF(M1829&lt;='Tree rules'!$C$9,"Steel plate or jacket","Polymer laminate"),IF(L1829&lt;='Tree rules'!$C$10,"Steel plate or jacket","Polymer laminate")))</f>
        <v>Seal cracks</v>
      </c>
      <c r="T1829" s="5" t="str">
        <f aca="false">IF(S1829=R1829,"Yes","No")</f>
        <v>Yes</v>
      </c>
    </row>
    <row r="1830" customFormat="false" ht="15" hidden="false" customHeight="false" outlineLevel="0" collapsed="false">
      <c r="A1830" s="15" t="n">
        <v>2618</v>
      </c>
      <c r="B1830" s="16" t="n">
        <v>3.48559401684463</v>
      </c>
      <c r="C1830" s="15" t="n">
        <v>300</v>
      </c>
      <c r="D1830" s="15" t="n">
        <v>300</v>
      </c>
      <c r="E1830" s="15" t="n">
        <v>30</v>
      </c>
      <c r="F1830" s="16" t="n">
        <v>0.831109167616348</v>
      </c>
      <c r="G1830" s="17" t="s">
        <v>89</v>
      </c>
      <c r="H1830" s="18" t="n">
        <v>0.3</v>
      </c>
      <c r="I1830" s="18" t="n">
        <v>2</v>
      </c>
      <c r="J1830" s="19" t="n">
        <v>0.897630849540242</v>
      </c>
      <c r="K1830" s="19" t="n">
        <v>0.59056445880789</v>
      </c>
      <c r="L1830" s="16" t="n">
        <v>13.831722289066</v>
      </c>
      <c r="M1830" s="19" t="n">
        <v>0.689313306261809</v>
      </c>
      <c r="N1830" s="19" t="n">
        <v>1.3853176925244</v>
      </c>
      <c r="O1830" s="19" t="n">
        <v>1.26515282221248</v>
      </c>
      <c r="P1830" s="19" t="n">
        <v>0.615264320139169</v>
      </c>
      <c r="Q1830" s="17" t="s">
        <v>31</v>
      </c>
      <c r="R1830" s="5" t="str">
        <f aca="false">IF(OR(Q1830="Steel plate",Q1830="Concrete jacket"),"Steel plate or jacket",Q1830)</f>
        <v>Polymer laminate</v>
      </c>
      <c r="S1830" s="5" t="str">
        <f aca="false">IF(O1830&lt;='Tree rules'!$C$4,IF(N1830&lt;='Tree rules'!$C$5,IF(P1830&lt;='Tree rules'!$C$6,"Monitor","Polymer laminate"),IF(P1830&lt;='Tree rules'!$C$7,"Seal cracks","Polymer laminate")),IF(O1830&lt;='Tree rules'!$C$8,IF(M1830&lt;='Tree rules'!$C$9,"Steel plate or jacket","Polymer laminate"),IF(L1830&lt;='Tree rules'!$C$10,"Steel plate or jacket","Polymer laminate")))</f>
        <v>Polymer laminate</v>
      </c>
      <c r="T1830" s="5" t="str">
        <f aca="false">IF(S1830=R1830,"Yes","No")</f>
        <v>Yes</v>
      </c>
    </row>
    <row r="1831" customFormat="false" ht="15" hidden="false" customHeight="false" outlineLevel="0" collapsed="false">
      <c r="A1831" s="15" t="n">
        <v>2619</v>
      </c>
      <c r="B1831" s="16" t="n">
        <v>3.84602587156756</v>
      </c>
      <c r="C1831" s="15" t="n">
        <v>230</v>
      </c>
      <c r="D1831" s="15" t="n">
        <v>375</v>
      </c>
      <c r="E1831" s="15" t="n">
        <v>25</v>
      </c>
      <c r="F1831" s="16" t="n">
        <v>0.797126720614828</v>
      </c>
      <c r="G1831" s="17" t="s">
        <v>91</v>
      </c>
      <c r="H1831" s="18" t="n">
        <v>0.2</v>
      </c>
      <c r="I1831" s="18" t="n">
        <v>2</v>
      </c>
      <c r="J1831" s="19" t="n">
        <v>0.959657839492753</v>
      </c>
      <c r="K1831" s="19" t="n">
        <v>0.488668492738501</v>
      </c>
      <c r="L1831" s="16" t="n">
        <v>11.6900482418467</v>
      </c>
      <c r="M1831" s="19" t="n">
        <v>0.933754128706142</v>
      </c>
      <c r="N1831" s="19" t="n">
        <v>1.54088771303153</v>
      </c>
      <c r="O1831" s="19" t="n">
        <v>1.4503611290159</v>
      </c>
      <c r="P1831" s="19" t="n">
        <v>0.471974274319913</v>
      </c>
      <c r="Q1831" s="17" t="s">
        <v>31</v>
      </c>
      <c r="R1831" s="5" t="str">
        <f aca="false">IF(OR(Q1831="Steel plate",Q1831="Concrete jacket"),"Steel plate or jacket",Q1831)</f>
        <v>Polymer laminate</v>
      </c>
      <c r="S1831" s="5" t="str">
        <f aca="false">IF(O1831&lt;='Tree rules'!$C$4,IF(N1831&lt;='Tree rules'!$C$5,IF(P1831&lt;='Tree rules'!$C$6,"Monitor","Polymer laminate"),IF(P1831&lt;='Tree rules'!$C$7,"Seal cracks","Polymer laminate")),IF(O1831&lt;='Tree rules'!$C$8,IF(M1831&lt;='Tree rules'!$C$9,"Steel plate or jacket","Polymer laminate"),IF(L1831&lt;='Tree rules'!$C$10,"Steel plate or jacket","Polymer laminate")))</f>
        <v>Steel plate or jacket</v>
      </c>
      <c r="T1831" s="5" t="str">
        <f aca="false">IF(S1831=R1831,"Yes","No")</f>
        <v>No</v>
      </c>
    </row>
    <row r="1832" customFormat="false" ht="15" hidden="false" customHeight="false" outlineLevel="0" collapsed="false">
      <c r="A1832" s="15" t="n">
        <v>2620</v>
      </c>
      <c r="B1832" s="16" t="n">
        <v>6.5939138527877</v>
      </c>
      <c r="C1832" s="15" t="n">
        <v>300</v>
      </c>
      <c r="D1832" s="15" t="n">
        <v>550</v>
      </c>
      <c r="E1832" s="15" t="n">
        <v>30</v>
      </c>
      <c r="F1832" s="16" t="n">
        <v>0.797864800911693</v>
      </c>
      <c r="G1832" s="17" t="s">
        <v>89</v>
      </c>
      <c r="H1832" s="18" t="n">
        <v>0.3</v>
      </c>
      <c r="I1832" s="18" t="n">
        <v>1.5</v>
      </c>
      <c r="J1832" s="19" t="n">
        <v>0.870811331319064</v>
      </c>
      <c r="K1832" s="19" t="n">
        <v>0.475247257038031</v>
      </c>
      <c r="L1832" s="16" t="n">
        <v>13.0831624063248</v>
      </c>
      <c r="M1832" s="19" t="n">
        <v>0.948887879635044</v>
      </c>
      <c r="N1832" s="19" t="n">
        <v>0.655864271329126</v>
      </c>
      <c r="O1832" s="19" t="n">
        <v>1.09929164867509</v>
      </c>
      <c r="P1832" s="19" t="n">
        <v>0.459236024769289</v>
      </c>
      <c r="Q1832" s="17" t="s">
        <v>31</v>
      </c>
      <c r="R1832" s="5" t="str">
        <f aca="false">IF(OR(Q1832="Steel plate",Q1832="Concrete jacket"),"Steel plate or jacket",Q1832)</f>
        <v>Polymer laminate</v>
      </c>
      <c r="S1832" s="5" t="str">
        <f aca="false">IF(O1832&lt;='Tree rules'!$C$4,IF(N1832&lt;='Tree rules'!$C$5,IF(P1832&lt;='Tree rules'!$C$6,"Monitor","Polymer laminate"),IF(P1832&lt;='Tree rules'!$C$7,"Seal cracks","Polymer laminate")),IF(O1832&lt;='Tree rules'!$C$8,IF(M1832&lt;='Tree rules'!$C$9,"Steel plate or jacket","Polymer laminate"),IF(L1832&lt;='Tree rules'!$C$10,"Steel plate or jacket","Polymer laminate")))</f>
        <v>Polymer laminate</v>
      </c>
      <c r="T1832" s="5" t="str">
        <f aca="false">IF(S1832=R1832,"Yes","No")</f>
        <v>Yes</v>
      </c>
    </row>
    <row r="1833" customFormat="false" ht="15" hidden="false" customHeight="false" outlineLevel="0" collapsed="false">
      <c r="A1833" s="15" t="n">
        <v>2623</v>
      </c>
      <c r="B1833" s="16" t="n">
        <v>5.64487538823438</v>
      </c>
      <c r="C1833" s="15" t="n">
        <v>230</v>
      </c>
      <c r="D1833" s="15" t="n">
        <v>500</v>
      </c>
      <c r="E1833" s="15" t="n">
        <v>30</v>
      </c>
      <c r="F1833" s="16" t="n">
        <v>0.577653504586516</v>
      </c>
      <c r="G1833" s="17" t="s">
        <v>89</v>
      </c>
      <c r="H1833" s="18" t="n">
        <v>0.3</v>
      </c>
      <c r="I1833" s="18" t="n">
        <v>1</v>
      </c>
      <c r="J1833" s="19" t="n">
        <v>0.934122387501052</v>
      </c>
      <c r="K1833" s="19" t="n">
        <v>0.443165373833292</v>
      </c>
      <c r="L1833" s="16" t="n">
        <v>12.4336462295911</v>
      </c>
      <c r="M1833" s="19" t="n">
        <v>0.674957091814745</v>
      </c>
      <c r="N1833" s="19" t="n">
        <v>0.641222818834749</v>
      </c>
      <c r="O1833" s="19" t="n">
        <v>0.934122387501052</v>
      </c>
      <c r="P1833" s="19" t="n">
        <v>0.400293596606932</v>
      </c>
      <c r="Q1833" s="17" t="s">
        <v>29</v>
      </c>
      <c r="R1833" s="5" t="str">
        <f aca="false">IF(OR(Q1833="Steel plate",Q1833="Concrete jacket"),"Steel plate or jacket",Q1833)</f>
        <v>Monitor</v>
      </c>
      <c r="S1833" s="5" t="str">
        <f aca="false">IF(O1833&lt;='Tree rules'!$C$4,IF(N1833&lt;='Tree rules'!$C$5,IF(P1833&lt;='Tree rules'!$C$6,"Monitor","Polymer laminate"),IF(P1833&lt;='Tree rules'!$C$7,"Seal cracks","Polymer laminate")),IF(O1833&lt;='Tree rules'!$C$8,IF(M1833&lt;='Tree rules'!$C$9,"Steel plate or jacket","Polymer laminate"),IF(L1833&lt;='Tree rules'!$C$10,"Steel plate or jacket","Polymer laminate")))</f>
        <v>Monitor</v>
      </c>
      <c r="T1833" s="5" t="str">
        <f aca="false">IF(S1833=R1833,"Yes","No")</f>
        <v>Yes</v>
      </c>
    </row>
    <row r="1834" customFormat="false" ht="15" hidden="false" customHeight="false" outlineLevel="0" collapsed="false">
      <c r="A1834" s="15" t="n">
        <v>2626</v>
      </c>
      <c r="B1834" s="16" t="n">
        <v>3.90679107861586</v>
      </c>
      <c r="C1834" s="15" t="n">
        <v>300</v>
      </c>
      <c r="D1834" s="15" t="n">
        <v>350</v>
      </c>
      <c r="E1834" s="15" t="n">
        <v>30</v>
      </c>
      <c r="F1834" s="16" t="n">
        <v>0.647751062595834</v>
      </c>
      <c r="G1834" s="17" t="s">
        <v>90</v>
      </c>
      <c r="H1834" s="18" t="n">
        <v>0.1</v>
      </c>
      <c r="I1834" s="18" t="n">
        <v>1</v>
      </c>
      <c r="J1834" s="19" t="n">
        <v>0.911705344727025</v>
      </c>
      <c r="K1834" s="19" t="n">
        <v>0.589362839638938</v>
      </c>
      <c r="L1834" s="16" t="n">
        <v>13.4253988955872</v>
      </c>
      <c r="M1834" s="19" t="n">
        <v>0.649352962121721</v>
      </c>
      <c r="N1834" s="19" t="n">
        <v>2.45001693608602</v>
      </c>
      <c r="O1834" s="19" t="n">
        <v>0.911705344727025</v>
      </c>
      <c r="P1834" s="19" t="n">
        <v>0.424892516667919</v>
      </c>
      <c r="Q1834" s="17" t="s">
        <v>30</v>
      </c>
      <c r="R1834" s="5" t="str">
        <f aca="false">IF(OR(Q1834="Steel plate",Q1834="Concrete jacket"),"Steel plate or jacket",Q1834)</f>
        <v>Seal cracks</v>
      </c>
      <c r="S1834" s="5" t="str">
        <f aca="false">IF(O1834&lt;='Tree rules'!$C$4,IF(N1834&lt;='Tree rules'!$C$5,IF(P1834&lt;='Tree rules'!$C$6,"Monitor","Polymer laminate"),IF(P1834&lt;='Tree rules'!$C$7,"Seal cracks","Polymer laminate")),IF(O1834&lt;='Tree rules'!$C$8,IF(M1834&lt;='Tree rules'!$C$9,"Steel plate or jacket","Polymer laminate"),IF(L1834&lt;='Tree rules'!$C$10,"Steel plate or jacket","Polymer laminate")))</f>
        <v>Seal cracks</v>
      </c>
      <c r="T1834" s="5" t="str">
        <f aca="false">IF(S1834=R1834,"Yes","No")</f>
        <v>Yes</v>
      </c>
    </row>
    <row r="1835" customFormat="false" ht="15" hidden="false" customHeight="false" outlineLevel="0" collapsed="false">
      <c r="A1835" s="15" t="n">
        <v>2627</v>
      </c>
      <c r="B1835" s="16" t="n">
        <v>5.61288171557706</v>
      </c>
      <c r="C1835" s="15" t="n">
        <v>300</v>
      </c>
      <c r="D1835" s="15" t="n">
        <v>550</v>
      </c>
      <c r="E1835" s="15" t="n">
        <v>25</v>
      </c>
      <c r="F1835" s="16" t="n">
        <v>0.625815269639401</v>
      </c>
      <c r="G1835" s="17" t="s">
        <v>89</v>
      </c>
      <c r="H1835" s="18" t="n">
        <v>0.3</v>
      </c>
      <c r="I1835" s="18" t="n">
        <v>1.5</v>
      </c>
      <c r="J1835" s="19" t="n">
        <v>0.93292489555133</v>
      </c>
      <c r="K1835" s="19" t="n">
        <v>0.482209791837146</v>
      </c>
      <c r="L1835" s="16" t="n">
        <v>11.1810392740579</v>
      </c>
      <c r="M1835" s="19" t="n">
        <v>0.65205965297025</v>
      </c>
      <c r="N1835" s="19" t="n">
        <v>0.956120978270744</v>
      </c>
      <c r="O1835" s="19" t="n">
        <v>1.17445458348525</v>
      </c>
      <c r="P1835" s="19" t="n">
        <v>0.505701487708901</v>
      </c>
      <c r="Q1835" s="17" t="s">
        <v>31</v>
      </c>
      <c r="R1835" s="5" t="str">
        <f aca="false">IF(OR(Q1835="Steel plate",Q1835="Concrete jacket"),"Steel plate or jacket",Q1835)</f>
        <v>Polymer laminate</v>
      </c>
      <c r="S1835" s="5" t="str">
        <f aca="false">IF(O1835&lt;='Tree rules'!$C$4,IF(N1835&lt;='Tree rules'!$C$5,IF(P1835&lt;='Tree rules'!$C$6,"Monitor","Polymer laminate"),IF(P1835&lt;='Tree rules'!$C$7,"Seal cracks","Polymer laminate")),IF(O1835&lt;='Tree rules'!$C$8,IF(M1835&lt;='Tree rules'!$C$9,"Steel plate or jacket","Polymer laminate"),IF(L1835&lt;='Tree rules'!$C$10,"Steel plate or jacket","Polymer laminate")))</f>
        <v>Polymer laminate</v>
      </c>
      <c r="T1835" s="5" t="str">
        <f aca="false">IF(S1835=R1835,"Yes","No")</f>
        <v>Yes</v>
      </c>
    </row>
    <row r="1836" customFormat="false" ht="15" hidden="false" customHeight="false" outlineLevel="0" collapsed="false">
      <c r="A1836" s="15" t="n">
        <v>2628</v>
      </c>
      <c r="B1836" s="16" t="n">
        <v>4.61315798083733</v>
      </c>
      <c r="C1836" s="15" t="n">
        <v>300</v>
      </c>
      <c r="D1836" s="15" t="n">
        <v>450</v>
      </c>
      <c r="E1836" s="15" t="n">
        <v>25</v>
      </c>
      <c r="F1836" s="16" t="n">
        <v>0.829463406888394</v>
      </c>
      <c r="G1836" s="17" t="s">
        <v>89</v>
      </c>
      <c r="H1836" s="18" t="n">
        <v>0.3</v>
      </c>
      <c r="I1836" s="18" t="n">
        <v>1</v>
      </c>
      <c r="J1836" s="19" t="n">
        <v>0.995825123536677</v>
      </c>
      <c r="K1836" s="19" t="n">
        <v>0.424533739813667</v>
      </c>
      <c r="L1836" s="16" t="n">
        <v>11.4187078733597</v>
      </c>
      <c r="M1836" s="19" t="n">
        <v>0.839883562725936</v>
      </c>
      <c r="N1836" s="19" t="n">
        <v>0.628641197845454</v>
      </c>
      <c r="O1836" s="19" t="n">
        <v>0.995825123536677</v>
      </c>
      <c r="P1836" s="19" t="n">
        <v>0.438123382364237</v>
      </c>
      <c r="Q1836" s="17" t="s">
        <v>29</v>
      </c>
      <c r="R1836" s="5" t="str">
        <f aca="false">IF(OR(Q1836="Steel plate",Q1836="Concrete jacket"),"Steel plate or jacket",Q1836)</f>
        <v>Monitor</v>
      </c>
      <c r="S1836" s="5" t="str">
        <f aca="false">IF(O1836&lt;='Tree rules'!$C$4,IF(N1836&lt;='Tree rules'!$C$5,IF(P1836&lt;='Tree rules'!$C$6,"Monitor","Polymer laminate"),IF(P1836&lt;='Tree rules'!$C$7,"Seal cracks","Polymer laminate")),IF(O1836&lt;='Tree rules'!$C$8,IF(M1836&lt;='Tree rules'!$C$9,"Steel plate or jacket","Polymer laminate"),IF(L1836&lt;='Tree rules'!$C$10,"Steel plate or jacket","Polymer laminate")))</f>
        <v>Monitor</v>
      </c>
      <c r="T1836" s="5" t="str">
        <f aca="false">IF(S1836=R1836,"Yes","No")</f>
        <v>Yes</v>
      </c>
    </row>
    <row r="1837" customFormat="false" ht="15" hidden="false" customHeight="false" outlineLevel="0" collapsed="false">
      <c r="A1837" s="15" t="n">
        <v>2629</v>
      </c>
      <c r="B1837" s="16" t="n">
        <v>6.54083566310304</v>
      </c>
      <c r="C1837" s="15" t="n">
        <v>230</v>
      </c>
      <c r="D1837" s="15" t="n">
        <v>600</v>
      </c>
      <c r="E1837" s="15" t="n">
        <v>25</v>
      </c>
      <c r="F1837" s="16" t="n">
        <v>0.742342309449384</v>
      </c>
      <c r="G1837" s="17" t="s">
        <v>89</v>
      </c>
      <c r="H1837" s="18" t="n">
        <v>0.3</v>
      </c>
      <c r="I1837" s="18" t="n">
        <v>1</v>
      </c>
      <c r="J1837" s="19" t="n">
        <v>0.851775510271809</v>
      </c>
      <c r="K1837" s="19" t="n">
        <v>0.573186446710776</v>
      </c>
      <c r="L1837" s="16" t="n">
        <v>11.8493399693896</v>
      </c>
      <c r="M1837" s="19" t="n">
        <v>0.948462915749537</v>
      </c>
      <c r="N1837" s="19" t="n">
        <v>0.535398875080582</v>
      </c>
      <c r="O1837" s="19" t="n">
        <v>0.851775510271809</v>
      </c>
      <c r="P1837" s="19" t="n">
        <v>0.391449709592502</v>
      </c>
      <c r="Q1837" s="17" t="s">
        <v>29</v>
      </c>
      <c r="R1837" s="5" t="str">
        <f aca="false">IF(OR(Q1837="Steel plate",Q1837="Concrete jacket"),"Steel plate or jacket",Q1837)</f>
        <v>Monitor</v>
      </c>
      <c r="S1837" s="5" t="str">
        <f aca="false">IF(O1837&lt;='Tree rules'!$C$4,IF(N1837&lt;='Tree rules'!$C$5,IF(P1837&lt;='Tree rules'!$C$6,"Monitor","Polymer laminate"),IF(P1837&lt;='Tree rules'!$C$7,"Seal cracks","Polymer laminate")),IF(O1837&lt;='Tree rules'!$C$8,IF(M1837&lt;='Tree rules'!$C$9,"Steel plate or jacket","Polymer laminate"),IF(L1837&lt;='Tree rules'!$C$10,"Steel plate or jacket","Polymer laminate")))</f>
        <v>Monitor</v>
      </c>
      <c r="T1837" s="5" t="str">
        <f aca="false">IF(S1837=R1837,"Yes","No")</f>
        <v>Yes</v>
      </c>
    </row>
    <row r="1838" customFormat="false" ht="15" hidden="false" customHeight="false" outlineLevel="0" collapsed="false">
      <c r="A1838" s="15" t="n">
        <v>2630</v>
      </c>
      <c r="B1838" s="16" t="n">
        <v>3.28340918165037</v>
      </c>
      <c r="C1838" s="15" t="n">
        <v>300</v>
      </c>
      <c r="D1838" s="15" t="n">
        <v>300</v>
      </c>
      <c r="E1838" s="15" t="n">
        <v>25</v>
      </c>
      <c r="F1838" s="16" t="n">
        <v>0.589048622548086</v>
      </c>
      <c r="G1838" s="17" t="s">
        <v>89</v>
      </c>
      <c r="H1838" s="18" t="n">
        <v>0.3</v>
      </c>
      <c r="I1838" s="18" t="n">
        <v>1</v>
      </c>
      <c r="J1838" s="19" t="n">
        <v>0.975199269635851</v>
      </c>
      <c r="K1838" s="19" t="n">
        <v>0.481263184321109</v>
      </c>
      <c r="L1838" s="16" t="n">
        <v>12.8258171158218</v>
      </c>
      <c r="M1838" s="19" t="n">
        <v>0.271440302175128</v>
      </c>
      <c r="N1838" s="19" t="n">
        <v>0.765067684878197</v>
      </c>
      <c r="O1838" s="19" t="n">
        <v>0.975199269635851</v>
      </c>
      <c r="P1838" s="19" t="n">
        <v>0.936529590369375</v>
      </c>
      <c r="Q1838" s="17" t="s">
        <v>29</v>
      </c>
      <c r="R1838" s="5" t="str">
        <f aca="false">IF(OR(Q1838="Steel plate",Q1838="Concrete jacket"),"Steel plate or jacket",Q1838)</f>
        <v>Monitor</v>
      </c>
      <c r="S1838" s="5" t="str">
        <f aca="false">IF(O1838&lt;='Tree rules'!$C$4,IF(N1838&lt;='Tree rules'!$C$5,IF(P1838&lt;='Tree rules'!$C$6,"Monitor","Polymer laminate"),IF(P1838&lt;='Tree rules'!$C$7,"Seal cracks","Polymer laminate")),IF(O1838&lt;='Tree rules'!$C$8,IF(M1838&lt;='Tree rules'!$C$9,"Steel plate or jacket","Polymer laminate"),IF(L1838&lt;='Tree rules'!$C$10,"Steel plate or jacket","Polymer laminate")))</f>
        <v>Monitor</v>
      </c>
      <c r="T1838" s="5" t="str">
        <f aca="false">IF(S1838=R1838,"Yes","No")</f>
        <v>Yes</v>
      </c>
    </row>
    <row r="1839" customFormat="false" ht="15" hidden="false" customHeight="false" outlineLevel="0" collapsed="false">
      <c r="A1839" s="15" t="n">
        <v>2631</v>
      </c>
      <c r="B1839" s="16" t="n">
        <v>4.63103190850149</v>
      </c>
      <c r="C1839" s="15" t="n">
        <v>300</v>
      </c>
      <c r="D1839" s="15" t="n">
        <v>375</v>
      </c>
      <c r="E1839" s="15" t="n">
        <v>25</v>
      </c>
      <c r="F1839" s="16" t="n">
        <v>0.611130485804701</v>
      </c>
      <c r="G1839" s="17" t="s">
        <v>89</v>
      </c>
      <c r="H1839" s="18" t="n">
        <v>0.3</v>
      </c>
      <c r="I1839" s="18" t="n">
        <v>1</v>
      </c>
      <c r="J1839" s="19" t="n">
        <v>0.974349738821934</v>
      </c>
      <c r="K1839" s="19" t="n">
        <v>0.44262758415165</v>
      </c>
      <c r="L1839" s="16" t="n">
        <v>14.076084828272</v>
      </c>
      <c r="M1839" s="19" t="n">
        <v>0.425235661973342</v>
      </c>
      <c r="N1839" s="19" t="n">
        <v>0.834202909294837</v>
      </c>
      <c r="O1839" s="19" t="n">
        <v>0.974349738821934</v>
      </c>
      <c r="P1839" s="19" t="n">
        <v>0.730853590990936</v>
      </c>
      <c r="Q1839" s="17" t="s">
        <v>29</v>
      </c>
      <c r="R1839" s="5" t="str">
        <f aca="false">IF(OR(Q1839="Steel plate",Q1839="Concrete jacket"),"Steel plate or jacket",Q1839)</f>
        <v>Monitor</v>
      </c>
      <c r="S1839" s="5" t="str">
        <f aca="false">IF(O1839&lt;='Tree rules'!$C$4,IF(N1839&lt;='Tree rules'!$C$5,IF(P1839&lt;='Tree rules'!$C$6,"Monitor","Polymer laminate"),IF(P1839&lt;='Tree rules'!$C$7,"Seal cracks","Polymer laminate")),IF(O1839&lt;='Tree rules'!$C$8,IF(M1839&lt;='Tree rules'!$C$9,"Steel plate or jacket","Polymer laminate"),IF(L1839&lt;='Tree rules'!$C$10,"Steel plate or jacket","Polymer laminate")))</f>
        <v>Monitor</v>
      </c>
      <c r="T1839" s="5" t="str">
        <f aca="false">IF(S1839=R1839,"Yes","No")</f>
        <v>Yes</v>
      </c>
    </row>
    <row r="1840" customFormat="false" ht="15" hidden="false" customHeight="false" outlineLevel="0" collapsed="false">
      <c r="A1840" s="15" t="n">
        <v>2634</v>
      </c>
      <c r="B1840" s="16" t="n">
        <v>3.43357787815741</v>
      </c>
      <c r="C1840" s="15" t="n">
        <v>230</v>
      </c>
      <c r="D1840" s="15" t="n">
        <v>325</v>
      </c>
      <c r="E1840" s="15" t="n">
        <v>25</v>
      </c>
      <c r="F1840" s="16" t="n">
        <v>0.699968036696473</v>
      </c>
      <c r="G1840" s="17" t="s">
        <v>91</v>
      </c>
      <c r="H1840" s="18" t="n">
        <v>0.2</v>
      </c>
      <c r="I1840" s="18" t="n">
        <v>2</v>
      </c>
      <c r="J1840" s="19" t="n">
        <v>0.958678621500039</v>
      </c>
      <c r="K1840" s="19" t="n">
        <v>0.417176471124934</v>
      </c>
      <c r="L1840" s="16" t="n">
        <v>12.2191383564321</v>
      </c>
      <c r="M1840" s="19" t="n">
        <v>0.646112430404547</v>
      </c>
      <c r="N1840" s="19" t="n">
        <v>1.55299613770327</v>
      </c>
      <c r="O1840" s="19" t="n">
        <v>1.51741907873978</v>
      </c>
      <c r="P1840" s="19" t="n">
        <v>0.579974542983531</v>
      </c>
      <c r="Q1840" s="17" t="s">
        <v>31</v>
      </c>
      <c r="R1840" s="5" t="str">
        <f aca="false">IF(OR(Q1840="Steel plate",Q1840="Concrete jacket"),"Steel plate or jacket",Q1840)</f>
        <v>Polymer laminate</v>
      </c>
      <c r="S1840" s="5" t="str">
        <f aca="false">IF(O1840&lt;='Tree rules'!$C$4,IF(N1840&lt;='Tree rules'!$C$5,IF(P1840&lt;='Tree rules'!$C$6,"Monitor","Polymer laminate"),IF(P1840&lt;='Tree rules'!$C$7,"Seal cracks","Polymer laminate")),IF(O1840&lt;='Tree rules'!$C$8,IF(M1840&lt;='Tree rules'!$C$9,"Steel plate or jacket","Polymer laminate"),IF(L1840&lt;='Tree rules'!$C$10,"Steel plate or jacket","Polymer laminate")))</f>
        <v>Steel plate or jacket</v>
      </c>
      <c r="T1840" s="5" t="str">
        <f aca="false">IF(S1840=R1840,"Yes","No")</f>
        <v>No</v>
      </c>
    </row>
    <row r="1841" customFormat="false" ht="15" hidden="false" customHeight="false" outlineLevel="0" collapsed="false">
      <c r="A1841" s="15" t="n">
        <v>2637</v>
      </c>
      <c r="B1841" s="16" t="n">
        <v>4.65277822539664</v>
      </c>
      <c r="C1841" s="15" t="n">
        <v>300</v>
      </c>
      <c r="D1841" s="15" t="n">
        <v>400</v>
      </c>
      <c r="E1841" s="15" t="n">
        <v>20</v>
      </c>
      <c r="F1841" s="16" t="n">
        <v>0.567971553191375</v>
      </c>
      <c r="G1841" s="17" t="s">
        <v>89</v>
      </c>
      <c r="H1841" s="18" t="n">
        <v>0.3</v>
      </c>
      <c r="I1841" s="18" t="n">
        <v>2</v>
      </c>
      <c r="J1841" s="19" t="n">
        <v>0.906789848543014</v>
      </c>
      <c r="K1841" s="19" t="n">
        <v>0.508450260280661</v>
      </c>
      <c r="L1841" s="16" t="n">
        <v>13.1434413146798</v>
      </c>
      <c r="M1841" s="19" t="n">
        <v>0.504032116966274</v>
      </c>
      <c r="N1841" s="19" t="n">
        <v>1.14334600875438</v>
      </c>
      <c r="O1841" s="19" t="n">
        <v>1.35252216257447</v>
      </c>
      <c r="P1841" s="19" t="n">
        <v>0.752540938642115</v>
      </c>
      <c r="Q1841" s="17" t="s">
        <v>31</v>
      </c>
      <c r="R1841" s="5" t="str">
        <f aca="false">IF(OR(Q1841="Steel plate",Q1841="Concrete jacket"),"Steel plate or jacket",Q1841)</f>
        <v>Polymer laminate</v>
      </c>
      <c r="S1841" s="5" t="str">
        <f aca="false">IF(O1841&lt;='Tree rules'!$C$4,IF(N1841&lt;='Tree rules'!$C$5,IF(P1841&lt;='Tree rules'!$C$6,"Monitor","Polymer laminate"),IF(P1841&lt;='Tree rules'!$C$7,"Seal cracks","Polymer laminate")),IF(O1841&lt;='Tree rules'!$C$8,IF(M1841&lt;='Tree rules'!$C$9,"Steel plate or jacket","Polymer laminate"),IF(L1841&lt;='Tree rules'!$C$10,"Steel plate or jacket","Polymer laminate")))</f>
        <v>Polymer laminate</v>
      </c>
      <c r="T1841" s="5" t="str">
        <f aca="false">IF(S1841=R1841,"Yes","No")</f>
        <v>Yes</v>
      </c>
    </row>
    <row r="1842" customFormat="false" ht="15" hidden="false" customHeight="false" outlineLevel="0" collapsed="false">
      <c r="A1842" s="15" t="n">
        <v>2638</v>
      </c>
      <c r="B1842" s="16" t="n">
        <v>6.80959114652781</v>
      </c>
      <c r="C1842" s="15" t="n">
        <v>230</v>
      </c>
      <c r="D1842" s="15" t="n">
        <v>600</v>
      </c>
      <c r="E1842" s="15" t="n">
        <v>20</v>
      </c>
      <c r="F1842" s="16" t="n">
        <v>0.742342309449384</v>
      </c>
      <c r="G1842" s="17" t="s">
        <v>91</v>
      </c>
      <c r="H1842" s="18" t="n">
        <v>0.2</v>
      </c>
      <c r="I1842" s="18" t="n">
        <v>1.5</v>
      </c>
      <c r="J1842" s="19" t="n">
        <v>0.88820559251162</v>
      </c>
      <c r="K1842" s="19" t="n">
        <v>0.553047463470022</v>
      </c>
      <c r="L1842" s="16" t="n">
        <v>12.3362158451591</v>
      </c>
      <c r="M1842" s="19" t="n">
        <v>0.36507167189173</v>
      </c>
      <c r="N1842" s="19" t="n">
        <v>1.16367150493219</v>
      </c>
      <c r="O1842" s="19" t="n">
        <v>1.08669846377821</v>
      </c>
      <c r="P1842" s="19" t="n">
        <v>1.17971286441708</v>
      </c>
      <c r="Q1842" s="17" t="s">
        <v>31</v>
      </c>
      <c r="R1842" s="5" t="str">
        <f aca="false">IF(OR(Q1842="Steel plate",Q1842="Concrete jacket"),"Steel plate or jacket",Q1842)</f>
        <v>Polymer laminate</v>
      </c>
      <c r="S1842" s="5" t="str">
        <f aca="false">IF(O1842&lt;='Tree rules'!$C$4,IF(N1842&lt;='Tree rules'!$C$5,IF(P1842&lt;='Tree rules'!$C$6,"Monitor","Polymer laminate"),IF(P1842&lt;='Tree rules'!$C$7,"Seal cracks","Polymer laminate")),IF(O1842&lt;='Tree rules'!$C$8,IF(M1842&lt;='Tree rules'!$C$9,"Steel plate or jacket","Polymer laminate"),IF(L1842&lt;='Tree rules'!$C$10,"Steel plate or jacket","Polymer laminate")))</f>
        <v>Polymer laminate</v>
      </c>
      <c r="T1842" s="5" t="str">
        <f aca="false">IF(S1842=R1842,"Yes","No")</f>
        <v>Yes</v>
      </c>
    </row>
    <row r="1843" customFormat="false" ht="15" hidden="false" customHeight="false" outlineLevel="0" collapsed="false">
      <c r="A1843" s="15" t="n">
        <v>2639</v>
      </c>
      <c r="B1843" s="16" t="n">
        <v>3.06675606905416</v>
      </c>
      <c r="C1843" s="15" t="n">
        <v>230</v>
      </c>
      <c r="D1843" s="15" t="n">
        <v>300</v>
      </c>
      <c r="E1843" s="15" t="n">
        <v>25</v>
      </c>
      <c r="F1843" s="16" t="n">
        <v>0.688332522525665</v>
      </c>
      <c r="G1843" s="17" t="s">
        <v>89</v>
      </c>
      <c r="H1843" s="18" t="n">
        <v>0.3</v>
      </c>
      <c r="I1843" s="18" t="n">
        <v>1</v>
      </c>
      <c r="J1843" s="19" t="n">
        <v>0.86677357500604</v>
      </c>
      <c r="K1843" s="19" t="n">
        <v>0.607814913304072</v>
      </c>
      <c r="L1843" s="16" t="n">
        <v>12.0738427915518</v>
      </c>
      <c r="M1843" s="19" t="n">
        <v>0.248846939496619</v>
      </c>
      <c r="N1843" s="19" t="n">
        <v>0.862831305982524</v>
      </c>
      <c r="O1843" s="19" t="n">
        <v>0.86677357500604</v>
      </c>
      <c r="P1843" s="19" t="n">
        <v>1.05480457607375</v>
      </c>
      <c r="Q1843" s="17" t="s">
        <v>31</v>
      </c>
      <c r="R1843" s="5" t="str">
        <f aca="false">IF(OR(Q1843="Steel plate",Q1843="Concrete jacket"),"Steel plate or jacket",Q1843)</f>
        <v>Polymer laminate</v>
      </c>
      <c r="S1843" s="5" t="str">
        <f aca="false">IF(O1843&lt;='Tree rules'!$C$4,IF(N1843&lt;='Tree rules'!$C$5,IF(P1843&lt;='Tree rules'!$C$6,"Monitor","Polymer laminate"),IF(P1843&lt;='Tree rules'!$C$7,"Seal cracks","Polymer laminate")),IF(O1843&lt;='Tree rules'!$C$8,IF(M1843&lt;='Tree rules'!$C$9,"Steel plate or jacket","Polymer laminate"),IF(L1843&lt;='Tree rules'!$C$10,"Steel plate or jacket","Polymer laminate")))</f>
        <v>Polymer laminate</v>
      </c>
      <c r="T1843" s="5" t="str">
        <f aca="false">IF(S1843=R1843,"Yes","No")</f>
        <v>Yes</v>
      </c>
    </row>
    <row r="1844" customFormat="false" ht="15" hidden="false" customHeight="false" outlineLevel="0" collapsed="false">
      <c r="A1844" s="15" t="n">
        <v>2641</v>
      </c>
      <c r="B1844" s="16" t="n">
        <v>4.66417174107196</v>
      </c>
      <c r="C1844" s="15" t="n">
        <v>300</v>
      </c>
      <c r="D1844" s="15" t="n">
        <v>375</v>
      </c>
      <c r="E1844" s="15" t="n">
        <v>30</v>
      </c>
      <c r="F1844" s="16" t="n">
        <v>0.611130485804701</v>
      </c>
      <c r="G1844" s="17" t="s">
        <v>91</v>
      </c>
      <c r="H1844" s="18" t="n">
        <v>0.2</v>
      </c>
      <c r="I1844" s="18" t="n">
        <v>2</v>
      </c>
      <c r="J1844" s="19" t="n">
        <v>0.88924554521301</v>
      </c>
      <c r="K1844" s="19" t="n">
        <v>0.448459095132008</v>
      </c>
      <c r="L1844" s="16" t="n">
        <v>14.1768138026503</v>
      </c>
      <c r="M1844" s="19" t="n">
        <v>0.459464225589139</v>
      </c>
      <c r="N1844" s="19" t="n">
        <v>1.79870177585096</v>
      </c>
      <c r="O1844" s="19" t="n">
        <v>1.37970083786963</v>
      </c>
      <c r="P1844" s="19" t="n">
        <v>0.767513911181297</v>
      </c>
      <c r="Q1844" s="17" t="s">
        <v>31</v>
      </c>
      <c r="R1844" s="5" t="str">
        <f aca="false">IF(OR(Q1844="Steel plate",Q1844="Concrete jacket"),"Steel plate or jacket",Q1844)</f>
        <v>Polymer laminate</v>
      </c>
      <c r="S1844" s="5" t="str">
        <f aca="false">IF(O1844&lt;='Tree rules'!$C$4,IF(N1844&lt;='Tree rules'!$C$5,IF(P1844&lt;='Tree rules'!$C$6,"Monitor","Polymer laminate"),IF(P1844&lt;='Tree rules'!$C$7,"Seal cracks","Polymer laminate")),IF(O1844&lt;='Tree rules'!$C$8,IF(M1844&lt;='Tree rules'!$C$9,"Steel plate or jacket","Polymer laminate"),IF(L1844&lt;='Tree rules'!$C$10,"Steel plate or jacket","Polymer laminate")))</f>
        <v>Polymer laminate</v>
      </c>
      <c r="T1844" s="5" t="str">
        <f aca="false">IF(S1844=R1844,"Yes","No")</f>
        <v>Yes</v>
      </c>
    </row>
    <row r="1845" customFormat="false" ht="15" hidden="false" customHeight="false" outlineLevel="0" collapsed="false">
      <c r="A1845" s="15" t="n">
        <v>2642</v>
      </c>
      <c r="B1845" s="16" t="n">
        <v>3.17652952795896</v>
      </c>
      <c r="C1845" s="15" t="n">
        <v>300</v>
      </c>
      <c r="D1845" s="15" t="n">
        <v>300</v>
      </c>
      <c r="E1845" s="15" t="n">
        <v>20</v>
      </c>
      <c r="F1845" s="16" t="n">
        <v>0.52772160060301</v>
      </c>
      <c r="G1845" s="17" t="s">
        <v>89</v>
      </c>
      <c r="H1845" s="18" t="n">
        <v>0.3</v>
      </c>
      <c r="I1845" s="18" t="n">
        <v>2</v>
      </c>
      <c r="J1845" s="19" t="n">
        <v>0.943825915752757</v>
      </c>
      <c r="K1845" s="19" t="n">
        <v>0.528807734972296</v>
      </c>
      <c r="L1845" s="16" t="n">
        <v>12.5060217636179</v>
      </c>
      <c r="M1845" s="19" t="n">
        <v>0.788119628615567</v>
      </c>
      <c r="N1845" s="19" t="n">
        <v>1.44056291036892</v>
      </c>
      <c r="O1845" s="19" t="n">
        <v>1.38854938678815</v>
      </c>
      <c r="P1845" s="19" t="n">
        <v>0.402300880044534</v>
      </c>
      <c r="Q1845" s="17" t="s">
        <v>31</v>
      </c>
      <c r="R1845" s="5" t="str">
        <f aca="false">IF(OR(Q1845="Steel plate",Q1845="Concrete jacket"),"Steel plate or jacket",Q1845)</f>
        <v>Polymer laminate</v>
      </c>
      <c r="S1845" s="5" t="str">
        <f aca="false">IF(O1845&lt;='Tree rules'!$C$4,IF(N1845&lt;='Tree rules'!$C$5,IF(P1845&lt;='Tree rules'!$C$6,"Monitor","Polymer laminate"),IF(P1845&lt;='Tree rules'!$C$7,"Seal cracks","Polymer laminate")),IF(O1845&lt;='Tree rules'!$C$8,IF(M1845&lt;='Tree rules'!$C$9,"Steel plate or jacket","Polymer laminate"),IF(L1845&lt;='Tree rules'!$C$10,"Steel plate or jacket","Polymer laminate")))</f>
        <v>Steel plate or jacket</v>
      </c>
      <c r="T1845" s="5" t="str">
        <f aca="false">IF(S1845=R1845,"Yes","No")</f>
        <v>No</v>
      </c>
    </row>
    <row r="1846" customFormat="false" ht="15" hidden="false" customHeight="false" outlineLevel="0" collapsed="false">
      <c r="A1846" s="15" t="n">
        <v>2644</v>
      </c>
      <c r="B1846" s="16" t="n">
        <v>6.18869666591438</v>
      </c>
      <c r="C1846" s="15" t="n">
        <v>300</v>
      </c>
      <c r="D1846" s="15" t="n">
        <v>600</v>
      </c>
      <c r="E1846" s="15" t="n">
        <v>25</v>
      </c>
      <c r="F1846" s="16" t="n">
        <v>0.758838805214926</v>
      </c>
      <c r="G1846" s="17" t="s">
        <v>89</v>
      </c>
      <c r="H1846" s="18" t="n">
        <v>0.3</v>
      </c>
      <c r="I1846" s="18" t="n">
        <v>1.5</v>
      </c>
      <c r="J1846" s="19" t="n">
        <v>0.912537999639091</v>
      </c>
      <c r="K1846" s="19" t="n">
        <v>0.557678101758478</v>
      </c>
      <c r="L1846" s="16" t="n">
        <v>11.2114070034681</v>
      </c>
      <c r="M1846" s="19" t="n">
        <v>0.668320197003774</v>
      </c>
      <c r="N1846" s="19" t="n">
        <v>0.766023408691423</v>
      </c>
      <c r="O1846" s="19" t="n">
        <v>1.11435576974803</v>
      </c>
      <c r="P1846" s="19" t="n">
        <v>0.597013639381358</v>
      </c>
      <c r="Q1846" s="17" t="s">
        <v>31</v>
      </c>
      <c r="R1846" s="5" t="str">
        <f aca="false">IF(OR(Q1846="Steel plate",Q1846="Concrete jacket"),"Steel plate or jacket",Q1846)</f>
        <v>Polymer laminate</v>
      </c>
      <c r="S1846" s="5" t="str">
        <f aca="false">IF(O1846&lt;='Tree rules'!$C$4,IF(N1846&lt;='Tree rules'!$C$5,IF(P1846&lt;='Tree rules'!$C$6,"Monitor","Polymer laminate"),IF(P1846&lt;='Tree rules'!$C$7,"Seal cracks","Polymer laminate")),IF(O1846&lt;='Tree rules'!$C$8,IF(M1846&lt;='Tree rules'!$C$9,"Steel plate or jacket","Polymer laminate"),IF(L1846&lt;='Tree rules'!$C$10,"Steel plate or jacket","Polymer laminate")))</f>
        <v>Polymer laminate</v>
      </c>
      <c r="T1846" s="5" t="str">
        <f aca="false">IF(S1846=R1846,"Yes","No")</f>
        <v>Yes</v>
      </c>
    </row>
    <row r="1847" customFormat="false" ht="15" hidden="false" customHeight="false" outlineLevel="0" collapsed="false">
      <c r="A1847" s="15" t="n">
        <v>2645</v>
      </c>
      <c r="B1847" s="16" t="n">
        <v>6.67087685580968</v>
      </c>
      <c r="C1847" s="15" t="n">
        <v>300</v>
      </c>
      <c r="D1847" s="15" t="n">
        <v>625</v>
      </c>
      <c r="E1847" s="15" t="n">
        <v>30</v>
      </c>
      <c r="F1847" s="16" t="n">
        <v>0.559002251528433</v>
      </c>
      <c r="G1847" s="17" t="s">
        <v>90</v>
      </c>
      <c r="H1847" s="18" t="n">
        <v>0.1</v>
      </c>
      <c r="I1847" s="18" t="n">
        <v>1.5</v>
      </c>
      <c r="J1847" s="19" t="n">
        <v>0.965721141195332</v>
      </c>
      <c r="K1847" s="19" t="n">
        <v>0.527707636405078</v>
      </c>
      <c r="L1847" s="16" t="n">
        <v>11.8698876437895</v>
      </c>
      <c r="M1847" s="19" t="n">
        <v>0.242934962032384</v>
      </c>
      <c r="N1847" s="19" t="n">
        <v>3.73695666906558</v>
      </c>
      <c r="O1847" s="19" t="n">
        <v>1.1937725013697</v>
      </c>
      <c r="P1847" s="19" t="n">
        <v>1.17500668617702</v>
      </c>
      <c r="Q1847" s="17" t="s">
        <v>31</v>
      </c>
      <c r="R1847" s="5" t="str">
        <f aca="false">IF(OR(Q1847="Steel plate",Q1847="Concrete jacket"),"Steel plate or jacket",Q1847)</f>
        <v>Polymer laminate</v>
      </c>
      <c r="S1847" s="5" t="str">
        <f aca="false">IF(O1847&lt;='Tree rules'!$C$4,IF(N1847&lt;='Tree rules'!$C$5,IF(P1847&lt;='Tree rules'!$C$6,"Monitor","Polymer laminate"),IF(P1847&lt;='Tree rules'!$C$7,"Seal cracks","Polymer laminate")),IF(O1847&lt;='Tree rules'!$C$8,IF(M1847&lt;='Tree rules'!$C$9,"Steel plate or jacket","Polymer laminate"),IF(L1847&lt;='Tree rules'!$C$10,"Steel plate or jacket","Polymer laminate")))</f>
        <v>Steel plate or jacket</v>
      </c>
      <c r="T1847" s="5" t="str">
        <f aca="false">IF(S1847=R1847,"Yes","No")</f>
        <v>No</v>
      </c>
    </row>
    <row r="1848" customFormat="false" ht="15" hidden="false" customHeight="false" outlineLevel="0" collapsed="false">
      <c r="A1848" s="15" t="n">
        <v>2647</v>
      </c>
      <c r="B1848" s="16" t="n">
        <v>4.11261348835566</v>
      </c>
      <c r="C1848" s="15" t="n">
        <v>300</v>
      </c>
      <c r="D1848" s="15" t="n">
        <v>400</v>
      </c>
      <c r="E1848" s="15" t="n">
        <v>25</v>
      </c>
      <c r="F1848" s="16" t="n">
        <v>0.593103037845861</v>
      </c>
      <c r="G1848" s="17" t="s">
        <v>90</v>
      </c>
      <c r="H1848" s="18" t="n">
        <v>0.1</v>
      </c>
      <c r="I1848" s="18" t="n">
        <v>1</v>
      </c>
      <c r="J1848" s="19" t="n">
        <v>0.960219487822225</v>
      </c>
      <c r="K1848" s="19" t="n">
        <v>0.55771121529861</v>
      </c>
      <c r="L1848" s="16" t="n">
        <v>12.1316032104887</v>
      </c>
      <c r="M1848" s="19" t="n">
        <v>0.921913957319712</v>
      </c>
      <c r="N1848" s="19" t="n">
        <v>2.5682858122497</v>
      </c>
      <c r="O1848" s="19" t="n">
        <v>0.960219487822225</v>
      </c>
      <c r="P1848" s="19" t="n">
        <v>0.300656404496665</v>
      </c>
      <c r="Q1848" s="17" t="s">
        <v>30</v>
      </c>
      <c r="R1848" s="5" t="str">
        <f aca="false">IF(OR(Q1848="Steel plate",Q1848="Concrete jacket"),"Steel plate or jacket",Q1848)</f>
        <v>Seal cracks</v>
      </c>
      <c r="S1848" s="5" t="str">
        <f aca="false">IF(O1848&lt;='Tree rules'!$C$4,IF(N1848&lt;='Tree rules'!$C$5,IF(P1848&lt;='Tree rules'!$C$6,"Monitor","Polymer laminate"),IF(P1848&lt;='Tree rules'!$C$7,"Seal cracks","Polymer laminate")),IF(O1848&lt;='Tree rules'!$C$8,IF(M1848&lt;='Tree rules'!$C$9,"Steel plate or jacket","Polymer laminate"),IF(L1848&lt;='Tree rules'!$C$10,"Steel plate or jacket","Polymer laminate")))</f>
        <v>Seal cracks</v>
      </c>
      <c r="T1848" s="5" t="str">
        <f aca="false">IF(S1848=R1848,"Yes","No")</f>
        <v>Yes</v>
      </c>
    </row>
    <row r="1849" customFormat="false" ht="15" hidden="false" customHeight="false" outlineLevel="0" collapsed="false">
      <c r="A1849" s="15" t="n">
        <v>2648</v>
      </c>
      <c r="B1849" s="16" t="n">
        <v>3.94402864726484</v>
      </c>
      <c r="C1849" s="15" t="n">
        <v>230</v>
      </c>
      <c r="D1849" s="15" t="n">
        <v>375</v>
      </c>
      <c r="E1849" s="15" t="n">
        <v>30</v>
      </c>
      <c r="F1849" s="16" t="n">
        <v>0.875583236786453</v>
      </c>
      <c r="G1849" s="17" t="s">
        <v>90</v>
      </c>
      <c r="H1849" s="18" t="n">
        <v>0.1</v>
      </c>
      <c r="I1849" s="18" t="n">
        <v>1</v>
      </c>
      <c r="J1849" s="19" t="n">
        <v>0.910270075680932</v>
      </c>
      <c r="K1849" s="19" t="n">
        <v>0.604514859065843</v>
      </c>
      <c r="L1849" s="16" t="n">
        <v>12.6411174591822</v>
      </c>
      <c r="M1849" s="19" t="n">
        <v>0.940452012157522</v>
      </c>
      <c r="N1849" s="19" t="n">
        <v>2.70448606102706</v>
      </c>
      <c r="O1849" s="19" t="n">
        <v>0.910270075680932</v>
      </c>
      <c r="P1849" s="19" t="n">
        <v>0.373375200517865</v>
      </c>
      <c r="Q1849" s="17" t="s">
        <v>30</v>
      </c>
      <c r="R1849" s="5" t="str">
        <f aca="false">IF(OR(Q1849="Steel plate",Q1849="Concrete jacket"),"Steel plate or jacket",Q1849)</f>
        <v>Seal cracks</v>
      </c>
      <c r="S1849" s="5" t="str">
        <f aca="false">IF(O1849&lt;='Tree rules'!$C$4,IF(N1849&lt;='Tree rules'!$C$5,IF(P1849&lt;='Tree rules'!$C$6,"Monitor","Polymer laminate"),IF(P1849&lt;='Tree rules'!$C$7,"Seal cracks","Polymer laminate")),IF(O1849&lt;='Tree rules'!$C$8,IF(M1849&lt;='Tree rules'!$C$9,"Steel plate or jacket","Polymer laminate"),IF(L1849&lt;='Tree rules'!$C$10,"Steel plate or jacket","Polymer laminate")))</f>
        <v>Seal cracks</v>
      </c>
      <c r="T1849" s="5" t="str">
        <f aca="false">IF(S1849=R1849,"Yes","No")</f>
        <v>Yes</v>
      </c>
    </row>
    <row r="1850" customFormat="false" ht="15" hidden="false" customHeight="false" outlineLevel="0" collapsed="false">
      <c r="A1850" s="15" t="n">
        <v>2651</v>
      </c>
      <c r="B1850" s="16" t="n">
        <v>6.16230736585913</v>
      </c>
      <c r="C1850" s="15" t="n">
        <v>300</v>
      </c>
      <c r="D1850" s="15" t="n">
        <v>550</v>
      </c>
      <c r="E1850" s="15" t="n">
        <v>20</v>
      </c>
      <c r="F1850" s="16" t="n">
        <v>0.531909867274462</v>
      </c>
      <c r="G1850" s="17" t="s">
        <v>89</v>
      </c>
      <c r="H1850" s="18" t="n">
        <v>0.3</v>
      </c>
      <c r="I1850" s="18" t="n">
        <v>1</v>
      </c>
      <c r="J1850" s="19" t="n">
        <v>0.873830373550665</v>
      </c>
      <c r="K1850" s="19" t="n">
        <v>0.637798864118985</v>
      </c>
      <c r="L1850" s="16" t="n">
        <v>12.2268003290856</v>
      </c>
      <c r="M1850" s="19" t="n">
        <v>0.672144110609523</v>
      </c>
      <c r="N1850" s="19" t="n">
        <v>0.57701996039385</v>
      </c>
      <c r="O1850" s="19" t="n">
        <v>0.873830373550665</v>
      </c>
      <c r="P1850" s="19" t="n">
        <v>0.480914435140599</v>
      </c>
      <c r="Q1850" s="17" t="s">
        <v>29</v>
      </c>
      <c r="R1850" s="5" t="str">
        <f aca="false">IF(OR(Q1850="Steel plate",Q1850="Concrete jacket"),"Steel plate or jacket",Q1850)</f>
        <v>Monitor</v>
      </c>
      <c r="S1850" s="5" t="str">
        <f aca="false">IF(O1850&lt;='Tree rules'!$C$4,IF(N1850&lt;='Tree rules'!$C$5,IF(P1850&lt;='Tree rules'!$C$6,"Monitor","Polymer laminate"),IF(P1850&lt;='Tree rules'!$C$7,"Seal cracks","Polymer laminate")),IF(O1850&lt;='Tree rules'!$C$8,IF(M1850&lt;='Tree rules'!$C$9,"Steel plate or jacket","Polymer laminate"),IF(L1850&lt;='Tree rules'!$C$10,"Steel plate or jacket","Polymer laminate")))</f>
        <v>Monitor</v>
      </c>
      <c r="T1850" s="5" t="str">
        <f aca="false">IF(S1850=R1850,"Yes","No")</f>
        <v>Yes</v>
      </c>
    </row>
    <row r="1851" customFormat="false" ht="15" hidden="false" customHeight="false" outlineLevel="0" collapsed="false">
      <c r="A1851" s="15" t="n">
        <v>2653</v>
      </c>
      <c r="B1851" s="16" t="n">
        <v>7.15613345834703</v>
      </c>
      <c r="C1851" s="15" t="n">
        <v>300</v>
      </c>
      <c r="D1851" s="15" t="n">
        <v>675</v>
      </c>
      <c r="E1851" s="15" t="n">
        <v>20</v>
      </c>
      <c r="F1851" s="16" t="n">
        <v>0.63930661313115</v>
      </c>
      <c r="G1851" s="17" t="s">
        <v>89</v>
      </c>
      <c r="H1851" s="18" t="n">
        <v>0.3</v>
      </c>
      <c r="I1851" s="18" t="n">
        <v>1.5</v>
      </c>
      <c r="J1851" s="19" t="n">
        <v>0.884855226072006</v>
      </c>
      <c r="K1851" s="19" t="n">
        <v>0.510711972948174</v>
      </c>
      <c r="L1851" s="16" t="n">
        <v>11.3770007286916</v>
      </c>
      <c r="M1851" s="19" t="n">
        <v>0.362209456011245</v>
      </c>
      <c r="N1851" s="19" t="n">
        <v>0.69719512679234</v>
      </c>
      <c r="O1851" s="19" t="n">
        <v>1.10132975996764</v>
      </c>
      <c r="P1851" s="19" t="n">
        <v>0.985914680909551</v>
      </c>
      <c r="Q1851" s="17" t="s">
        <v>31</v>
      </c>
      <c r="R1851" s="5" t="str">
        <f aca="false">IF(OR(Q1851="Steel plate",Q1851="Concrete jacket"),"Steel plate or jacket",Q1851)</f>
        <v>Polymer laminate</v>
      </c>
      <c r="S1851" s="5" t="str">
        <f aca="false">IF(O1851&lt;='Tree rules'!$C$4,IF(N1851&lt;='Tree rules'!$C$5,IF(P1851&lt;='Tree rules'!$C$6,"Monitor","Polymer laminate"),IF(P1851&lt;='Tree rules'!$C$7,"Seal cracks","Polymer laminate")),IF(O1851&lt;='Tree rules'!$C$8,IF(M1851&lt;='Tree rules'!$C$9,"Steel plate or jacket","Polymer laminate"),IF(L1851&lt;='Tree rules'!$C$10,"Steel plate or jacket","Polymer laminate")))</f>
        <v>Polymer laminate</v>
      </c>
      <c r="T1851" s="5" t="str">
        <f aca="false">IF(S1851=R1851,"Yes","No")</f>
        <v>Yes</v>
      </c>
    </row>
    <row r="1852" customFormat="false" ht="15" hidden="false" customHeight="false" outlineLevel="0" collapsed="false">
      <c r="A1852" s="15" t="n">
        <v>2654</v>
      </c>
      <c r="B1852" s="16" t="n">
        <v>3.14615776382073</v>
      </c>
      <c r="C1852" s="15" t="n">
        <v>230</v>
      </c>
      <c r="D1852" s="15" t="n">
        <v>300</v>
      </c>
      <c r="E1852" s="15" t="n">
        <v>25</v>
      </c>
      <c r="F1852" s="16" t="n">
        <v>0.768324290280112</v>
      </c>
      <c r="G1852" s="17" t="s">
        <v>91</v>
      </c>
      <c r="H1852" s="18" t="n">
        <v>0.2</v>
      </c>
      <c r="I1852" s="18" t="n">
        <v>1</v>
      </c>
      <c r="J1852" s="19" t="n">
        <v>0.908940621102936</v>
      </c>
      <c r="K1852" s="19" t="n">
        <v>0.431505863644019</v>
      </c>
      <c r="L1852" s="16" t="n">
        <v>12.2896787649247</v>
      </c>
      <c r="M1852" s="19" t="n">
        <v>0.946819502232114</v>
      </c>
      <c r="N1852" s="19" t="n">
        <v>0.845793710504809</v>
      </c>
      <c r="O1852" s="19" t="n">
        <v>0.908940621102936</v>
      </c>
      <c r="P1852" s="19" t="n">
        <v>0.315538250495982</v>
      </c>
      <c r="Q1852" s="17" t="s">
        <v>29</v>
      </c>
      <c r="R1852" s="5" t="str">
        <f aca="false">IF(OR(Q1852="Steel plate",Q1852="Concrete jacket"),"Steel plate or jacket",Q1852)</f>
        <v>Monitor</v>
      </c>
      <c r="S1852" s="5" t="str">
        <f aca="false">IF(O1852&lt;='Tree rules'!$C$4,IF(N1852&lt;='Tree rules'!$C$5,IF(P1852&lt;='Tree rules'!$C$6,"Monitor","Polymer laminate"),IF(P1852&lt;='Tree rules'!$C$7,"Seal cracks","Polymer laminate")),IF(O1852&lt;='Tree rules'!$C$8,IF(M1852&lt;='Tree rules'!$C$9,"Steel plate or jacket","Polymer laminate"),IF(L1852&lt;='Tree rules'!$C$10,"Steel plate or jacket","Polymer laminate")))</f>
        <v>Monitor</v>
      </c>
      <c r="T1852" s="5" t="str">
        <f aca="false">IF(S1852=R1852,"Yes","No")</f>
        <v>Yes</v>
      </c>
    </row>
    <row r="1853" customFormat="false" ht="15" hidden="false" customHeight="false" outlineLevel="0" collapsed="false">
      <c r="A1853" s="15" t="n">
        <v>2655</v>
      </c>
      <c r="B1853" s="16" t="n">
        <v>3.4417232289731</v>
      </c>
      <c r="C1853" s="15" t="n">
        <v>300</v>
      </c>
      <c r="D1853" s="15" t="n">
        <v>300</v>
      </c>
      <c r="E1853" s="15" t="n">
        <v>30</v>
      </c>
      <c r="F1853" s="16" t="n">
        <v>0.841263304726974</v>
      </c>
      <c r="G1853" s="17" t="s">
        <v>90</v>
      </c>
      <c r="H1853" s="18" t="n">
        <v>0.1</v>
      </c>
      <c r="I1853" s="18" t="n">
        <v>1</v>
      </c>
      <c r="J1853" s="19" t="n">
        <v>0.914611954374688</v>
      </c>
      <c r="K1853" s="19" t="n">
        <v>0.561742376770621</v>
      </c>
      <c r="L1853" s="16" t="n">
        <v>14.4005156023979</v>
      </c>
      <c r="M1853" s="19" t="n">
        <v>0.410477911540626</v>
      </c>
      <c r="N1853" s="19" t="n">
        <v>2.98681106235868</v>
      </c>
      <c r="O1853" s="19" t="n">
        <v>0.914611954374688</v>
      </c>
      <c r="P1853" s="19" t="n">
        <v>0.752330182677614</v>
      </c>
      <c r="Q1853" s="17" t="s">
        <v>30</v>
      </c>
      <c r="R1853" s="5" t="str">
        <f aca="false">IF(OR(Q1853="Steel plate",Q1853="Concrete jacket"),"Steel plate or jacket",Q1853)</f>
        <v>Seal cracks</v>
      </c>
      <c r="S1853" s="5" t="str">
        <f aca="false">IF(O1853&lt;='Tree rules'!$C$4,IF(N1853&lt;='Tree rules'!$C$5,IF(P1853&lt;='Tree rules'!$C$6,"Monitor","Polymer laminate"),IF(P1853&lt;='Tree rules'!$C$7,"Seal cracks","Polymer laminate")),IF(O1853&lt;='Tree rules'!$C$8,IF(M1853&lt;='Tree rules'!$C$9,"Steel plate or jacket","Polymer laminate"),IF(L1853&lt;='Tree rules'!$C$10,"Steel plate or jacket","Polymer laminate")))</f>
        <v>Seal cracks</v>
      </c>
      <c r="T1853" s="5" t="str">
        <f aca="false">IF(S1853=R1853,"Yes","No")</f>
        <v>Yes</v>
      </c>
    </row>
    <row r="1854" customFormat="false" ht="15" hidden="false" customHeight="false" outlineLevel="0" collapsed="false">
      <c r="A1854" s="15" t="n">
        <v>2656</v>
      </c>
      <c r="B1854" s="16" t="n">
        <v>4.98727622622008</v>
      </c>
      <c r="C1854" s="15" t="n">
        <v>230</v>
      </c>
      <c r="D1854" s="15" t="n">
        <v>450</v>
      </c>
      <c r="E1854" s="15" t="n">
        <v>30</v>
      </c>
      <c r="F1854" s="16" t="n">
        <v>0.679557138998441</v>
      </c>
      <c r="G1854" s="17" t="s">
        <v>89</v>
      </c>
      <c r="H1854" s="18" t="n">
        <v>0.3</v>
      </c>
      <c r="I1854" s="18" t="n">
        <v>1.5</v>
      </c>
      <c r="J1854" s="19" t="n">
        <v>0.933921687519348</v>
      </c>
      <c r="K1854" s="19" t="n">
        <v>0.485961214678928</v>
      </c>
      <c r="L1854" s="16" t="n">
        <v>12.4061597667166</v>
      </c>
      <c r="M1854" s="19" t="n">
        <v>0.294041947012197</v>
      </c>
      <c r="N1854" s="19" t="n">
        <v>1.1789632778833</v>
      </c>
      <c r="O1854" s="19" t="n">
        <v>1.17395767243807</v>
      </c>
      <c r="P1854" s="19" t="n">
        <v>1.11644885628507</v>
      </c>
      <c r="Q1854" s="17" t="s">
        <v>31</v>
      </c>
      <c r="R1854" s="5" t="str">
        <f aca="false">IF(OR(Q1854="Steel plate",Q1854="Concrete jacket"),"Steel plate or jacket",Q1854)</f>
        <v>Polymer laminate</v>
      </c>
      <c r="S1854" s="5" t="str">
        <f aca="false">IF(O1854&lt;='Tree rules'!$C$4,IF(N1854&lt;='Tree rules'!$C$5,IF(P1854&lt;='Tree rules'!$C$6,"Monitor","Polymer laminate"),IF(P1854&lt;='Tree rules'!$C$7,"Seal cracks","Polymer laminate")),IF(O1854&lt;='Tree rules'!$C$8,IF(M1854&lt;='Tree rules'!$C$9,"Steel plate or jacket","Polymer laminate"),IF(L1854&lt;='Tree rules'!$C$10,"Steel plate or jacket","Polymer laminate")))</f>
        <v>Steel plate or jacket</v>
      </c>
      <c r="T1854" s="5" t="str">
        <f aca="false">IF(S1854=R1854,"Yes","No")</f>
        <v>No</v>
      </c>
    </row>
    <row r="1855" customFormat="false" ht="15" hidden="false" customHeight="false" outlineLevel="0" collapsed="false">
      <c r="A1855" s="15" t="n">
        <v>2657</v>
      </c>
      <c r="B1855" s="16" t="n">
        <v>6.37807056406178</v>
      </c>
      <c r="C1855" s="15" t="n">
        <v>300</v>
      </c>
      <c r="D1855" s="15" t="n">
        <v>525</v>
      </c>
      <c r="E1855" s="15" t="n">
        <v>30</v>
      </c>
      <c r="F1855" s="16" t="n">
        <v>0.55967134260194</v>
      </c>
      <c r="G1855" s="17" t="s">
        <v>89</v>
      </c>
      <c r="H1855" s="18" t="n">
        <v>0.3</v>
      </c>
      <c r="I1855" s="18" t="n">
        <v>1</v>
      </c>
      <c r="J1855" s="19" t="n">
        <v>0.884504333518422</v>
      </c>
      <c r="K1855" s="19" t="n">
        <v>0.579069324166008</v>
      </c>
      <c r="L1855" s="16" t="n">
        <v>13.3153873988764</v>
      </c>
      <c r="M1855" s="19" t="n">
        <v>0.764187487547726</v>
      </c>
      <c r="N1855" s="19" t="n">
        <v>0.582549115549202</v>
      </c>
      <c r="O1855" s="19" t="n">
        <v>0.884504333518422</v>
      </c>
      <c r="P1855" s="19" t="n">
        <v>0.40591889750021</v>
      </c>
      <c r="Q1855" s="17" t="s">
        <v>29</v>
      </c>
      <c r="R1855" s="5" t="str">
        <f aca="false">IF(OR(Q1855="Steel plate",Q1855="Concrete jacket"),"Steel plate or jacket",Q1855)</f>
        <v>Monitor</v>
      </c>
      <c r="S1855" s="5" t="str">
        <f aca="false">IF(O1855&lt;='Tree rules'!$C$4,IF(N1855&lt;='Tree rules'!$C$5,IF(P1855&lt;='Tree rules'!$C$6,"Monitor","Polymer laminate"),IF(P1855&lt;='Tree rules'!$C$7,"Seal cracks","Polymer laminate")),IF(O1855&lt;='Tree rules'!$C$8,IF(M1855&lt;='Tree rules'!$C$9,"Steel plate or jacket","Polymer laminate"),IF(L1855&lt;='Tree rules'!$C$10,"Steel plate or jacket","Polymer laminate")))</f>
        <v>Monitor</v>
      </c>
      <c r="T1855" s="5" t="str">
        <f aca="false">IF(S1855=R1855,"Yes","No")</f>
        <v>Yes</v>
      </c>
    </row>
    <row r="1856" customFormat="false" ht="15" hidden="false" customHeight="false" outlineLevel="0" collapsed="false">
      <c r="A1856" s="15" t="n">
        <v>2658</v>
      </c>
      <c r="B1856" s="16" t="n">
        <v>4.46085328614099</v>
      </c>
      <c r="C1856" s="15" t="n">
        <v>300</v>
      </c>
      <c r="D1856" s="15" t="n">
        <v>400</v>
      </c>
      <c r="E1856" s="15" t="n">
        <v>30</v>
      </c>
      <c r="F1856" s="16" t="n">
        <v>0.757295404255167</v>
      </c>
      <c r="G1856" s="17" t="s">
        <v>91</v>
      </c>
      <c r="H1856" s="18" t="n">
        <v>0.2</v>
      </c>
      <c r="I1856" s="18" t="n">
        <v>1.5</v>
      </c>
      <c r="J1856" s="19" t="n">
        <v>0.888836914902447</v>
      </c>
      <c r="K1856" s="19" t="n">
        <v>0.600701641127182</v>
      </c>
      <c r="L1856" s="16" t="n">
        <v>12.6012804693248</v>
      </c>
      <c r="M1856" s="19" t="n">
        <v>0.89916977539367</v>
      </c>
      <c r="N1856" s="19" t="n">
        <v>1.10180564728889</v>
      </c>
      <c r="O1856" s="19" t="n">
        <v>1.06629247561551</v>
      </c>
      <c r="P1856" s="19" t="n">
        <v>0.43572499238623</v>
      </c>
      <c r="Q1856" s="17" t="s">
        <v>31</v>
      </c>
      <c r="R1856" s="5" t="str">
        <f aca="false">IF(OR(Q1856="Steel plate",Q1856="Concrete jacket"),"Steel plate or jacket",Q1856)</f>
        <v>Polymer laminate</v>
      </c>
      <c r="S1856" s="5" t="str">
        <f aca="false">IF(O1856&lt;='Tree rules'!$C$4,IF(N1856&lt;='Tree rules'!$C$5,IF(P1856&lt;='Tree rules'!$C$6,"Monitor","Polymer laminate"),IF(P1856&lt;='Tree rules'!$C$7,"Seal cracks","Polymer laminate")),IF(O1856&lt;='Tree rules'!$C$8,IF(M1856&lt;='Tree rules'!$C$9,"Steel plate or jacket","Polymer laminate"),IF(L1856&lt;='Tree rules'!$C$10,"Steel plate or jacket","Polymer laminate")))</f>
        <v>Polymer laminate</v>
      </c>
      <c r="T1856" s="5" t="str">
        <f aca="false">IF(S1856=R1856,"Yes","No")</f>
        <v>Yes</v>
      </c>
    </row>
    <row r="1857" customFormat="false" ht="15" hidden="false" customHeight="false" outlineLevel="0" collapsed="false">
      <c r="A1857" s="15" t="n">
        <v>2659</v>
      </c>
      <c r="B1857" s="16" t="n">
        <v>4.158189337119</v>
      </c>
      <c r="C1857" s="15" t="n">
        <v>300</v>
      </c>
      <c r="D1857" s="15" t="n">
        <v>400</v>
      </c>
      <c r="E1857" s="15" t="n">
        <v>25</v>
      </c>
      <c r="F1857" s="16" t="n">
        <v>0.567971553191375</v>
      </c>
      <c r="G1857" s="17" t="s">
        <v>91</v>
      </c>
      <c r="H1857" s="18" t="n">
        <v>0.2</v>
      </c>
      <c r="I1857" s="18" t="n">
        <v>1</v>
      </c>
      <c r="J1857" s="19" t="n">
        <v>0.881811128157232</v>
      </c>
      <c r="K1857" s="19" t="n">
        <v>0.56318719924014</v>
      </c>
      <c r="L1857" s="16" t="n">
        <v>11.7462975624831</v>
      </c>
      <c r="M1857" s="19" t="n">
        <v>0.43187085815145</v>
      </c>
      <c r="N1857" s="19" t="n">
        <v>1.1209982034772</v>
      </c>
      <c r="O1857" s="19" t="n">
        <v>0.881811128157232</v>
      </c>
      <c r="P1857" s="19" t="n">
        <v>0.583507923167068</v>
      </c>
      <c r="Q1857" s="17" t="s">
        <v>30</v>
      </c>
      <c r="R1857" s="5" t="str">
        <f aca="false">IF(OR(Q1857="Steel plate",Q1857="Concrete jacket"),"Steel plate or jacket",Q1857)</f>
        <v>Seal cracks</v>
      </c>
      <c r="S1857" s="5" t="str">
        <f aca="false">IF(O1857&lt;='Tree rules'!$C$4,IF(N1857&lt;='Tree rules'!$C$5,IF(P1857&lt;='Tree rules'!$C$6,"Monitor","Polymer laminate"),IF(P1857&lt;='Tree rules'!$C$7,"Seal cracks","Polymer laminate")),IF(O1857&lt;='Tree rules'!$C$8,IF(M1857&lt;='Tree rules'!$C$9,"Steel plate or jacket","Polymer laminate"),IF(L1857&lt;='Tree rules'!$C$10,"Steel plate or jacket","Polymer laminate")))</f>
        <v>Seal cracks</v>
      </c>
      <c r="T1857" s="5" t="str">
        <f aca="false">IF(S1857=R1857,"Yes","No")</f>
        <v>Yes</v>
      </c>
    </row>
    <row r="1858" customFormat="false" ht="15" hidden="false" customHeight="false" outlineLevel="0" collapsed="false">
      <c r="A1858" s="15" t="n">
        <v>2660</v>
      </c>
      <c r="B1858" s="16" t="n">
        <v>6.02431090963376</v>
      </c>
      <c r="C1858" s="15" t="n">
        <v>230</v>
      </c>
      <c r="D1858" s="15" t="n">
        <v>475</v>
      </c>
      <c r="E1858" s="15" t="n">
        <v>20</v>
      </c>
      <c r="F1858" s="16" t="n">
        <v>0.639770421258486</v>
      </c>
      <c r="G1858" s="17" t="s">
        <v>89</v>
      </c>
      <c r="H1858" s="18" t="n">
        <v>0.3</v>
      </c>
      <c r="I1858" s="18" t="n">
        <v>1</v>
      </c>
      <c r="J1858" s="19" t="n">
        <v>0.872573792238073</v>
      </c>
      <c r="K1858" s="19" t="n">
        <v>0.451440022999895</v>
      </c>
      <c r="L1858" s="16" t="n">
        <v>14.1084564628425</v>
      </c>
      <c r="M1858" s="19" t="n">
        <v>0.864304707502949</v>
      </c>
      <c r="N1858" s="19" t="n">
        <v>0.736837649976114</v>
      </c>
      <c r="O1858" s="19" t="n">
        <v>0.872573792238073</v>
      </c>
      <c r="P1858" s="19" t="n">
        <v>0.4202328782081</v>
      </c>
      <c r="Q1858" s="17" t="s">
        <v>29</v>
      </c>
      <c r="R1858" s="5" t="str">
        <f aca="false">IF(OR(Q1858="Steel plate",Q1858="Concrete jacket"),"Steel plate or jacket",Q1858)</f>
        <v>Monitor</v>
      </c>
      <c r="S1858" s="5" t="str">
        <f aca="false">IF(O1858&lt;='Tree rules'!$C$4,IF(N1858&lt;='Tree rules'!$C$5,IF(P1858&lt;='Tree rules'!$C$6,"Monitor","Polymer laminate"),IF(P1858&lt;='Tree rules'!$C$7,"Seal cracks","Polymer laminate")),IF(O1858&lt;='Tree rules'!$C$8,IF(M1858&lt;='Tree rules'!$C$9,"Steel plate or jacket","Polymer laminate"),IF(L1858&lt;='Tree rules'!$C$10,"Steel plate or jacket","Polymer laminate")))</f>
        <v>Monitor</v>
      </c>
      <c r="T1858" s="5" t="str">
        <f aca="false">IF(S1858=R1858,"Yes","No")</f>
        <v>Yes</v>
      </c>
    </row>
    <row r="1859" customFormat="false" ht="15" hidden="false" customHeight="false" outlineLevel="0" collapsed="false">
      <c r="A1859" s="15" t="n">
        <v>2662</v>
      </c>
      <c r="B1859" s="16" t="n">
        <v>4.01194670792626</v>
      </c>
      <c r="C1859" s="15" t="n">
        <v>300</v>
      </c>
      <c r="D1859" s="15" t="n">
        <v>350</v>
      </c>
      <c r="E1859" s="15" t="n">
        <v>25</v>
      </c>
      <c r="F1859" s="16" t="n">
        <v>0.61599855952741</v>
      </c>
      <c r="G1859" s="17" t="s">
        <v>89</v>
      </c>
      <c r="H1859" s="18" t="n">
        <v>0.3</v>
      </c>
      <c r="I1859" s="18" t="n">
        <v>1</v>
      </c>
      <c r="J1859" s="19" t="n">
        <v>0.878045171678472</v>
      </c>
      <c r="K1859" s="19" t="n">
        <v>0.495950118309036</v>
      </c>
      <c r="L1859" s="16" t="n">
        <v>13.1109369540074</v>
      </c>
      <c r="M1859" s="19" t="n">
        <v>0.243824687855203</v>
      </c>
      <c r="N1859" s="19" t="n">
        <v>0.640623404382856</v>
      </c>
      <c r="O1859" s="19" t="n">
        <v>0.878045171678472</v>
      </c>
      <c r="P1859" s="19" t="n">
        <v>1.08757810779998</v>
      </c>
      <c r="Q1859" s="17" t="s">
        <v>31</v>
      </c>
      <c r="R1859" s="5" t="str">
        <f aca="false">IF(OR(Q1859="Steel plate",Q1859="Concrete jacket"),"Steel plate or jacket",Q1859)</f>
        <v>Polymer laminate</v>
      </c>
      <c r="S1859" s="5" t="str">
        <f aca="false">IF(O1859&lt;='Tree rules'!$C$4,IF(N1859&lt;='Tree rules'!$C$5,IF(P1859&lt;='Tree rules'!$C$6,"Monitor","Polymer laminate"),IF(P1859&lt;='Tree rules'!$C$7,"Seal cracks","Polymer laminate")),IF(O1859&lt;='Tree rules'!$C$8,IF(M1859&lt;='Tree rules'!$C$9,"Steel plate or jacket","Polymer laminate"),IF(L1859&lt;='Tree rules'!$C$10,"Steel plate or jacket","Polymer laminate")))</f>
        <v>Polymer laminate</v>
      </c>
      <c r="T1859" s="5" t="str">
        <f aca="false">IF(S1859=R1859,"Yes","No")</f>
        <v>Yes</v>
      </c>
    </row>
    <row r="1860" customFormat="false" ht="15" hidden="false" customHeight="false" outlineLevel="0" collapsed="false">
      <c r="A1860" s="15" t="n">
        <v>2663</v>
      </c>
      <c r="B1860" s="16" t="n">
        <v>5.30090510092244</v>
      </c>
      <c r="C1860" s="15" t="n">
        <v>230</v>
      </c>
      <c r="D1860" s="15" t="n">
        <v>425</v>
      </c>
      <c r="E1860" s="15" t="n">
        <v>30</v>
      </c>
      <c r="F1860" s="16" t="n">
        <v>0.691964884122107</v>
      </c>
      <c r="G1860" s="17" t="s">
        <v>91</v>
      </c>
      <c r="H1860" s="18" t="n">
        <v>0.2</v>
      </c>
      <c r="I1860" s="18" t="n">
        <v>2</v>
      </c>
      <c r="J1860" s="19" t="n">
        <v>0.873854735133697</v>
      </c>
      <c r="K1860" s="19" t="n">
        <v>0.403426191883014</v>
      </c>
      <c r="L1860" s="16" t="n">
        <v>13.9865569945183</v>
      </c>
      <c r="M1860" s="19" t="n">
        <v>0.712560386869825</v>
      </c>
      <c r="N1860" s="19" t="n">
        <v>1.51580465619039</v>
      </c>
      <c r="O1860" s="19" t="n">
        <v>1.39517358221347</v>
      </c>
      <c r="P1860" s="19" t="n">
        <v>0.569726589727199</v>
      </c>
      <c r="Q1860" s="17" t="s">
        <v>31</v>
      </c>
      <c r="R1860" s="5" t="str">
        <f aca="false">IF(OR(Q1860="Steel plate",Q1860="Concrete jacket"),"Steel plate or jacket",Q1860)</f>
        <v>Polymer laminate</v>
      </c>
      <c r="S1860" s="5" t="str">
        <f aca="false">IF(O1860&lt;='Tree rules'!$C$4,IF(N1860&lt;='Tree rules'!$C$5,IF(P1860&lt;='Tree rules'!$C$6,"Monitor","Polymer laminate"),IF(P1860&lt;='Tree rules'!$C$7,"Seal cracks","Polymer laminate")),IF(O1860&lt;='Tree rules'!$C$8,IF(M1860&lt;='Tree rules'!$C$9,"Steel plate or jacket","Polymer laminate"),IF(L1860&lt;='Tree rules'!$C$10,"Steel plate or jacket","Polymer laminate")))</f>
        <v>Polymer laminate</v>
      </c>
      <c r="T1860" s="5" t="str">
        <f aca="false">IF(S1860=R1860,"Yes","No")</f>
        <v>Yes</v>
      </c>
    </row>
    <row r="1861" customFormat="false" ht="15" hidden="false" customHeight="false" outlineLevel="0" collapsed="false">
      <c r="A1861" s="15" t="n">
        <v>2664</v>
      </c>
      <c r="B1861" s="16" t="n">
        <v>6.76908220195746</v>
      </c>
      <c r="C1861" s="15" t="n">
        <v>300</v>
      </c>
      <c r="D1861" s="15" t="n">
        <v>675</v>
      </c>
      <c r="E1861" s="15" t="n">
        <v>30</v>
      </c>
      <c r="F1861" s="16" t="n">
        <v>0.835085766504464</v>
      </c>
      <c r="G1861" s="17" t="s">
        <v>89</v>
      </c>
      <c r="H1861" s="18" t="n">
        <v>0.3</v>
      </c>
      <c r="I1861" s="18" t="n">
        <v>1</v>
      </c>
      <c r="J1861" s="19" t="n">
        <v>0.875646389119773</v>
      </c>
      <c r="K1861" s="19" t="n">
        <v>0.594831518541276</v>
      </c>
      <c r="L1861" s="16" t="n">
        <v>10.7959843731379</v>
      </c>
      <c r="M1861" s="19" t="n">
        <v>0.617962143803815</v>
      </c>
      <c r="N1861" s="19" t="n">
        <v>0.557980617394899</v>
      </c>
      <c r="O1861" s="19" t="n">
        <v>0.875646389119773</v>
      </c>
      <c r="P1861" s="19" t="n">
        <v>0.577643163412444</v>
      </c>
      <c r="Q1861" s="17" t="s">
        <v>29</v>
      </c>
      <c r="R1861" s="5" t="str">
        <f aca="false">IF(OR(Q1861="Steel plate",Q1861="Concrete jacket"),"Steel plate or jacket",Q1861)</f>
        <v>Monitor</v>
      </c>
      <c r="S1861" s="5" t="str">
        <f aca="false">IF(O1861&lt;='Tree rules'!$C$4,IF(N1861&lt;='Tree rules'!$C$5,IF(P1861&lt;='Tree rules'!$C$6,"Monitor","Polymer laminate"),IF(P1861&lt;='Tree rules'!$C$7,"Seal cracks","Polymer laminate")),IF(O1861&lt;='Tree rules'!$C$8,IF(M1861&lt;='Tree rules'!$C$9,"Steel plate or jacket","Polymer laminate"),IF(L1861&lt;='Tree rules'!$C$10,"Steel plate or jacket","Polymer laminate")))</f>
        <v>Monitor</v>
      </c>
      <c r="T1861" s="5" t="str">
        <f aca="false">IF(S1861=R1861,"Yes","No")</f>
        <v>Yes</v>
      </c>
    </row>
    <row r="1862" customFormat="false" ht="15" hidden="false" customHeight="false" outlineLevel="0" collapsed="false">
      <c r="A1862" s="15" t="n">
        <v>2665</v>
      </c>
      <c r="B1862" s="16" t="n">
        <v>3.58161577211103</v>
      </c>
      <c r="C1862" s="15" t="n">
        <v>230</v>
      </c>
      <c r="D1862" s="15" t="n">
        <v>350</v>
      </c>
      <c r="E1862" s="15" t="n">
        <v>30</v>
      </c>
      <c r="F1862" s="16" t="n">
        <v>0.9045760591966</v>
      </c>
      <c r="G1862" s="17" t="s">
        <v>89</v>
      </c>
      <c r="H1862" s="18" t="n">
        <v>0.3</v>
      </c>
      <c r="I1862" s="18" t="n">
        <v>1.5</v>
      </c>
      <c r="J1862" s="19" t="n">
        <v>0.915971205690055</v>
      </c>
      <c r="K1862" s="19" t="n">
        <v>0.495017249221748</v>
      </c>
      <c r="L1862" s="16" t="n">
        <v>11.8596548745398</v>
      </c>
      <c r="M1862" s="19" t="n">
        <v>0.632934749462599</v>
      </c>
      <c r="N1862" s="19" t="n">
        <v>1.08056630882896</v>
      </c>
      <c r="O1862" s="19" t="n">
        <v>1.14724603523157</v>
      </c>
      <c r="P1862" s="19" t="n">
        <v>0.587759711334681</v>
      </c>
      <c r="Q1862" s="17" t="s">
        <v>31</v>
      </c>
      <c r="R1862" s="5" t="str">
        <f aca="false">IF(OR(Q1862="Steel plate",Q1862="Concrete jacket"),"Steel plate or jacket",Q1862)</f>
        <v>Polymer laminate</v>
      </c>
      <c r="S1862" s="5" t="str">
        <f aca="false">IF(O1862&lt;='Tree rules'!$C$4,IF(N1862&lt;='Tree rules'!$C$5,IF(P1862&lt;='Tree rules'!$C$6,"Monitor","Polymer laminate"),IF(P1862&lt;='Tree rules'!$C$7,"Seal cracks","Polymer laminate")),IF(O1862&lt;='Tree rules'!$C$8,IF(M1862&lt;='Tree rules'!$C$9,"Steel plate or jacket","Polymer laminate"),IF(L1862&lt;='Tree rules'!$C$10,"Steel plate or jacket","Polymer laminate")))</f>
        <v>Polymer laminate</v>
      </c>
      <c r="T1862" s="5" t="str">
        <f aca="false">IF(S1862=R1862,"Yes","No")</f>
        <v>Yes</v>
      </c>
    </row>
    <row r="1863" customFormat="false" ht="15" hidden="false" customHeight="false" outlineLevel="0" collapsed="false">
      <c r="A1863" s="15" t="n">
        <v>2666</v>
      </c>
      <c r="B1863" s="16" t="n">
        <v>5.42578151428919</v>
      </c>
      <c r="C1863" s="15" t="n">
        <v>230</v>
      </c>
      <c r="D1863" s="15" t="n">
        <v>500</v>
      </c>
      <c r="E1863" s="15" t="n">
        <v>30</v>
      </c>
      <c r="F1863" s="16" t="n">
        <v>0.770204672782022</v>
      </c>
      <c r="G1863" s="17" t="s">
        <v>91</v>
      </c>
      <c r="H1863" s="18" t="n">
        <v>0.2</v>
      </c>
      <c r="I1863" s="18" t="n">
        <v>2</v>
      </c>
      <c r="J1863" s="19" t="n">
        <v>0.978046141908104</v>
      </c>
      <c r="K1863" s="19" t="n">
        <v>0.493512053901946</v>
      </c>
      <c r="L1863" s="16" t="n">
        <v>11.9510606041612</v>
      </c>
      <c r="M1863" s="19" t="n">
        <v>0.534788473812941</v>
      </c>
      <c r="N1863" s="19" t="n">
        <v>1.48084676467972</v>
      </c>
      <c r="O1863" s="19" t="n">
        <v>1.47341472351227</v>
      </c>
      <c r="P1863" s="19" t="n">
        <v>0.831137025896725</v>
      </c>
      <c r="Q1863" s="17" t="s">
        <v>92</v>
      </c>
      <c r="R1863" s="5" t="str">
        <f aca="false">IF(OR(Q1863="Steel plate",Q1863="Concrete jacket"),"Steel plate or jacket",Q1863)</f>
        <v>Steel plate or jacket</v>
      </c>
      <c r="S1863" s="5" t="str">
        <f aca="false">IF(O1863&lt;='Tree rules'!$C$4,IF(N1863&lt;='Tree rules'!$C$5,IF(P1863&lt;='Tree rules'!$C$6,"Monitor","Polymer laminate"),IF(P1863&lt;='Tree rules'!$C$7,"Seal cracks","Polymer laminate")),IF(O1863&lt;='Tree rules'!$C$8,IF(M1863&lt;='Tree rules'!$C$9,"Steel plate or jacket","Polymer laminate"),IF(L1863&lt;='Tree rules'!$C$10,"Steel plate or jacket","Polymer laminate")))</f>
        <v>Steel plate or jacket</v>
      </c>
      <c r="T1863" s="5" t="str">
        <f aca="false">IF(S1863=R1863,"Yes","No")</f>
        <v>Yes</v>
      </c>
    </row>
    <row r="1864" customFormat="false" ht="15" hidden="false" customHeight="false" outlineLevel="0" collapsed="false">
      <c r="A1864" s="15" t="n">
        <v>2667</v>
      </c>
      <c r="B1864" s="16" t="n">
        <v>6.44285432598255</v>
      </c>
      <c r="C1864" s="15" t="n">
        <v>300</v>
      </c>
      <c r="D1864" s="15" t="n">
        <v>575</v>
      </c>
      <c r="E1864" s="15" t="n">
        <v>30</v>
      </c>
      <c r="F1864" s="16" t="n">
        <v>0.760158524876169</v>
      </c>
      <c r="G1864" s="17" t="s">
        <v>89</v>
      </c>
      <c r="H1864" s="18" t="n">
        <v>0.3</v>
      </c>
      <c r="I1864" s="18" t="n">
        <v>1.5</v>
      </c>
      <c r="J1864" s="19" t="n">
        <v>0.877482939694983</v>
      </c>
      <c r="K1864" s="19" t="n">
        <v>0.490413980704288</v>
      </c>
      <c r="L1864" s="16" t="n">
        <v>12.1793087447685</v>
      </c>
      <c r="M1864" s="19" t="n">
        <v>0.945038779273618</v>
      </c>
      <c r="N1864" s="19" t="n">
        <v>0.652974309971059</v>
      </c>
      <c r="O1864" s="19" t="n">
        <v>1.10105945881452</v>
      </c>
      <c r="P1864" s="19" t="n">
        <v>0.423312658316803</v>
      </c>
      <c r="Q1864" s="17" t="s">
        <v>31</v>
      </c>
      <c r="R1864" s="5" t="str">
        <f aca="false">IF(OR(Q1864="Steel plate",Q1864="Concrete jacket"),"Steel plate or jacket",Q1864)</f>
        <v>Polymer laminate</v>
      </c>
      <c r="S1864" s="5" t="str">
        <f aca="false">IF(O1864&lt;='Tree rules'!$C$4,IF(N1864&lt;='Tree rules'!$C$5,IF(P1864&lt;='Tree rules'!$C$6,"Monitor","Polymer laminate"),IF(P1864&lt;='Tree rules'!$C$7,"Seal cracks","Polymer laminate")),IF(O1864&lt;='Tree rules'!$C$8,IF(M1864&lt;='Tree rules'!$C$9,"Steel plate or jacket","Polymer laminate"),IF(L1864&lt;='Tree rules'!$C$10,"Steel plate or jacket","Polymer laminate")))</f>
        <v>Polymer laminate</v>
      </c>
      <c r="T1864" s="5" t="str">
        <f aca="false">IF(S1864=R1864,"Yes","No")</f>
        <v>Yes</v>
      </c>
    </row>
    <row r="1865" customFormat="false" ht="15" hidden="false" customHeight="false" outlineLevel="0" collapsed="false">
      <c r="A1865" s="15" t="n">
        <v>2670</v>
      </c>
      <c r="B1865" s="16" t="n">
        <v>3.53458755115546</v>
      </c>
      <c r="C1865" s="15" t="n">
        <v>300</v>
      </c>
      <c r="D1865" s="15" t="n">
        <v>325</v>
      </c>
      <c r="E1865" s="15" t="n">
        <v>25</v>
      </c>
      <c r="F1865" s="16" t="n">
        <v>0.72065207824282</v>
      </c>
      <c r="G1865" s="17" t="s">
        <v>91</v>
      </c>
      <c r="H1865" s="18" t="n">
        <v>0.2</v>
      </c>
      <c r="I1865" s="18" t="n">
        <v>1</v>
      </c>
      <c r="J1865" s="19" t="n">
        <v>0.916797344476039</v>
      </c>
      <c r="K1865" s="19" t="n">
        <v>0.411409284755262</v>
      </c>
      <c r="L1865" s="16" t="n">
        <v>12.6687725847866</v>
      </c>
      <c r="M1865" s="19" t="n">
        <v>0.923669901920738</v>
      </c>
      <c r="N1865" s="19" t="n">
        <v>1.04418991911334</v>
      </c>
      <c r="O1865" s="19" t="n">
        <v>0.916797344476039</v>
      </c>
      <c r="P1865" s="19" t="n">
        <v>0.324653481008241</v>
      </c>
      <c r="Q1865" s="17" t="s">
        <v>30</v>
      </c>
      <c r="R1865" s="5" t="str">
        <f aca="false">IF(OR(Q1865="Steel plate",Q1865="Concrete jacket"),"Steel plate or jacket",Q1865)</f>
        <v>Seal cracks</v>
      </c>
      <c r="S1865" s="5" t="str">
        <f aca="false">IF(O1865&lt;='Tree rules'!$C$4,IF(N1865&lt;='Tree rules'!$C$5,IF(P1865&lt;='Tree rules'!$C$6,"Monitor","Polymer laminate"),IF(P1865&lt;='Tree rules'!$C$7,"Seal cracks","Polymer laminate")),IF(O1865&lt;='Tree rules'!$C$8,IF(M1865&lt;='Tree rules'!$C$9,"Steel plate or jacket","Polymer laminate"),IF(L1865&lt;='Tree rules'!$C$10,"Steel plate or jacket","Polymer laminate")))</f>
        <v>Seal cracks</v>
      </c>
      <c r="T1865" s="5" t="str">
        <f aca="false">IF(S1865=R1865,"Yes","No")</f>
        <v>Yes</v>
      </c>
    </row>
    <row r="1866" customFormat="false" ht="15" hidden="false" customHeight="false" outlineLevel="0" collapsed="false">
      <c r="A1866" s="15" t="n">
        <v>2671</v>
      </c>
      <c r="B1866" s="16" t="n">
        <v>4.67453474860364</v>
      </c>
      <c r="C1866" s="15" t="n">
        <v>230</v>
      </c>
      <c r="D1866" s="15" t="n">
        <v>400</v>
      </c>
      <c r="E1866" s="15" t="n">
        <v>25</v>
      </c>
      <c r="F1866" s="16" t="n">
        <v>0.740832460684402</v>
      </c>
      <c r="G1866" s="17" t="s">
        <v>89</v>
      </c>
      <c r="H1866" s="18" t="n">
        <v>0.3</v>
      </c>
      <c r="I1866" s="18" t="n">
        <v>2</v>
      </c>
      <c r="J1866" s="19" t="n">
        <v>0.856639391280466</v>
      </c>
      <c r="K1866" s="19" t="n">
        <v>0.481359403369853</v>
      </c>
      <c r="L1866" s="16" t="n">
        <v>13.2049004197843</v>
      </c>
      <c r="M1866" s="19" t="n">
        <v>0.453234050738445</v>
      </c>
      <c r="N1866" s="19" t="n">
        <v>0.97616425663775</v>
      </c>
      <c r="O1866" s="19" t="n">
        <v>1.30092735627105</v>
      </c>
      <c r="P1866" s="19" t="n">
        <v>0.903689423545324</v>
      </c>
      <c r="Q1866" s="17" t="s">
        <v>31</v>
      </c>
      <c r="R1866" s="5" t="str">
        <f aca="false">IF(OR(Q1866="Steel plate",Q1866="Concrete jacket"),"Steel plate or jacket",Q1866)</f>
        <v>Polymer laminate</v>
      </c>
      <c r="S1866" s="5" t="str">
        <f aca="false">IF(O1866&lt;='Tree rules'!$C$4,IF(N1866&lt;='Tree rules'!$C$5,IF(P1866&lt;='Tree rules'!$C$6,"Monitor","Polymer laminate"),IF(P1866&lt;='Tree rules'!$C$7,"Seal cracks","Polymer laminate")),IF(O1866&lt;='Tree rules'!$C$8,IF(M1866&lt;='Tree rules'!$C$9,"Steel plate or jacket","Polymer laminate"),IF(L1866&lt;='Tree rules'!$C$10,"Steel plate or jacket","Polymer laminate")))</f>
        <v>Polymer laminate</v>
      </c>
      <c r="T1866" s="5" t="str">
        <f aca="false">IF(S1866=R1866,"Yes","No")</f>
        <v>Yes</v>
      </c>
    </row>
    <row r="1867" customFormat="false" ht="15" hidden="false" customHeight="false" outlineLevel="0" collapsed="false">
      <c r="A1867" s="15" t="n">
        <v>2672</v>
      </c>
      <c r="B1867" s="16" t="n">
        <v>4.6359890228651</v>
      </c>
      <c r="C1867" s="15" t="n">
        <v>300</v>
      </c>
      <c r="D1867" s="15" t="n">
        <v>425</v>
      </c>
      <c r="E1867" s="15" t="n">
        <v>25</v>
      </c>
      <c r="F1867" s="16" t="n">
        <v>0.593686800678386</v>
      </c>
      <c r="G1867" s="17" t="s">
        <v>89</v>
      </c>
      <c r="H1867" s="18" t="n">
        <v>0.3</v>
      </c>
      <c r="I1867" s="18" t="n">
        <v>1</v>
      </c>
      <c r="J1867" s="19" t="n">
        <v>0.853773444181898</v>
      </c>
      <c r="K1867" s="19" t="n">
        <v>0.527612434117474</v>
      </c>
      <c r="L1867" s="16" t="n">
        <v>12.167950191247</v>
      </c>
      <c r="M1867" s="19" t="n">
        <v>0.875749873091211</v>
      </c>
      <c r="N1867" s="19" t="n">
        <v>0.486912309385362</v>
      </c>
      <c r="O1867" s="19" t="n">
        <v>0.853773444181898</v>
      </c>
      <c r="P1867" s="19" t="n">
        <v>0.325066414053446</v>
      </c>
      <c r="Q1867" s="17" t="s">
        <v>29</v>
      </c>
      <c r="R1867" s="5" t="str">
        <f aca="false">IF(OR(Q1867="Steel plate",Q1867="Concrete jacket"),"Steel plate or jacket",Q1867)</f>
        <v>Monitor</v>
      </c>
      <c r="S1867" s="5" t="str">
        <f aca="false">IF(O1867&lt;='Tree rules'!$C$4,IF(N1867&lt;='Tree rules'!$C$5,IF(P1867&lt;='Tree rules'!$C$6,"Monitor","Polymer laminate"),IF(P1867&lt;='Tree rules'!$C$7,"Seal cracks","Polymer laminate")),IF(O1867&lt;='Tree rules'!$C$8,IF(M1867&lt;='Tree rules'!$C$9,"Steel plate or jacket","Polymer laminate"),IF(L1867&lt;='Tree rules'!$C$10,"Steel plate or jacket","Polymer laminate")))</f>
        <v>Monitor</v>
      </c>
      <c r="T1867" s="5" t="str">
        <f aca="false">IF(S1867=R1867,"Yes","No")</f>
        <v>Yes</v>
      </c>
    </row>
    <row r="1868" customFormat="false" ht="15" hidden="false" customHeight="false" outlineLevel="0" collapsed="false">
      <c r="A1868" s="15" t="n">
        <v>2673</v>
      </c>
      <c r="B1868" s="16" t="n">
        <v>5.45100941393202</v>
      </c>
      <c r="C1868" s="15" t="n">
        <v>300</v>
      </c>
      <c r="D1868" s="15" t="n">
        <v>475</v>
      </c>
      <c r="E1868" s="15" t="n">
        <v>30</v>
      </c>
      <c r="F1868" s="16" t="n">
        <v>0.735735984447258</v>
      </c>
      <c r="G1868" s="17" t="s">
        <v>89</v>
      </c>
      <c r="H1868" s="18" t="n">
        <v>0.3</v>
      </c>
      <c r="I1868" s="18" t="n">
        <v>1</v>
      </c>
      <c r="J1868" s="19" t="n">
        <v>0.955842651447911</v>
      </c>
      <c r="K1868" s="19" t="n">
        <v>0.440719302959913</v>
      </c>
      <c r="L1868" s="16" t="n">
        <v>12.7658300092085</v>
      </c>
      <c r="M1868" s="19" t="n">
        <v>0.883293262438487</v>
      </c>
      <c r="N1868" s="19" t="n">
        <v>0.742186080024288</v>
      </c>
      <c r="O1868" s="19" t="n">
        <v>0.955842651447911</v>
      </c>
      <c r="P1868" s="19" t="n">
        <v>0.397809608200462</v>
      </c>
      <c r="Q1868" s="17" t="s">
        <v>29</v>
      </c>
      <c r="R1868" s="5" t="str">
        <f aca="false">IF(OR(Q1868="Steel plate",Q1868="Concrete jacket"),"Steel plate or jacket",Q1868)</f>
        <v>Monitor</v>
      </c>
      <c r="S1868" s="5" t="str">
        <f aca="false">IF(O1868&lt;='Tree rules'!$C$4,IF(N1868&lt;='Tree rules'!$C$5,IF(P1868&lt;='Tree rules'!$C$6,"Monitor","Polymer laminate"),IF(P1868&lt;='Tree rules'!$C$7,"Seal cracks","Polymer laminate")),IF(O1868&lt;='Tree rules'!$C$8,IF(M1868&lt;='Tree rules'!$C$9,"Steel plate or jacket","Polymer laminate"),IF(L1868&lt;='Tree rules'!$C$10,"Steel plate or jacket","Polymer laminate")))</f>
        <v>Monitor</v>
      </c>
      <c r="T1868" s="5" t="str">
        <f aca="false">IF(S1868=R1868,"Yes","No")</f>
        <v>Yes</v>
      </c>
    </row>
    <row r="1869" customFormat="false" ht="15" hidden="false" customHeight="false" outlineLevel="0" collapsed="false">
      <c r="A1869" s="15" t="n">
        <v>2674</v>
      </c>
      <c r="B1869" s="16" t="n">
        <v>4.90455182563689</v>
      </c>
      <c r="C1869" s="15" t="n">
        <v>300</v>
      </c>
      <c r="D1869" s="15" t="n">
        <v>475</v>
      </c>
      <c r="E1869" s="15" t="n">
        <v>25</v>
      </c>
      <c r="F1869" s="16" t="n">
        <v>0.735735984447258</v>
      </c>
      <c r="G1869" s="17" t="s">
        <v>89</v>
      </c>
      <c r="H1869" s="18" t="n">
        <v>0.3</v>
      </c>
      <c r="I1869" s="18" t="n">
        <v>1.5</v>
      </c>
      <c r="J1869" s="19" t="n">
        <v>0.946885678452134</v>
      </c>
      <c r="K1869" s="19" t="n">
        <v>0.544624044514974</v>
      </c>
      <c r="L1869" s="16" t="n">
        <v>11.4860698492667</v>
      </c>
      <c r="M1869" s="19" t="n">
        <v>0.876469138107627</v>
      </c>
      <c r="N1869" s="19" t="n">
        <v>0.913243969278871</v>
      </c>
      <c r="O1869" s="19" t="n">
        <v>1.16248016373225</v>
      </c>
      <c r="P1869" s="19" t="n">
        <v>0.453436389180278</v>
      </c>
      <c r="Q1869" s="17" t="s">
        <v>31</v>
      </c>
      <c r="R1869" s="5" t="str">
        <f aca="false">IF(OR(Q1869="Steel plate",Q1869="Concrete jacket"),"Steel plate or jacket",Q1869)</f>
        <v>Polymer laminate</v>
      </c>
      <c r="S1869" s="5" t="str">
        <f aca="false">IF(O1869&lt;='Tree rules'!$C$4,IF(N1869&lt;='Tree rules'!$C$5,IF(P1869&lt;='Tree rules'!$C$6,"Monitor","Polymer laminate"),IF(P1869&lt;='Tree rules'!$C$7,"Seal cracks","Polymer laminate")),IF(O1869&lt;='Tree rules'!$C$8,IF(M1869&lt;='Tree rules'!$C$9,"Steel plate or jacket","Polymer laminate"),IF(L1869&lt;='Tree rules'!$C$10,"Steel plate or jacket","Polymer laminate")))</f>
        <v>Polymer laminate</v>
      </c>
      <c r="T1869" s="5" t="str">
        <f aca="false">IF(S1869=R1869,"Yes","No")</f>
        <v>Yes</v>
      </c>
    </row>
    <row r="1870" customFormat="false" ht="15" hidden="false" customHeight="false" outlineLevel="0" collapsed="false">
      <c r="A1870" s="15" t="n">
        <v>2675</v>
      </c>
      <c r="B1870" s="16" t="n">
        <v>3.59819307910845</v>
      </c>
      <c r="C1870" s="15" t="n">
        <v>300</v>
      </c>
      <c r="D1870" s="15" t="n">
        <v>350</v>
      </c>
      <c r="E1870" s="15" t="n">
        <v>30</v>
      </c>
      <c r="F1870" s="16" t="n">
        <v>0.729754391077768</v>
      </c>
      <c r="G1870" s="17" t="s">
        <v>90</v>
      </c>
      <c r="H1870" s="18" t="n">
        <v>0.1</v>
      </c>
      <c r="I1870" s="18" t="n">
        <v>1.5</v>
      </c>
      <c r="J1870" s="19" t="n">
        <v>0.90374164742202</v>
      </c>
      <c r="K1870" s="19" t="n">
        <v>0.432868063332015</v>
      </c>
      <c r="L1870" s="16" t="n">
        <v>12.5372581153605</v>
      </c>
      <c r="M1870" s="19" t="n">
        <v>0.351837218824674</v>
      </c>
      <c r="N1870" s="19" t="n">
        <v>4.5757033661694</v>
      </c>
      <c r="O1870" s="19" t="n">
        <v>1.160012022797</v>
      </c>
      <c r="P1870" s="19" t="n">
        <v>0.749967107865037</v>
      </c>
      <c r="Q1870" s="17" t="s">
        <v>31</v>
      </c>
      <c r="R1870" s="5" t="str">
        <f aca="false">IF(OR(Q1870="Steel plate",Q1870="Concrete jacket"),"Steel plate or jacket",Q1870)</f>
        <v>Polymer laminate</v>
      </c>
      <c r="S1870" s="5" t="str">
        <f aca="false">IF(O1870&lt;='Tree rules'!$C$4,IF(N1870&lt;='Tree rules'!$C$5,IF(P1870&lt;='Tree rules'!$C$6,"Monitor","Polymer laminate"),IF(P1870&lt;='Tree rules'!$C$7,"Seal cracks","Polymer laminate")),IF(O1870&lt;='Tree rules'!$C$8,IF(M1870&lt;='Tree rules'!$C$9,"Steel plate or jacket","Polymer laminate"),IF(L1870&lt;='Tree rules'!$C$10,"Steel plate or jacket","Polymer laminate")))</f>
        <v>Polymer laminate</v>
      </c>
      <c r="T1870" s="5" t="str">
        <f aca="false">IF(S1870=R1870,"Yes","No")</f>
        <v>Yes</v>
      </c>
    </row>
    <row r="1871" customFormat="false" ht="15" hidden="false" customHeight="false" outlineLevel="0" collapsed="false">
      <c r="A1871" s="15" t="n">
        <v>2676</v>
      </c>
      <c r="B1871" s="16" t="n">
        <v>4.03153454969225</v>
      </c>
      <c r="C1871" s="15" t="n">
        <v>300</v>
      </c>
      <c r="D1871" s="15" t="n">
        <v>325</v>
      </c>
      <c r="E1871" s="15" t="n">
        <v>30</v>
      </c>
      <c r="F1871" s="16" t="n">
        <v>0.756099314943392</v>
      </c>
      <c r="G1871" s="17" t="s">
        <v>89</v>
      </c>
      <c r="H1871" s="18" t="n">
        <v>0.3</v>
      </c>
      <c r="I1871" s="18" t="n">
        <v>1.5</v>
      </c>
      <c r="J1871" s="19" t="n">
        <v>0.888852946720589</v>
      </c>
      <c r="K1871" s="19" t="n">
        <v>0.548727982011604</v>
      </c>
      <c r="L1871" s="16" t="n">
        <v>14.5542763526796</v>
      </c>
      <c r="M1871" s="19" t="n">
        <v>0.279107120462366</v>
      </c>
      <c r="N1871" s="19" t="n">
        <v>1.28534712685793</v>
      </c>
      <c r="O1871" s="19" t="n">
        <v>1.08941017820136</v>
      </c>
      <c r="P1871" s="19" t="n">
        <v>1.29856294708632</v>
      </c>
      <c r="Q1871" s="17" t="s">
        <v>31</v>
      </c>
      <c r="R1871" s="5" t="str">
        <f aca="false">IF(OR(Q1871="Steel plate",Q1871="Concrete jacket"),"Steel plate or jacket",Q1871)</f>
        <v>Polymer laminate</v>
      </c>
      <c r="S1871" s="5" t="str">
        <f aca="false">IF(O1871&lt;='Tree rules'!$C$4,IF(N1871&lt;='Tree rules'!$C$5,IF(P1871&lt;='Tree rules'!$C$6,"Monitor","Polymer laminate"),IF(P1871&lt;='Tree rules'!$C$7,"Seal cracks","Polymer laminate")),IF(O1871&lt;='Tree rules'!$C$8,IF(M1871&lt;='Tree rules'!$C$9,"Steel plate or jacket","Polymer laminate"),IF(L1871&lt;='Tree rules'!$C$10,"Steel plate or jacket","Polymer laminate")))</f>
        <v>Steel plate or jacket</v>
      </c>
      <c r="T1871" s="5" t="str">
        <f aca="false">IF(S1871=R1871,"Yes","No")</f>
        <v>No</v>
      </c>
    </row>
    <row r="1872" customFormat="false" ht="15" hidden="false" customHeight="false" outlineLevel="0" collapsed="false">
      <c r="A1872" s="15" t="n">
        <v>2677</v>
      </c>
      <c r="B1872" s="16" t="n">
        <v>6.13482713621943</v>
      </c>
      <c r="C1872" s="15" t="n">
        <v>230</v>
      </c>
      <c r="D1872" s="15" t="n">
        <v>600</v>
      </c>
      <c r="E1872" s="15" t="n">
        <v>20</v>
      </c>
      <c r="F1872" s="16" t="n">
        <v>0.742342309449384</v>
      </c>
      <c r="G1872" s="17" t="s">
        <v>91</v>
      </c>
      <c r="H1872" s="18" t="n">
        <v>0.2</v>
      </c>
      <c r="I1872" s="18" t="n">
        <v>1.5</v>
      </c>
      <c r="J1872" s="19" t="n">
        <v>0.904757599156139</v>
      </c>
      <c r="K1872" s="19" t="n">
        <v>0.433557532446253</v>
      </c>
      <c r="L1872" s="16" t="n">
        <v>11.1138172757598</v>
      </c>
      <c r="M1872" s="19" t="n">
        <v>0.770285845200496</v>
      </c>
      <c r="N1872" s="19" t="n">
        <v>1.15500252676585</v>
      </c>
      <c r="O1872" s="19" t="n">
        <v>1.16100416265814</v>
      </c>
      <c r="P1872" s="19" t="n">
        <v>0.508234723807636</v>
      </c>
      <c r="Q1872" s="17" t="s">
        <v>31</v>
      </c>
      <c r="R1872" s="5" t="str">
        <f aca="false">IF(OR(Q1872="Steel plate",Q1872="Concrete jacket"),"Steel plate or jacket",Q1872)</f>
        <v>Polymer laminate</v>
      </c>
      <c r="S1872" s="5" t="str">
        <f aca="false">IF(O1872&lt;='Tree rules'!$C$4,IF(N1872&lt;='Tree rules'!$C$5,IF(P1872&lt;='Tree rules'!$C$6,"Monitor","Polymer laminate"),IF(P1872&lt;='Tree rules'!$C$7,"Seal cracks","Polymer laminate")),IF(O1872&lt;='Tree rules'!$C$8,IF(M1872&lt;='Tree rules'!$C$9,"Steel plate or jacket","Polymer laminate"),IF(L1872&lt;='Tree rules'!$C$10,"Steel plate or jacket","Polymer laminate")))</f>
        <v>Polymer laminate</v>
      </c>
      <c r="T1872" s="5" t="str">
        <f aca="false">IF(S1872=R1872,"Yes","No")</f>
        <v>Yes</v>
      </c>
    </row>
    <row r="1873" customFormat="false" ht="15" hidden="false" customHeight="false" outlineLevel="0" collapsed="false">
      <c r="A1873" s="15" t="n">
        <v>2679</v>
      </c>
      <c r="B1873" s="16" t="n">
        <v>6.21522288203043</v>
      </c>
      <c r="C1873" s="15" t="n">
        <v>300</v>
      </c>
      <c r="D1873" s="15" t="n">
        <v>600</v>
      </c>
      <c r="E1873" s="15" t="n">
        <v>30</v>
      </c>
      <c r="F1873" s="16" t="n">
        <v>0.725855342345656</v>
      </c>
      <c r="G1873" s="17" t="s">
        <v>89</v>
      </c>
      <c r="H1873" s="18" t="n">
        <v>0.3</v>
      </c>
      <c r="I1873" s="18" t="n">
        <v>1</v>
      </c>
      <c r="J1873" s="19" t="n">
        <v>0.895986293691615</v>
      </c>
      <c r="K1873" s="19" t="n">
        <v>0.456291409833901</v>
      </c>
      <c r="L1873" s="16" t="n">
        <v>11.2188138664809</v>
      </c>
      <c r="M1873" s="19" t="n">
        <v>0.626079535512411</v>
      </c>
      <c r="N1873" s="19" t="n">
        <v>0.552838121739878</v>
      </c>
      <c r="O1873" s="19" t="n">
        <v>0.895986293691615</v>
      </c>
      <c r="P1873" s="19" t="n">
        <v>0.480567298646445</v>
      </c>
      <c r="Q1873" s="17" t="s">
        <v>29</v>
      </c>
      <c r="R1873" s="5" t="str">
        <f aca="false">IF(OR(Q1873="Steel plate",Q1873="Concrete jacket"),"Steel plate or jacket",Q1873)</f>
        <v>Monitor</v>
      </c>
      <c r="S1873" s="5" t="str">
        <f aca="false">IF(O1873&lt;='Tree rules'!$C$4,IF(N1873&lt;='Tree rules'!$C$5,IF(P1873&lt;='Tree rules'!$C$6,"Monitor","Polymer laminate"),IF(P1873&lt;='Tree rules'!$C$7,"Seal cracks","Polymer laminate")),IF(O1873&lt;='Tree rules'!$C$8,IF(M1873&lt;='Tree rules'!$C$9,"Steel plate or jacket","Polymer laminate"),IF(L1873&lt;='Tree rules'!$C$10,"Steel plate or jacket","Polymer laminate")))</f>
        <v>Monitor</v>
      </c>
      <c r="T1873" s="5" t="str">
        <f aca="false">IF(S1873=R1873,"Yes","No")</f>
        <v>Yes</v>
      </c>
    </row>
    <row r="1874" customFormat="false" ht="15" hidden="false" customHeight="false" outlineLevel="0" collapsed="false">
      <c r="A1874" s="15" t="n">
        <v>2680</v>
      </c>
      <c r="B1874" s="16" t="n">
        <v>3.76772904916894</v>
      </c>
      <c r="C1874" s="15" t="n">
        <v>230</v>
      </c>
      <c r="D1874" s="15" t="n">
        <v>350</v>
      </c>
      <c r="E1874" s="15" t="n">
        <v>30</v>
      </c>
      <c r="F1874" s="16" t="n">
        <v>0.862679904875916</v>
      </c>
      <c r="G1874" s="17" t="s">
        <v>89</v>
      </c>
      <c r="H1874" s="18" t="n">
        <v>0.3</v>
      </c>
      <c r="I1874" s="18" t="n">
        <v>1.5</v>
      </c>
      <c r="J1874" s="19" t="n">
        <v>0.891084679108792</v>
      </c>
      <c r="K1874" s="19" t="n">
        <v>0.442751753526089</v>
      </c>
      <c r="L1874" s="16" t="n">
        <v>12.3938455564768</v>
      </c>
      <c r="M1874" s="19" t="n">
        <v>0.784096992929073</v>
      </c>
      <c r="N1874" s="19" t="n">
        <v>0.823781086031906</v>
      </c>
      <c r="O1874" s="19" t="n">
        <v>1.13936236655536</v>
      </c>
      <c r="P1874" s="19" t="n">
        <v>0.470139394146012</v>
      </c>
      <c r="Q1874" s="17" t="s">
        <v>31</v>
      </c>
      <c r="R1874" s="5" t="str">
        <f aca="false">IF(OR(Q1874="Steel plate",Q1874="Concrete jacket"),"Steel plate or jacket",Q1874)</f>
        <v>Polymer laminate</v>
      </c>
      <c r="S1874" s="5" t="str">
        <f aca="false">IF(O1874&lt;='Tree rules'!$C$4,IF(N1874&lt;='Tree rules'!$C$5,IF(P1874&lt;='Tree rules'!$C$6,"Monitor","Polymer laminate"),IF(P1874&lt;='Tree rules'!$C$7,"Seal cracks","Polymer laminate")),IF(O1874&lt;='Tree rules'!$C$8,IF(M1874&lt;='Tree rules'!$C$9,"Steel plate or jacket","Polymer laminate"),IF(L1874&lt;='Tree rules'!$C$10,"Steel plate or jacket","Polymer laminate")))</f>
        <v>Polymer laminate</v>
      </c>
      <c r="T1874" s="5" t="str">
        <f aca="false">IF(S1874=R1874,"Yes","No")</f>
        <v>Yes</v>
      </c>
    </row>
    <row r="1875" customFormat="false" ht="15" hidden="false" customHeight="false" outlineLevel="0" collapsed="false">
      <c r="A1875" s="15" t="n">
        <v>2682</v>
      </c>
      <c r="B1875" s="16" t="n">
        <v>3.22443259921385</v>
      </c>
      <c r="C1875" s="15" t="n">
        <v>230</v>
      </c>
      <c r="D1875" s="15" t="n">
        <v>300</v>
      </c>
      <c r="E1875" s="15" t="n">
        <v>20</v>
      </c>
      <c r="F1875" s="16" t="n">
        <v>0.576243217710084</v>
      </c>
      <c r="G1875" s="17" t="s">
        <v>89</v>
      </c>
      <c r="H1875" s="18" t="n">
        <v>0.3</v>
      </c>
      <c r="I1875" s="18" t="n">
        <v>1.5</v>
      </c>
      <c r="J1875" s="19" t="n">
        <v>0.859310219822925</v>
      </c>
      <c r="K1875" s="19" t="n">
        <v>0.592286129383604</v>
      </c>
      <c r="L1875" s="16" t="n">
        <v>12.5954398406791</v>
      </c>
      <c r="M1875" s="19" t="n">
        <v>0.843567468776947</v>
      </c>
      <c r="N1875" s="19" t="n">
        <v>0.694426971367111</v>
      </c>
      <c r="O1875" s="19" t="n">
        <v>1.03448656771504</v>
      </c>
      <c r="P1875" s="19" t="n">
        <v>0.353298411663807</v>
      </c>
      <c r="Q1875" s="17" t="s">
        <v>31</v>
      </c>
      <c r="R1875" s="5" t="str">
        <f aca="false">IF(OR(Q1875="Steel plate",Q1875="Concrete jacket"),"Steel plate or jacket",Q1875)</f>
        <v>Polymer laminate</v>
      </c>
      <c r="S1875" s="5" t="str">
        <f aca="false">IF(O1875&lt;='Tree rules'!$C$4,IF(N1875&lt;='Tree rules'!$C$5,IF(P1875&lt;='Tree rules'!$C$6,"Monitor","Polymer laminate"),IF(P1875&lt;='Tree rules'!$C$7,"Seal cracks","Polymer laminate")),IF(O1875&lt;='Tree rules'!$C$8,IF(M1875&lt;='Tree rules'!$C$9,"Steel plate or jacket","Polymer laminate"),IF(L1875&lt;='Tree rules'!$C$10,"Steel plate or jacket","Polymer laminate")))</f>
        <v>Polymer laminate</v>
      </c>
      <c r="T1875" s="5" t="str">
        <f aca="false">IF(S1875=R1875,"Yes","No")</f>
        <v>Yes</v>
      </c>
    </row>
    <row r="1876" customFormat="false" ht="15" hidden="false" customHeight="false" outlineLevel="0" collapsed="false">
      <c r="A1876" s="15" t="n">
        <v>2683</v>
      </c>
      <c r="B1876" s="16" t="n">
        <v>3.35526785401551</v>
      </c>
      <c r="C1876" s="15" t="n">
        <v>230</v>
      </c>
      <c r="D1876" s="15" t="n">
        <v>300</v>
      </c>
      <c r="E1876" s="15" t="n">
        <v>20</v>
      </c>
      <c r="F1876" s="16" t="n">
        <v>0.688332522525665</v>
      </c>
      <c r="G1876" s="17" t="s">
        <v>89</v>
      </c>
      <c r="H1876" s="18" t="n">
        <v>0.3</v>
      </c>
      <c r="I1876" s="18" t="n">
        <v>1</v>
      </c>
      <c r="J1876" s="19" t="n">
        <v>0.866932368671005</v>
      </c>
      <c r="K1876" s="19" t="n">
        <v>0.403140387291757</v>
      </c>
      <c r="L1876" s="16" t="n">
        <v>13.209715960691</v>
      </c>
      <c r="M1876" s="19" t="n">
        <v>0.305856989978567</v>
      </c>
      <c r="N1876" s="19" t="n">
        <v>0.843407053679182</v>
      </c>
      <c r="O1876" s="19" t="n">
        <v>0.866932368671005</v>
      </c>
      <c r="P1876" s="19" t="n">
        <v>0.861105990122132</v>
      </c>
      <c r="Q1876" s="17" t="s">
        <v>29</v>
      </c>
      <c r="R1876" s="5" t="str">
        <f aca="false">IF(OR(Q1876="Steel plate",Q1876="Concrete jacket"),"Steel plate or jacket",Q1876)</f>
        <v>Monitor</v>
      </c>
      <c r="S1876" s="5" t="str">
        <f aca="false">IF(O1876&lt;='Tree rules'!$C$4,IF(N1876&lt;='Tree rules'!$C$5,IF(P1876&lt;='Tree rules'!$C$6,"Monitor","Polymer laminate"),IF(P1876&lt;='Tree rules'!$C$7,"Seal cracks","Polymer laminate")),IF(O1876&lt;='Tree rules'!$C$8,IF(M1876&lt;='Tree rules'!$C$9,"Steel plate or jacket","Polymer laminate"),IF(L1876&lt;='Tree rules'!$C$10,"Steel plate or jacket","Polymer laminate")))</f>
        <v>Monitor</v>
      </c>
      <c r="T1876" s="5" t="str">
        <f aca="false">IF(S1876=R1876,"Yes","No")</f>
        <v>Yes</v>
      </c>
    </row>
    <row r="1877" customFormat="false" ht="15" hidden="false" customHeight="false" outlineLevel="0" collapsed="false">
      <c r="A1877" s="15" t="n">
        <v>2684</v>
      </c>
      <c r="B1877" s="16" t="n">
        <v>3.73065896370291</v>
      </c>
      <c r="C1877" s="15" t="n">
        <v>230</v>
      </c>
      <c r="D1877" s="15" t="n">
        <v>300</v>
      </c>
      <c r="E1877" s="15" t="n">
        <v>25</v>
      </c>
      <c r="F1877" s="16" t="n">
        <v>0.768324290280112</v>
      </c>
      <c r="G1877" s="17" t="s">
        <v>89</v>
      </c>
      <c r="H1877" s="18" t="n">
        <v>0.3</v>
      </c>
      <c r="I1877" s="18" t="n">
        <v>2</v>
      </c>
      <c r="J1877" s="19" t="n">
        <v>0.867129246652472</v>
      </c>
      <c r="K1877" s="19" t="n">
        <v>0.545871281324304</v>
      </c>
      <c r="L1877" s="16" t="n">
        <v>14.5728865769645</v>
      </c>
      <c r="M1877" s="19" t="n">
        <v>0.459640301335786</v>
      </c>
      <c r="N1877" s="19" t="n">
        <v>0.88801768064615</v>
      </c>
      <c r="O1877" s="19" t="n">
        <v>1.26091754036098</v>
      </c>
      <c r="P1877" s="19" t="n">
        <v>0.930480829047214</v>
      </c>
      <c r="Q1877" s="17" t="s">
        <v>31</v>
      </c>
      <c r="R1877" s="5" t="str">
        <f aca="false">IF(OR(Q1877="Steel plate",Q1877="Concrete jacket"),"Steel plate or jacket",Q1877)</f>
        <v>Polymer laminate</v>
      </c>
      <c r="S1877" s="5" t="str">
        <f aca="false">IF(O1877&lt;='Tree rules'!$C$4,IF(N1877&lt;='Tree rules'!$C$5,IF(P1877&lt;='Tree rules'!$C$6,"Monitor","Polymer laminate"),IF(P1877&lt;='Tree rules'!$C$7,"Seal cracks","Polymer laminate")),IF(O1877&lt;='Tree rules'!$C$8,IF(M1877&lt;='Tree rules'!$C$9,"Steel plate or jacket","Polymer laminate"),IF(L1877&lt;='Tree rules'!$C$10,"Steel plate or jacket","Polymer laminate")))</f>
        <v>Polymer laminate</v>
      </c>
      <c r="T1877" s="5" t="str">
        <f aca="false">IF(S1877=R1877,"Yes","No")</f>
        <v>Yes</v>
      </c>
    </row>
    <row r="1878" customFormat="false" ht="15" hidden="false" customHeight="false" outlineLevel="0" collapsed="false">
      <c r="A1878" s="15" t="n">
        <v>2685</v>
      </c>
      <c r="B1878" s="16" t="n">
        <v>4.79383003148171</v>
      </c>
      <c r="C1878" s="15" t="n">
        <v>230</v>
      </c>
      <c r="D1878" s="15" t="n">
        <v>425</v>
      </c>
      <c r="E1878" s="15" t="n">
        <v>30</v>
      </c>
      <c r="F1878" s="16" t="n">
        <v>0.754646325628103</v>
      </c>
      <c r="G1878" s="17" t="s">
        <v>90</v>
      </c>
      <c r="H1878" s="18" t="n">
        <v>0.1</v>
      </c>
      <c r="I1878" s="18" t="n">
        <v>1.5</v>
      </c>
      <c r="J1878" s="19" t="n">
        <v>0.958164815386465</v>
      </c>
      <c r="K1878" s="19" t="n">
        <v>0.46861615324491</v>
      </c>
      <c r="L1878" s="16" t="n">
        <v>13.2426243963583</v>
      </c>
      <c r="M1878" s="19" t="n">
        <v>0.807631670719445</v>
      </c>
      <c r="N1878" s="19" t="n">
        <v>3.74432206411105</v>
      </c>
      <c r="O1878" s="19" t="n">
        <v>1.21274146809919</v>
      </c>
      <c r="P1878" s="19" t="n">
        <v>0.451896645880246</v>
      </c>
      <c r="Q1878" s="17" t="s">
        <v>31</v>
      </c>
      <c r="R1878" s="5" t="str">
        <f aca="false">IF(OR(Q1878="Steel plate",Q1878="Concrete jacket"),"Steel plate or jacket",Q1878)</f>
        <v>Polymer laminate</v>
      </c>
      <c r="S1878" s="5" t="str">
        <f aca="false">IF(O1878&lt;='Tree rules'!$C$4,IF(N1878&lt;='Tree rules'!$C$5,IF(P1878&lt;='Tree rules'!$C$6,"Monitor","Polymer laminate"),IF(P1878&lt;='Tree rules'!$C$7,"Seal cracks","Polymer laminate")),IF(O1878&lt;='Tree rules'!$C$8,IF(M1878&lt;='Tree rules'!$C$9,"Steel plate or jacket","Polymer laminate"),IF(L1878&lt;='Tree rules'!$C$10,"Steel plate or jacket","Polymer laminate")))</f>
        <v>Polymer laminate</v>
      </c>
      <c r="T1878" s="5" t="str">
        <f aca="false">IF(S1878=R1878,"Yes","No")</f>
        <v>Yes</v>
      </c>
    </row>
    <row r="1879" customFormat="false" ht="15" hidden="false" customHeight="false" outlineLevel="0" collapsed="false">
      <c r="A1879" s="15" t="n">
        <v>2686</v>
      </c>
      <c r="B1879" s="16" t="n">
        <v>3.63569618070569</v>
      </c>
      <c r="C1879" s="15" t="n">
        <v>230</v>
      </c>
      <c r="D1879" s="15" t="n">
        <v>325</v>
      </c>
      <c r="E1879" s="15" t="n">
        <v>30</v>
      </c>
      <c r="F1879" s="16" t="n">
        <v>0.626653981080713</v>
      </c>
      <c r="G1879" s="17" t="s">
        <v>91</v>
      </c>
      <c r="H1879" s="18" t="n">
        <v>0.2</v>
      </c>
      <c r="I1879" s="18" t="n">
        <v>1</v>
      </c>
      <c r="J1879" s="19" t="n">
        <v>0.949961586225526</v>
      </c>
      <c r="K1879" s="19" t="n">
        <v>0.61747032916796</v>
      </c>
      <c r="L1879" s="16" t="n">
        <v>13.031169106472</v>
      </c>
      <c r="M1879" s="19" t="n">
        <v>0.603290039926525</v>
      </c>
      <c r="N1879" s="19" t="n">
        <v>1.31513972716696</v>
      </c>
      <c r="O1879" s="19" t="n">
        <v>0.949961586225526</v>
      </c>
      <c r="P1879" s="19" t="n">
        <v>0.486030832936984</v>
      </c>
      <c r="Q1879" s="17" t="s">
        <v>30</v>
      </c>
      <c r="R1879" s="5" t="str">
        <f aca="false">IF(OR(Q1879="Steel plate",Q1879="Concrete jacket"),"Steel plate or jacket",Q1879)</f>
        <v>Seal cracks</v>
      </c>
      <c r="S1879" s="5" t="str">
        <f aca="false">IF(O1879&lt;='Tree rules'!$C$4,IF(N1879&lt;='Tree rules'!$C$5,IF(P1879&lt;='Tree rules'!$C$6,"Monitor","Polymer laminate"),IF(P1879&lt;='Tree rules'!$C$7,"Seal cracks","Polymer laminate")),IF(O1879&lt;='Tree rules'!$C$8,IF(M1879&lt;='Tree rules'!$C$9,"Steel plate or jacket","Polymer laminate"),IF(L1879&lt;='Tree rules'!$C$10,"Steel plate or jacket","Polymer laminate")))</f>
        <v>Seal cracks</v>
      </c>
      <c r="T1879" s="5" t="str">
        <f aca="false">IF(S1879=R1879,"Yes","No")</f>
        <v>Yes</v>
      </c>
    </row>
    <row r="1880" customFormat="false" ht="15" hidden="false" customHeight="false" outlineLevel="0" collapsed="false">
      <c r="A1880" s="15" t="n">
        <v>2688</v>
      </c>
      <c r="B1880" s="16" t="n">
        <v>7.2113227836332</v>
      </c>
      <c r="C1880" s="15" t="n">
        <v>300</v>
      </c>
      <c r="D1880" s="15" t="n">
        <v>600</v>
      </c>
      <c r="E1880" s="15" t="n">
        <v>30</v>
      </c>
      <c r="F1880" s="16" t="n">
        <v>0.621712831879242</v>
      </c>
      <c r="G1880" s="17" t="s">
        <v>90</v>
      </c>
      <c r="H1880" s="18" t="n">
        <v>0.1</v>
      </c>
      <c r="I1880" s="18" t="n">
        <v>1</v>
      </c>
      <c r="J1880" s="19" t="n">
        <v>0.950024577517557</v>
      </c>
      <c r="K1880" s="19" t="n">
        <v>0.519462778016542</v>
      </c>
      <c r="L1880" s="16" t="n">
        <v>13.3790775206553</v>
      </c>
      <c r="M1880" s="19" t="n">
        <v>0.911479942832903</v>
      </c>
      <c r="N1880" s="19" t="n">
        <v>2.23562130416159</v>
      </c>
      <c r="O1880" s="19" t="n">
        <v>0.950024577517557</v>
      </c>
      <c r="P1880" s="19" t="n">
        <v>0.375029372918226</v>
      </c>
      <c r="Q1880" s="17" t="s">
        <v>30</v>
      </c>
      <c r="R1880" s="5" t="str">
        <f aca="false">IF(OR(Q1880="Steel plate",Q1880="Concrete jacket"),"Steel plate or jacket",Q1880)</f>
        <v>Seal cracks</v>
      </c>
      <c r="S1880" s="5" t="str">
        <f aca="false">IF(O1880&lt;='Tree rules'!$C$4,IF(N1880&lt;='Tree rules'!$C$5,IF(P1880&lt;='Tree rules'!$C$6,"Monitor","Polymer laminate"),IF(P1880&lt;='Tree rules'!$C$7,"Seal cracks","Polymer laminate")),IF(O1880&lt;='Tree rules'!$C$8,IF(M1880&lt;='Tree rules'!$C$9,"Steel plate or jacket","Polymer laminate"),IF(L1880&lt;='Tree rules'!$C$10,"Steel plate or jacket","Polymer laminate")))</f>
        <v>Seal cracks</v>
      </c>
      <c r="T1880" s="5" t="str">
        <f aca="false">IF(S1880=R1880,"Yes","No")</f>
        <v>Yes</v>
      </c>
    </row>
    <row r="1881" customFormat="false" ht="15" hidden="false" customHeight="false" outlineLevel="0" collapsed="false">
      <c r="A1881" s="15" t="n">
        <v>2691</v>
      </c>
      <c r="B1881" s="16" t="n">
        <v>5.31543303323006</v>
      </c>
      <c r="C1881" s="15" t="n">
        <v>300</v>
      </c>
      <c r="D1881" s="15" t="n">
        <v>500</v>
      </c>
      <c r="E1881" s="15" t="n">
        <v>25</v>
      </c>
      <c r="F1881" s="16" t="n">
        <v>0.695042622475618</v>
      </c>
      <c r="G1881" s="17" t="s">
        <v>89</v>
      </c>
      <c r="H1881" s="18" t="n">
        <v>0.3</v>
      </c>
      <c r="I1881" s="18" t="n">
        <v>1.5</v>
      </c>
      <c r="J1881" s="19" t="n">
        <v>0.964386340925226</v>
      </c>
      <c r="K1881" s="19" t="n">
        <v>0.480067244852164</v>
      </c>
      <c r="L1881" s="16" t="n">
        <v>11.7598075956417</v>
      </c>
      <c r="M1881" s="19" t="n">
        <v>0.447785789644815</v>
      </c>
      <c r="N1881" s="19" t="n">
        <v>1.03253761091598</v>
      </c>
      <c r="O1881" s="19" t="n">
        <v>1.21509436455732</v>
      </c>
      <c r="P1881" s="19" t="n">
        <v>0.822010138683527</v>
      </c>
      <c r="Q1881" s="17" t="s">
        <v>31</v>
      </c>
      <c r="R1881" s="5" t="str">
        <f aca="false">IF(OR(Q1881="Steel plate",Q1881="Concrete jacket"),"Steel plate or jacket",Q1881)</f>
        <v>Polymer laminate</v>
      </c>
      <c r="S1881" s="5" t="str">
        <f aca="false">IF(O1881&lt;='Tree rules'!$C$4,IF(N1881&lt;='Tree rules'!$C$5,IF(P1881&lt;='Tree rules'!$C$6,"Monitor","Polymer laminate"),IF(P1881&lt;='Tree rules'!$C$7,"Seal cracks","Polymer laminate")),IF(O1881&lt;='Tree rules'!$C$8,IF(M1881&lt;='Tree rules'!$C$9,"Steel plate or jacket","Polymer laminate"),IF(L1881&lt;='Tree rules'!$C$10,"Steel plate or jacket","Polymer laminate")))</f>
        <v>Polymer laminate</v>
      </c>
      <c r="T1881" s="5" t="str">
        <f aca="false">IF(S1881=R1881,"Yes","No")</f>
        <v>Yes</v>
      </c>
    </row>
    <row r="1882" customFormat="false" ht="15" hidden="false" customHeight="false" outlineLevel="0" collapsed="false">
      <c r="A1882" s="15" t="n">
        <v>2692</v>
      </c>
      <c r="B1882" s="16" t="n">
        <v>7.14764235666457</v>
      </c>
      <c r="C1882" s="15" t="n">
        <v>300</v>
      </c>
      <c r="D1882" s="15" t="n">
        <v>675</v>
      </c>
      <c r="E1882" s="15" t="n">
        <v>25</v>
      </c>
      <c r="F1882" s="16" t="n">
        <v>0.684442843919345</v>
      </c>
      <c r="G1882" s="17" t="s">
        <v>90</v>
      </c>
      <c r="H1882" s="18" t="n">
        <v>0.1</v>
      </c>
      <c r="I1882" s="18" t="n">
        <v>1.5</v>
      </c>
      <c r="J1882" s="19" t="n">
        <v>0.863477127963281</v>
      </c>
      <c r="K1882" s="19" t="n">
        <v>0.541425463364306</v>
      </c>
      <c r="L1882" s="16" t="n">
        <v>11.6791541775565</v>
      </c>
      <c r="M1882" s="19" t="n">
        <v>0.871084279247608</v>
      </c>
      <c r="N1882" s="19" t="n">
        <v>2.62958458390576</v>
      </c>
      <c r="O1882" s="19" t="n">
        <v>1.06146143988892</v>
      </c>
      <c r="P1882" s="19" t="n">
        <v>0.413670945465404</v>
      </c>
      <c r="Q1882" s="17" t="s">
        <v>31</v>
      </c>
      <c r="R1882" s="5" t="str">
        <f aca="false">IF(OR(Q1882="Steel plate",Q1882="Concrete jacket"),"Steel plate or jacket",Q1882)</f>
        <v>Polymer laminate</v>
      </c>
      <c r="S1882" s="5" t="str">
        <f aca="false">IF(O1882&lt;='Tree rules'!$C$4,IF(N1882&lt;='Tree rules'!$C$5,IF(P1882&lt;='Tree rules'!$C$6,"Monitor","Polymer laminate"),IF(P1882&lt;='Tree rules'!$C$7,"Seal cracks","Polymer laminate")),IF(O1882&lt;='Tree rules'!$C$8,IF(M1882&lt;='Tree rules'!$C$9,"Steel plate or jacket","Polymer laminate"),IF(L1882&lt;='Tree rules'!$C$10,"Steel plate or jacket","Polymer laminate")))</f>
        <v>Polymer laminate</v>
      </c>
      <c r="T1882" s="5" t="str">
        <f aca="false">IF(S1882=R1882,"Yes","No")</f>
        <v>Yes</v>
      </c>
    </row>
    <row r="1883" customFormat="false" ht="15" hidden="false" customHeight="false" outlineLevel="0" collapsed="false">
      <c r="A1883" s="15" t="n">
        <v>2694</v>
      </c>
      <c r="B1883" s="16" t="n">
        <v>4.47926327357077</v>
      </c>
      <c r="C1883" s="15" t="n">
        <v>230</v>
      </c>
      <c r="D1883" s="15" t="n">
        <v>425</v>
      </c>
      <c r="E1883" s="15" t="n">
        <v>30</v>
      </c>
      <c r="F1883" s="16" t="n">
        <v>0.922619845496142</v>
      </c>
      <c r="G1883" s="17" t="s">
        <v>91</v>
      </c>
      <c r="H1883" s="18" t="n">
        <v>0.2</v>
      </c>
      <c r="I1883" s="18" t="n">
        <v>2</v>
      </c>
      <c r="J1883" s="19" t="n">
        <v>0.863398414805326</v>
      </c>
      <c r="K1883" s="19" t="n">
        <v>0.517457994658217</v>
      </c>
      <c r="L1883" s="16" t="n">
        <v>11.8186366057276</v>
      </c>
      <c r="M1883" s="19" t="n">
        <v>0.744111933385301</v>
      </c>
      <c r="N1883" s="19" t="n">
        <v>1.26624339476476</v>
      </c>
      <c r="O1883" s="19" t="n">
        <v>1.28002441729441</v>
      </c>
      <c r="P1883" s="19" t="n">
        <v>0.596693501956556</v>
      </c>
      <c r="Q1883" s="17" t="s">
        <v>31</v>
      </c>
      <c r="R1883" s="5" t="str">
        <f aca="false">IF(OR(Q1883="Steel plate",Q1883="Concrete jacket"),"Steel plate or jacket",Q1883)</f>
        <v>Polymer laminate</v>
      </c>
      <c r="S1883" s="5" t="str">
        <f aca="false">IF(O1883&lt;='Tree rules'!$C$4,IF(N1883&lt;='Tree rules'!$C$5,IF(P1883&lt;='Tree rules'!$C$6,"Monitor","Polymer laminate"),IF(P1883&lt;='Tree rules'!$C$7,"Seal cracks","Polymer laminate")),IF(O1883&lt;='Tree rules'!$C$8,IF(M1883&lt;='Tree rules'!$C$9,"Steel plate or jacket","Polymer laminate"),IF(L1883&lt;='Tree rules'!$C$10,"Steel plate or jacket","Polymer laminate")))</f>
        <v>Polymer laminate</v>
      </c>
      <c r="T1883" s="5" t="str">
        <f aca="false">IF(S1883=R1883,"Yes","No")</f>
        <v>Yes</v>
      </c>
    </row>
    <row r="1884" customFormat="false" ht="15" hidden="false" customHeight="false" outlineLevel="0" collapsed="false">
      <c r="A1884" s="15" t="n">
        <v>2695</v>
      </c>
      <c r="B1884" s="16" t="n">
        <v>6.571013365874</v>
      </c>
      <c r="C1884" s="15" t="n">
        <v>230</v>
      </c>
      <c r="D1884" s="15" t="n">
        <v>525</v>
      </c>
      <c r="E1884" s="15" t="n">
        <v>20</v>
      </c>
      <c r="F1884" s="16" t="n">
        <v>0.59130296510254</v>
      </c>
      <c r="G1884" s="17" t="s">
        <v>90</v>
      </c>
      <c r="H1884" s="18" t="n">
        <v>0.1</v>
      </c>
      <c r="I1884" s="18" t="n">
        <v>1</v>
      </c>
      <c r="J1884" s="19" t="n">
        <v>0.915316626666483</v>
      </c>
      <c r="K1884" s="19" t="n">
        <v>0.591261377709332</v>
      </c>
      <c r="L1884" s="16" t="n">
        <v>14.2229726534069</v>
      </c>
      <c r="M1884" s="19" t="n">
        <v>0.409830180594422</v>
      </c>
      <c r="N1884" s="19" t="n">
        <v>2.88688509641189</v>
      </c>
      <c r="O1884" s="19" t="n">
        <v>0.915316626666483</v>
      </c>
      <c r="P1884" s="19" t="n">
        <v>0.866712456290165</v>
      </c>
      <c r="Q1884" s="17" t="s">
        <v>30</v>
      </c>
      <c r="R1884" s="5" t="str">
        <f aca="false">IF(OR(Q1884="Steel plate",Q1884="Concrete jacket"),"Steel plate or jacket",Q1884)</f>
        <v>Seal cracks</v>
      </c>
      <c r="S1884" s="5" t="str">
        <f aca="false">IF(O1884&lt;='Tree rules'!$C$4,IF(N1884&lt;='Tree rules'!$C$5,IF(P1884&lt;='Tree rules'!$C$6,"Monitor","Polymer laminate"),IF(P1884&lt;='Tree rules'!$C$7,"Seal cracks","Polymer laminate")),IF(O1884&lt;='Tree rules'!$C$8,IF(M1884&lt;='Tree rules'!$C$9,"Steel plate or jacket","Polymer laminate"),IF(L1884&lt;='Tree rules'!$C$10,"Steel plate or jacket","Polymer laminate")))</f>
        <v>Seal cracks</v>
      </c>
      <c r="T1884" s="5" t="str">
        <f aca="false">IF(S1884=R1884,"Yes","No")</f>
        <v>Yes</v>
      </c>
    </row>
    <row r="1885" customFormat="false" ht="15" hidden="false" customHeight="false" outlineLevel="0" collapsed="false">
      <c r="A1885" s="15" t="n">
        <v>2696</v>
      </c>
      <c r="B1885" s="16" t="n">
        <v>3.38188832315676</v>
      </c>
      <c r="C1885" s="15" t="n">
        <v>300</v>
      </c>
      <c r="D1885" s="15" t="n">
        <v>300</v>
      </c>
      <c r="E1885" s="15" t="n">
        <v>20</v>
      </c>
      <c r="F1885" s="16" t="n">
        <v>0.589048622548086</v>
      </c>
      <c r="G1885" s="17" t="s">
        <v>91</v>
      </c>
      <c r="H1885" s="18" t="n">
        <v>0.2</v>
      </c>
      <c r="I1885" s="18" t="n">
        <v>1</v>
      </c>
      <c r="J1885" s="19" t="n">
        <v>0.896319295973502</v>
      </c>
      <c r="K1885" s="19" t="n">
        <v>0.410690238205062</v>
      </c>
      <c r="L1885" s="16" t="n">
        <v>13.2105012623311</v>
      </c>
      <c r="M1885" s="19" t="n">
        <v>0.530420535148458</v>
      </c>
      <c r="N1885" s="19" t="n">
        <v>0.969575464741263</v>
      </c>
      <c r="O1885" s="19" t="n">
        <v>0.896319295973501</v>
      </c>
      <c r="P1885" s="19" t="n">
        <v>0.481804850815233</v>
      </c>
      <c r="Q1885" s="17" t="s">
        <v>29</v>
      </c>
      <c r="R1885" s="5" t="str">
        <f aca="false">IF(OR(Q1885="Steel plate",Q1885="Concrete jacket"),"Steel plate or jacket",Q1885)</f>
        <v>Monitor</v>
      </c>
      <c r="S1885" s="5" t="str">
        <f aca="false">IF(O1885&lt;='Tree rules'!$C$4,IF(N1885&lt;='Tree rules'!$C$5,IF(P1885&lt;='Tree rules'!$C$6,"Monitor","Polymer laminate"),IF(P1885&lt;='Tree rules'!$C$7,"Seal cracks","Polymer laminate")),IF(O1885&lt;='Tree rules'!$C$8,IF(M1885&lt;='Tree rules'!$C$9,"Steel plate or jacket","Polymer laminate"),IF(L1885&lt;='Tree rules'!$C$10,"Steel plate or jacket","Polymer laminate")))</f>
        <v>Monitor</v>
      </c>
      <c r="T1885" s="5" t="str">
        <f aca="false">IF(S1885=R1885,"Yes","No")</f>
        <v>Yes</v>
      </c>
    </row>
    <row r="1886" customFormat="false" ht="15" hidden="false" customHeight="false" outlineLevel="0" collapsed="false">
      <c r="A1886" s="15" t="n">
        <v>2697</v>
      </c>
      <c r="B1886" s="16" t="n">
        <v>6.10086717866708</v>
      </c>
      <c r="C1886" s="15" t="n">
        <v>230</v>
      </c>
      <c r="D1886" s="15" t="n">
        <v>550</v>
      </c>
      <c r="E1886" s="15" t="n">
        <v>30</v>
      </c>
      <c r="F1886" s="16" t="n">
        <v>0.520346609290235</v>
      </c>
      <c r="G1886" s="17" t="s">
        <v>89</v>
      </c>
      <c r="H1886" s="18" t="n">
        <v>0.3</v>
      </c>
      <c r="I1886" s="18" t="n">
        <v>1.5</v>
      </c>
      <c r="J1886" s="19" t="n">
        <v>0.951103829145453</v>
      </c>
      <c r="K1886" s="19" t="n">
        <v>0.62630258688856</v>
      </c>
      <c r="L1886" s="16" t="n">
        <v>12.104895195768</v>
      </c>
      <c r="M1886" s="19" t="n">
        <v>0.508535598124945</v>
      </c>
      <c r="N1886" s="19" t="n">
        <v>0.811544991319646</v>
      </c>
      <c r="O1886" s="19" t="n">
        <v>1.12881634942147</v>
      </c>
      <c r="P1886" s="19" t="n">
        <v>0.604774858059069</v>
      </c>
      <c r="Q1886" s="17" t="s">
        <v>31</v>
      </c>
      <c r="R1886" s="5" t="str">
        <f aca="false">IF(OR(Q1886="Steel plate",Q1886="Concrete jacket"),"Steel plate or jacket",Q1886)</f>
        <v>Polymer laminate</v>
      </c>
      <c r="S1886" s="5" t="str">
        <f aca="false">IF(O1886&lt;='Tree rules'!$C$4,IF(N1886&lt;='Tree rules'!$C$5,IF(P1886&lt;='Tree rules'!$C$6,"Monitor","Polymer laminate"),IF(P1886&lt;='Tree rules'!$C$7,"Seal cracks","Polymer laminate")),IF(O1886&lt;='Tree rules'!$C$8,IF(M1886&lt;='Tree rules'!$C$9,"Steel plate or jacket","Polymer laminate"),IF(L1886&lt;='Tree rules'!$C$10,"Steel plate or jacket","Polymer laminate")))</f>
        <v>Polymer laminate</v>
      </c>
      <c r="T1886" s="5" t="str">
        <f aca="false">IF(S1886=R1886,"Yes","No")</f>
        <v>Yes</v>
      </c>
    </row>
    <row r="1887" customFormat="false" ht="15" hidden="false" customHeight="false" outlineLevel="0" collapsed="false">
      <c r="A1887" s="15" t="n">
        <v>2698</v>
      </c>
      <c r="B1887" s="16" t="n">
        <v>5.2356813502973</v>
      </c>
      <c r="C1887" s="15" t="n">
        <v>230</v>
      </c>
      <c r="D1887" s="15" t="n">
        <v>475</v>
      </c>
      <c r="E1887" s="15" t="n">
        <v>30</v>
      </c>
      <c r="F1887" s="16" t="n">
        <v>0.959655631887728</v>
      </c>
      <c r="G1887" s="17" t="s">
        <v>89</v>
      </c>
      <c r="H1887" s="18" t="n">
        <v>0.3</v>
      </c>
      <c r="I1887" s="18" t="n">
        <v>1</v>
      </c>
      <c r="J1887" s="19" t="n">
        <v>0.88746671337204</v>
      </c>
      <c r="K1887" s="19" t="n">
        <v>0.477652273030495</v>
      </c>
      <c r="L1887" s="16" t="n">
        <v>12.2615488297361</v>
      </c>
      <c r="M1887" s="19" t="n">
        <v>0.881984618267093</v>
      </c>
      <c r="N1887" s="19" t="n">
        <v>0.599252648006859</v>
      </c>
      <c r="O1887" s="19" t="n">
        <v>0.88746671337204</v>
      </c>
      <c r="P1887" s="19" t="n">
        <v>0.452189839213499</v>
      </c>
      <c r="Q1887" s="17" t="s">
        <v>29</v>
      </c>
      <c r="R1887" s="5" t="str">
        <f aca="false">IF(OR(Q1887="Steel plate",Q1887="Concrete jacket"),"Steel plate or jacket",Q1887)</f>
        <v>Monitor</v>
      </c>
      <c r="S1887" s="5" t="str">
        <f aca="false">IF(O1887&lt;='Tree rules'!$C$4,IF(N1887&lt;='Tree rules'!$C$5,IF(P1887&lt;='Tree rules'!$C$6,"Monitor","Polymer laminate"),IF(P1887&lt;='Tree rules'!$C$7,"Seal cracks","Polymer laminate")),IF(O1887&lt;='Tree rules'!$C$8,IF(M1887&lt;='Tree rules'!$C$9,"Steel plate or jacket","Polymer laminate"),IF(L1887&lt;='Tree rules'!$C$10,"Steel plate or jacket","Polymer laminate")))</f>
        <v>Monitor</v>
      </c>
      <c r="T1887" s="5" t="str">
        <f aca="false">IF(S1887=R1887,"Yes","No")</f>
        <v>Yes</v>
      </c>
    </row>
    <row r="1888" customFormat="false" ht="15" hidden="false" customHeight="false" outlineLevel="0" collapsed="false">
      <c r="A1888" s="15" t="n">
        <v>2700</v>
      </c>
      <c r="B1888" s="16" t="n">
        <v>3.92737086554565</v>
      </c>
      <c r="C1888" s="15" t="n">
        <v>230</v>
      </c>
      <c r="D1888" s="15" t="n">
        <v>325</v>
      </c>
      <c r="E1888" s="15" t="n">
        <v>25</v>
      </c>
      <c r="F1888" s="16" t="n">
        <v>0.626653981080713</v>
      </c>
      <c r="G1888" s="17" t="s">
        <v>91</v>
      </c>
      <c r="H1888" s="18" t="n">
        <v>0.2</v>
      </c>
      <c r="I1888" s="18" t="n">
        <v>1</v>
      </c>
      <c r="J1888" s="19" t="n">
        <v>0.91037974523908</v>
      </c>
      <c r="K1888" s="19" t="n">
        <v>0.582738088725317</v>
      </c>
      <c r="L1888" s="16" t="n">
        <v>14.076598084393</v>
      </c>
      <c r="M1888" s="19" t="n">
        <v>0.44861433836859</v>
      </c>
      <c r="N1888" s="19" t="n">
        <v>1.29837010737243</v>
      </c>
      <c r="O1888" s="19" t="n">
        <v>0.91037974523908</v>
      </c>
      <c r="P1888" s="19" t="n">
        <v>0.692069841022031</v>
      </c>
      <c r="Q1888" s="17" t="s">
        <v>30</v>
      </c>
      <c r="R1888" s="5" t="str">
        <f aca="false">IF(OR(Q1888="Steel plate",Q1888="Concrete jacket"),"Steel plate or jacket",Q1888)</f>
        <v>Seal cracks</v>
      </c>
      <c r="S1888" s="5" t="str">
        <f aca="false">IF(O1888&lt;='Tree rules'!$C$4,IF(N1888&lt;='Tree rules'!$C$5,IF(P1888&lt;='Tree rules'!$C$6,"Monitor","Polymer laminate"),IF(P1888&lt;='Tree rules'!$C$7,"Seal cracks","Polymer laminate")),IF(O1888&lt;='Tree rules'!$C$8,IF(M1888&lt;='Tree rules'!$C$9,"Steel plate or jacket","Polymer laminate"),IF(L1888&lt;='Tree rules'!$C$10,"Steel plate or jacket","Polymer laminate")))</f>
        <v>Seal cracks</v>
      </c>
      <c r="T1888" s="5" t="str">
        <f aca="false">IF(S1888=R1888,"Yes","No")</f>
        <v>Yes</v>
      </c>
    </row>
    <row r="1889" customFormat="false" ht="15" hidden="false" customHeight="false" outlineLevel="0" collapsed="false">
      <c r="A1889" s="15" t="n">
        <v>2701</v>
      </c>
      <c r="B1889" s="16" t="n">
        <v>3.20956547173206</v>
      </c>
      <c r="C1889" s="15" t="n">
        <v>230</v>
      </c>
      <c r="D1889" s="15" t="n">
        <v>300</v>
      </c>
      <c r="E1889" s="15" t="n">
        <v>20</v>
      </c>
      <c r="F1889" s="16" t="n">
        <v>0.731533308458238</v>
      </c>
      <c r="G1889" s="17" t="s">
        <v>90</v>
      </c>
      <c r="H1889" s="18" t="n">
        <v>0.1</v>
      </c>
      <c r="I1889" s="18" t="n">
        <v>1.5</v>
      </c>
      <c r="J1889" s="19" t="n">
        <v>0.951505755502745</v>
      </c>
      <c r="K1889" s="19" t="n">
        <v>0.568390389925831</v>
      </c>
      <c r="L1889" s="16" t="n">
        <v>13.4291442331885</v>
      </c>
      <c r="M1889" s="19" t="n">
        <v>0.849218368505298</v>
      </c>
      <c r="N1889" s="19" t="n">
        <v>3.51194387044172</v>
      </c>
      <c r="O1889" s="19" t="n">
        <v>1.15684526956068</v>
      </c>
      <c r="P1889" s="19" t="n">
        <v>0.411790399268473</v>
      </c>
      <c r="Q1889" s="17" t="s">
        <v>31</v>
      </c>
      <c r="R1889" s="5" t="str">
        <f aca="false">IF(OR(Q1889="Steel plate",Q1889="Concrete jacket"),"Steel plate or jacket",Q1889)</f>
        <v>Polymer laminate</v>
      </c>
      <c r="S1889" s="5" t="str">
        <f aca="false">IF(O1889&lt;='Tree rules'!$C$4,IF(N1889&lt;='Tree rules'!$C$5,IF(P1889&lt;='Tree rules'!$C$6,"Monitor","Polymer laminate"),IF(P1889&lt;='Tree rules'!$C$7,"Seal cracks","Polymer laminate")),IF(O1889&lt;='Tree rules'!$C$8,IF(M1889&lt;='Tree rules'!$C$9,"Steel plate or jacket","Polymer laminate"),IF(L1889&lt;='Tree rules'!$C$10,"Steel plate or jacket","Polymer laminate")))</f>
        <v>Polymer laminate</v>
      </c>
      <c r="T1889" s="5" t="str">
        <f aca="false">IF(S1889=R1889,"Yes","No")</f>
        <v>Yes</v>
      </c>
    </row>
    <row r="1890" customFormat="false" ht="15" hidden="false" customHeight="false" outlineLevel="0" collapsed="false">
      <c r="A1890" s="15" t="n">
        <v>2702</v>
      </c>
      <c r="B1890" s="16" t="n">
        <v>4.40121024352827</v>
      </c>
      <c r="C1890" s="15" t="n">
        <v>300</v>
      </c>
      <c r="D1890" s="15" t="n">
        <v>350</v>
      </c>
      <c r="E1890" s="15" t="n">
        <v>30</v>
      </c>
      <c r="F1890" s="16" t="n">
        <v>0.693508312050727</v>
      </c>
      <c r="G1890" s="17" t="s">
        <v>89</v>
      </c>
      <c r="H1890" s="18" t="n">
        <v>0.3</v>
      </c>
      <c r="I1890" s="18" t="n">
        <v>2</v>
      </c>
      <c r="J1890" s="19" t="n">
        <v>0.890775000252597</v>
      </c>
      <c r="K1890" s="19" t="n">
        <v>0.557441245538733</v>
      </c>
      <c r="L1890" s="16" t="n">
        <v>14.5735438527426</v>
      </c>
      <c r="M1890" s="19" t="n">
        <v>0.445884216897255</v>
      </c>
      <c r="N1890" s="19" t="n">
        <v>1.4973589946578</v>
      </c>
      <c r="O1890" s="19" t="n">
        <v>1.28499527486962</v>
      </c>
      <c r="P1890" s="19" t="n">
        <v>0.887991906151251</v>
      </c>
      <c r="Q1890" s="17" t="s">
        <v>31</v>
      </c>
      <c r="R1890" s="5" t="str">
        <f aca="false">IF(OR(Q1890="Steel plate",Q1890="Concrete jacket"),"Steel plate or jacket",Q1890)</f>
        <v>Polymer laminate</v>
      </c>
      <c r="S1890" s="5" t="str">
        <f aca="false">IF(O1890&lt;='Tree rules'!$C$4,IF(N1890&lt;='Tree rules'!$C$5,IF(P1890&lt;='Tree rules'!$C$6,"Monitor","Polymer laminate"),IF(P1890&lt;='Tree rules'!$C$7,"Seal cracks","Polymer laminate")),IF(O1890&lt;='Tree rules'!$C$8,IF(M1890&lt;='Tree rules'!$C$9,"Steel plate or jacket","Polymer laminate"),IF(L1890&lt;='Tree rules'!$C$10,"Steel plate or jacket","Polymer laminate")))</f>
        <v>Polymer laminate</v>
      </c>
      <c r="T1890" s="5" t="str">
        <f aca="false">IF(S1890=R1890,"Yes","No")</f>
        <v>Yes</v>
      </c>
    </row>
    <row r="1891" customFormat="false" ht="15" hidden="false" customHeight="false" outlineLevel="0" collapsed="false">
      <c r="A1891" s="15" t="n">
        <v>2704</v>
      </c>
      <c r="B1891" s="16" t="n">
        <v>6.66223806558659</v>
      </c>
      <c r="C1891" s="15" t="n">
        <v>230</v>
      </c>
      <c r="D1891" s="15" t="n">
        <v>550</v>
      </c>
      <c r="E1891" s="15" t="n">
        <v>30</v>
      </c>
      <c r="F1891" s="16" t="n">
        <v>0.816280786486175</v>
      </c>
      <c r="G1891" s="17" t="s">
        <v>89</v>
      </c>
      <c r="H1891" s="18" t="n">
        <v>0.3</v>
      </c>
      <c r="I1891" s="18" t="n">
        <v>1.5</v>
      </c>
      <c r="J1891" s="19" t="n">
        <v>0.852457513783982</v>
      </c>
      <c r="K1891" s="19" t="n">
        <v>0.57501626139771</v>
      </c>
      <c r="L1891" s="16" t="n">
        <v>13.2713905688976</v>
      </c>
      <c r="M1891" s="19" t="n">
        <v>0.949044677747366</v>
      </c>
      <c r="N1891" s="19" t="n">
        <v>0.687869471874306</v>
      </c>
      <c r="O1891" s="19" t="n">
        <v>1.03359780438775</v>
      </c>
      <c r="P1891" s="19" t="n">
        <v>0.480774000322128</v>
      </c>
      <c r="Q1891" s="17" t="s">
        <v>31</v>
      </c>
      <c r="R1891" s="5" t="str">
        <f aca="false">IF(OR(Q1891="Steel plate",Q1891="Concrete jacket"),"Steel plate or jacket",Q1891)</f>
        <v>Polymer laminate</v>
      </c>
      <c r="S1891" s="5" t="str">
        <f aca="false">IF(O1891&lt;='Tree rules'!$C$4,IF(N1891&lt;='Tree rules'!$C$5,IF(P1891&lt;='Tree rules'!$C$6,"Monitor","Polymer laminate"),IF(P1891&lt;='Tree rules'!$C$7,"Seal cracks","Polymer laminate")),IF(O1891&lt;='Tree rules'!$C$8,IF(M1891&lt;='Tree rules'!$C$9,"Steel plate or jacket","Polymer laminate"),IF(L1891&lt;='Tree rules'!$C$10,"Steel plate or jacket","Polymer laminate")))</f>
        <v>Polymer laminate</v>
      </c>
      <c r="T1891" s="5" t="str">
        <f aca="false">IF(S1891=R1891,"Yes","No")</f>
        <v>Yes</v>
      </c>
    </row>
    <row r="1892" customFormat="false" ht="15" hidden="false" customHeight="false" outlineLevel="0" collapsed="false">
      <c r="A1892" s="15" t="n">
        <v>2705</v>
      </c>
      <c r="B1892" s="16" t="n">
        <v>6.63819176297223</v>
      </c>
      <c r="C1892" s="15" t="n">
        <v>230</v>
      </c>
      <c r="D1892" s="15" t="n">
        <v>625</v>
      </c>
      <c r="E1892" s="15" t="n">
        <v>20</v>
      </c>
      <c r="F1892" s="16" t="n">
        <v>0.710178431223674</v>
      </c>
      <c r="G1892" s="17" t="s">
        <v>89</v>
      </c>
      <c r="H1892" s="18" t="n">
        <v>0.3</v>
      </c>
      <c r="I1892" s="18" t="n">
        <v>2</v>
      </c>
      <c r="J1892" s="19" t="n">
        <v>0.988081542697799</v>
      </c>
      <c r="K1892" s="19" t="n">
        <v>0.423502537157991</v>
      </c>
      <c r="L1892" s="16" t="n">
        <v>11.5046651004718</v>
      </c>
      <c r="M1892" s="19" t="n">
        <v>0.493126403657022</v>
      </c>
      <c r="N1892" s="19" t="n">
        <v>1.09520504333337</v>
      </c>
      <c r="O1892" s="19" t="n">
        <v>1.5577080451441</v>
      </c>
      <c r="P1892" s="19" t="n">
        <v>0.952097175378646</v>
      </c>
      <c r="Q1892" s="17" t="s">
        <v>93</v>
      </c>
      <c r="R1892" s="5" t="str">
        <f aca="false">IF(OR(Q1892="Steel plate",Q1892="Concrete jacket"),"Steel plate or jacket",Q1892)</f>
        <v>Steel plate or jacket</v>
      </c>
      <c r="S1892" s="5" t="str">
        <f aca="false">IF(O1892&lt;='Tree rules'!$C$4,IF(N1892&lt;='Tree rules'!$C$5,IF(P1892&lt;='Tree rules'!$C$6,"Monitor","Polymer laminate"),IF(P1892&lt;='Tree rules'!$C$7,"Seal cracks","Polymer laminate")),IF(O1892&lt;='Tree rules'!$C$8,IF(M1892&lt;='Tree rules'!$C$9,"Steel plate or jacket","Polymer laminate"),IF(L1892&lt;='Tree rules'!$C$10,"Steel plate or jacket","Polymer laminate")))</f>
        <v>Steel plate or jacket</v>
      </c>
      <c r="T1892" s="5" t="str">
        <f aca="false">IF(S1892=R1892,"Yes","No")</f>
        <v>Yes</v>
      </c>
    </row>
    <row r="1893" customFormat="false" ht="15" hidden="false" customHeight="false" outlineLevel="0" collapsed="false">
      <c r="A1893" s="15" t="n">
        <v>2706</v>
      </c>
      <c r="B1893" s="16" t="n">
        <v>4.90577206797804</v>
      </c>
      <c r="C1893" s="15" t="n">
        <v>230</v>
      </c>
      <c r="D1893" s="15" t="n">
        <v>475</v>
      </c>
      <c r="E1893" s="15" t="n">
        <v>30</v>
      </c>
      <c r="F1893" s="16" t="n">
        <v>0.815088394972116</v>
      </c>
      <c r="G1893" s="17" t="s">
        <v>89</v>
      </c>
      <c r="H1893" s="18" t="n">
        <v>0.3</v>
      </c>
      <c r="I1893" s="18" t="n">
        <v>1</v>
      </c>
      <c r="J1893" s="19" t="n">
        <v>0.936232817724958</v>
      </c>
      <c r="K1893" s="19" t="n">
        <v>0.543982299158903</v>
      </c>
      <c r="L1893" s="16" t="n">
        <v>11.4353661258229</v>
      </c>
      <c r="M1893" s="19" t="n">
        <v>0.473127010615659</v>
      </c>
      <c r="N1893" s="19" t="n">
        <v>0.627349527680734</v>
      </c>
      <c r="O1893" s="19" t="n">
        <v>0.936232817724958</v>
      </c>
      <c r="P1893" s="19" t="n">
        <v>0.728958138468309</v>
      </c>
      <c r="Q1893" s="17" t="s">
        <v>29</v>
      </c>
      <c r="R1893" s="5" t="str">
        <f aca="false">IF(OR(Q1893="Steel plate",Q1893="Concrete jacket"),"Steel plate or jacket",Q1893)</f>
        <v>Monitor</v>
      </c>
      <c r="S1893" s="5" t="str">
        <f aca="false">IF(O1893&lt;='Tree rules'!$C$4,IF(N1893&lt;='Tree rules'!$C$5,IF(P1893&lt;='Tree rules'!$C$6,"Monitor","Polymer laminate"),IF(P1893&lt;='Tree rules'!$C$7,"Seal cracks","Polymer laminate")),IF(O1893&lt;='Tree rules'!$C$8,IF(M1893&lt;='Tree rules'!$C$9,"Steel plate or jacket","Polymer laminate"),IF(L1893&lt;='Tree rules'!$C$10,"Steel plate or jacket","Polymer laminate")))</f>
        <v>Monitor</v>
      </c>
      <c r="T1893" s="5" t="str">
        <f aca="false">IF(S1893=R1893,"Yes","No")</f>
        <v>Yes</v>
      </c>
    </row>
    <row r="1894" customFormat="false" ht="15" hidden="false" customHeight="false" outlineLevel="0" collapsed="false">
      <c r="A1894" s="15" t="n">
        <v>2707</v>
      </c>
      <c r="B1894" s="16" t="n">
        <v>3.96542643465784</v>
      </c>
      <c r="C1894" s="15" t="n">
        <v>300</v>
      </c>
      <c r="D1894" s="15" t="n">
        <v>350</v>
      </c>
      <c r="E1894" s="15" t="n">
        <v>20</v>
      </c>
      <c r="F1894" s="16" t="n">
        <v>0.693508312050727</v>
      </c>
      <c r="G1894" s="17" t="s">
        <v>89</v>
      </c>
      <c r="H1894" s="18" t="n">
        <v>0.3</v>
      </c>
      <c r="I1894" s="18" t="n">
        <v>1.5</v>
      </c>
      <c r="J1894" s="19" t="n">
        <v>0.894302203623062</v>
      </c>
      <c r="K1894" s="19" t="n">
        <v>0.455025234692828</v>
      </c>
      <c r="L1894" s="16" t="n">
        <v>13.1305511081385</v>
      </c>
      <c r="M1894" s="19" t="n">
        <v>0.46992129583507</v>
      </c>
      <c r="N1894" s="19" t="n">
        <v>1.2809979887526</v>
      </c>
      <c r="O1894" s="19" t="n">
        <v>1.13798827038964</v>
      </c>
      <c r="P1894" s="19" t="n">
        <v>0.760625963549023</v>
      </c>
      <c r="Q1894" s="17" t="s">
        <v>31</v>
      </c>
      <c r="R1894" s="5" t="str">
        <f aca="false">IF(OR(Q1894="Steel plate",Q1894="Concrete jacket"),"Steel plate or jacket",Q1894)</f>
        <v>Polymer laminate</v>
      </c>
      <c r="S1894" s="5" t="str">
        <f aca="false">IF(O1894&lt;='Tree rules'!$C$4,IF(N1894&lt;='Tree rules'!$C$5,IF(P1894&lt;='Tree rules'!$C$6,"Monitor","Polymer laminate"),IF(P1894&lt;='Tree rules'!$C$7,"Seal cracks","Polymer laminate")),IF(O1894&lt;='Tree rules'!$C$8,IF(M1894&lt;='Tree rules'!$C$9,"Steel plate or jacket","Polymer laminate"),IF(L1894&lt;='Tree rules'!$C$10,"Steel plate or jacket","Polymer laminate")))</f>
        <v>Polymer laminate</v>
      </c>
      <c r="T1894" s="5" t="str">
        <f aca="false">IF(S1894=R1894,"Yes","No")</f>
        <v>Yes</v>
      </c>
    </row>
    <row r="1895" customFormat="false" ht="15" hidden="false" customHeight="false" outlineLevel="0" collapsed="false">
      <c r="A1895" s="15" t="n">
        <v>2708</v>
      </c>
      <c r="B1895" s="16" t="n">
        <v>5.36538285218103</v>
      </c>
      <c r="C1895" s="15" t="n">
        <v>230</v>
      </c>
      <c r="D1895" s="15" t="n">
        <v>500</v>
      </c>
      <c r="E1895" s="15" t="n">
        <v>25</v>
      </c>
      <c r="F1895" s="16" t="n">
        <v>0.90657733366385</v>
      </c>
      <c r="G1895" s="17" t="s">
        <v>89</v>
      </c>
      <c r="H1895" s="18" t="n">
        <v>0.3</v>
      </c>
      <c r="I1895" s="18" t="n">
        <v>1.5</v>
      </c>
      <c r="J1895" s="19" t="n">
        <v>0.872488980726835</v>
      </c>
      <c r="K1895" s="19" t="n">
        <v>0.468719905639177</v>
      </c>
      <c r="L1895" s="16" t="n">
        <v>11.8703160446483</v>
      </c>
      <c r="M1895" s="19" t="n">
        <v>0.93738760143167</v>
      </c>
      <c r="N1895" s="19" t="n">
        <v>0.736165465435406</v>
      </c>
      <c r="O1895" s="19" t="n">
        <v>1.1042569947315</v>
      </c>
      <c r="P1895" s="19" t="n">
        <v>0.468733764903588</v>
      </c>
      <c r="Q1895" s="17" t="s">
        <v>31</v>
      </c>
      <c r="R1895" s="5" t="str">
        <f aca="false">IF(OR(Q1895="Steel plate",Q1895="Concrete jacket"),"Steel plate or jacket",Q1895)</f>
        <v>Polymer laminate</v>
      </c>
      <c r="S1895" s="5" t="str">
        <f aca="false">IF(O1895&lt;='Tree rules'!$C$4,IF(N1895&lt;='Tree rules'!$C$5,IF(P1895&lt;='Tree rules'!$C$6,"Monitor","Polymer laminate"),IF(P1895&lt;='Tree rules'!$C$7,"Seal cracks","Polymer laminate")),IF(O1895&lt;='Tree rules'!$C$8,IF(M1895&lt;='Tree rules'!$C$9,"Steel plate or jacket","Polymer laminate"),IF(L1895&lt;='Tree rules'!$C$10,"Steel plate or jacket","Polymer laminate")))</f>
        <v>Polymer laminate</v>
      </c>
      <c r="T1895" s="5" t="str">
        <f aca="false">IF(S1895=R1895,"Yes","No")</f>
        <v>Yes</v>
      </c>
    </row>
    <row r="1896" customFormat="false" ht="15" hidden="false" customHeight="false" outlineLevel="0" collapsed="false">
      <c r="A1896" s="15" t="n">
        <v>2709</v>
      </c>
      <c r="B1896" s="16" t="n">
        <v>4.76852782840297</v>
      </c>
      <c r="C1896" s="15" t="n">
        <v>230</v>
      </c>
      <c r="D1896" s="15" t="n">
        <v>375</v>
      </c>
      <c r="E1896" s="15" t="n">
        <v>20</v>
      </c>
      <c r="F1896" s="16" t="n">
        <v>0.622439931366167</v>
      </c>
      <c r="G1896" s="17" t="s">
        <v>90</v>
      </c>
      <c r="H1896" s="18" t="n">
        <v>0.1</v>
      </c>
      <c r="I1896" s="18" t="n">
        <v>1</v>
      </c>
      <c r="J1896" s="19" t="n">
        <v>0.891281025151643</v>
      </c>
      <c r="K1896" s="19" t="n">
        <v>0.402080087049105</v>
      </c>
      <c r="L1896" s="16" t="n">
        <v>15.0902779379841</v>
      </c>
      <c r="M1896" s="19" t="n">
        <v>0.316575895601086</v>
      </c>
      <c r="N1896" s="19" t="n">
        <v>2.49960561911407</v>
      </c>
      <c r="O1896" s="19" t="n">
        <v>0.891281025151643</v>
      </c>
      <c r="P1896" s="19" t="n">
        <v>0.888736651139558</v>
      </c>
      <c r="Q1896" s="17" t="s">
        <v>30</v>
      </c>
      <c r="R1896" s="5" t="str">
        <f aca="false">IF(OR(Q1896="Steel plate",Q1896="Concrete jacket"),"Steel plate or jacket",Q1896)</f>
        <v>Seal cracks</v>
      </c>
      <c r="S1896" s="5" t="str">
        <f aca="false">IF(O1896&lt;='Tree rules'!$C$4,IF(N1896&lt;='Tree rules'!$C$5,IF(P1896&lt;='Tree rules'!$C$6,"Monitor","Polymer laminate"),IF(P1896&lt;='Tree rules'!$C$7,"Seal cracks","Polymer laminate")),IF(O1896&lt;='Tree rules'!$C$8,IF(M1896&lt;='Tree rules'!$C$9,"Steel plate or jacket","Polymer laminate"),IF(L1896&lt;='Tree rules'!$C$10,"Steel plate or jacket","Polymer laminate")))</f>
        <v>Seal cracks</v>
      </c>
      <c r="T1896" s="5" t="str">
        <f aca="false">IF(S1896=R1896,"Yes","No")</f>
        <v>Yes</v>
      </c>
    </row>
    <row r="1897" customFormat="false" ht="15" hidden="false" customHeight="false" outlineLevel="0" collapsed="false">
      <c r="A1897" s="15" t="n">
        <v>2710</v>
      </c>
      <c r="B1897" s="16" t="n">
        <v>7.35277080459674</v>
      </c>
      <c r="C1897" s="15" t="n">
        <v>230</v>
      </c>
      <c r="D1897" s="15" t="n">
        <v>625</v>
      </c>
      <c r="E1897" s="15" t="n">
        <v>30</v>
      </c>
      <c r="F1897" s="16" t="n">
        <v>0.710178431223674</v>
      </c>
      <c r="G1897" s="17" t="s">
        <v>89</v>
      </c>
      <c r="H1897" s="18" t="n">
        <v>0.3</v>
      </c>
      <c r="I1897" s="18" t="n">
        <v>1</v>
      </c>
      <c r="J1897" s="19" t="n">
        <v>0.886852175247916</v>
      </c>
      <c r="K1897" s="19" t="n">
        <v>0.472793742337865</v>
      </c>
      <c r="L1897" s="16" t="n">
        <v>12.7431036474814</v>
      </c>
      <c r="M1897" s="19" t="n">
        <v>0.30057349574379</v>
      </c>
      <c r="N1897" s="19" t="n">
        <v>0.659256781413894</v>
      </c>
      <c r="O1897" s="19" t="n">
        <v>0.886852175247916</v>
      </c>
      <c r="P1897" s="19" t="n">
        <v>1.05908420474074</v>
      </c>
      <c r="Q1897" s="17" t="s">
        <v>31</v>
      </c>
      <c r="R1897" s="5" t="str">
        <f aca="false">IF(OR(Q1897="Steel plate",Q1897="Concrete jacket"),"Steel plate or jacket",Q1897)</f>
        <v>Polymer laminate</v>
      </c>
      <c r="S1897" s="5" t="str">
        <f aca="false">IF(O1897&lt;='Tree rules'!$C$4,IF(N1897&lt;='Tree rules'!$C$5,IF(P1897&lt;='Tree rules'!$C$6,"Monitor","Polymer laminate"),IF(P1897&lt;='Tree rules'!$C$7,"Seal cracks","Polymer laminate")),IF(O1897&lt;='Tree rules'!$C$8,IF(M1897&lt;='Tree rules'!$C$9,"Steel plate or jacket","Polymer laminate"),IF(L1897&lt;='Tree rules'!$C$10,"Steel plate or jacket","Polymer laminate")))</f>
        <v>Polymer laminate</v>
      </c>
      <c r="T1897" s="5" t="str">
        <f aca="false">IF(S1897=R1897,"Yes","No")</f>
        <v>Yes</v>
      </c>
    </row>
    <row r="1898" customFormat="false" ht="15" hidden="false" customHeight="false" outlineLevel="0" collapsed="false">
      <c r="A1898" s="15" t="n">
        <v>2711</v>
      </c>
      <c r="B1898" s="16" t="n">
        <v>5.06369837864007</v>
      </c>
      <c r="C1898" s="15" t="n">
        <v>300</v>
      </c>
      <c r="D1898" s="15" t="n">
        <v>500</v>
      </c>
      <c r="E1898" s="15" t="n">
        <v>20</v>
      </c>
      <c r="F1898" s="16" t="n">
        <v>0.738112811416104</v>
      </c>
      <c r="G1898" s="17" t="s">
        <v>91</v>
      </c>
      <c r="H1898" s="18" t="n">
        <v>0.2</v>
      </c>
      <c r="I1898" s="18" t="n">
        <v>1</v>
      </c>
      <c r="J1898" s="19" t="n">
        <v>0.930000627328091</v>
      </c>
      <c r="K1898" s="19" t="n">
        <v>0.442569543567443</v>
      </c>
      <c r="L1898" s="16" t="n">
        <v>11.1535206577975</v>
      </c>
      <c r="M1898" s="19" t="n">
        <v>0.613384400064686</v>
      </c>
      <c r="N1898" s="19" t="n">
        <v>0.887433739546904</v>
      </c>
      <c r="O1898" s="19" t="n">
        <v>0.930000627328091</v>
      </c>
      <c r="P1898" s="19" t="n">
        <v>0.542659359200938</v>
      </c>
      <c r="Q1898" s="17" t="s">
        <v>29</v>
      </c>
      <c r="R1898" s="5" t="str">
        <f aca="false">IF(OR(Q1898="Steel plate",Q1898="Concrete jacket"),"Steel plate or jacket",Q1898)</f>
        <v>Monitor</v>
      </c>
      <c r="S1898" s="5" t="str">
        <f aca="false">IF(O1898&lt;='Tree rules'!$C$4,IF(N1898&lt;='Tree rules'!$C$5,IF(P1898&lt;='Tree rules'!$C$6,"Monitor","Polymer laminate"),IF(P1898&lt;='Tree rules'!$C$7,"Seal cracks","Polymer laminate")),IF(O1898&lt;='Tree rules'!$C$8,IF(M1898&lt;='Tree rules'!$C$9,"Steel plate or jacket","Polymer laminate"),IF(L1898&lt;='Tree rules'!$C$10,"Steel plate or jacket","Polymer laminate")))</f>
        <v>Monitor</v>
      </c>
      <c r="T1898" s="5" t="str">
        <f aca="false">IF(S1898=R1898,"Yes","No")</f>
        <v>Yes</v>
      </c>
    </row>
    <row r="1899" customFormat="false" ht="15" hidden="false" customHeight="false" outlineLevel="0" collapsed="false">
      <c r="A1899" s="15" t="n">
        <v>2712</v>
      </c>
      <c r="B1899" s="16" t="n">
        <v>7.5399706808172</v>
      </c>
      <c r="C1899" s="15" t="n">
        <v>300</v>
      </c>
      <c r="D1899" s="15" t="n">
        <v>725</v>
      </c>
      <c r="E1899" s="15" t="n">
        <v>30</v>
      </c>
      <c r="F1899" s="16" t="n">
        <v>0.592229542944762</v>
      </c>
      <c r="G1899" s="17" t="s">
        <v>91</v>
      </c>
      <c r="H1899" s="18" t="n">
        <v>0.2</v>
      </c>
      <c r="I1899" s="18" t="n">
        <v>1</v>
      </c>
      <c r="J1899" s="19" t="n">
        <v>0.934722116355992</v>
      </c>
      <c r="K1899" s="19" t="n">
        <v>0.50755504292325</v>
      </c>
      <c r="L1899" s="16" t="n">
        <v>11.10452235761</v>
      </c>
      <c r="M1899" s="19" t="n">
        <v>0.950271599402976</v>
      </c>
      <c r="N1899" s="19" t="n">
        <v>0.773483732314167</v>
      </c>
      <c r="O1899" s="19" t="n">
        <v>0.934722116355992</v>
      </c>
      <c r="P1899" s="19" t="n">
        <v>0.315400010604874</v>
      </c>
      <c r="Q1899" s="17" t="s">
        <v>29</v>
      </c>
      <c r="R1899" s="5" t="str">
        <f aca="false">IF(OR(Q1899="Steel plate",Q1899="Concrete jacket"),"Steel plate or jacket",Q1899)</f>
        <v>Monitor</v>
      </c>
      <c r="S1899" s="5" t="str">
        <f aca="false">IF(O1899&lt;='Tree rules'!$C$4,IF(N1899&lt;='Tree rules'!$C$5,IF(P1899&lt;='Tree rules'!$C$6,"Monitor","Polymer laminate"),IF(P1899&lt;='Tree rules'!$C$7,"Seal cracks","Polymer laminate")),IF(O1899&lt;='Tree rules'!$C$8,IF(M1899&lt;='Tree rules'!$C$9,"Steel plate or jacket","Polymer laminate"),IF(L1899&lt;='Tree rules'!$C$10,"Steel plate or jacket","Polymer laminate")))</f>
        <v>Monitor</v>
      </c>
      <c r="T1899" s="5" t="str">
        <f aca="false">IF(S1899=R1899,"Yes","No")</f>
        <v>Yes</v>
      </c>
    </row>
    <row r="1900" customFormat="false" ht="15" hidden="false" customHeight="false" outlineLevel="0" collapsed="false">
      <c r="A1900" s="15" t="n">
        <v>2713</v>
      </c>
      <c r="B1900" s="16" t="n">
        <v>5.18969907122233</v>
      </c>
      <c r="C1900" s="15" t="n">
        <v>230</v>
      </c>
      <c r="D1900" s="15" t="n">
        <v>475</v>
      </c>
      <c r="E1900" s="15" t="n">
        <v>25</v>
      </c>
      <c r="F1900" s="16" t="n">
        <v>0.815088394972116</v>
      </c>
      <c r="G1900" s="17" t="s">
        <v>89</v>
      </c>
      <c r="H1900" s="18" t="n">
        <v>0.3</v>
      </c>
      <c r="I1900" s="18" t="n">
        <v>2</v>
      </c>
      <c r="J1900" s="19" t="n">
        <v>0.932404977751765</v>
      </c>
      <c r="K1900" s="19" t="n">
        <v>0.436914407151433</v>
      </c>
      <c r="L1900" s="16" t="n">
        <v>12.0972006322199</v>
      </c>
      <c r="M1900" s="19" t="n">
        <v>0.833750853514443</v>
      </c>
      <c r="N1900" s="19" t="n">
        <v>0.931186887660891</v>
      </c>
      <c r="O1900" s="19" t="n">
        <v>1.45742878742407</v>
      </c>
      <c r="P1900" s="19" t="n">
        <v>0.574893644712975</v>
      </c>
      <c r="Q1900" s="17" t="s">
        <v>92</v>
      </c>
      <c r="R1900" s="5" t="str">
        <f aca="false">IF(OR(Q1900="Steel plate",Q1900="Concrete jacket"),"Steel plate or jacket",Q1900)</f>
        <v>Steel plate or jacket</v>
      </c>
      <c r="S1900" s="5" t="str">
        <f aca="false">IF(O1900&lt;='Tree rules'!$C$4,IF(N1900&lt;='Tree rules'!$C$5,IF(P1900&lt;='Tree rules'!$C$6,"Monitor","Polymer laminate"),IF(P1900&lt;='Tree rules'!$C$7,"Seal cracks","Polymer laminate")),IF(O1900&lt;='Tree rules'!$C$8,IF(M1900&lt;='Tree rules'!$C$9,"Steel plate or jacket","Polymer laminate"),IF(L1900&lt;='Tree rules'!$C$10,"Steel plate or jacket","Polymer laminate")))</f>
        <v>Steel plate or jacket</v>
      </c>
      <c r="T1900" s="5" t="str">
        <f aca="false">IF(S1900=R1900,"Yes","No")</f>
        <v>Yes</v>
      </c>
    </row>
    <row r="1901" customFormat="false" ht="15" hidden="false" customHeight="false" outlineLevel="0" collapsed="false">
      <c r="A1901" s="15" t="n">
        <v>2714</v>
      </c>
      <c r="B1901" s="16" t="n">
        <v>5.69741332489918</v>
      </c>
      <c r="C1901" s="15" t="n">
        <v>300</v>
      </c>
      <c r="D1901" s="15" t="n">
        <v>450</v>
      </c>
      <c r="E1901" s="15" t="n">
        <v>30</v>
      </c>
      <c r="F1901" s="16" t="n">
        <v>0.557129731671096</v>
      </c>
      <c r="G1901" s="17" t="s">
        <v>91</v>
      </c>
      <c r="H1901" s="18" t="n">
        <v>0.2</v>
      </c>
      <c r="I1901" s="18" t="n">
        <v>1</v>
      </c>
      <c r="J1901" s="19" t="n">
        <v>0.982729106482061</v>
      </c>
      <c r="K1901" s="19" t="n">
        <v>0.429085736388051</v>
      </c>
      <c r="L1901" s="16" t="n">
        <v>14.0330377460571</v>
      </c>
      <c r="M1901" s="19" t="n">
        <v>0.318858148469118</v>
      </c>
      <c r="N1901" s="19" t="n">
        <v>0.994754645083545</v>
      </c>
      <c r="O1901" s="19" t="n">
        <v>0.982729106482061</v>
      </c>
      <c r="P1901" s="19" t="n">
        <v>0.892106085974227</v>
      </c>
      <c r="Q1901" s="17" t="s">
        <v>29</v>
      </c>
      <c r="R1901" s="5" t="str">
        <f aca="false">IF(OR(Q1901="Steel plate",Q1901="Concrete jacket"),"Steel plate or jacket",Q1901)</f>
        <v>Monitor</v>
      </c>
      <c r="S1901" s="5" t="str">
        <f aca="false">IF(O1901&lt;='Tree rules'!$C$4,IF(N1901&lt;='Tree rules'!$C$5,IF(P1901&lt;='Tree rules'!$C$6,"Monitor","Polymer laminate"),IF(P1901&lt;='Tree rules'!$C$7,"Seal cracks","Polymer laminate")),IF(O1901&lt;='Tree rules'!$C$8,IF(M1901&lt;='Tree rules'!$C$9,"Steel plate or jacket","Polymer laminate"),IF(L1901&lt;='Tree rules'!$C$10,"Steel plate or jacket","Polymer laminate")))</f>
        <v>Monitor</v>
      </c>
      <c r="T1901" s="5" t="str">
        <f aca="false">IF(S1901=R1901,"Yes","No")</f>
        <v>Yes</v>
      </c>
    </row>
    <row r="1902" customFormat="false" ht="15" hidden="false" customHeight="false" outlineLevel="0" collapsed="false">
      <c r="A1902" s="15" t="n">
        <v>2715</v>
      </c>
      <c r="B1902" s="16" t="n">
        <v>3.62561427113305</v>
      </c>
      <c r="C1902" s="15" t="n">
        <v>230</v>
      </c>
      <c r="D1902" s="15" t="n">
        <v>350</v>
      </c>
      <c r="E1902" s="15" t="n">
        <v>25</v>
      </c>
      <c r="F1902" s="16" t="n">
        <v>0.862679904875916</v>
      </c>
      <c r="G1902" s="17" t="s">
        <v>91</v>
      </c>
      <c r="H1902" s="18" t="n">
        <v>0.2</v>
      </c>
      <c r="I1902" s="18" t="n">
        <v>1</v>
      </c>
      <c r="J1902" s="19" t="n">
        <v>0.933546748809609</v>
      </c>
      <c r="K1902" s="19" t="n">
        <v>0.52093739140829</v>
      </c>
      <c r="L1902" s="16" t="n">
        <v>11.9263627339903</v>
      </c>
      <c r="M1902" s="19" t="n">
        <v>0.413059475574281</v>
      </c>
      <c r="N1902" s="19" t="n">
        <v>1.05957159804291</v>
      </c>
      <c r="O1902" s="19" t="n">
        <v>0.933546748809609</v>
      </c>
      <c r="P1902" s="19" t="n">
        <v>0.839970688872454</v>
      </c>
      <c r="Q1902" s="17" t="s">
        <v>30</v>
      </c>
      <c r="R1902" s="5" t="str">
        <f aca="false">IF(OR(Q1902="Steel plate",Q1902="Concrete jacket"),"Steel plate or jacket",Q1902)</f>
        <v>Seal cracks</v>
      </c>
      <c r="S1902" s="5" t="str">
        <f aca="false">IF(O1902&lt;='Tree rules'!$C$4,IF(N1902&lt;='Tree rules'!$C$5,IF(P1902&lt;='Tree rules'!$C$6,"Monitor","Polymer laminate"),IF(P1902&lt;='Tree rules'!$C$7,"Seal cracks","Polymer laminate")),IF(O1902&lt;='Tree rules'!$C$8,IF(M1902&lt;='Tree rules'!$C$9,"Steel plate or jacket","Polymer laminate"),IF(L1902&lt;='Tree rules'!$C$10,"Steel plate or jacket","Polymer laminate")))</f>
        <v>Seal cracks</v>
      </c>
      <c r="T1902" s="5" t="str">
        <f aca="false">IF(S1902=R1902,"Yes","No")</f>
        <v>Yes</v>
      </c>
    </row>
    <row r="1903" customFormat="false" ht="15" hidden="false" customHeight="false" outlineLevel="0" collapsed="false">
      <c r="A1903" s="15" t="n">
        <v>2716</v>
      </c>
      <c r="B1903" s="16" t="n">
        <v>3.79786950616958</v>
      </c>
      <c r="C1903" s="15" t="n">
        <v>300</v>
      </c>
      <c r="D1903" s="15" t="n">
        <v>350</v>
      </c>
      <c r="E1903" s="15" t="n">
        <v>20</v>
      </c>
      <c r="F1903" s="16" t="n">
        <v>0.693508312050727</v>
      </c>
      <c r="G1903" s="17" t="s">
        <v>89</v>
      </c>
      <c r="H1903" s="18" t="n">
        <v>0.3</v>
      </c>
      <c r="I1903" s="18" t="n">
        <v>1</v>
      </c>
      <c r="J1903" s="19" t="n">
        <v>0.892492098535695</v>
      </c>
      <c r="K1903" s="19" t="n">
        <v>0.515982023627195</v>
      </c>
      <c r="L1903" s="16" t="n">
        <v>12.5757268416211</v>
      </c>
      <c r="M1903" s="19" t="n">
        <v>0.938469861640238</v>
      </c>
      <c r="N1903" s="19" t="n">
        <v>0.875575380728488</v>
      </c>
      <c r="O1903" s="19" t="n">
        <v>0.892492098535695</v>
      </c>
      <c r="P1903" s="19" t="n">
        <v>0.357086262265304</v>
      </c>
      <c r="Q1903" s="17" t="s">
        <v>29</v>
      </c>
      <c r="R1903" s="5" t="str">
        <f aca="false">IF(OR(Q1903="Steel plate",Q1903="Concrete jacket"),"Steel plate or jacket",Q1903)</f>
        <v>Monitor</v>
      </c>
      <c r="S1903" s="5" t="str">
        <f aca="false">IF(O1903&lt;='Tree rules'!$C$4,IF(N1903&lt;='Tree rules'!$C$5,IF(P1903&lt;='Tree rules'!$C$6,"Monitor","Polymer laminate"),IF(P1903&lt;='Tree rules'!$C$7,"Seal cracks","Polymer laminate")),IF(O1903&lt;='Tree rules'!$C$8,IF(M1903&lt;='Tree rules'!$C$9,"Steel plate or jacket","Polymer laminate"),IF(L1903&lt;='Tree rules'!$C$10,"Steel plate or jacket","Polymer laminate")))</f>
        <v>Monitor</v>
      </c>
      <c r="T1903" s="5" t="str">
        <f aca="false">IF(S1903=R1903,"Yes","No")</f>
        <v>Yes</v>
      </c>
    </row>
    <row r="1904" customFormat="false" ht="15" hidden="false" customHeight="false" outlineLevel="0" collapsed="false">
      <c r="A1904" s="15" t="n">
        <v>2718</v>
      </c>
      <c r="B1904" s="16" t="n">
        <v>6.96086302958266</v>
      </c>
      <c r="C1904" s="15" t="n">
        <v>230</v>
      </c>
      <c r="D1904" s="15" t="n">
        <v>550</v>
      </c>
      <c r="E1904" s="15" t="n">
        <v>25</v>
      </c>
      <c r="F1904" s="16" t="n">
        <v>0.544187190990784</v>
      </c>
      <c r="G1904" s="17" t="s">
        <v>91</v>
      </c>
      <c r="H1904" s="18" t="n">
        <v>0.2</v>
      </c>
      <c r="I1904" s="18" t="n">
        <v>1</v>
      </c>
      <c r="J1904" s="19" t="n">
        <v>0.885073100884618</v>
      </c>
      <c r="K1904" s="19" t="n">
        <v>0.514343436979576</v>
      </c>
      <c r="L1904" s="16" t="n">
        <v>13.8662610151049</v>
      </c>
      <c r="M1904" s="19" t="n">
        <v>0.892966764744829</v>
      </c>
      <c r="N1904" s="19" t="n">
        <v>1.10607032209303</v>
      </c>
      <c r="O1904" s="19" t="n">
        <v>0.885073100884618</v>
      </c>
      <c r="P1904" s="19" t="n">
        <v>0.363469658909091</v>
      </c>
      <c r="Q1904" s="17" t="s">
        <v>30</v>
      </c>
      <c r="R1904" s="5" t="str">
        <f aca="false">IF(OR(Q1904="Steel plate",Q1904="Concrete jacket"),"Steel plate or jacket",Q1904)</f>
        <v>Seal cracks</v>
      </c>
      <c r="S1904" s="5" t="str">
        <f aca="false">IF(O1904&lt;='Tree rules'!$C$4,IF(N1904&lt;='Tree rules'!$C$5,IF(P1904&lt;='Tree rules'!$C$6,"Monitor","Polymer laminate"),IF(P1904&lt;='Tree rules'!$C$7,"Seal cracks","Polymer laminate")),IF(O1904&lt;='Tree rules'!$C$8,IF(M1904&lt;='Tree rules'!$C$9,"Steel plate or jacket","Polymer laminate"),IF(L1904&lt;='Tree rules'!$C$10,"Steel plate or jacket","Polymer laminate")))</f>
        <v>Seal cracks</v>
      </c>
      <c r="T1904" s="5" t="str">
        <f aca="false">IF(S1904=R1904,"Yes","No")</f>
        <v>Yes</v>
      </c>
    </row>
    <row r="1905" customFormat="false" ht="15" hidden="false" customHeight="false" outlineLevel="0" collapsed="false">
      <c r="A1905" s="15" t="n">
        <v>2719</v>
      </c>
      <c r="B1905" s="16" t="n">
        <v>5.23719462435231</v>
      </c>
      <c r="C1905" s="15" t="n">
        <v>300</v>
      </c>
      <c r="D1905" s="15" t="n">
        <v>475</v>
      </c>
      <c r="E1905" s="15" t="n">
        <v>30</v>
      </c>
      <c r="F1905" s="16" t="n">
        <v>0.735735984447258</v>
      </c>
      <c r="G1905" s="17" t="s">
        <v>89</v>
      </c>
      <c r="H1905" s="18" t="n">
        <v>0.3</v>
      </c>
      <c r="I1905" s="18" t="n">
        <v>2</v>
      </c>
      <c r="J1905" s="19" t="n">
        <v>0.977833367342158</v>
      </c>
      <c r="K1905" s="19" t="n">
        <v>0.506696823646876</v>
      </c>
      <c r="L1905" s="16" t="n">
        <v>12.265092797078</v>
      </c>
      <c r="M1905" s="19" t="n">
        <v>0.839360040468169</v>
      </c>
      <c r="N1905" s="19" t="n">
        <v>1.19554890193129</v>
      </c>
      <c r="O1905" s="19" t="n">
        <v>1.46020167339612</v>
      </c>
      <c r="P1905" s="19" t="n">
        <v>0.531788879251702</v>
      </c>
      <c r="Q1905" s="17" t="s">
        <v>31</v>
      </c>
      <c r="R1905" s="5" t="str">
        <f aca="false">IF(OR(Q1905="Steel plate",Q1905="Concrete jacket"),"Steel plate or jacket",Q1905)</f>
        <v>Polymer laminate</v>
      </c>
      <c r="S1905" s="5" t="str">
        <f aca="false">IF(O1905&lt;='Tree rules'!$C$4,IF(N1905&lt;='Tree rules'!$C$5,IF(P1905&lt;='Tree rules'!$C$6,"Monitor","Polymer laminate"),IF(P1905&lt;='Tree rules'!$C$7,"Seal cracks","Polymer laminate")),IF(O1905&lt;='Tree rules'!$C$8,IF(M1905&lt;='Tree rules'!$C$9,"Steel plate or jacket","Polymer laminate"),IF(L1905&lt;='Tree rules'!$C$10,"Steel plate or jacket","Polymer laminate")))</f>
        <v>Steel plate or jacket</v>
      </c>
      <c r="T1905" s="5" t="str">
        <f aca="false">IF(S1905=R1905,"Yes","No")</f>
        <v>No</v>
      </c>
    </row>
    <row r="1906" customFormat="false" ht="15" hidden="false" customHeight="false" outlineLevel="0" collapsed="false">
      <c r="A1906" s="15" t="n">
        <v>2720</v>
      </c>
      <c r="B1906" s="16" t="n">
        <v>6.22675716607471</v>
      </c>
      <c r="C1906" s="15" t="n">
        <v>300</v>
      </c>
      <c r="D1906" s="15" t="n">
        <v>600</v>
      </c>
      <c r="E1906" s="15" t="n">
        <v>20</v>
      </c>
      <c r="F1906" s="16" t="n">
        <v>0.604879451954714</v>
      </c>
      <c r="G1906" s="17" t="s">
        <v>89</v>
      </c>
      <c r="H1906" s="18" t="n">
        <v>0.3</v>
      </c>
      <c r="I1906" s="18" t="n">
        <v>2</v>
      </c>
      <c r="J1906" s="19" t="n">
        <v>0.929534557154869</v>
      </c>
      <c r="K1906" s="19" t="n">
        <v>0.558174862066994</v>
      </c>
      <c r="L1906" s="16" t="n">
        <v>11.2396338737811</v>
      </c>
      <c r="M1906" s="19" t="n">
        <v>0.927967720578564</v>
      </c>
      <c r="N1906" s="19" t="n">
        <v>0.810693869876336</v>
      </c>
      <c r="O1906" s="19" t="n">
        <v>1.34022629108332</v>
      </c>
      <c r="P1906" s="19" t="n">
        <v>0.448921938887583</v>
      </c>
      <c r="Q1906" s="17" t="s">
        <v>31</v>
      </c>
      <c r="R1906" s="5" t="str">
        <f aca="false">IF(OR(Q1906="Steel plate",Q1906="Concrete jacket"),"Steel plate or jacket",Q1906)</f>
        <v>Polymer laminate</v>
      </c>
      <c r="S1906" s="5" t="str">
        <f aca="false">IF(O1906&lt;='Tree rules'!$C$4,IF(N1906&lt;='Tree rules'!$C$5,IF(P1906&lt;='Tree rules'!$C$6,"Monitor","Polymer laminate"),IF(P1906&lt;='Tree rules'!$C$7,"Seal cracks","Polymer laminate")),IF(O1906&lt;='Tree rules'!$C$8,IF(M1906&lt;='Tree rules'!$C$9,"Steel plate or jacket","Polymer laminate"),IF(L1906&lt;='Tree rules'!$C$10,"Steel plate or jacket","Polymer laminate")))</f>
        <v>Steel plate or jacket</v>
      </c>
      <c r="T1906" s="5" t="str">
        <f aca="false">IF(S1906=R1906,"Yes","No")</f>
        <v>No</v>
      </c>
    </row>
    <row r="1907" customFormat="false" ht="15" hidden="false" customHeight="false" outlineLevel="0" collapsed="false">
      <c r="A1907" s="15" t="n">
        <v>2721</v>
      </c>
      <c r="B1907" s="16" t="n">
        <v>4.99373930643431</v>
      </c>
      <c r="C1907" s="15" t="n">
        <v>230</v>
      </c>
      <c r="D1907" s="15" t="n">
        <v>450</v>
      </c>
      <c r="E1907" s="15" t="n">
        <v>25</v>
      </c>
      <c r="F1907" s="16" t="n">
        <v>0.679557138998441</v>
      </c>
      <c r="G1907" s="17" t="s">
        <v>89</v>
      </c>
      <c r="H1907" s="18" t="n">
        <v>0.3</v>
      </c>
      <c r="I1907" s="18" t="n">
        <v>2</v>
      </c>
      <c r="J1907" s="19" t="n">
        <v>0.961576885987322</v>
      </c>
      <c r="K1907" s="19" t="n">
        <v>0.600904758081901</v>
      </c>
      <c r="L1907" s="16" t="n">
        <v>12.4222370806824</v>
      </c>
      <c r="M1907" s="19" t="n">
        <v>0.273428526173315</v>
      </c>
      <c r="N1907" s="19" t="n">
        <v>1.34746862434929</v>
      </c>
      <c r="O1907" s="19" t="n">
        <v>1.34533764592329</v>
      </c>
      <c r="P1907" s="19" t="n">
        <v>1.52214613311149</v>
      </c>
      <c r="Q1907" s="17" t="s">
        <v>92</v>
      </c>
      <c r="R1907" s="5" t="str">
        <f aca="false">IF(OR(Q1907="Steel plate",Q1907="Concrete jacket"),"Steel plate or jacket",Q1907)</f>
        <v>Steel plate or jacket</v>
      </c>
      <c r="S1907" s="5" t="str">
        <f aca="false">IF(O1907&lt;='Tree rules'!$C$4,IF(N1907&lt;='Tree rules'!$C$5,IF(P1907&lt;='Tree rules'!$C$6,"Monitor","Polymer laminate"),IF(P1907&lt;='Tree rules'!$C$7,"Seal cracks","Polymer laminate")),IF(O1907&lt;='Tree rules'!$C$8,IF(M1907&lt;='Tree rules'!$C$9,"Steel plate or jacket","Polymer laminate"),IF(L1907&lt;='Tree rules'!$C$10,"Steel plate or jacket","Polymer laminate")))</f>
        <v>Steel plate or jacket</v>
      </c>
      <c r="T1907" s="5" t="str">
        <f aca="false">IF(S1907=R1907,"Yes","No")</f>
        <v>Yes</v>
      </c>
    </row>
    <row r="1908" customFormat="false" ht="15" hidden="false" customHeight="false" outlineLevel="0" collapsed="false">
      <c r="A1908" s="15" t="n">
        <v>2722</v>
      </c>
      <c r="B1908" s="16" t="n">
        <v>6.19943449848455</v>
      </c>
      <c r="C1908" s="15" t="n">
        <v>230</v>
      </c>
      <c r="D1908" s="15" t="n">
        <v>500</v>
      </c>
      <c r="E1908" s="15" t="n">
        <v>30</v>
      </c>
      <c r="F1908" s="16" t="n">
        <v>0.604384889109233</v>
      </c>
      <c r="G1908" s="17" t="s">
        <v>91</v>
      </c>
      <c r="H1908" s="18" t="n">
        <v>0.2</v>
      </c>
      <c r="I1908" s="18" t="n">
        <v>1.5</v>
      </c>
      <c r="J1908" s="19" t="n">
        <v>0.926863286964641</v>
      </c>
      <c r="K1908" s="19" t="n">
        <v>0.512213498760501</v>
      </c>
      <c r="L1908" s="16" t="n">
        <v>13.7155630497446</v>
      </c>
      <c r="M1908" s="19" t="n">
        <v>0.501254237719518</v>
      </c>
      <c r="N1908" s="19" t="n">
        <v>1.67250848034587</v>
      </c>
      <c r="O1908" s="19" t="n">
        <v>1.15291898690255</v>
      </c>
      <c r="P1908" s="19" t="n">
        <v>0.702671399790496</v>
      </c>
      <c r="Q1908" s="17" t="s">
        <v>31</v>
      </c>
      <c r="R1908" s="5" t="str">
        <f aca="false">IF(OR(Q1908="Steel plate",Q1908="Concrete jacket"),"Steel plate or jacket",Q1908)</f>
        <v>Polymer laminate</v>
      </c>
      <c r="S1908" s="5" t="str">
        <f aca="false">IF(O1908&lt;='Tree rules'!$C$4,IF(N1908&lt;='Tree rules'!$C$5,IF(P1908&lt;='Tree rules'!$C$6,"Monitor","Polymer laminate"),IF(P1908&lt;='Tree rules'!$C$7,"Seal cracks","Polymer laminate")),IF(O1908&lt;='Tree rules'!$C$8,IF(M1908&lt;='Tree rules'!$C$9,"Steel plate or jacket","Polymer laminate"),IF(L1908&lt;='Tree rules'!$C$10,"Steel plate or jacket","Polymer laminate")))</f>
        <v>Polymer laminate</v>
      </c>
      <c r="T1908" s="5" t="str">
        <f aca="false">IF(S1908=R1908,"Yes","No")</f>
        <v>Yes</v>
      </c>
    </row>
    <row r="1909" customFormat="false" ht="15" hidden="false" customHeight="false" outlineLevel="0" collapsed="false">
      <c r="A1909" s="15" t="n">
        <v>2723</v>
      </c>
      <c r="B1909" s="16" t="n">
        <v>3.71249750607636</v>
      </c>
      <c r="C1909" s="15" t="n">
        <v>300</v>
      </c>
      <c r="D1909" s="15" t="n">
        <v>350</v>
      </c>
      <c r="E1909" s="15" t="n">
        <v>30</v>
      </c>
      <c r="F1909" s="16" t="n">
        <v>0.661387927071535</v>
      </c>
      <c r="G1909" s="17" t="s">
        <v>89</v>
      </c>
      <c r="H1909" s="18" t="n">
        <v>0.3</v>
      </c>
      <c r="I1909" s="18" t="n">
        <v>1</v>
      </c>
      <c r="J1909" s="19" t="n">
        <v>0.922173942051438</v>
      </c>
      <c r="K1909" s="19" t="n">
        <v>0.643260023868776</v>
      </c>
      <c r="L1909" s="16" t="n">
        <v>12.2121628489354</v>
      </c>
      <c r="M1909" s="19" t="n">
        <v>0.815430451645787</v>
      </c>
      <c r="N1909" s="19" t="n">
        <v>0.720738561213842</v>
      </c>
      <c r="O1909" s="19" t="n">
        <v>0.922173942051438</v>
      </c>
      <c r="P1909" s="19" t="n">
        <v>0.379554629701834</v>
      </c>
      <c r="Q1909" s="17" t="s">
        <v>29</v>
      </c>
      <c r="R1909" s="5" t="str">
        <f aca="false">IF(OR(Q1909="Steel plate",Q1909="Concrete jacket"),"Steel plate or jacket",Q1909)</f>
        <v>Monitor</v>
      </c>
      <c r="S1909" s="5" t="str">
        <f aca="false">IF(O1909&lt;='Tree rules'!$C$4,IF(N1909&lt;='Tree rules'!$C$5,IF(P1909&lt;='Tree rules'!$C$6,"Monitor","Polymer laminate"),IF(P1909&lt;='Tree rules'!$C$7,"Seal cracks","Polymer laminate")),IF(O1909&lt;='Tree rules'!$C$8,IF(M1909&lt;='Tree rules'!$C$9,"Steel plate or jacket","Polymer laminate"),IF(L1909&lt;='Tree rules'!$C$10,"Steel plate or jacket","Polymer laminate")))</f>
        <v>Monitor</v>
      </c>
      <c r="T1909" s="5" t="str">
        <f aca="false">IF(S1909=R1909,"Yes","No")</f>
        <v>Yes</v>
      </c>
    </row>
    <row r="1910" customFormat="false" ht="15" hidden="false" customHeight="false" outlineLevel="0" collapsed="false">
      <c r="A1910" s="15" t="n">
        <v>2724</v>
      </c>
      <c r="B1910" s="16" t="n">
        <v>3.50540414251019</v>
      </c>
      <c r="C1910" s="15" t="n">
        <v>230</v>
      </c>
      <c r="D1910" s="15" t="n">
        <v>325</v>
      </c>
      <c r="E1910" s="15" t="n">
        <v>30</v>
      </c>
      <c r="F1910" s="16" t="n">
        <v>0.626653981080713</v>
      </c>
      <c r="G1910" s="17" t="s">
        <v>91</v>
      </c>
      <c r="H1910" s="18" t="n">
        <v>0.2</v>
      </c>
      <c r="I1910" s="18" t="n">
        <v>2</v>
      </c>
      <c r="J1910" s="19" t="n">
        <v>0.89768188382856</v>
      </c>
      <c r="K1910" s="19" t="n">
        <v>0.572382628392717</v>
      </c>
      <c r="L1910" s="16" t="n">
        <v>12.5641725538</v>
      </c>
      <c r="M1910" s="19" t="n">
        <v>0.475463127870984</v>
      </c>
      <c r="N1910" s="19" t="n">
        <v>1.86421851180236</v>
      </c>
      <c r="O1910" s="19" t="n">
        <v>1.2815462515308</v>
      </c>
      <c r="P1910" s="19" t="n">
        <v>0.647828148435334</v>
      </c>
      <c r="Q1910" s="17" t="s">
        <v>31</v>
      </c>
      <c r="R1910" s="5" t="str">
        <f aca="false">IF(OR(Q1910="Steel plate",Q1910="Concrete jacket"),"Steel plate or jacket",Q1910)</f>
        <v>Polymer laminate</v>
      </c>
      <c r="S1910" s="5" t="str">
        <f aca="false">IF(O1910&lt;='Tree rules'!$C$4,IF(N1910&lt;='Tree rules'!$C$5,IF(P1910&lt;='Tree rules'!$C$6,"Monitor","Polymer laminate"),IF(P1910&lt;='Tree rules'!$C$7,"Seal cracks","Polymer laminate")),IF(O1910&lt;='Tree rules'!$C$8,IF(M1910&lt;='Tree rules'!$C$9,"Steel plate or jacket","Polymer laminate"),IF(L1910&lt;='Tree rules'!$C$10,"Steel plate or jacket","Polymer laminate")))</f>
        <v>Polymer laminate</v>
      </c>
      <c r="T1910" s="5" t="str">
        <f aca="false">IF(S1910=R1910,"Yes","No")</f>
        <v>Yes</v>
      </c>
    </row>
    <row r="1911" customFormat="false" ht="15" hidden="false" customHeight="false" outlineLevel="0" collapsed="false">
      <c r="A1911" s="15" t="n">
        <v>2726</v>
      </c>
      <c r="B1911" s="16" t="n">
        <v>7.37405879874553</v>
      </c>
      <c r="C1911" s="15" t="n">
        <v>300</v>
      </c>
      <c r="D1911" s="15" t="n">
        <v>700</v>
      </c>
      <c r="E1911" s="15" t="n">
        <v>25</v>
      </c>
      <c r="F1911" s="16" t="n">
        <v>0.614868286941122</v>
      </c>
      <c r="G1911" s="17" t="s">
        <v>89</v>
      </c>
      <c r="H1911" s="18" t="n">
        <v>0.3</v>
      </c>
      <c r="I1911" s="18" t="n">
        <v>2</v>
      </c>
      <c r="J1911" s="19" t="n">
        <v>0.903487322363348</v>
      </c>
      <c r="K1911" s="19" t="n">
        <v>0.449533484341312</v>
      </c>
      <c r="L1911" s="16" t="n">
        <v>11.2753192641369</v>
      </c>
      <c r="M1911" s="19" t="n">
        <v>0.727596054254218</v>
      </c>
      <c r="N1911" s="19" t="n">
        <v>0.850290448132285</v>
      </c>
      <c r="O1911" s="19" t="n">
        <v>1.4008268406465</v>
      </c>
      <c r="P1911" s="19" t="n">
        <v>0.519969525347603</v>
      </c>
      <c r="Q1911" s="17" t="s">
        <v>92</v>
      </c>
      <c r="R1911" s="5" t="str">
        <f aca="false">IF(OR(Q1911="Steel plate",Q1911="Concrete jacket"),"Steel plate or jacket",Q1911)</f>
        <v>Steel plate or jacket</v>
      </c>
      <c r="S1911" s="5" t="str">
        <f aca="false">IF(O1911&lt;='Tree rules'!$C$4,IF(N1911&lt;='Tree rules'!$C$5,IF(P1911&lt;='Tree rules'!$C$6,"Monitor","Polymer laminate"),IF(P1911&lt;='Tree rules'!$C$7,"Seal cracks","Polymer laminate")),IF(O1911&lt;='Tree rules'!$C$8,IF(M1911&lt;='Tree rules'!$C$9,"Steel plate or jacket","Polymer laminate"),IF(L1911&lt;='Tree rules'!$C$10,"Steel plate or jacket","Polymer laminate")))</f>
        <v>Steel plate or jacket</v>
      </c>
      <c r="T1911" s="5" t="str">
        <f aca="false">IF(S1911=R1911,"Yes","No")</f>
        <v>Yes</v>
      </c>
    </row>
    <row r="1912" customFormat="false" ht="15" hidden="false" customHeight="false" outlineLevel="0" collapsed="false">
      <c r="A1912" s="15" t="n">
        <v>2727</v>
      </c>
      <c r="B1912" s="16" t="n">
        <v>6.45039231841426</v>
      </c>
      <c r="C1912" s="15" t="n">
        <v>230</v>
      </c>
      <c r="D1912" s="15" t="n">
        <v>625</v>
      </c>
      <c r="E1912" s="15" t="n">
        <v>25</v>
      </c>
      <c r="F1912" s="16" t="n">
        <v>0.710178431223674</v>
      </c>
      <c r="G1912" s="17" t="s">
        <v>89</v>
      </c>
      <c r="H1912" s="18" t="n">
        <v>0.3</v>
      </c>
      <c r="I1912" s="18" t="n">
        <v>1</v>
      </c>
      <c r="J1912" s="19" t="n">
        <v>0.910704138292411</v>
      </c>
      <c r="K1912" s="19" t="n">
        <v>0.641056068747581</v>
      </c>
      <c r="L1912" s="16" t="n">
        <v>11.1791894599901</v>
      </c>
      <c r="M1912" s="19" t="n">
        <v>0.942034913718553</v>
      </c>
      <c r="N1912" s="19" t="n">
        <v>0.575902021351179</v>
      </c>
      <c r="O1912" s="19" t="n">
        <v>0.910704138292411</v>
      </c>
      <c r="P1912" s="19" t="n">
        <v>0.403102341986747</v>
      </c>
      <c r="Q1912" s="17" t="s">
        <v>29</v>
      </c>
      <c r="R1912" s="5" t="str">
        <f aca="false">IF(OR(Q1912="Steel plate",Q1912="Concrete jacket"),"Steel plate or jacket",Q1912)</f>
        <v>Monitor</v>
      </c>
      <c r="S1912" s="5" t="str">
        <f aca="false">IF(O1912&lt;='Tree rules'!$C$4,IF(N1912&lt;='Tree rules'!$C$5,IF(P1912&lt;='Tree rules'!$C$6,"Monitor","Polymer laminate"),IF(P1912&lt;='Tree rules'!$C$7,"Seal cracks","Polymer laminate")),IF(O1912&lt;='Tree rules'!$C$8,IF(M1912&lt;='Tree rules'!$C$9,"Steel plate or jacket","Polymer laminate"),IF(L1912&lt;='Tree rules'!$C$10,"Steel plate or jacket","Polymer laminate")))</f>
        <v>Monitor</v>
      </c>
      <c r="T1912" s="5" t="str">
        <f aca="false">IF(S1912=R1912,"Yes","No")</f>
        <v>Yes</v>
      </c>
    </row>
    <row r="1913" customFormat="false" ht="15" hidden="false" customHeight="false" outlineLevel="0" collapsed="false">
      <c r="A1913" s="15" t="n">
        <v>2729</v>
      </c>
      <c r="B1913" s="16" t="n">
        <v>6.5827413440063</v>
      </c>
      <c r="C1913" s="15" t="n">
        <v>230</v>
      </c>
      <c r="D1913" s="15" t="n">
        <v>525</v>
      </c>
      <c r="E1913" s="15" t="n">
        <v>30</v>
      </c>
      <c r="F1913" s="16" t="n">
        <v>0.57270853223768</v>
      </c>
      <c r="G1913" s="17" t="s">
        <v>89</v>
      </c>
      <c r="H1913" s="18" t="n">
        <v>0.3</v>
      </c>
      <c r="I1913" s="18" t="n">
        <v>1</v>
      </c>
      <c r="J1913" s="19" t="n">
        <v>0.930814388467257</v>
      </c>
      <c r="K1913" s="19" t="n">
        <v>0.479471235648408</v>
      </c>
      <c r="L1913" s="16" t="n">
        <v>13.8002963186715</v>
      </c>
      <c r="M1913" s="19" t="n">
        <v>0.756760206537734</v>
      </c>
      <c r="N1913" s="19" t="n">
        <v>0.826584099625594</v>
      </c>
      <c r="O1913" s="19" t="n">
        <v>0.930814388467257</v>
      </c>
      <c r="P1913" s="19" t="n">
        <v>0.411054901896442</v>
      </c>
      <c r="Q1913" s="17" t="s">
        <v>29</v>
      </c>
      <c r="R1913" s="5" t="str">
        <f aca="false">IF(OR(Q1913="Steel plate",Q1913="Concrete jacket"),"Steel plate or jacket",Q1913)</f>
        <v>Monitor</v>
      </c>
      <c r="S1913" s="5" t="str">
        <f aca="false">IF(O1913&lt;='Tree rules'!$C$4,IF(N1913&lt;='Tree rules'!$C$5,IF(P1913&lt;='Tree rules'!$C$6,"Monitor","Polymer laminate"),IF(P1913&lt;='Tree rules'!$C$7,"Seal cracks","Polymer laminate")),IF(O1913&lt;='Tree rules'!$C$8,IF(M1913&lt;='Tree rules'!$C$9,"Steel plate or jacket","Polymer laminate"),IF(L1913&lt;='Tree rules'!$C$10,"Steel plate or jacket","Polymer laminate")))</f>
        <v>Monitor</v>
      </c>
      <c r="T1913" s="5" t="str">
        <f aca="false">IF(S1913=R1913,"Yes","No")</f>
        <v>Yes</v>
      </c>
    </row>
    <row r="1914" customFormat="false" ht="15" hidden="false" customHeight="false" outlineLevel="0" collapsed="false">
      <c r="A1914" s="15" t="n">
        <v>2730</v>
      </c>
      <c r="B1914" s="16" t="n">
        <v>7.9263093198486</v>
      </c>
      <c r="C1914" s="15" t="n">
        <v>300</v>
      </c>
      <c r="D1914" s="15" t="n">
        <v>750</v>
      </c>
      <c r="E1914" s="15" t="n">
        <v>30</v>
      </c>
      <c r="F1914" s="16" t="n">
        <v>0.596693761365583</v>
      </c>
      <c r="G1914" s="17" t="s">
        <v>91</v>
      </c>
      <c r="H1914" s="18" t="n">
        <v>0.2</v>
      </c>
      <c r="I1914" s="18" t="n">
        <v>1.5</v>
      </c>
      <c r="J1914" s="19" t="n">
        <v>0.935943213477324</v>
      </c>
      <c r="K1914" s="19" t="n">
        <v>0.560986609351348</v>
      </c>
      <c r="L1914" s="16" t="n">
        <v>11.2910389171632</v>
      </c>
      <c r="M1914" s="19" t="n">
        <v>0.288805689007859</v>
      </c>
      <c r="N1914" s="19" t="n">
        <v>1.26691999141314</v>
      </c>
      <c r="O1914" s="19" t="n">
        <v>1.14138901527896</v>
      </c>
      <c r="P1914" s="19" t="n">
        <v>1.10372174945056</v>
      </c>
      <c r="Q1914" s="17" t="s">
        <v>92</v>
      </c>
      <c r="R1914" s="5" t="str">
        <f aca="false">IF(OR(Q1914="Steel plate",Q1914="Concrete jacket"),"Steel plate or jacket",Q1914)</f>
        <v>Steel plate or jacket</v>
      </c>
      <c r="S1914" s="5" t="str">
        <f aca="false">IF(O1914&lt;='Tree rules'!$C$4,IF(N1914&lt;='Tree rules'!$C$5,IF(P1914&lt;='Tree rules'!$C$6,"Monitor","Polymer laminate"),IF(P1914&lt;='Tree rules'!$C$7,"Seal cracks","Polymer laminate")),IF(O1914&lt;='Tree rules'!$C$8,IF(M1914&lt;='Tree rules'!$C$9,"Steel plate or jacket","Polymer laminate"),IF(L1914&lt;='Tree rules'!$C$10,"Steel plate or jacket","Polymer laminate")))</f>
        <v>Steel plate or jacket</v>
      </c>
      <c r="T1914" s="5" t="str">
        <f aca="false">IF(S1914=R1914,"Yes","No")</f>
        <v>Yes</v>
      </c>
    </row>
    <row r="1915" customFormat="false" ht="15" hidden="false" customHeight="false" outlineLevel="0" collapsed="false">
      <c r="A1915" s="15" t="n">
        <v>2732</v>
      </c>
      <c r="B1915" s="16" t="n">
        <v>3.47506342828464</v>
      </c>
      <c r="C1915" s="15" t="n">
        <v>300</v>
      </c>
      <c r="D1915" s="15" t="n">
        <v>300</v>
      </c>
      <c r="E1915" s="15" t="n">
        <v>30</v>
      </c>
      <c r="F1915" s="16" t="n">
        <v>0.791582400904515</v>
      </c>
      <c r="G1915" s="17" t="s">
        <v>91</v>
      </c>
      <c r="H1915" s="18" t="n">
        <v>0.2</v>
      </c>
      <c r="I1915" s="18" t="n">
        <v>1</v>
      </c>
      <c r="J1915" s="19" t="n">
        <v>0.990827162507399</v>
      </c>
      <c r="K1915" s="19" t="n">
        <v>0.410631468457107</v>
      </c>
      <c r="L1915" s="16" t="n">
        <v>13.6813520798608</v>
      </c>
      <c r="M1915" s="19" t="n">
        <v>0.931692822205892</v>
      </c>
      <c r="N1915" s="19" t="n">
        <v>1.16734172695776</v>
      </c>
      <c r="O1915" s="19" t="n">
        <v>0.990827162507399</v>
      </c>
      <c r="P1915" s="19" t="n">
        <v>0.364568721743007</v>
      </c>
      <c r="Q1915" s="17" t="s">
        <v>30</v>
      </c>
      <c r="R1915" s="5" t="str">
        <f aca="false">IF(OR(Q1915="Steel plate",Q1915="Concrete jacket"),"Steel plate or jacket",Q1915)</f>
        <v>Seal cracks</v>
      </c>
      <c r="S1915" s="5" t="str">
        <f aca="false">IF(O1915&lt;='Tree rules'!$C$4,IF(N1915&lt;='Tree rules'!$C$5,IF(P1915&lt;='Tree rules'!$C$6,"Monitor","Polymer laminate"),IF(P1915&lt;='Tree rules'!$C$7,"Seal cracks","Polymer laminate")),IF(O1915&lt;='Tree rules'!$C$8,IF(M1915&lt;='Tree rules'!$C$9,"Steel plate or jacket","Polymer laminate"),IF(L1915&lt;='Tree rules'!$C$10,"Steel plate or jacket","Polymer laminate")))</f>
        <v>Seal cracks</v>
      </c>
      <c r="T1915" s="5" t="str">
        <f aca="false">IF(S1915=R1915,"Yes","No")</f>
        <v>Yes</v>
      </c>
    </row>
    <row r="1916" customFormat="false" ht="15" hidden="false" customHeight="false" outlineLevel="0" collapsed="false">
      <c r="A1916" s="15" t="n">
        <v>2733</v>
      </c>
      <c r="B1916" s="16" t="n">
        <v>5.77060640034073</v>
      </c>
      <c r="C1916" s="15" t="n">
        <v>300</v>
      </c>
      <c r="D1916" s="15" t="n">
        <v>550</v>
      </c>
      <c r="E1916" s="15" t="n">
        <v>25</v>
      </c>
      <c r="F1916" s="16" t="n">
        <v>0.860121191947924</v>
      </c>
      <c r="G1916" s="17" t="s">
        <v>90</v>
      </c>
      <c r="H1916" s="18" t="n">
        <v>0.1</v>
      </c>
      <c r="I1916" s="18" t="n">
        <v>1</v>
      </c>
      <c r="J1916" s="19" t="n">
        <v>0.924972661159124</v>
      </c>
      <c r="K1916" s="19" t="n">
        <v>0.522206032122534</v>
      </c>
      <c r="L1916" s="16" t="n">
        <v>11.8492944565518</v>
      </c>
      <c r="M1916" s="19" t="n">
        <v>0.927930928574072</v>
      </c>
      <c r="N1916" s="19" t="n">
        <v>2.30143630532556</v>
      </c>
      <c r="O1916" s="19" t="n">
        <v>0.924972661159124</v>
      </c>
      <c r="P1916" s="19" t="n">
        <v>0.420145913195073</v>
      </c>
      <c r="Q1916" s="17" t="s">
        <v>30</v>
      </c>
      <c r="R1916" s="5" t="str">
        <f aca="false">IF(OR(Q1916="Steel plate",Q1916="Concrete jacket"),"Steel plate or jacket",Q1916)</f>
        <v>Seal cracks</v>
      </c>
      <c r="S1916" s="5" t="str">
        <f aca="false">IF(O1916&lt;='Tree rules'!$C$4,IF(N1916&lt;='Tree rules'!$C$5,IF(P1916&lt;='Tree rules'!$C$6,"Monitor","Polymer laminate"),IF(P1916&lt;='Tree rules'!$C$7,"Seal cracks","Polymer laminate")),IF(O1916&lt;='Tree rules'!$C$8,IF(M1916&lt;='Tree rules'!$C$9,"Steel plate or jacket","Polymer laminate"),IF(L1916&lt;='Tree rules'!$C$10,"Steel plate or jacket","Polymer laminate")))</f>
        <v>Seal cracks</v>
      </c>
      <c r="T1916" s="5" t="str">
        <f aca="false">IF(S1916=R1916,"Yes","No")</f>
        <v>Yes</v>
      </c>
    </row>
    <row r="1917" customFormat="false" ht="15" hidden="false" customHeight="false" outlineLevel="0" collapsed="false">
      <c r="A1917" s="15" t="n">
        <v>2734</v>
      </c>
      <c r="B1917" s="16" t="n">
        <v>6.15048614659526</v>
      </c>
      <c r="C1917" s="15" t="n">
        <v>300</v>
      </c>
      <c r="D1917" s="15" t="n">
        <v>475</v>
      </c>
      <c r="E1917" s="15" t="n">
        <v>30</v>
      </c>
      <c r="F1917" s="16" t="n">
        <v>0.735735984447258</v>
      </c>
      <c r="G1917" s="17" t="s">
        <v>91</v>
      </c>
      <c r="H1917" s="18" t="n">
        <v>0.2</v>
      </c>
      <c r="I1917" s="18" t="n">
        <v>1</v>
      </c>
      <c r="J1917" s="19" t="n">
        <v>0.860867390316871</v>
      </c>
      <c r="K1917" s="19" t="n">
        <v>0.611564315337041</v>
      </c>
      <c r="L1917" s="16" t="n">
        <v>14.4039488210662</v>
      </c>
      <c r="M1917" s="19" t="n">
        <v>0.722896914101262</v>
      </c>
      <c r="N1917" s="19" t="n">
        <v>1.02794634722305</v>
      </c>
      <c r="O1917" s="19" t="n">
        <v>0.860867390316871</v>
      </c>
      <c r="P1917" s="19" t="n">
        <v>0.555840919973931</v>
      </c>
      <c r="Q1917" s="17" t="s">
        <v>30</v>
      </c>
      <c r="R1917" s="5" t="str">
        <f aca="false">IF(OR(Q1917="Steel plate",Q1917="Concrete jacket"),"Steel plate or jacket",Q1917)</f>
        <v>Seal cracks</v>
      </c>
      <c r="S1917" s="5" t="str">
        <f aca="false">IF(O1917&lt;='Tree rules'!$C$4,IF(N1917&lt;='Tree rules'!$C$5,IF(P1917&lt;='Tree rules'!$C$6,"Monitor","Polymer laminate"),IF(P1917&lt;='Tree rules'!$C$7,"Seal cracks","Polymer laminate")),IF(O1917&lt;='Tree rules'!$C$8,IF(M1917&lt;='Tree rules'!$C$9,"Steel plate or jacket","Polymer laminate"),IF(L1917&lt;='Tree rules'!$C$10,"Steel plate or jacket","Polymer laminate")))</f>
        <v>Seal cracks</v>
      </c>
      <c r="T1917" s="5" t="str">
        <f aca="false">IF(S1917=R1917,"Yes","No")</f>
        <v>Yes</v>
      </c>
    </row>
    <row r="1918" customFormat="false" ht="15" hidden="false" customHeight="false" outlineLevel="0" collapsed="false">
      <c r="A1918" s="15" t="n">
        <v>2735</v>
      </c>
      <c r="B1918" s="16" t="n">
        <v>3.26167520521315</v>
      </c>
      <c r="C1918" s="15" t="n">
        <v>300</v>
      </c>
      <c r="D1918" s="15" t="n">
        <v>325</v>
      </c>
      <c r="E1918" s="15" t="n">
        <v>30</v>
      </c>
      <c r="F1918" s="16" t="n">
        <v>0.72065207824282</v>
      </c>
      <c r="G1918" s="17" t="s">
        <v>89</v>
      </c>
      <c r="H1918" s="18" t="n">
        <v>0.3</v>
      </c>
      <c r="I1918" s="18" t="n">
        <v>2</v>
      </c>
      <c r="J1918" s="19" t="n">
        <v>0.871095444708503</v>
      </c>
      <c r="K1918" s="19" t="n">
        <v>0.517988023659597</v>
      </c>
      <c r="L1918" s="16" t="n">
        <v>11.6905921333805</v>
      </c>
      <c r="M1918" s="19" t="n">
        <v>0.942006272466947</v>
      </c>
      <c r="N1918" s="19" t="n">
        <v>1.03843245675249</v>
      </c>
      <c r="O1918" s="19" t="n">
        <v>1.29097388159357</v>
      </c>
      <c r="P1918" s="19" t="n">
        <v>0.354497541960304</v>
      </c>
      <c r="Q1918" s="17" t="s">
        <v>31</v>
      </c>
      <c r="R1918" s="5" t="str">
        <f aca="false">IF(OR(Q1918="Steel plate",Q1918="Concrete jacket"),"Steel plate or jacket",Q1918)</f>
        <v>Polymer laminate</v>
      </c>
      <c r="S1918" s="5" t="str">
        <f aca="false">IF(O1918&lt;='Tree rules'!$C$4,IF(N1918&lt;='Tree rules'!$C$5,IF(P1918&lt;='Tree rules'!$C$6,"Monitor","Polymer laminate"),IF(P1918&lt;='Tree rules'!$C$7,"Seal cracks","Polymer laminate")),IF(O1918&lt;='Tree rules'!$C$8,IF(M1918&lt;='Tree rules'!$C$9,"Steel plate or jacket","Polymer laminate"),IF(L1918&lt;='Tree rules'!$C$10,"Steel plate or jacket","Polymer laminate")))</f>
        <v>Polymer laminate</v>
      </c>
      <c r="T1918" s="5" t="str">
        <f aca="false">IF(S1918=R1918,"Yes","No")</f>
        <v>Yes</v>
      </c>
    </row>
    <row r="1919" customFormat="false" ht="15" hidden="false" customHeight="false" outlineLevel="0" collapsed="false">
      <c r="A1919" s="15" t="n">
        <v>2737</v>
      </c>
      <c r="B1919" s="16" t="n">
        <v>5.41032664746475</v>
      </c>
      <c r="C1919" s="15" t="n">
        <v>230</v>
      </c>
      <c r="D1919" s="15" t="n">
        <v>525</v>
      </c>
      <c r="E1919" s="15" t="n">
        <v>25</v>
      </c>
      <c r="F1919" s="16" t="n">
        <v>0.85906279835652</v>
      </c>
      <c r="G1919" s="17" t="s">
        <v>91</v>
      </c>
      <c r="H1919" s="18" t="n">
        <v>0.2</v>
      </c>
      <c r="I1919" s="18" t="n">
        <v>2</v>
      </c>
      <c r="J1919" s="19" t="n">
        <v>0.935712459343084</v>
      </c>
      <c r="K1919" s="19" t="n">
        <v>0.551167679594745</v>
      </c>
      <c r="L1919" s="16" t="n">
        <v>11.3424038730917</v>
      </c>
      <c r="M1919" s="19" t="n">
        <v>0.891523617195682</v>
      </c>
      <c r="N1919" s="19" t="n">
        <v>1.38516158764455</v>
      </c>
      <c r="O1919" s="19" t="n">
        <v>1.35569045370215</v>
      </c>
      <c r="P1919" s="19" t="n">
        <v>0.552370915955242</v>
      </c>
      <c r="Q1919" s="17" t="s">
        <v>92</v>
      </c>
      <c r="R1919" s="5" t="str">
        <f aca="false">IF(OR(Q1919="Steel plate",Q1919="Concrete jacket"),"Steel plate or jacket",Q1919)</f>
        <v>Steel plate or jacket</v>
      </c>
      <c r="S1919" s="5" t="str">
        <f aca="false">IF(O1919&lt;='Tree rules'!$C$4,IF(N1919&lt;='Tree rules'!$C$5,IF(P1919&lt;='Tree rules'!$C$6,"Monitor","Polymer laminate"),IF(P1919&lt;='Tree rules'!$C$7,"Seal cracks","Polymer laminate")),IF(O1919&lt;='Tree rules'!$C$8,IF(M1919&lt;='Tree rules'!$C$9,"Steel plate or jacket","Polymer laminate"),IF(L1919&lt;='Tree rules'!$C$10,"Steel plate or jacket","Polymer laminate")))</f>
        <v>Steel plate or jacket</v>
      </c>
      <c r="T1919" s="5" t="str">
        <f aca="false">IF(S1919=R1919,"Yes","No")</f>
        <v>Yes</v>
      </c>
    </row>
    <row r="1920" customFormat="false" ht="15" hidden="false" customHeight="false" outlineLevel="0" collapsed="false">
      <c r="A1920" s="15" t="n">
        <v>2738</v>
      </c>
      <c r="B1920" s="16" t="n">
        <v>3.20689835707303</v>
      </c>
      <c r="C1920" s="15" t="n">
        <v>230</v>
      </c>
      <c r="D1920" s="15" t="n">
        <v>300</v>
      </c>
      <c r="E1920" s="15" t="n">
        <v>30</v>
      </c>
      <c r="F1920" s="16" t="n">
        <v>1.08405543602132</v>
      </c>
      <c r="G1920" s="17" t="s">
        <v>89</v>
      </c>
      <c r="H1920" s="18" t="n">
        <v>0.3</v>
      </c>
      <c r="I1920" s="18" t="n">
        <v>1</v>
      </c>
      <c r="J1920" s="19" t="n">
        <v>0.864192570312631</v>
      </c>
      <c r="K1920" s="19" t="n">
        <v>0.435843397092853</v>
      </c>
      <c r="L1920" s="16" t="n">
        <v>12.7257871312422</v>
      </c>
      <c r="M1920" s="19" t="n">
        <v>0.677507847774292</v>
      </c>
      <c r="N1920" s="19" t="n">
        <v>0.791314916490298</v>
      </c>
      <c r="O1920" s="19" t="n">
        <v>0.864192570312631</v>
      </c>
      <c r="P1920" s="19" t="n">
        <v>0.50959356105675</v>
      </c>
      <c r="Q1920" s="17" t="s">
        <v>29</v>
      </c>
      <c r="R1920" s="5" t="str">
        <f aca="false">IF(OR(Q1920="Steel plate",Q1920="Concrete jacket"),"Steel plate or jacket",Q1920)</f>
        <v>Monitor</v>
      </c>
      <c r="S1920" s="5" t="str">
        <f aca="false">IF(O1920&lt;='Tree rules'!$C$4,IF(N1920&lt;='Tree rules'!$C$5,IF(P1920&lt;='Tree rules'!$C$6,"Monitor","Polymer laminate"),IF(P1920&lt;='Tree rules'!$C$7,"Seal cracks","Polymer laminate")),IF(O1920&lt;='Tree rules'!$C$8,IF(M1920&lt;='Tree rules'!$C$9,"Steel plate or jacket","Polymer laminate"),IF(L1920&lt;='Tree rules'!$C$10,"Steel plate or jacket","Polymer laminate")))</f>
        <v>Monitor</v>
      </c>
      <c r="T1920" s="5" t="str">
        <f aca="false">IF(S1920=R1920,"Yes","No")</f>
        <v>Yes</v>
      </c>
    </row>
    <row r="1921" customFormat="false" ht="15" hidden="false" customHeight="false" outlineLevel="0" collapsed="false">
      <c r="A1921" s="15" t="n">
        <v>2739</v>
      </c>
      <c r="B1921" s="16" t="n">
        <v>6.13986363944346</v>
      </c>
      <c r="C1921" s="15" t="n">
        <v>300</v>
      </c>
      <c r="D1921" s="15" t="n">
        <v>525</v>
      </c>
      <c r="E1921" s="15" t="n">
        <v>30</v>
      </c>
      <c r="F1921" s="16" t="n">
        <v>0.699589178252424</v>
      </c>
      <c r="G1921" s="17" t="s">
        <v>89</v>
      </c>
      <c r="H1921" s="18" t="n">
        <v>0.3</v>
      </c>
      <c r="I1921" s="18" t="n">
        <v>1.5</v>
      </c>
      <c r="J1921" s="19" t="n">
        <v>0.866565346965104</v>
      </c>
      <c r="K1921" s="19" t="n">
        <v>0.639757375910282</v>
      </c>
      <c r="L1921" s="16" t="n">
        <v>12.8180869299446</v>
      </c>
      <c r="M1921" s="19" t="n">
        <v>0.742224114975052</v>
      </c>
      <c r="N1921" s="19" t="n">
        <v>0.655814086901961</v>
      </c>
      <c r="O1921" s="19" t="n">
        <v>1.02265223423307</v>
      </c>
      <c r="P1921" s="19" t="n">
        <v>0.534642111362924</v>
      </c>
      <c r="Q1921" s="17" t="s">
        <v>31</v>
      </c>
      <c r="R1921" s="5" t="str">
        <f aca="false">IF(OR(Q1921="Steel plate",Q1921="Concrete jacket"),"Steel plate or jacket",Q1921)</f>
        <v>Polymer laminate</v>
      </c>
      <c r="S1921" s="5" t="str">
        <f aca="false">IF(O1921&lt;='Tree rules'!$C$4,IF(N1921&lt;='Tree rules'!$C$5,IF(P1921&lt;='Tree rules'!$C$6,"Monitor","Polymer laminate"),IF(P1921&lt;='Tree rules'!$C$7,"Seal cracks","Polymer laminate")),IF(O1921&lt;='Tree rules'!$C$8,IF(M1921&lt;='Tree rules'!$C$9,"Steel plate or jacket","Polymer laminate"),IF(L1921&lt;='Tree rules'!$C$10,"Steel plate or jacket","Polymer laminate")))</f>
        <v>Polymer laminate</v>
      </c>
      <c r="T1921" s="5" t="str">
        <f aca="false">IF(S1921=R1921,"Yes","No")</f>
        <v>Yes</v>
      </c>
    </row>
    <row r="1922" customFormat="false" ht="15" hidden="false" customHeight="false" outlineLevel="0" collapsed="false">
      <c r="A1922" s="15" t="n">
        <v>2740</v>
      </c>
      <c r="B1922" s="16" t="n">
        <v>3.61059544878494</v>
      </c>
      <c r="C1922" s="15" t="n">
        <v>230</v>
      </c>
      <c r="D1922" s="15" t="n">
        <v>350</v>
      </c>
      <c r="E1922" s="15" t="n">
        <v>25</v>
      </c>
      <c r="F1922" s="16" t="n">
        <v>0.64278110559382</v>
      </c>
      <c r="G1922" s="17" t="s">
        <v>89</v>
      </c>
      <c r="H1922" s="18" t="n">
        <v>0.3</v>
      </c>
      <c r="I1922" s="18" t="n">
        <v>2</v>
      </c>
      <c r="J1922" s="19" t="n">
        <v>0.91060120072002</v>
      </c>
      <c r="K1922" s="19" t="n">
        <v>0.408917692784564</v>
      </c>
      <c r="L1922" s="16" t="n">
        <v>11.7993315319769</v>
      </c>
      <c r="M1922" s="19" t="n">
        <v>0.383982946260659</v>
      </c>
      <c r="N1922" s="19" t="n">
        <v>1.01585874610768</v>
      </c>
      <c r="O1922" s="19" t="n">
        <v>1.44884145939476</v>
      </c>
      <c r="P1922" s="19" t="n">
        <v>0.837578328342249</v>
      </c>
      <c r="Q1922" s="17" t="s">
        <v>31</v>
      </c>
      <c r="R1922" s="5" t="str">
        <f aca="false">IF(OR(Q1922="Steel plate",Q1922="Concrete jacket"),"Steel plate or jacket",Q1922)</f>
        <v>Polymer laminate</v>
      </c>
      <c r="S1922" s="5" t="str">
        <f aca="false">IF(O1922&lt;='Tree rules'!$C$4,IF(N1922&lt;='Tree rules'!$C$5,IF(P1922&lt;='Tree rules'!$C$6,"Monitor","Polymer laminate"),IF(P1922&lt;='Tree rules'!$C$7,"Seal cracks","Polymer laminate")),IF(O1922&lt;='Tree rules'!$C$8,IF(M1922&lt;='Tree rules'!$C$9,"Steel plate or jacket","Polymer laminate"),IF(L1922&lt;='Tree rules'!$C$10,"Steel plate or jacket","Polymer laminate")))</f>
        <v>Steel plate or jacket</v>
      </c>
      <c r="T1922" s="5" t="str">
        <f aca="false">IF(S1922=R1922,"Yes","No")</f>
        <v>No</v>
      </c>
    </row>
    <row r="1923" customFormat="false" ht="15" hidden="false" customHeight="false" outlineLevel="0" collapsed="false">
      <c r="A1923" s="15" t="n">
        <v>2741</v>
      </c>
      <c r="B1923" s="16" t="n">
        <v>4.86977974858162</v>
      </c>
      <c r="C1923" s="15" t="n">
        <v>230</v>
      </c>
      <c r="D1923" s="15" t="n">
        <v>475</v>
      </c>
      <c r="E1923" s="15" t="n">
        <v>25</v>
      </c>
      <c r="F1923" s="16" t="n">
        <v>0.639770421258486</v>
      </c>
      <c r="G1923" s="17" t="s">
        <v>89</v>
      </c>
      <c r="H1923" s="18" t="n">
        <v>0.3</v>
      </c>
      <c r="I1923" s="18" t="n">
        <v>1</v>
      </c>
      <c r="J1923" s="19" t="n">
        <v>0.926431036568041</v>
      </c>
      <c r="K1923" s="19" t="n">
        <v>0.579388715964637</v>
      </c>
      <c r="L1923" s="16" t="n">
        <v>11.4046364135401</v>
      </c>
      <c r="M1923" s="19" t="n">
        <v>0.946319771385026</v>
      </c>
      <c r="N1923" s="19" t="n">
        <v>0.78269518370359</v>
      </c>
      <c r="O1923" s="19" t="n">
        <v>0.926431036568041</v>
      </c>
      <c r="P1923" s="19" t="n">
        <v>0.339606280019134</v>
      </c>
      <c r="Q1923" s="17" t="s">
        <v>29</v>
      </c>
      <c r="R1923" s="5" t="str">
        <f aca="false">IF(OR(Q1923="Steel plate",Q1923="Concrete jacket"),"Steel plate or jacket",Q1923)</f>
        <v>Monitor</v>
      </c>
      <c r="S1923" s="5" t="str">
        <f aca="false">IF(O1923&lt;='Tree rules'!$C$4,IF(N1923&lt;='Tree rules'!$C$5,IF(P1923&lt;='Tree rules'!$C$6,"Monitor","Polymer laminate"),IF(P1923&lt;='Tree rules'!$C$7,"Seal cracks","Polymer laminate")),IF(O1923&lt;='Tree rules'!$C$8,IF(M1923&lt;='Tree rules'!$C$9,"Steel plate or jacket","Polymer laminate"),IF(L1923&lt;='Tree rules'!$C$10,"Steel plate or jacket","Polymer laminate")))</f>
        <v>Monitor</v>
      </c>
      <c r="T1923" s="5" t="str">
        <f aca="false">IF(S1923=R1923,"Yes","No")</f>
        <v>Yes</v>
      </c>
    </row>
    <row r="1924" customFormat="false" ht="15" hidden="false" customHeight="false" outlineLevel="0" collapsed="false">
      <c r="A1924" s="15" t="n">
        <v>2744</v>
      </c>
      <c r="B1924" s="16" t="n">
        <v>5.65669408553622</v>
      </c>
      <c r="C1924" s="15" t="n">
        <v>230</v>
      </c>
      <c r="D1924" s="15" t="n">
        <v>475</v>
      </c>
      <c r="E1924" s="15" t="n">
        <v>30</v>
      </c>
      <c r="F1924" s="16" t="n">
        <v>0.639770421258486</v>
      </c>
      <c r="G1924" s="17" t="s">
        <v>89</v>
      </c>
      <c r="H1924" s="18" t="n">
        <v>0.3</v>
      </c>
      <c r="I1924" s="18" t="n">
        <v>2</v>
      </c>
      <c r="J1924" s="19" t="n">
        <v>0.91198195167648</v>
      </c>
      <c r="K1924" s="19" t="n">
        <v>0.419257252713461</v>
      </c>
      <c r="L1924" s="16" t="n">
        <v>13.2475271324033</v>
      </c>
      <c r="M1924" s="19" t="n">
        <v>0.595908332110725</v>
      </c>
      <c r="N1924" s="19" t="n">
        <v>1.38784302452562</v>
      </c>
      <c r="O1924" s="19" t="n">
        <v>1.44160885576882</v>
      </c>
      <c r="P1924" s="19" t="n">
        <v>0.637550555755067</v>
      </c>
      <c r="Q1924" s="17" t="s">
        <v>31</v>
      </c>
      <c r="R1924" s="5" t="str">
        <f aca="false">IF(OR(Q1924="Steel plate",Q1924="Concrete jacket"),"Steel plate or jacket",Q1924)</f>
        <v>Polymer laminate</v>
      </c>
      <c r="S1924" s="5" t="str">
        <f aca="false">IF(O1924&lt;='Tree rules'!$C$4,IF(N1924&lt;='Tree rules'!$C$5,IF(P1924&lt;='Tree rules'!$C$6,"Monitor","Polymer laminate"),IF(P1924&lt;='Tree rules'!$C$7,"Seal cracks","Polymer laminate")),IF(O1924&lt;='Tree rules'!$C$8,IF(M1924&lt;='Tree rules'!$C$9,"Steel plate or jacket","Polymer laminate"),IF(L1924&lt;='Tree rules'!$C$10,"Steel plate or jacket","Polymer laminate")))</f>
        <v>Polymer laminate</v>
      </c>
      <c r="T1924" s="5" t="str">
        <f aca="false">IF(S1924=R1924,"Yes","No")</f>
        <v>Yes</v>
      </c>
    </row>
    <row r="1925" customFormat="false" ht="15" hidden="false" customHeight="false" outlineLevel="0" collapsed="false">
      <c r="A1925" s="15" t="n">
        <v>2745</v>
      </c>
      <c r="B1925" s="16" t="n">
        <v>3.23403925659392</v>
      </c>
      <c r="C1925" s="15" t="n">
        <v>300</v>
      </c>
      <c r="D1925" s="15" t="n">
        <v>300</v>
      </c>
      <c r="E1925" s="15" t="n">
        <v>25</v>
      </c>
      <c r="F1925" s="16" t="n">
        <v>0.736310778185108</v>
      </c>
      <c r="G1925" s="17" t="s">
        <v>89</v>
      </c>
      <c r="H1925" s="18" t="n">
        <v>0.3</v>
      </c>
      <c r="I1925" s="18" t="n">
        <v>1</v>
      </c>
      <c r="J1925" s="19" t="n">
        <v>0.99255101527782</v>
      </c>
      <c r="K1925" s="19" t="n">
        <v>0.449432347678488</v>
      </c>
      <c r="L1925" s="16" t="n">
        <v>12.63296584607</v>
      </c>
      <c r="M1925" s="19" t="n">
        <v>0.909926185265369</v>
      </c>
      <c r="N1925" s="19" t="n">
        <v>0.636523715283874</v>
      </c>
      <c r="O1925" s="19" t="n">
        <v>0.99255101527782</v>
      </c>
      <c r="P1925" s="19" t="n">
        <v>0.361048710136168</v>
      </c>
      <c r="Q1925" s="17" t="s">
        <v>29</v>
      </c>
      <c r="R1925" s="5" t="str">
        <f aca="false">IF(OR(Q1925="Steel plate",Q1925="Concrete jacket"),"Steel plate or jacket",Q1925)</f>
        <v>Monitor</v>
      </c>
      <c r="S1925" s="5" t="str">
        <f aca="false">IF(O1925&lt;='Tree rules'!$C$4,IF(N1925&lt;='Tree rules'!$C$5,IF(P1925&lt;='Tree rules'!$C$6,"Monitor","Polymer laminate"),IF(P1925&lt;='Tree rules'!$C$7,"Seal cracks","Polymer laminate")),IF(O1925&lt;='Tree rules'!$C$8,IF(M1925&lt;='Tree rules'!$C$9,"Steel plate or jacket","Polymer laminate"),IF(L1925&lt;='Tree rules'!$C$10,"Steel plate or jacket","Polymer laminate")))</f>
        <v>Monitor</v>
      </c>
      <c r="T1925" s="5" t="str">
        <f aca="false">IF(S1925=R1925,"Yes","No")</f>
        <v>Yes</v>
      </c>
    </row>
    <row r="1926" customFormat="false" ht="15" hidden="false" customHeight="false" outlineLevel="0" collapsed="false">
      <c r="A1926" s="15" t="n">
        <v>2746</v>
      </c>
      <c r="B1926" s="16" t="n">
        <v>7.90878120293654</v>
      </c>
      <c r="C1926" s="15" t="n">
        <v>300</v>
      </c>
      <c r="D1926" s="15" t="n">
        <v>650</v>
      </c>
      <c r="E1926" s="15" t="n">
        <v>30</v>
      </c>
      <c r="F1926" s="16" t="n">
        <v>0.554806649640582</v>
      </c>
      <c r="G1926" s="17" t="s">
        <v>91</v>
      </c>
      <c r="H1926" s="18" t="n">
        <v>0.2</v>
      </c>
      <c r="I1926" s="18" t="n">
        <v>1.5</v>
      </c>
      <c r="J1926" s="19" t="n">
        <v>0.86555001274373</v>
      </c>
      <c r="K1926" s="19" t="n">
        <v>0.480352193699579</v>
      </c>
      <c r="L1926" s="16" t="n">
        <v>13.0940086141333</v>
      </c>
      <c r="M1926" s="19" t="n">
        <v>0.532367818345399</v>
      </c>
      <c r="N1926" s="19" t="n">
        <v>1.07225204371211</v>
      </c>
      <c r="O1926" s="19" t="n">
        <v>1.09044059542652</v>
      </c>
      <c r="P1926" s="19" t="n">
        <v>0.594330590052225</v>
      </c>
      <c r="Q1926" s="17" t="s">
        <v>31</v>
      </c>
      <c r="R1926" s="5" t="str">
        <f aca="false">IF(OR(Q1926="Steel plate",Q1926="Concrete jacket"),"Steel plate or jacket",Q1926)</f>
        <v>Polymer laminate</v>
      </c>
      <c r="S1926" s="5" t="str">
        <f aca="false">IF(O1926&lt;='Tree rules'!$C$4,IF(N1926&lt;='Tree rules'!$C$5,IF(P1926&lt;='Tree rules'!$C$6,"Monitor","Polymer laminate"),IF(P1926&lt;='Tree rules'!$C$7,"Seal cracks","Polymer laminate")),IF(O1926&lt;='Tree rules'!$C$8,IF(M1926&lt;='Tree rules'!$C$9,"Steel plate or jacket","Polymer laminate"),IF(L1926&lt;='Tree rules'!$C$10,"Steel plate or jacket","Polymer laminate")))</f>
        <v>Polymer laminate</v>
      </c>
      <c r="T1926" s="5" t="str">
        <f aca="false">IF(S1926=R1926,"Yes","No")</f>
        <v>Yes</v>
      </c>
    </row>
    <row r="1927" customFormat="false" ht="15" hidden="false" customHeight="false" outlineLevel="0" collapsed="false">
      <c r="A1927" s="15" t="n">
        <v>2747</v>
      </c>
      <c r="B1927" s="16" t="n">
        <v>3.64436950899482</v>
      </c>
      <c r="C1927" s="15" t="n">
        <v>300</v>
      </c>
      <c r="D1927" s="15" t="n">
        <v>300</v>
      </c>
      <c r="E1927" s="15" t="n">
        <v>25</v>
      </c>
      <c r="F1927" s="16" t="n">
        <v>0.791582400904515</v>
      </c>
      <c r="G1927" s="17" t="s">
        <v>89</v>
      </c>
      <c r="H1927" s="18" t="n">
        <v>0.3</v>
      </c>
      <c r="I1927" s="18" t="n">
        <v>1</v>
      </c>
      <c r="J1927" s="19" t="n">
        <v>0.892411767591952</v>
      </c>
      <c r="K1927" s="19" t="n">
        <v>0.422165524698531</v>
      </c>
      <c r="L1927" s="16" t="n">
        <v>14.3479114527355</v>
      </c>
      <c r="M1927" s="19" t="n">
        <v>0.293000650313767</v>
      </c>
      <c r="N1927" s="19" t="n">
        <v>0.788591837334175</v>
      </c>
      <c r="O1927" s="19" t="n">
        <v>0.892411767591952</v>
      </c>
      <c r="P1927" s="19" t="n">
        <v>1.06928469127562</v>
      </c>
      <c r="Q1927" s="17" t="s">
        <v>31</v>
      </c>
      <c r="R1927" s="5" t="str">
        <f aca="false">IF(OR(Q1927="Steel plate",Q1927="Concrete jacket"),"Steel plate or jacket",Q1927)</f>
        <v>Polymer laminate</v>
      </c>
      <c r="S1927" s="5" t="str">
        <f aca="false">IF(O1927&lt;='Tree rules'!$C$4,IF(N1927&lt;='Tree rules'!$C$5,IF(P1927&lt;='Tree rules'!$C$6,"Monitor","Polymer laminate"),IF(P1927&lt;='Tree rules'!$C$7,"Seal cracks","Polymer laminate")),IF(O1927&lt;='Tree rules'!$C$8,IF(M1927&lt;='Tree rules'!$C$9,"Steel plate or jacket","Polymer laminate"),IF(L1927&lt;='Tree rules'!$C$10,"Steel plate or jacket","Polymer laminate")))</f>
        <v>Polymer laminate</v>
      </c>
      <c r="T1927" s="5" t="str">
        <f aca="false">IF(S1927=R1927,"Yes","No")</f>
        <v>Yes</v>
      </c>
    </row>
    <row r="1928" customFormat="false" ht="15" hidden="false" customHeight="false" outlineLevel="0" collapsed="false">
      <c r="A1928" s="15" t="n">
        <v>2749</v>
      </c>
      <c r="B1928" s="16" t="n">
        <v>4.8714762563525</v>
      </c>
      <c r="C1928" s="15" t="n">
        <v>300</v>
      </c>
      <c r="D1928" s="15" t="n">
        <v>475</v>
      </c>
      <c r="E1928" s="15" t="n">
        <v>25</v>
      </c>
      <c r="F1928" s="16" t="n">
        <v>0.735735984447258</v>
      </c>
      <c r="G1928" s="17" t="s">
        <v>89</v>
      </c>
      <c r="H1928" s="18" t="n">
        <v>0.3</v>
      </c>
      <c r="I1928" s="18" t="n">
        <v>1.5</v>
      </c>
      <c r="J1928" s="19" t="n">
        <v>0.94882707218958</v>
      </c>
      <c r="K1928" s="19" t="n">
        <v>0.462399005410031</v>
      </c>
      <c r="L1928" s="16" t="n">
        <v>11.4086094996546</v>
      </c>
      <c r="M1928" s="19" t="n">
        <v>0.937631209269943</v>
      </c>
      <c r="N1928" s="19" t="n">
        <v>0.938847633194711</v>
      </c>
      <c r="O1928" s="19" t="n">
        <v>1.20387226104108</v>
      </c>
      <c r="P1928" s="19" t="n">
        <v>0.408815684286527</v>
      </c>
      <c r="Q1928" s="17" t="s">
        <v>31</v>
      </c>
      <c r="R1928" s="5" t="str">
        <f aca="false">IF(OR(Q1928="Steel plate",Q1928="Concrete jacket"),"Steel plate or jacket",Q1928)</f>
        <v>Polymer laminate</v>
      </c>
      <c r="S1928" s="5" t="str">
        <f aca="false">IF(O1928&lt;='Tree rules'!$C$4,IF(N1928&lt;='Tree rules'!$C$5,IF(P1928&lt;='Tree rules'!$C$6,"Monitor","Polymer laminate"),IF(P1928&lt;='Tree rules'!$C$7,"Seal cracks","Polymer laminate")),IF(O1928&lt;='Tree rules'!$C$8,IF(M1928&lt;='Tree rules'!$C$9,"Steel plate or jacket","Polymer laminate"),IF(L1928&lt;='Tree rules'!$C$10,"Steel plate or jacket","Polymer laminate")))</f>
        <v>Polymer laminate</v>
      </c>
      <c r="T1928" s="5" t="str">
        <f aca="false">IF(S1928=R1928,"Yes","No")</f>
        <v>Yes</v>
      </c>
    </row>
    <row r="1929" customFormat="false" ht="15" hidden="false" customHeight="false" outlineLevel="0" collapsed="false">
      <c r="A1929" s="15" t="n">
        <v>2750</v>
      </c>
      <c r="B1929" s="16" t="n">
        <v>3.56751954131433</v>
      </c>
      <c r="C1929" s="15" t="n">
        <v>230</v>
      </c>
      <c r="D1929" s="15" t="n">
        <v>350</v>
      </c>
      <c r="E1929" s="15" t="n">
        <v>25</v>
      </c>
      <c r="F1929" s="16" t="n">
        <v>0.64278110559382</v>
      </c>
      <c r="G1929" s="17" t="s">
        <v>91</v>
      </c>
      <c r="H1929" s="18" t="n">
        <v>0.2</v>
      </c>
      <c r="I1929" s="18" t="n">
        <v>1.5</v>
      </c>
      <c r="J1929" s="19" t="n">
        <v>0.871772833910109</v>
      </c>
      <c r="K1929" s="19" t="n">
        <v>0.434748250079299</v>
      </c>
      <c r="L1929" s="16" t="n">
        <v>11.6585605925305</v>
      </c>
      <c r="M1929" s="19" t="n">
        <v>0.949426788195107</v>
      </c>
      <c r="N1929" s="19" t="n">
        <v>1.03428911303391</v>
      </c>
      <c r="O1929" s="19" t="n">
        <v>1.11815839386062</v>
      </c>
      <c r="P1929" s="19" t="n">
        <v>0.306036870443546</v>
      </c>
      <c r="Q1929" s="17" t="s">
        <v>31</v>
      </c>
      <c r="R1929" s="5" t="str">
        <f aca="false">IF(OR(Q1929="Steel plate",Q1929="Concrete jacket"),"Steel plate or jacket",Q1929)</f>
        <v>Polymer laminate</v>
      </c>
      <c r="S1929" s="5" t="str">
        <f aca="false">IF(O1929&lt;='Tree rules'!$C$4,IF(N1929&lt;='Tree rules'!$C$5,IF(P1929&lt;='Tree rules'!$C$6,"Monitor","Polymer laminate"),IF(P1929&lt;='Tree rules'!$C$7,"Seal cracks","Polymer laminate")),IF(O1929&lt;='Tree rules'!$C$8,IF(M1929&lt;='Tree rules'!$C$9,"Steel plate or jacket","Polymer laminate"),IF(L1929&lt;='Tree rules'!$C$10,"Steel plate or jacket","Polymer laminate")))</f>
        <v>Polymer laminate</v>
      </c>
      <c r="T1929" s="5" t="str">
        <f aca="false">IF(S1929=R1929,"Yes","No")</f>
        <v>Yes</v>
      </c>
    </row>
    <row r="1930" customFormat="false" ht="15" hidden="false" customHeight="false" outlineLevel="0" collapsed="false">
      <c r="A1930" s="15" t="n">
        <v>2751</v>
      </c>
      <c r="B1930" s="16" t="n">
        <v>3.37212790141372</v>
      </c>
      <c r="C1930" s="15" t="n">
        <v>300</v>
      </c>
      <c r="D1930" s="15" t="n">
        <v>325</v>
      </c>
      <c r="E1930" s="15" t="n">
        <v>25</v>
      </c>
      <c r="F1930" s="16" t="n">
        <v>0.799387443661525</v>
      </c>
      <c r="G1930" s="17" t="s">
        <v>90</v>
      </c>
      <c r="H1930" s="18" t="n">
        <v>0.1</v>
      </c>
      <c r="I1930" s="18" t="n">
        <v>1</v>
      </c>
      <c r="J1930" s="19" t="n">
        <v>0.980578301375005</v>
      </c>
      <c r="K1930" s="19" t="n">
        <v>0.562726755630233</v>
      </c>
      <c r="L1930" s="16" t="n">
        <v>12.8707171809684</v>
      </c>
      <c r="M1930" s="19" t="n">
        <v>0.651393611145608</v>
      </c>
      <c r="N1930" s="19" t="n">
        <v>3.55843464984419</v>
      </c>
      <c r="O1930" s="19" t="n">
        <v>0.980578301375005</v>
      </c>
      <c r="P1930" s="19" t="n">
        <v>0.493817832847181</v>
      </c>
      <c r="Q1930" s="17" t="s">
        <v>30</v>
      </c>
      <c r="R1930" s="5" t="str">
        <f aca="false">IF(OR(Q1930="Steel plate",Q1930="Concrete jacket"),"Steel plate or jacket",Q1930)</f>
        <v>Seal cracks</v>
      </c>
      <c r="S1930" s="5" t="str">
        <f aca="false">IF(O1930&lt;='Tree rules'!$C$4,IF(N1930&lt;='Tree rules'!$C$5,IF(P1930&lt;='Tree rules'!$C$6,"Monitor","Polymer laminate"),IF(P1930&lt;='Tree rules'!$C$7,"Seal cracks","Polymer laminate")),IF(O1930&lt;='Tree rules'!$C$8,IF(M1930&lt;='Tree rules'!$C$9,"Steel plate or jacket","Polymer laminate"),IF(L1930&lt;='Tree rules'!$C$10,"Steel plate or jacket","Polymer laminate")))</f>
        <v>Seal cracks</v>
      </c>
      <c r="T1930" s="5" t="str">
        <f aca="false">IF(S1930=R1930,"Yes","No")</f>
        <v>Yes</v>
      </c>
    </row>
    <row r="1931" customFormat="false" ht="15" hidden="false" customHeight="false" outlineLevel="0" collapsed="false">
      <c r="A1931" s="15" t="n">
        <v>2752</v>
      </c>
      <c r="B1931" s="16" t="n">
        <v>5.97350329463845</v>
      </c>
      <c r="C1931" s="15" t="n">
        <v>300</v>
      </c>
      <c r="D1931" s="15" t="n">
        <v>475</v>
      </c>
      <c r="E1931" s="15" t="n">
        <v>25</v>
      </c>
      <c r="F1931" s="16" t="n">
        <v>0.624901102811956</v>
      </c>
      <c r="G1931" s="17" t="s">
        <v>89</v>
      </c>
      <c r="H1931" s="18" t="n">
        <v>0.3</v>
      </c>
      <c r="I1931" s="18" t="n">
        <v>1</v>
      </c>
      <c r="J1931" s="19" t="n">
        <v>0.857281101090007</v>
      </c>
      <c r="K1931" s="19" t="n">
        <v>0.522276569740973</v>
      </c>
      <c r="L1931" s="16" t="n">
        <v>13.9242501040523</v>
      </c>
      <c r="M1931" s="19" t="n">
        <v>0.668394204726643</v>
      </c>
      <c r="N1931" s="19" t="n">
        <v>0.585680900648091</v>
      </c>
      <c r="O1931" s="19" t="n">
        <v>0.857281101090007</v>
      </c>
      <c r="P1931" s="19" t="n">
        <v>0.504593090454858</v>
      </c>
      <c r="Q1931" s="17" t="s">
        <v>29</v>
      </c>
      <c r="R1931" s="5" t="str">
        <f aca="false">IF(OR(Q1931="Steel plate",Q1931="Concrete jacket"),"Steel plate or jacket",Q1931)</f>
        <v>Monitor</v>
      </c>
      <c r="S1931" s="5" t="str">
        <f aca="false">IF(O1931&lt;='Tree rules'!$C$4,IF(N1931&lt;='Tree rules'!$C$5,IF(P1931&lt;='Tree rules'!$C$6,"Monitor","Polymer laminate"),IF(P1931&lt;='Tree rules'!$C$7,"Seal cracks","Polymer laminate")),IF(O1931&lt;='Tree rules'!$C$8,IF(M1931&lt;='Tree rules'!$C$9,"Steel plate or jacket","Polymer laminate"),IF(L1931&lt;='Tree rules'!$C$10,"Steel plate or jacket","Polymer laminate")))</f>
        <v>Monitor</v>
      </c>
      <c r="T1931" s="5" t="str">
        <f aca="false">IF(S1931=R1931,"Yes","No")</f>
        <v>Yes</v>
      </c>
    </row>
    <row r="1932" customFormat="false" ht="15" hidden="false" customHeight="false" outlineLevel="0" collapsed="false">
      <c r="A1932" s="15" t="n">
        <v>2753</v>
      </c>
      <c r="B1932" s="16" t="n">
        <v>4.89679502415652</v>
      </c>
      <c r="C1932" s="15" t="n">
        <v>230</v>
      </c>
      <c r="D1932" s="15" t="n">
        <v>475</v>
      </c>
      <c r="E1932" s="15" t="n">
        <v>25</v>
      </c>
      <c r="F1932" s="16" t="n">
        <v>0.639770421258486</v>
      </c>
      <c r="G1932" s="17" t="s">
        <v>91</v>
      </c>
      <c r="H1932" s="18" t="n">
        <v>0.2</v>
      </c>
      <c r="I1932" s="18" t="n">
        <v>2</v>
      </c>
      <c r="J1932" s="19" t="n">
        <v>0.860552944210589</v>
      </c>
      <c r="K1932" s="19" t="n">
        <v>0.63222813476538</v>
      </c>
      <c r="L1932" s="16" t="n">
        <v>11.4679040378373</v>
      </c>
      <c r="M1932" s="19" t="n">
        <v>0.313823831747441</v>
      </c>
      <c r="N1932" s="19" t="n">
        <v>1.76042568461482</v>
      </c>
      <c r="O1932" s="19" t="n">
        <v>1.17704010563606</v>
      </c>
      <c r="P1932" s="19" t="n">
        <v>1.07841130604598</v>
      </c>
      <c r="Q1932" s="17" t="s">
        <v>31</v>
      </c>
      <c r="R1932" s="5" t="str">
        <f aca="false">IF(OR(Q1932="Steel plate",Q1932="Concrete jacket"),"Steel plate or jacket",Q1932)</f>
        <v>Polymer laminate</v>
      </c>
      <c r="S1932" s="5" t="str">
        <f aca="false">IF(O1932&lt;='Tree rules'!$C$4,IF(N1932&lt;='Tree rules'!$C$5,IF(P1932&lt;='Tree rules'!$C$6,"Monitor","Polymer laminate"),IF(P1932&lt;='Tree rules'!$C$7,"Seal cracks","Polymer laminate")),IF(O1932&lt;='Tree rules'!$C$8,IF(M1932&lt;='Tree rules'!$C$9,"Steel plate or jacket","Polymer laminate"),IF(L1932&lt;='Tree rules'!$C$10,"Steel plate or jacket","Polymer laminate")))</f>
        <v>Polymer laminate</v>
      </c>
      <c r="T1932" s="5" t="str">
        <f aca="false">IF(S1932=R1932,"Yes","No")</f>
        <v>Yes</v>
      </c>
    </row>
    <row r="1933" customFormat="false" ht="15" hidden="false" customHeight="false" outlineLevel="0" collapsed="false">
      <c r="A1933" s="15" t="n">
        <v>2754</v>
      </c>
      <c r="B1933" s="16" t="n">
        <v>5.41914524962045</v>
      </c>
      <c r="C1933" s="15" t="n">
        <v>300</v>
      </c>
      <c r="D1933" s="15" t="n">
        <v>475</v>
      </c>
      <c r="E1933" s="15" t="n">
        <v>25</v>
      </c>
      <c r="F1933" s="16" t="n">
        <v>0.624901102811956</v>
      </c>
      <c r="G1933" s="17" t="s">
        <v>91</v>
      </c>
      <c r="H1933" s="18" t="n">
        <v>0.2</v>
      </c>
      <c r="I1933" s="18" t="n">
        <v>1</v>
      </c>
      <c r="J1933" s="19" t="n">
        <v>0.944413777388928</v>
      </c>
      <c r="K1933" s="19" t="n">
        <v>0.505085812174171</v>
      </c>
      <c r="L1933" s="16" t="n">
        <v>12.6320402089055</v>
      </c>
      <c r="M1933" s="19" t="n">
        <v>0.656655047437167</v>
      </c>
      <c r="N1933" s="19" t="n">
        <v>0.981328178604906</v>
      </c>
      <c r="O1933" s="19" t="n">
        <v>0.944413777388928</v>
      </c>
      <c r="P1933" s="19" t="n">
        <v>0.500495356068229</v>
      </c>
      <c r="Q1933" s="17" t="s">
        <v>29</v>
      </c>
      <c r="R1933" s="5" t="str">
        <f aca="false">IF(OR(Q1933="Steel plate",Q1933="Concrete jacket"),"Steel plate or jacket",Q1933)</f>
        <v>Monitor</v>
      </c>
      <c r="S1933" s="5" t="str">
        <f aca="false">IF(O1933&lt;='Tree rules'!$C$4,IF(N1933&lt;='Tree rules'!$C$5,IF(P1933&lt;='Tree rules'!$C$6,"Monitor","Polymer laminate"),IF(P1933&lt;='Tree rules'!$C$7,"Seal cracks","Polymer laminate")),IF(O1933&lt;='Tree rules'!$C$8,IF(M1933&lt;='Tree rules'!$C$9,"Steel plate or jacket","Polymer laminate"),IF(L1933&lt;='Tree rules'!$C$10,"Steel plate or jacket","Polymer laminate")))</f>
        <v>Monitor</v>
      </c>
      <c r="T1933" s="5" t="str">
        <f aca="false">IF(S1933=R1933,"Yes","No")</f>
        <v>Yes</v>
      </c>
    </row>
    <row r="1934" customFormat="false" ht="15" hidden="false" customHeight="false" outlineLevel="0" collapsed="false">
      <c r="A1934" s="15" t="n">
        <v>2756</v>
      </c>
      <c r="B1934" s="16" t="n">
        <v>3.50198481736509</v>
      </c>
      <c r="C1934" s="15" t="n">
        <v>230</v>
      </c>
      <c r="D1934" s="15" t="n">
        <v>350</v>
      </c>
      <c r="E1934" s="15" t="n">
        <v>20</v>
      </c>
      <c r="F1934" s="16" t="n">
        <v>0.64278110559382</v>
      </c>
      <c r="G1934" s="17" t="s">
        <v>91</v>
      </c>
      <c r="H1934" s="18" t="n">
        <v>0.2</v>
      </c>
      <c r="I1934" s="18" t="n">
        <v>1.5</v>
      </c>
      <c r="J1934" s="19" t="n">
        <v>0.870826643179326</v>
      </c>
      <c r="K1934" s="19" t="n">
        <v>0.402789190162595</v>
      </c>
      <c r="L1934" s="16" t="n">
        <v>11.4443948279905</v>
      </c>
      <c r="M1934" s="19" t="n">
        <v>0.896166204977851</v>
      </c>
      <c r="N1934" s="19" t="n">
        <v>1.05135833327964</v>
      </c>
      <c r="O1934" s="19" t="n">
        <v>1.13086018557988</v>
      </c>
      <c r="P1934" s="19" t="n">
        <v>0.33521457937804</v>
      </c>
      <c r="Q1934" s="17" t="s">
        <v>31</v>
      </c>
      <c r="R1934" s="5" t="str">
        <f aca="false">IF(OR(Q1934="Steel plate",Q1934="Concrete jacket"),"Steel plate or jacket",Q1934)</f>
        <v>Polymer laminate</v>
      </c>
      <c r="S1934" s="5" t="str">
        <f aca="false">IF(O1934&lt;='Tree rules'!$C$4,IF(N1934&lt;='Tree rules'!$C$5,IF(P1934&lt;='Tree rules'!$C$6,"Monitor","Polymer laminate"),IF(P1934&lt;='Tree rules'!$C$7,"Seal cracks","Polymer laminate")),IF(O1934&lt;='Tree rules'!$C$8,IF(M1934&lt;='Tree rules'!$C$9,"Steel plate or jacket","Polymer laminate"),IF(L1934&lt;='Tree rules'!$C$10,"Steel plate or jacket","Polymer laminate")))</f>
        <v>Polymer laminate</v>
      </c>
      <c r="T1934" s="5" t="str">
        <f aca="false">IF(S1934=R1934,"Yes","No")</f>
        <v>Yes</v>
      </c>
    </row>
    <row r="1935" customFormat="false" ht="15" hidden="false" customHeight="false" outlineLevel="0" collapsed="false">
      <c r="A1935" s="15" t="n">
        <v>2757</v>
      </c>
      <c r="B1935" s="16" t="n">
        <v>5.19875601289645</v>
      </c>
      <c r="C1935" s="15" t="n">
        <v>300</v>
      </c>
      <c r="D1935" s="15" t="n">
        <v>450</v>
      </c>
      <c r="E1935" s="15" t="n">
        <v>30</v>
      </c>
      <c r="F1935" s="16" t="n">
        <v>0.781490709848207</v>
      </c>
      <c r="G1935" s="17" t="s">
        <v>91</v>
      </c>
      <c r="H1935" s="18" t="n">
        <v>0.2</v>
      </c>
      <c r="I1935" s="18" t="n">
        <v>2</v>
      </c>
      <c r="J1935" s="19" t="n">
        <v>0.881032932353211</v>
      </c>
      <c r="K1935" s="19" t="n">
        <v>0.410503910981973</v>
      </c>
      <c r="L1935" s="16" t="n">
        <v>12.9322288878021</v>
      </c>
      <c r="M1935" s="19" t="n">
        <v>0.48754255975395</v>
      </c>
      <c r="N1935" s="19" t="n">
        <v>1.80451747200479</v>
      </c>
      <c r="O1935" s="19" t="n">
        <v>1.40039840027151</v>
      </c>
      <c r="P1935" s="19" t="n">
        <v>0.845621990256971</v>
      </c>
      <c r="Q1935" s="17" t="s">
        <v>31</v>
      </c>
      <c r="R1935" s="5" t="str">
        <f aca="false">IF(OR(Q1935="Steel plate",Q1935="Concrete jacket"),"Steel plate or jacket",Q1935)</f>
        <v>Polymer laminate</v>
      </c>
      <c r="S1935" s="5" t="str">
        <f aca="false">IF(O1935&lt;='Tree rules'!$C$4,IF(N1935&lt;='Tree rules'!$C$5,IF(P1935&lt;='Tree rules'!$C$6,"Monitor","Polymer laminate"),IF(P1935&lt;='Tree rules'!$C$7,"Seal cracks","Polymer laminate")),IF(O1935&lt;='Tree rules'!$C$8,IF(M1935&lt;='Tree rules'!$C$9,"Steel plate or jacket","Polymer laminate"),IF(L1935&lt;='Tree rules'!$C$10,"Steel plate or jacket","Polymer laminate")))</f>
        <v>Steel plate or jacket</v>
      </c>
      <c r="T1935" s="5" t="str">
        <f aca="false">IF(S1935=R1935,"Yes","No")</f>
        <v>No</v>
      </c>
    </row>
    <row r="1936" customFormat="false" ht="15" hidden="false" customHeight="false" outlineLevel="0" collapsed="false">
      <c r="A1936" s="15" t="n">
        <v>2759</v>
      </c>
      <c r="B1936" s="16" t="n">
        <v>4.11052210988022</v>
      </c>
      <c r="C1936" s="15" t="n">
        <v>230</v>
      </c>
      <c r="D1936" s="15" t="n">
        <v>400</v>
      </c>
      <c r="E1936" s="15" t="n">
        <v>25</v>
      </c>
      <c r="F1936" s="16" t="n">
        <v>0.552502860426148</v>
      </c>
      <c r="G1936" s="17" t="s">
        <v>91</v>
      </c>
      <c r="H1936" s="18" t="n">
        <v>0.2</v>
      </c>
      <c r="I1936" s="18" t="n">
        <v>2</v>
      </c>
      <c r="J1936" s="19" t="n">
        <v>0.916993639125077</v>
      </c>
      <c r="K1936" s="19" t="n">
        <v>0.589195653825856</v>
      </c>
      <c r="L1936" s="16" t="n">
        <v>11.5464104210119</v>
      </c>
      <c r="M1936" s="19" t="n">
        <v>0.33740804623491</v>
      </c>
      <c r="N1936" s="19" t="n">
        <v>1.34695783172154</v>
      </c>
      <c r="O1936" s="19" t="n">
        <v>1.2936986114917</v>
      </c>
      <c r="P1936" s="19" t="n">
        <v>0.905673434424898</v>
      </c>
      <c r="Q1936" s="17" t="s">
        <v>31</v>
      </c>
      <c r="R1936" s="5" t="str">
        <f aca="false">IF(OR(Q1936="Steel plate",Q1936="Concrete jacket"),"Steel plate or jacket",Q1936)</f>
        <v>Polymer laminate</v>
      </c>
      <c r="S1936" s="5" t="str">
        <f aca="false">IF(O1936&lt;='Tree rules'!$C$4,IF(N1936&lt;='Tree rules'!$C$5,IF(P1936&lt;='Tree rules'!$C$6,"Monitor","Polymer laminate"),IF(P1936&lt;='Tree rules'!$C$7,"Seal cracks","Polymer laminate")),IF(O1936&lt;='Tree rules'!$C$8,IF(M1936&lt;='Tree rules'!$C$9,"Steel plate or jacket","Polymer laminate"),IF(L1936&lt;='Tree rules'!$C$10,"Steel plate or jacket","Polymer laminate")))</f>
        <v>Polymer laminate</v>
      </c>
      <c r="T1936" s="5" t="str">
        <f aca="false">IF(S1936=R1936,"Yes","No")</f>
        <v>Yes</v>
      </c>
    </row>
    <row r="1937" customFormat="false" ht="15" hidden="false" customHeight="false" outlineLevel="0" collapsed="false">
      <c r="A1937" s="15" t="n">
        <v>2761</v>
      </c>
      <c r="B1937" s="16" t="n">
        <v>4.53437688735498</v>
      </c>
      <c r="C1937" s="15" t="n">
        <v>300</v>
      </c>
      <c r="D1937" s="15" t="n">
        <v>450</v>
      </c>
      <c r="E1937" s="15" t="n">
        <v>30</v>
      </c>
      <c r="F1937" s="16" t="n">
        <v>0.663570725510715</v>
      </c>
      <c r="G1937" s="17" t="s">
        <v>89</v>
      </c>
      <c r="H1937" s="18" t="n">
        <v>0.3</v>
      </c>
      <c r="I1937" s="18" t="n">
        <v>2</v>
      </c>
      <c r="J1937" s="19" t="n">
        <v>0.873472215674015</v>
      </c>
      <c r="K1937" s="19" t="n">
        <v>0.644052267749168</v>
      </c>
      <c r="L1937" s="16" t="n">
        <v>11.2237051667203</v>
      </c>
      <c r="M1937" s="19" t="n">
        <v>0.825386752407691</v>
      </c>
      <c r="N1937" s="19" t="n">
        <v>0.822504986330302</v>
      </c>
      <c r="O1937" s="19" t="n">
        <v>1.18438267002729</v>
      </c>
      <c r="P1937" s="19" t="n">
        <v>0.420617433299197</v>
      </c>
      <c r="Q1937" s="17" t="s">
        <v>31</v>
      </c>
      <c r="R1937" s="5" t="str">
        <f aca="false">IF(OR(Q1937="Steel plate",Q1937="Concrete jacket"),"Steel plate or jacket",Q1937)</f>
        <v>Polymer laminate</v>
      </c>
      <c r="S1937" s="5" t="str">
        <f aca="false">IF(O1937&lt;='Tree rules'!$C$4,IF(N1937&lt;='Tree rules'!$C$5,IF(P1937&lt;='Tree rules'!$C$6,"Monitor","Polymer laminate"),IF(P1937&lt;='Tree rules'!$C$7,"Seal cracks","Polymer laminate")),IF(O1937&lt;='Tree rules'!$C$8,IF(M1937&lt;='Tree rules'!$C$9,"Steel plate or jacket","Polymer laminate"),IF(L1937&lt;='Tree rules'!$C$10,"Steel plate or jacket","Polymer laminate")))</f>
        <v>Polymer laminate</v>
      </c>
      <c r="T1937" s="5" t="str">
        <f aca="false">IF(S1937=R1937,"Yes","No")</f>
        <v>Yes</v>
      </c>
    </row>
    <row r="1938" customFormat="false" ht="15" hidden="false" customHeight="false" outlineLevel="0" collapsed="false">
      <c r="A1938" s="15" t="n">
        <v>2762</v>
      </c>
      <c r="B1938" s="16" t="n">
        <v>6.2651503714487</v>
      </c>
      <c r="C1938" s="15" t="n">
        <v>300</v>
      </c>
      <c r="D1938" s="15" t="n">
        <v>600</v>
      </c>
      <c r="E1938" s="15" t="n">
        <v>30</v>
      </c>
      <c r="F1938" s="16" t="n">
        <v>0.780035419885734</v>
      </c>
      <c r="G1938" s="17" t="s">
        <v>90</v>
      </c>
      <c r="H1938" s="18" t="n">
        <v>0.1</v>
      </c>
      <c r="I1938" s="18" t="n">
        <v>1</v>
      </c>
      <c r="J1938" s="19" t="n">
        <v>0.989894087603801</v>
      </c>
      <c r="K1938" s="19" t="n">
        <v>0.526767778545116</v>
      </c>
      <c r="L1938" s="16" t="n">
        <v>11.6669466879864</v>
      </c>
      <c r="M1938" s="19" t="n">
        <v>0.523361918253033</v>
      </c>
      <c r="N1938" s="19" t="n">
        <v>2.70403500019235</v>
      </c>
      <c r="O1938" s="19" t="n">
        <v>0.989894087603801</v>
      </c>
      <c r="P1938" s="19" t="n">
        <v>0.666154987016196</v>
      </c>
      <c r="Q1938" s="17" t="s">
        <v>30</v>
      </c>
      <c r="R1938" s="5" t="str">
        <f aca="false">IF(OR(Q1938="Steel plate",Q1938="Concrete jacket"),"Steel plate or jacket",Q1938)</f>
        <v>Seal cracks</v>
      </c>
      <c r="S1938" s="5" t="str">
        <f aca="false">IF(O1938&lt;='Tree rules'!$C$4,IF(N1938&lt;='Tree rules'!$C$5,IF(P1938&lt;='Tree rules'!$C$6,"Monitor","Polymer laminate"),IF(P1938&lt;='Tree rules'!$C$7,"Seal cracks","Polymer laminate")),IF(O1938&lt;='Tree rules'!$C$8,IF(M1938&lt;='Tree rules'!$C$9,"Steel plate or jacket","Polymer laminate"),IF(L1938&lt;='Tree rules'!$C$10,"Steel plate or jacket","Polymer laminate")))</f>
        <v>Seal cracks</v>
      </c>
      <c r="T1938" s="5" t="str">
        <f aca="false">IF(S1938=R1938,"Yes","No")</f>
        <v>Yes</v>
      </c>
    </row>
    <row r="1939" customFormat="false" ht="15" hidden="false" customHeight="false" outlineLevel="0" collapsed="false">
      <c r="A1939" s="15" t="n">
        <v>2765</v>
      </c>
      <c r="B1939" s="16" t="n">
        <v>4.1235917176419</v>
      </c>
      <c r="C1939" s="15" t="n">
        <v>300</v>
      </c>
      <c r="D1939" s="15" t="n">
        <v>375</v>
      </c>
      <c r="E1939" s="15" t="n">
        <v>20</v>
      </c>
      <c r="F1939" s="16" t="n">
        <v>0.640487798897002</v>
      </c>
      <c r="G1939" s="17" t="s">
        <v>89</v>
      </c>
      <c r="H1939" s="18" t="n">
        <v>0.3</v>
      </c>
      <c r="I1939" s="18" t="n">
        <v>1.5</v>
      </c>
      <c r="J1939" s="19" t="n">
        <v>0.898471990179599</v>
      </c>
      <c r="K1939" s="19" t="n">
        <v>0.401260827358432</v>
      </c>
      <c r="L1939" s="16" t="n">
        <v>12.6103722252046</v>
      </c>
      <c r="M1939" s="19" t="n">
        <v>0.463959473059734</v>
      </c>
      <c r="N1939" s="19" t="n">
        <v>1.33368871919484</v>
      </c>
      <c r="O1939" s="19" t="n">
        <v>1.16744717820048</v>
      </c>
      <c r="P1939" s="19" t="n">
        <v>0.697838431094533</v>
      </c>
      <c r="Q1939" s="17" t="s">
        <v>31</v>
      </c>
      <c r="R1939" s="5" t="str">
        <f aca="false">IF(OR(Q1939="Steel plate",Q1939="Concrete jacket"),"Steel plate or jacket",Q1939)</f>
        <v>Polymer laminate</v>
      </c>
      <c r="S1939" s="5" t="str">
        <f aca="false">IF(O1939&lt;='Tree rules'!$C$4,IF(N1939&lt;='Tree rules'!$C$5,IF(P1939&lt;='Tree rules'!$C$6,"Monitor","Polymer laminate"),IF(P1939&lt;='Tree rules'!$C$7,"Seal cracks","Polymer laminate")),IF(O1939&lt;='Tree rules'!$C$8,IF(M1939&lt;='Tree rules'!$C$9,"Steel plate or jacket","Polymer laminate"),IF(L1939&lt;='Tree rules'!$C$10,"Steel plate or jacket","Polymer laminate")))</f>
        <v>Polymer laminate</v>
      </c>
      <c r="T1939" s="5" t="str">
        <f aca="false">IF(S1939=R1939,"Yes","No")</f>
        <v>Yes</v>
      </c>
    </row>
    <row r="1940" customFormat="false" ht="15" hidden="false" customHeight="false" outlineLevel="0" collapsed="false">
      <c r="A1940" s="15" t="n">
        <v>2766</v>
      </c>
      <c r="B1940" s="16" t="n">
        <v>4.10738389011515</v>
      </c>
      <c r="C1940" s="15" t="n">
        <v>300</v>
      </c>
      <c r="D1940" s="15" t="n">
        <v>400</v>
      </c>
      <c r="E1940" s="15" t="n">
        <v>20</v>
      </c>
      <c r="F1940" s="16" t="n">
        <v>0.757295404255167</v>
      </c>
      <c r="G1940" s="17" t="s">
        <v>89</v>
      </c>
      <c r="H1940" s="18" t="n">
        <v>0.3</v>
      </c>
      <c r="I1940" s="18" t="n">
        <v>1.5</v>
      </c>
      <c r="J1940" s="19" t="n">
        <v>0.887390344535673</v>
      </c>
      <c r="K1940" s="19" t="n">
        <v>0.607541527609327</v>
      </c>
      <c r="L1940" s="16" t="n">
        <v>11.6027793506078</v>
      </c>
      <c r="M1940" s="19" t="n">
        <v>0.883104440527424</v>
      </c>
      <c r="N1940" s="19" t="n">
        <v>0.709942200250599</v>
      </c>
      <c r="O1940" s="19" t="n">
        <v>1.06152227405103</v>
      </c>
      <c r="P1940" s="19" t="n">
        <v>0.461700246521375</v>
      </c>
      <c r="Q1940" s="17" t="s">
        <v>31</v>
      </c>
      <c r="R1940" s="5" t="str">
        <f aca="false">IF(OR(Q1940="Steel plate",Q1940="Concrete jacket"),"Steel plate or jacket",Q1940)</f>
        <v>Polymer laminate</v>
      </c>
      <c r="S1940" s="5" t="str">
        <f aca="false">IF(O1940&lt;='Tree rules'!$C$4,IF(N1940&lt;='Tree rules'!$C$5,IF(P1940&lt;='Tree rules'!$C$6,"Monitor","Polymer laminate"),IF(P1940&lt;='Tree rules'!$C$7,"Seal cracks","Polymer laminate")),IF(O1940&lt;='Tree rules'!$C$8,IF(M1940&lt;='Tree rules'!$C$9,"Steel plate or jacket","Polymer laminate"),IF(L1940&lt;='Tree rules'!$C$10,"Steel plate or jacket","Polymer laminate")))</f>
        <v>Polymer laminate</v>
      </c>
      <c r="T1940" s="5" t="str">
        <f aca="false">IF(S1940=R1940,"Yes","No")</f>
        <v>Yes</v>
      </c>
    </row>
    <row r="1941" customFormat="false" ht="15" hidden="false" customHeight="false" outlineLevel="0" collapsed="false">
      <c r="A1941" s="15" t="n">
        <v>2768</v>
      </c>
      <c r="B1941" s="16" t="n">
        <v>3.0252921976011</v>
      </c>
      <c r="C1941" s="15" t="n">
        <v>300</v>
      </c>
      <c r="D1941" s="15" t="n">
        <v>300</v>
      </c>
      <c r="E1941" s="15" t="n">
        <v>25</v>
      </c>
      <c r="F1941" s="16" t="n">
        <v>0.589048622548086</v>
      </c>
      <c r="G1941" s="17" t="s">
        <v>89</v>
      </c>
      <c r="H1941" s="18" t="n">
        <v>0.3</v>
      </c>
      <c r="I1941" s="18" t="n">
        <v>1</v>
      </c>
      <c r="J1941" s="19" t="n">
        <v>0.882840214125544</v>
      </c>
      <c r="K1941" s="19" t="n">
        <v>0.486942127761095</v>
      </c>
      <c r="L1941" s="16" t="n">
        <v>11.8175476468793</v>
      </c>
      <c r="M1941" s="19" t="n">
        <v>0.909229903164406</v>
      </c>
      <c r="N1941" s="19" t="n">
        <v>0.568813581474414</v>
      </c>
      <c r="O1941" s="19" t="n">
        <v>0.882840214125544</v>
      </c>
      <c r="P1941" s="19" t="n">
        <v>0.259249161704029</v>
      </c>
      <c r="Q1941" s="17" t="s">
        <v>29</v>
      </c>
      <c r="R1941" s="5" t="str">
        <f aca="false">IF(OR(Q1941="Steel plate",Q1941="Concrete jacket"),"Steel plate or jacket",Q1941)</f>
        <v>Monitor</v>
      </c>
      <c r="S1941" s="5" t="str">
        <f aca="false">IF(O1941&lt;='Tree rules'!$C$4,IF(N1941&lt;='Tree rules'!$C$5,IF(P1941&lt;='Tree rules'!$C$6,"Monitor","Polymer laminate"),IF(P1941&lt;='Tree rules'!$C$7,"Seal cracks","Polymer laminate")),IF(O1941&lt;='Tree rules'!$C$8,IF(M1941&lt;='Tree rules'!$C$9,"Steel plate or jacket","Polymer laminate"),IF(L1941&lt;='Tree rules'!$C$10,"Steel plate or jacket","Polymer laminate")))</f>
        <v>Monitor</v>
      </c>
      <c r="T1941" s="5" t="str">
        <f aca="false">IF(S1941=R1941,"Yes","No")</f>
        <v>Yes</v>
      </c>
    </row>
    <row r="1942" customFormat="false" ht="15" hidden="false" customHeight="false" outlineLevel="0" collapsed="false">
      <c r="A1942" s="15" t="n">
        <v>2769</v>
      </c>
      <c r="B1942" s="16" t="n">
        <v>3.08653025176129</v>
      </c>
      <c r="C1942" s="15" t="n">
        <v>300</v>
      </c>
      <c r="D1942" s="15" t="n">
        <v>300</v>
      </c>
      <c r="E1942" s="15" t="n">
        <v>25</v>
      </c>
      <c r="F1942" s="16" t="n">
        <v>0.589048622548086</v>
      </c>
      <c r="G1942" s="17" t="s">
        <v>91</v>
      </c>
      <c r="H1942" s="18" t="n">
        <v>0.2</v>
      </c>
      <c r="I1942" s="18" t="n">
        <v>1.5</v>
      </c>
      <c r="J1942" s="19" t="n">
        <v>0.852997483591691</v>
      </c>
      <c r="K1942" s="19" t="n">
        <v>0.511335422372417</v>
      </c>
      <c r="L1942" s="16" t="n">
        <v>12.0567587959426</v>
      </c>
      <c r="M1942" s="19" t="n">
        <v>0.840462766795891</v>
      </c>
      <c r="N1942" s="19" t="n">
        <v>1.08624026040155</v>
      </c>
      <c r="O1942" s="19" t="n">
        <v>1.06141231111005</v>
      </c>
      <c r="P1942" s="19" t="n">
        <v>0.313132232423979</v>
      </c>
      <c r="Q1942" s="17" t="s">
        <v>31</v>
      </c>
      <c r="R1942" s="5" t="str">
        <f aca="false">IF(OR(Q1942="Steel plate",Q1942="Concrete jacket"),"Steel plate or jacket",Q1942)</f>
        <v>Polymer laminate</v>
      </c>
      <c r="S1942" s="5" t="str">
        <f aca="false">IF(O1942&lt;='Tree rules'!$C$4,IF(N1942&lt;='Tree rules'!$C$5,IF(P1942&lt;='Tree rules'!$C$6,"Monitor","Polymer laminate"),IF(P1942&lt;='Tree rules'!$C$7,"Seal cracks","Polymer laminate")),IF(O1942&lt;='Tree rules'!$C$8,IF(M1942&lt;='Tree rules'!$C$9,"Steel plate or jacket","Polymer laminate"),IF(L1942&lt;='Tree rules'!$C$10,"Steel plate or jacket","Polymer laminate")))</f>
        <v>Polymer laminate</v>
      </c>
      <c r="T1942" s="5" t="str">
        <f aca="false">IF(S1942=R1942,"Yes","No")</f>
        <v>Yes</v>
      </c>
    </row>
    <row r="1943" customFormat="false" ht="15" hidden="false" customHeight="false" outlineLevel="0" collapsed="false">
      <c r="A1943" s="15" t="n">
        <v>2771</v>
      </c>
      <c r="B1943" s="16" t="n">
        <v>6.36481183281019</v>
      </c>
      <c r="C1943" s="15" t="n">
        <v>300</v>
      </c>
      <c r="D1943" s="15" t="n">
        <v>550</v>
      </c>
      <c r="E1943" s="15" t="n">
        <v>30</v>
      </c>
      <c r="F1943" s="16" t="n">
        <v>0.531909867274462</v>
      </c>
      <c r="G1943" s="17" t="s">
        <v>91</v>
      </c>
      <c r="H1943" s="18" t="n">
        <v>0.2</v>
      </c>
      <c r="I1943" s="18" t="n">
        <v>1.5</v>
      </c>
      <c r="J1943" s="19" t="n">
        <v>0.867003275183171</v>
      </c>
      <c r="K1943" s="19" t="n">
        <v>0.589663146941718</v>
      </c>
      <c r="L1943" s="16" t="n">
        <v>12.6285949063694</v>
      </c>
      <c r="M1943" s="19" t="n">
        <v>0.787353030997473</v>
      </c>
      <c r="N1943" s="19" t="n">
        <v>1.042828646619</v>
      </c>
      <c r="O1943" s="19" t="n">
        <v>1.04488497294811</v>
      </c>
      <c r="P1943" s="19" t="n">
        <v>0.393495199470261</v>
      </c>
      <c r="Q1943" s="17" t="s">
        <v>31</v>
      </c>
      <c r="R1943" s="5" t="str">
        <f aca="false">IF(OR(Q1943="Steel plate",Q1943="Concrete jacket"),"Steel plate or jacket",Q1943)</f>
        <v>Polymer laminate</v>
      </c>
      <c r="S1943" s="5" t="str">
        <f aca="false">IF(O1943&lt;='Tree rules'!$C$4,IF(N1943&lt;='Tree rules'!$C$5,IF(P1943&lt;='Tree rules'!$C$6,"Monitor","Polymer laminate"),IF(P1943&lt;='Tree rules'!$C$7,"Seal cracks","Polymer laminate")),IF(O1943&lt;='Tree rules'!$C$8,IF(M1943&lt;='Tree rules'!$C$9,"Steel plate or jacket","Polymer laminate"),IF(L1943&lt;='Tree rules'!$C$10,"Steel plate or jacket","Polymer laminate")))</f>
        <v>Polymer laminate</v>
      </c>
      <c r="T1943" s="5" t="str">
        <f aca="false">IF(S1943=R1943,"Yes","No")</f>
        <v>Yes</v>
      </c>
    </row>
    <row r="1944" customFormat="false" ht="15" hidden="false" customHeight="false" outlineLevel="0" collapsed="false">
      <c r="A1944" s="15" t="n">
        <v>2772</v>
      </c>
      <c r="B1944" s="16" t="n">
        <v>3.91999968433855</v>
      </c>
      <c r="C1944" s="15" t="n">
        <v>300</v>
      </c>
      <c r="D1944" s="15" t="n">
        <v>375</v>
      </c>
      <c r="E1944" s="15" t="n">
        <v>30</v>
      </c>
      <c r="F1944" s="16" t="n">
        <v>0.611130485804701</v>
      </c>
      <c r="G1944" s="17" t="s">
        <v>89</v>
      </c>
      <c r="H1944" s="18" t="n">
        <v>0.3</v>
      </c>
      <c r="I1944" s="18" t="n">
        <v>1.5</v>
      </c>
      <c r="J1944" s="19" t="n">
        <v>0.903533357804664</v>
      </c>
      <c r="K1944" s="19" t="n">
        <v>0.49630642367368</v>
      </c>
      <c r="L1944" s="16" t="n">
        <v>11.914892657564</v>
      </c>
      <c r="M1944" s="19" t="n">
        <v>0.949653565745417</v>
      </c>
      <c r="N1944" s="19" t="n">
        <v>0.874401263171618</v>
      </c>
      <c r="O1944" s="19" t="n">
        <v>1.13108533196604</v>
      </c>
      <c r="P1944" s="19" t="n">
        <v>0.308636414287943</v>
      </c>
      <c r="Q1944" s="17" t="s">
        <v>31</v>
      </c>
      <c r="R1944" s="5" t="str">
        <f aca="false">IF(OR(Q1944="Steel plate",Q1944="Concrete jacket"),"Steel plate or jacket",Q1944)</f>
        <v>Polymer laminate</v>
      </c>
      <c r="S1944" s="5" t="str">
        <f aca="false">IF(O1944&lt;='Tree rules'!$C$4,IF(N1944&lt;='Tree rules'!$C$5,IF(P1944&lt;='Tree rules'!$C$6,"Monitor","Polymer laminate"),IF(P1944&lt;='Tree rules'!$C$7,"Seal cracks","Polymer laminate")),IF(O1944&lt;='Tree rules'!$C$8,IF(M1944&lt;='Tree rules'!$C$9,"Steel plate or jacket","Polymer laminate"),IF(L1944&lt;='Tree rules'!$C$10,"Steel plate or jacket","Polymer laminate")))</f>
        <v>Polymer laminate</v>
      </c>
      <c r="T1944" s="5" t="str">
        <f aca="false">IF(S1944=R1944,"Yes","No")</f>
        <v>Yes</v>
      </c>
    </row>
    <row r="1945" customFormat="false" ht="15" hidden="false" customHeight="false" outlineLevel="0" collapsed="false">
      <c r="A1945" s="15" t="n">
        <v>2773</v>
      </c>
      <c r="B1945" s="16" t="n">
        <v>3.16169620058883</v>
      </c>
      <c r="C1945" s="15" t="n">
        <v>230</v>
      </c>
      <c r="D1945" s="15" t="n">
        <v>300</v>
      </c>
      <c r="E1945" s="15" t="n">
        <v>30</v>
      </c>
      <c r="F1945" s="16" t="n">
        <v>1.0324987837885</v>
      </c>
      <c r="G1945" s="17" t="s">
        <v>91</v>
      </c>
      <c r="H1945" s="18" t="n">
        <v>0.2</v>
      </c>
      <c r="I1945" s="18" t="n">
        <v>2</v>
      </c>
      <c r="J1945" s="19" t="n">
        <v>0.860683460313018</v>
      </c>
      <c r="K1945" s="19" t="n">
        <v>0.411543920319417</v>
      </c>
      <c r="L1945" s="16" t="n">
        <v>12.4476228369639</v>
      </c>
      <c r="M1945" s="19" t="n">
        <v>0.666438699062389</v>
      </c>
      <c r="N1945" s="19" t="n">
        <v>1.5507861295779</v>
      </c>
      <c r="O1945" s="19" t="n">
        <v>1.36715787521474</v>
      </c>
      <c r="P1945" s="19" t="n">
        <v>0.636912364945654</v>
      </c>
      <c r="Q1945" s="17" t="s">
        <v>31</v>
      </c>
      <c r="R1945" s="5" t="str">
        <f aca="false">IF(OR(Q1945="Steel plate",Q1945="Concrete jacket"),"Steel plate or jacket",Q1945)</f>
        <v>Polymer laminate</v>
      </c>
      <c r="S1945" s="5" t="str">
        <f aca="false">IF(O1945&lt;='Tree rules'!$C$4,IF(N1945&lt;='Tree rules'!$C$5,IF(P1945&lt;='Tree rules'!$C$6,"Monitor","Polymer laminate"),IF(P1945&lt;='Tree rules'!$C$7,"Seal cracks","Polymer laminate")),IF(O1945&lt;='Tree rules'!$C$8,IF(M1945&lt;='Tree rules'!$C$9,"Steel plate or jacket","Polymer laminate"),IF(L1945&lt;='Tree rules'!$C$10,"Steel plate or jacket","Polymer laminate")))</f>
        <v>Steel plate or jacket</v>
      </c>
      <c r="T1945" s="5" t="str">
        <f aca="false">IF(S1945=R1945,"Yes","No")</f>
        <v>No</v>
      </c>
    </row>
    <row r="1946" customFormat="false" ht="15" hidden="false" customHeight="false" outlineLevel="0" collapsed="false">
      <c r="A1946" s="15" t="n">
        <v>2774</v>
      </c>
      <c r="B1946" s="16" t="n">
        <v>3.34873841106983</v>
      </c>
      <c r="C1946" s="15" t="n">
        <v>230</v>
      </c>
      <c r="D1946" s="15" t="n">
        <v>300</v>
      </c>
      <c r="E1946" s="15" t="n">
        <v>20</v>
      </c>
      <c r="F1946" s="16" t="n">
        <v>0.688332522525665</v>
      </c>
      <c r="G1946" s="17" t="s">
        <v>91</v>
      </c>
      <c r="H1946" s="18" t="n">
        <v>0.2</v>
      </c>
      <c r="I1946" s="18" t="n">
        <v>2</v>
      </c>
      <c r="J1946" s="19" t="n">
        <v>0.906027654308653</v>
      </c>
      <c r="K1946" s="19" t="n">
        <v>0.410491792244147</v>
      </c>
      <c r="L1946" s="16" t="n">
        <v>13.1840094924009</v>
      </c>
      <c r="M1946" s="19" t="n">
        <v>0.644893315745892</v>
      </c>
      <c r="N1946" s="19" t="n">
        <v>2.0031684089985</v>
      </c>
      <c r="O1946" s="19" t="n">
        <v>1.44013839297739</v>
      </c>
      <c r="P1946" s="19" t="n">
        <v>0.594000773112059</v>
      </c>
      <c r="Q1946" s="17" t="s">
        <v>31</v>
      </c>
      <c r="R1946" s="5" t="str">
        <f aca="false">IF(OR(Q1946="Steel plate",Q1946="Concrete jacket"),"Steel plate or jacket",Q1946)</f>
        <v>Polymer laminate</v>
      </c>
      <c r="S1946" s="5" t="str">
        <f aca="false">IF(O1946&lt;='Tree rules'!$C$4,IF(N1946&lt;='Tree rules'!$C$5,IF(P1946&lt;='Tree rules'!$C$6,"Monitor","Polymer laminate"),IF(P1946&lt;='Tree rules'!$C$7,"Seal cracks","Polymer laminate")),IF(O1946&lt;='Tree rules'!$C$8,IF(M1946&lt;='Tree rules'!$C$9,"Steel plate or jacket","Polymer laminate"),IF(L1946&lt;='Tree rules'!$C$10,"Steel plate or jacket","Polymer laminate")))</f>
        <v>Polymer laminate</v>
      </c>
      <c r="T1946" s="5" t="str">
        <f aca="false">IF(S1946=R1946,"Yes","No")</f>
        <v>Yes</v>
      </c>
    </row>
    <row r="1947" customFormat="false" ht="15" hidden="false" customHeight="false" outlineLevel="0" collapsed="false">
      <c r="A1947" s="15" t="n">
        <v>2775</v>
      </c>
      <c r="B1947" s="16" t="n">
        <v>3.03831709504156</v>
      </c>
      <c r="C1947" s="15" t="n">
        <v>300</v>
      </c>
      <c r="D1947" s="15" t="n">
        <v>300</v>
      </c>
      <c r="E1947" s="15" t="n">
        <v>25</v>
      </c>
      <c r="F1947" s="16" t="n">
        <v>0.841263304726974</v>
      </c>
      <c r="G1947" s="17" t="s">
        <v>90</v>
      </c>
      <c r="H1947" s="18" t="n">
        <v>0.1</v>
      </c>
      <c r="I1947" s="18" t="n">
        <v>1</v>
      </c>
      <c r="J1947" s="19" t="n">
        <v>0.928199140575436</v>
      </c>
      <c r="K1947" s="19" t="n">
        <v>0.601177866453769</v>
      </c>
      <c r="L1947" s="16" t="n">
        <v>12.7126238286258</v>
      </c>
      <c r="M1947" s="19" t="n">
        <v>0.473089527506037</v>
      </c>
      <c r="N1947" s="19" t="n">
        <v>2.94753976744055</v>
      </c>
      <c r="O1947" s="19" t="n">
        <v>0.928199140575436</v>
      </c>
      <c r="P1947" s="19" t="n">
        <v>0.643674702741809</v>
      </c>
      <c r="Q1947" s="17" t="s">
        <v>30</v>
      </c>
      <c r="R1947" s="5" t="str">
        <f aca="false">IF(OR(Q1947="Steel plate",Q1947="Concrete jacket"),"Steel plate or jacket",Q1947)</f>
        <v>Seal cracks</v>
      </c>
      <c r="S1947" s="5" t="str">
        <f aca="false">IF(O1947&lt;='Tree rules'!$C$4,IF(N1947&lt;='Tree rules'!$C$5,IF(P1947&lt;='Tree rules'!$C$6,"Monitor","Polymer laminate"),IF(P1947&lt;='Tree rules'!$C$7,"Seal cracks","Polymer laminate")),IF(O1947&lt;='Tree rules'!$C$8,IF(M1947&lt;='Tree rules'!$C$9,"Steel plate or jacket","Polymer laminate"),IF(L1947&lt;='Tree rules'!$C$10,"Steel plate or jacket","Polymer laminate")))</f>
        <v>Seal cracks</v>
      </c>
      <c r="T1947" s="5" t="str">
        <f aca="false">IF(S1947=R1947,"Yes","No")</f>
        <v>Yes</v>
      </c>
    </row>
    <row r="1948" customFormat="false" ht="15" hidden="false" customHeight="false" outlineLevel="0" collapsed="false">
      <c r="A1948" s="15" t="n">
        <v>2777</v>
      </c>
      <c r="B1948" s="16" t="n">
        <v>6.97549097700574</v>
      </c>
      <c r="C1948" s="15" t="n">
        <v>300</v>
      </c>
      <c r="D1948" s="15" t="n">
        <v>550</v>
      </c>
      <c r="E1948" s="15" t="n">
        <v>30</v>
      </c>
      <c r="F1948" s="16" t="n">
        <v>0.664887334093078</v>
      </c>
      <c r="G1948" s="17" t="s">
        <v>89</v>
      </c>
      <c r="H1948" s="18" t="n">
        <v>0.3</v>
      </c>
      <c r="I1948" s="18" t="n">
        <v>2</v>
      </c>
      <c r="J1948" s="19" t="n">
        <v>0.856974286973029</v>
      </c>
      <c r="K1948" s="19" t="n">
        <v>0.488610940326462</v>
      </c>
      <c r="L1948" s="16" t="n">
        <v>13.8402598750114</v>
      </c>
      <c r="M1948" s="19" t="n">
        <v>0.292648645332289</v>
      </c>
      <c r="N1948" s="19" t="n">
        <v>0.907940592686667</v>
      </c>
      <c r="O1948" s="19" t="n">
        <v>1.29522156175257</v>
      </c>
      <c r="P1948" s="19" t="n">
        <v>1.36834192583822</v>
      </c>
      <c r="Q1948" s="17" t="s">
        <v>92</v>
      </c>
      <c r="R1948" s="5" t="str">
        <f aca="false">IF(OR(Q1948="Steel plate",Q1948="Concrete jacket"),"Steel plate or jacket",Q1948)</f>
        <v>Steel plate or jacket</v>
      </c>
      <c r="S1948" s="5" t="str">
        <f aca="false">IF(O1948&lt;='Tree rules'!$C$4,IF(N1948&lt;='Tree rules'!$C$5,IF(P1948&lt;='Tree rules'!$C$6,"Monitor","Polymer laminate"),IF(P1948&lt;='Tree rules'!$C$7,"Seal cracks","Polymer laminate")),IF(O1948&lt;='Tree rules'!$C$8,IF(M1948&lt;='Tree rules'!$C$9,"Steel plate or jacket","Polymer laminate"),IF(L1948&lt;='Tree rules'!$C$10,"Steel plate or jacket","Polymer laminate")))</f>
        <v>Polymer laminate</v>
      </c>
      <c r="T1948" s="5" t="str">
        <f aca="false">IF(S1948=R1948,"Yes","No")</f>
        <v>No</v>
      </c>
    </row>
    <row r="1949" customFormat="false" ht="15" hidden="false" customHeight="false" outlineLevel="0" collapsed="false">
      <c r="A1949" s="15" t="n">
        <v>2779</v>
      </c>
      <c r="B1949" s="16" t="n">
        <v>4.09608086720098</v>
      </c>
      <c r="C1949" s="15" t="n">
        <v>230</v>
      </c>
      <c r="D1949" s="15" t="n">
        <v>350</v>
      </c>
      <c r="E1949" s="15" t="n">
        <v>30</v>
      </c>
      <c r="F1949" s="16" t="n">
        <v>0.907455678485392</v>
      </c>
      <c r="G1949" s="17" t="s">
        <v>90</v>
      </c>
      <c r="H1949" s="18" t="n">
        <v>0.1</v>
      </c>
      <c r="I1949" s="18" t="n">
        <v>1</v>
      </c>
      <c r="J1949" s="19" t="n">
        <v>0.898770667866261</v>
      </c>
      <c r="K1949" s="19" t="n">
        <v>0.486765786155434</v>
      </c>
      <c r="L1949" s="16" t="n">
        <v>14.1732901979273</v>
      </c>
      <c r="M1949" s="19" t="n">
        <v>0.51096492133722</v>
      </c>
      <c r="N1949" s="19" t="n">
        <v>2.61346005657922</v>
      </c>
      <c r="O1949" s="19" t="n">
        <v>0.898770667866261</v>
      </c>
      <c r="P1949" s="19" t="n">
        <v>0.655506208427951</v>
      </c>
      <c r="Q1949" s="17" t="s">
        <v>30</v>
      </c>
      <c r="R1949" s="5" t="str">
        <f aca="false">IF(OR(Q1949="Steel plate",Q1949="Concrete jacket"),"Steel plate or jacket",Q1949)</f>
        <v>Seal cracks</v>
      </c>
      <c r="S1949" s="5" t="str">
        <f aca="false">IF(O1949&lt;='Tree rules'!$C$4,IF(N1949&lt;='Tree rules'!$C$5,IF(P1949&lt;='Tree rules'!$C$6,"Monitor","Polymer laminate"),IF(P1949&lt;='Tree rules'!$C$7,"Seal cracks","Polymer laminate")),IF(O1949&lt;='Tree rules'!$C$8,IF(M1949&lt;='Tree rules'!$C$9,"Steel plate or jacket","Polymer laminate"),IF(L1949&lt;='Tree rules'!$C$10,"Steel plate or jacket","Polymer laminate")))</f>
        <v>Seal cracks</v>
      </c>
      <c r="T1949" s="5" t="str">
        <f aca="false">IF(S1949=R1949,"Yes","No")</f>
        <v>Yes</v>
      </c>
    </row>
    <row r="1950" customFormat="false" ht="15" hidden="false" customHeight="false" outlineLevel="0" collapsed="false">
      <c r="A1950" s="15" t="n">
        <v>2783</v>
      </c>
      <c r="B1950" s="16" t="n">
        <v>3.7049724448283</v>
      </c>
      <c r="C1950" s="15" t="n">
        <v>300</v>
      </c>
      <c r="D1950" s="15" t="n">
        <v>375</v>
      </c>
      <c r="E1950" s="15" t="n">
        <v>25</v>
      </c>
      <c r="F1950" s="16" t="n">
        <v>0.814840647739602</v>
      </c>
      <c r="G1950" s="17" t="s">
        <v>89</v>
      </c>
      <c r="H1950" s="18" t="n">
        <v>0.3</v>
      </c>
      <c r="I1950" s="18" t="n">
        <v>2</v>
      </c>
      <c r="J1950" s="19" t="n">
        <v>0.929955805793481</v>
      </c>
      <c r="K1950" s="19" t="n">
        <v>0.472623418559652</v>
      </c>
      <c r="L1950" s="16" t="n">
        <v>11.2613144219705</v>
      </c>
      <c r="M1950" s="19" t="n">
        <v>0.414707756722103</v>
      </c>
      <c r="N1950" s="19" t="n">
        <v>1.07245358991002</v>
      </c>
      <c r="O1950" s="19" t="n">
        <v>1.42039271954345</v>
      </c>
      <c r="P1950" s="19" t="n">
        <v>0.955240791013617</v>
      </c>
      <c r="Q1950" s="17" t="s">
        <v>31</v>
      </c>
      <c r="R1950" s="5" t="str">
        <f aca="false">IF(OR(Q1950="Steel plate",Q1950="Concrete jacket"),"Steel plate or jacket",Q1950)</f>
        <v>Polymer laminate</v>
      </c>
      <c r="S1950" s="5" t="str">
        <f aca="false">IF(O1950&lt;='Tree rules'!$C$4,IF(N1950&lt;='Tree rules'!$C$5,IF(P1950&lt;='Tree rules'!$C$6,"Monitor","Polymer laminate"),IF(P1950&lt;='Tree rules'!$C$7,"Seal cracks","Polymer laminate")),IF(O1950&lt;='Tree rules'!$C$8,IF(M1950&lt;='Tree rules'!$C$9,"Steel plate or jacket","Polymer laminate"),IF(L1950&lt;='Tree rules'!$C$10,"Steel plate or jacket","Polymer laminate")))</f>
        <v>Steel plate or jacket</v>
      </c>
      <c r="T1950" s="5" t="str">
        <f aca="false">IF(S1950=R1950,"Yes","No")</f>
        <v>No</v>
      </c>
    </row>
    <row r="1951" customFormat="false" ht="15" hidden="false" customHeight="false" outlineLevel="0" collapsed="false">
      <c r="A1951" s="15" t="n">
        <v>2784</v>
      </c>
      <c r="B1951" s="16" t="n">
        <v>3.2433761412615</v>
      </c>
      <c r="C1951" s="15" t="n">
        <v>300</v>
      </c>
      <c r="D1951" s="15" t="n">
        <v>300</v>
      </c>
      <c r="E1951" s="15" t="n">
        <v>25</v>
      </c>
      <c r="F1951" s="16" t="n">
        <v>0.589048622548086</v>
      </c>
      <c r="G1951" s="17" t="s">
        <v>89</v>
      </c>
      <c r="H1951" s="18" t="n">
        <v>0.3</v>
      </c>
      <c r="I1951" s="18" t="n">
        <v>1.5</v>
      </c>
      <c r="J1951" s="19" t="n">
        <v>0.86070334834544</v>
      </c>
      <c r="K1951" s="19" t="n">
        <v>0.574365536588007</v>
      </c>
      <c r="L1951" s="16" t="n">
        <v>12.6694380518027</v>
      </c>
      <c r="M1951" s="19" t="n">
        <v>0.516764076148409</v>
      </c>
      <c r="N1951" s="19" t="n">
        <v>0.772505355643883</v>
      </c>
      <c r="O1951" s="19" t="n">
        <v>1.0438758522604</v>
      </c>
      <c r="P1951" s="19" t="n">
        <v>0.532687594332165</v>
      </c>
      <c r="Q1951" s="17" t="s">
        <v>31</v>
      </c>
      <c r="R1951" s="5" t="str">
        <f aca="false">IF(OR(Q1951="Steel plate",Q1951="Concrete jacket"),"Steel plate or jacket",Q1951)</f>
        <v>Polymer laminate</v>
      </c>
      <c r="S1951" s="5" t="str">
        <f aca="false">IF(O1951&lt;='Tree rules'!$C$4,IF(N1951&lt;='Tree rules'!$C$5,IF(P1951&lt;='Tree rules'!$C$6,"Monitor","Polymer laminate"),IF(P1951&lt;='Tree rules'!$C$7,"Seal cracks","Polymer laminate")),IF(O1951&lt;='Tree rules'!$C$8,IF(M1951&lt;='Tree rules'!$C$9,"Steel plate or jacket","Polymer laminate"),IF(L1951&lt;='Tree rules'!$C$10,"Steel plate or jacket","Polymer laminate")))</f>
        <v>Polymer laminate</v>
      </c>
      <c r="T1951" s="5" t="str">
        <f aca="false">IF(S1951=R1951,"Yes","No")</f>
        <v>Yes</v>
      </c>
    </row>
    <row r="1952" customFormat="false" ht="15" hidden="false" customHeight="false" outlineLevel="0" collapsed="false">
      <c r="A1952" s="15" t="n">
        <v>2785</v>
      </c>
      <c r="B1952" s="16" t="n">
        <v>3.58838208430213</v>
      </c>
      <c r="C1952" s="15" t="n">
        <v>230</v>
      </c>
      <c r="D1952" s="15" t="n">
        <v>300</v>
      </c>
      <c r="E1952" s="15" t="n">
        <v>25</v>
      </c>
      <c r="F1952" s="16" t="n">
        <v>0.688332522525665</v>
      </c>
      <c r="G1952" s="17" t="s">
        <v>89</v>
      </c>
      <c r="H1952" s="18" t="n">
        <v>0.3</v>
      </c>
      <c r="I1952" s="18" t="n">
        <v>2</v>
      </c>
      <c r="J1952" s="19" t="n">
        <v>0.871779441156084</v>
      </c>
      <c r="K1952" s="19" t="n">
        <v>0.588726422446288</v>
      </c>
      <c r="L1952" s="16" t="n">
        <v>14.1274885208745</v>
      </c>
      <c r="M1952" s="19" t="n">
        <v>0.94557281025176</v>
      </c>
      <c r="N1952" s="19" t="n">
        <v>1.07810539444576</v>
      </c>
      <c r="O1952" s="19" t="n">
        <v>1.23031929075812</v>
      </c>
      <c r="P1952" s="19" t="n">
        <v>0.417671419149622</v>
      </c>
      <c r="Q1952" s="17" t="s">
        <v>31</v>
      </c>
      <c r="R1952" s="5" t="str">
        <f aca="false">IF(OR(Q1952="Steel plate",Q1952="Concrete jacket"),"Steel plate or jacket",Q1952)</f>
        <v>Polymer laminate</v>
      </c>
      <c r="S1952" s="5" t="str">
        <f aca="false">IF(O1952&lt;='Tree rules'!$C$4,IF(N1952&lt;='Tree rules'!$C$5,IF(P1952&lt;='Tree rules'!$C$6,"Monitor","Polymer laminate"),IF(P1952&lt;='Tree rules'!$C$7,"Seal cracks","Polymer laminate")),IF(O1952&lt;='Tree rules'!$C$8,IF(M1952&lt;='Tree rules'!$C$9,"Steel plate or jacket","Polymer laminate"),IF(L1952&lt;='Tree rules'!$C$10,"Steel plate or jacket","Polymer laminate")))</f>
        <v>Polymer laminate</v>
      </c>
      <c r="T1952" s="5" t="str">
        <f aca="false">IF(S1952=R1952,"Yes","No")</f>
        <v>Yes</v>
      </c>
    </row>
    <row r="1953" customFormat="false" ht="15" hidden="false" customHeight="false" outlineLevel="0" collapsed="false">
      <c r="A1953" s="15" t="n">
        <v>2786</v>
      </c>
      <c r="B1953" s="16" t="n">
        <v>3.06100779197244</v>
      </c>
      <c r="C1953" s="15" t="n">
        <v>300</v>
      </c>
      <c r="D1953" s="15" t="n">
        <v>300</v>
      </c>
      <c r="E1953" s="15" t="n">
        <v>20</v>
      </c>
      <c r="F1953" s="16" t="n">
        <v>0.736310778185108</v>
      </c>
      <c r="G1953" s="17" t="s">
        <v>89</v>
      </c>
      <c r="H1953" s="18" t="n">
        <v>0.3</v>
      </c>
      <c r="I1953" s="18" t="n">
        <v>1</v>
      </c>
      <c r="J1953" s="19" t="n">
        <v>0.874728465605918</v>
      </c>
      <c r="K1953" s="19" t="n">
        <v>0.445326238637302</v>
      </c>
      <c r="L1953" s="16" t="n">
        <v>11.9570616873923</v>
      </c>
      <c r="M1953" s="19" t="n">
        <v>0.442405824967681</v>
      </c>
      <c r="N1953" s="19" t="n">
        <v>0.611959471465755</v>
      </c>
      <c r="O1953" s="19" t="n">
        <v>0.874728465605918</v>
      </c>
      <c r="P1953" s="19" t="n">
        <v>0.627093724000935</v>
      </c>
      <c r="Q1953" s="17" t="s">
        <v>29</v>
      </c>
      <c r="R1953" s="5" t="str">
        <f aca="false">IF(OR(Q1953="Steel plate",Q1953="Concrete jacket"),"Steel plate or jacket",Q1953)</f>
        <v>Monitor</v>
      </c>
      <c r="S1953" s="5" t="str">
        <f aca="false">IF(O1953&lt;='Tree rules'!$C$4,IF(N1953&lt;='Tree rules'!$C$5,IF(P1953&lt;='Tree rules'!$C$6,"Monitor","Polymer laminate"),IF(P1953&lt;='Tree rules'!$C$7,"Seal cracks","Polymer laminate")),IF(O1953&lt;='Tree rules'!$C$8,IF(M1953&lt;='Tree rules'!$C$9,"Steel plate or jacket","Polymer laminate"),IF(L1953&lt;='Tree rules'!$C$10,"Steel plate or jacket","Polymer laminate")))</f>
        <v>Monitor</v>
      </c>
      <c r="T1953" s="5" t="str">
        <f aca="false">IF(S1953=R1953,"Yes","No")</f>
        <v>Yes</v>
      </c>
    </row>
    <row r="1954" customFormat="false" ht="15" hidden="false" customHeight="false" outlineLevel="0" collapsed="false">
      <c r="A1954" s="15" t="n">
        <v>2788</v>
      </c>
      <c r="B1954" s="16" t="n">
        <v>3.64152480919222</v>
      </c>
      <c r="C1954" s="15" t="n">
        <v>300</v>
      </c>
      <c r="D1954" s="15" t="n">
        <v>325</v>
      </c>
      <c r="E1954" s="15" t="n">
        <v>30</v>
      </c>
      <c r="F1954" s="16" t="n">
        <v>0.756099314943392</v>
      </c>
      <c r="G1954" s="17" t="s">
        <v>91</v>
      </c>
      <c r="H1954" s="18" t="n">
        <v>0.2</v>
      </c>
      <c r="I1954" s="18" t="n">
        <v>1</v>
      </c>
      <c r="J1954" s="19" t="n">
        <v>0.985953988684661</v>
      </c>
      <c r="K1954" s="19" t="n">
        <v>0.56429097646927</v>
      </c>
      <c r="L1954" s="16" t="n">
        <v>13.1462989501524</v>
      </c>
      <c r="M1954" s="19" t="n">
        <v>0.52344184619221</v>
      </c>
      <c r="N1954" s="19" t="n">
        <v>1.66027474797997</v>
      </c>
      <c r="O1954" s="19" t="n">
        <v>0.985953988684661</v>
      </c>
      <c r="P1954" s="19" t="n">
        <v>0.65048646752168</v>
      </c>
      <c r="Q1954" s="17" t="s">
        <v>30</v>
      </c>
      <c r="R1954" s="5" t="str">
        <f aca="false">IF(OR(Q1954="Steel plate",Q1954="Concrete jacket"),"Steel plate or jacket",Q1954)</f>
        <v>Seal cracks</v>
      </c>
      <c r="S1954" s="5" t="str">
        <f aca="false">IF(O1954&lt;='Tree rules'!$C$4,IF(N1954&lt;='Tree rules'!$C$5,IF(P1954&lt;='Tree rules'!$C$6,"Monitor","Polymer laminate"),IF(P1954&lt;='Tree rules'!$C$7,"Seal cracks","Polymer laminate")),IF(O1954&lt;='Tree rules'!$C$8,IF(M1954&lt;='Tree rules'!$C$9,"Steel plate or jacket","Polymer laminate"),IF(L1954&lt;='Tree rules'!$C$10,"Steel plate or jacket","Polymer laminate")))</f>
        <v>Seal cracks</v>
      </c>
      <c r="T1954" s="5" t="str">
        <f aca="false">IF(S1954=R1954,"Yes","No")</f>
        <v>Yes</v>
      </c>
    </row>
    <row r="1955" customFormat="false" ht="15" hidden="false" customHeight="false" outlineLevel="0" collapsed="false">
      <c r="A1955" s="15" t="n">
        <v>2789</v>
      </c>
      <c r="B1955" s="16" t="n">
        <v>3.25056169429697</v>
      </c>
      <c r="C1955" s="15" t="n">
        <v>300</v>
      </c>
      <c r="D1955" s="15" t="n">
        <v>300</v>
      </c>
      <c r="E1955" s="15" t="n">
        <v>30</v>
      </c>
      <c r="F1955" s="16" t="n">
        <v>0.883572933822129</v>
      </c>
      <c r="G1955" s="17" t="s">
        <v>89</v>
      </c>
      <c r="H1955" s="18" t="n">
        <v>0.3</v>
      </c>
      <c r="I1955" s="18" t="n">
        <v>1</v>
      </c>
      <c r="J1955" s="19" t="n">
        <v>0.932853103668513</v>
      </c>
      <c r="K1955" s="19" t="n">
        <v>0.544581747209001</v>
      </c>
      <c r="L1955" s="16" t="n">
        <v>12.6975066183476</v>
      </c>
      <c r="M1955" s="19" t="n">
        <v>0.462025480783632</v>
      </c>
      <c r="N1955" s="19" t="n">
        <v>0.645137344485491</v>
      </c>
      <c r="O1955" s="19" t="n">
        <v>0.932853103668513</v>
      </c>
      <c r="P1955" s="19" t="n">
        <v>0.750337644295932</v>
      </c>
      <c r="Q1955" s="17" t="s">
        <v>29</v>
      </c>
      <c r="R1955" s="5" t="str">
        <f aca="false">IF(OR(Q1955="Steel plate",Q1955="Concrete jacket"),"Steel plate or jacket",Q1955)</f>
        <v>Monitor</v>
      </c>
      <c r="S1955" s="5" t="str">
        <f aca="false">IF(O1955&lt;='Tree rules'!$C$4,IF(N1955&lt;='Tree rules'!$C$5,IF(P1955&lt;='Tree rules'!$C$6,"Monitor","Polymer laminate"),IF(P1955&lt;='Tree rules'!$C$7,"Seal cracks","Polymer laminate")),IF(O1955&lt;='Tree rules'!$C$8,IF(M1955&lt;='Tree rules'!$C$9,"Steel plate or jacket","Polymer laminate"),IF(L1955&lt;='Tree rules'!$C$10,"Steel plate or jacket","Polymer laminate")))</f>
        <v>Monitor</v>
      </c>
      <c r="T1955" s="5" t="str">
        <f aca="false">IF(S1955=R1955,"Yes","No")</f>
        <v>Yes</v>
      </c>
    </row>
    <row r="1956" customFormat="false" ht="15" hidden="false" customHeight="false" outlineLevel="0" collapsed="false">
      <c r="A1956" s="15" t="n">
        <v>2792</v>
      </c>
      <c r="B1956" s="16" t="n">
        <v>5.85454916810559</v>
      </c>
      <c r="C1956" s="15" t="n">
        <v>300</v>
      </c>
      <c r="D1956" s="15" t="n">
        <v>550</v>
      </c>
      <c r="E1956" s="15" t="n">
        <v>20</v>
      </c>
      <c r="F1956" s="16" t="n">
        <v>0.685282651089798</v>
      </c>
      <c r="G1956" s="17" t="s">
        <v>90</v>
      </c>
      <c r="H1956" s="18" t="n">
        <v>0.1</v>
      </c>
      <c r="I1956" s="18" t="n">
        <v>1</v>
      </c>
      <c r="J1956" s="19" t="n">
        <v>0.97432780115636</v>
      </c>
      <c r="K1956" s="19" t="n">
        <v>0.409924731937854</v>
      </c>
      <c r="L1956" s="16" t="n">
        <v>11.97249318631</v>
      </c>
      <c r="M1956" s="19" t="n">
        <v>0.897974957809297</v>
      </c>
      <c r="N1956" s="19" t="n">
        <v>2.29079542799208</v>
      </c>
      <c r="O1956" s="19" t="n">
        <v>0.97432780115636</v>
      </c>
      <c r="P1956" s="19" t="n">
        <v>0.378393384474972</v>
      </c>
      <c r="Q1956" s="17" t="s">
        <v>30</v>
      </c>
      <c r="R1956" s="5" t="str">
        <f aca="false">IF(OR(Q1956="Steel plate",Q1956="Concrete jacket"),"Steel plate or jacket",Q1956)</f>
        <v>Seal cracks</v>
      </c>
      <c r="S1956" s="5" t="str">
        <f aca="false">IF(O1956&lt;='Tree rules'!$C$4,IF(N1956&lt;='Tree rules'!$C$5,IF(P1956&lt;='Tree rules'!$C$6,"Monitor","Polymer laminate"),IF(P1956&lt;='Tree rules'!$C$7,"Seal cracks","Polymer laminate")),IF(O1956&lt;='Tree rules'!$C$8,IF(M1956&lt;='Tree rules'!$C$9,"Steel plate or jacket","Polymer laminate"),IF(L1956&lt;='Tree rules'!$C$10,"Steel plate or jacket","Polymer laminate")))</f>
        <v>Seal cracks</v>
      </c>
      <c r="T1956" s="5" t="str">
        <f aca="false">IF(S1956=R1956,"Yes","No")</f>
        <v>Yes</v>
      </c>
    </row>
    <row r="1957" customFormat="false" ht="15" hidden="false" customHeight="false" outlineLevel="0" collapsed="false">
      <c r="A1957" s="15" t="n">
        <v>2793</v>
      </c>
      <c r="B1957" s="16" t="n">
        <v>3.99520177150576</v>
      </c>
      <c r="C1957" s="15" t="n">
        <v>300</v>
      </c>
      <c r="D1957" s="15" t="n">
        <v>350</v>
      </c>
      <c r="E1957" s="15" t="n">
        <v>25</v>
      </c>
      <c r="F1957" s="16" t="n">
        <v>0.61599855952741</v>
      </c>
      <c r="G1957" s="17" t="s">
        <v>91</v>
      </c>
      <c r="H1957" s="18" t="n">
        <v>0.2</v>
      </c>
      <c r="I1957" s="18" t="n">
        <v>1</v>
      </c>
      <c r="J1957" s="19" t="n">
        <v>0.957543487480296</v>
      </c>
      <c r="K1957" s="19" t="n">
        <v>0.413635448817049</v>
      </c>
      <c r="L1957" s="16" t="n">
        <v>13.0562149395613</v>
      </c>
      <c r="M1957" s="19" t="n">
        <v>0.874916786629647</v>
      </c>
      <c r="N1957" s="19" t="n">
        <v>0.889459523785684</v>
      </c>
      <c r="O1957" s="19" t="n">
        <v>0.957543487480296</v>
      </c>
      <c r="P1957" s="19" t="n">
        <v>0.33635783868854</v>
      </c>
      <c r="Q1957" s="17" t="s">
        <v>29</v>
      </c>
      <c r="R1957" s="5" t="str">
        <f aca="false">IF(OR(Q1957="Steel plate",Q1957="Concrete jacket"),"Steel plate or jacket",Q1957)</f>
        <v>Monitor</v>
      </c>
      <c r="S1957" s="5" t="str">
        <f aca="false">IF(O1957&lt;='Tree rules'!$C$4,IF(N1957&lt;='Tree rules'!$C$5,IF(P1957&lt;='Tree rules'!$C$6,"Monitor","Polymer laminate"),IF(P1957&lt;='Tree rules'!$C$7,"Seal cracks","Polymer laminate")),IF(O1957&lt;='Tree rules'!$C$8,IF(M1957&lt;='Tree rules'!$C$9,"Steel plate or jacket","Polymer laminate"),IF(L1957&lt;='Tree rules'!$C$10,"Steel plate or jacket","Polymer laminate")))</f>
        <v>Monitor</v>
      </c>
      <c r="T1957" s="5" t="str">
        <f aca="false">IF(S1957=R1957,"Yes","No")</f>
        <v>Yes</v>
      </c>
    </row>
    <row r="1958" customFormat="false" ht="15" hidden="false" customHeight="false" outlineLevel="0" collapsed="false">
      <c r="A1958" s="15" t="n">
        <v>2794</v>
      </c>
      <c r="B1958" s="16" t="n">
        <v>4.51456135577192</v>
      </c>
      <c r="C1958" s="15" t="n">
        <v>300</v>
      </c>
      <c r="D1958" s="15" t="n">
        <v>350</v>
      </c>
      <c r="E1958" s="15" t="n">
        <v>30</v>
      </c>
      <c r="F1958" s="16" t="n">
        <v>0.693508312050727</v>
      </c>
      <c r="G1958" s="17" t="s">
        <v>89</v>
      </c>
      <c r="H1958" s="18" t="n">
        <v>0.3</v>
      </c>
      <c r="I1958" s="18" t="n">
        <v>1</v>
      </c>
      <c r="J1958" s="19" t="n">
        <v>0.965519894416823</v>
      </c>
      <c r="K1958" s="19" t="n">
        <v>0.4812371830986</v>
      </c>
      <c r="L1958" s="16" t="n">
        <v>14.9488786614964</v>
      </c>
      <c r="M1958" s="19" t="n">
        <v>0.866696735078852</v>
      </c>
      <c r="N1958" s="19" t="n">
        <v>1.008321837258</v>
      </c>
      <c r="O1958" s="19" t="n">
        <v>0.965519894416823</v>
      </c>
      <c r="P1958" s="19" t="n">
        <v>0.416495478811017</v>
      </c>
      <c r="Q1958" s="17" t="s">
        <v>30</v>
      </c>
      <c r="R1958" s="5" t="str">
        <f aca="false">IF(OR(Q1958="Steel plate",Q1958="Concrete jacket"),"Steel plate or jacket",Q1958)</f>
        <v>Seal cracks</v>
      </c>
      <c r="S1958" s="5" t="str">
        <f aca="false">IF(O1958&lt;='Tree rules'!$C$4,IF(N1958&lt;='Tree rules'!$C$5,IF(P1958&lt;='Tree rules'!$C$6,"Monitor","Polymer laminate"),IF(P1958&lt;='Tree rules'!$C$7,"Seal cracks","Polymer laminate")),IF(O1958&lt;='Tree rules'!$C$8,IF(M1958&lt;='Tree rules'!$C$9,"Steel plate or jacket","Polymer laminate"),IF(L1958&lt;='Tree rules'!$C$10,"Steel plate or jacket","Polymer laminate")))</f>
        <v>Seal cracks</v>
      </c>
      <c r="T1958" s="5" t="str">
        <f aca="false">IF(S1958=R1958,"Yes","No")</f>
        <v>Yes</v>
      </c>
    </row>
    <row r="1959" customFormat="false" ht="15" hidden="false" customHeight="false" outlineLevel="0" collapsed="false">
      <c r="A1959" s="15" t="n">
        <v>2795</v>
      </c>
      <c r="B1959" s="16" t="n">
        <v>7.40776877498933</v>
      </c>
      <c r="C1959" s="15" t="n">
        <v>300</v>
      </c>
      <c r="D1959" s="15" t="n">
        <v>700</v>
      </c>
      <c r="E1959" s="15" t="n">
        <v>25</v>
      </c>
      <c r="F1959" s="16" t="n">
        <v>0.614868286941122</v>
      </c>
      <c r="G1959" s="17" t="s">
        <v>91</v>
      </c>
      <c r="H1959" s="18" t="n">
        <v>0.2</v>
      </c>
      <c r="I1959" s="18" t="n">
        <v>2</v>
      </c>
      <c r="J1959" s="19" t="n">
        <v>0.889136587618821</v>
      </c>
      <c r="K1959" s="19" t="n">
        <v>0.648713675317318</v>
      </c>
      <c r="L1959" s="16" t="n">
        <v>11.3268635703201</v>
      </c>
      <c r="M1959" s="19" t="n">
        <v>0.923951987814763</v>
      </c>
      <c r="N1959" s="19" t="n">
        <v>1.03703207554338</v>
      </c>
      <c r="O1959" s="19" t="n">
        <v>1.20147811162434</v>
      </c>
      <c r="P1959" s="19" t="n">
        <v>0.435094555622672</v>
      </c>
      <c r="Q1959" s="17" t="s">
        <v>31</v>
      </c>
      <c r="R1959" s="5" t="str">
        <f aca="false">IF(OR(Q1959="Steel plate",Q1959="Concrete jacket"),"Steel plate or jacket",Q1959)</f>
        <v>Polymer laminate</v>
      </c>
      <c r="S1959" s="5" t="str">
        <f aca="false">IF(O1959&lt;='Tree rules'!$C$4,IF(N1959&lt;='Tree rules'!$C$5,IF(P1959&lt;='Tree rules'!$C$6,"Monitor","Polymer laminate"),IF(P1959&lt;='Tree rules'!$C$7,"Seal cracks","Polymer laminate")),IF(O1959&lt;='Tree rules'!$C$8,IF(M1959&lt;='Tree rules'!$C$9,"Steel plate or jacket","Polymer laminate"),IF(L1959&lt;='Tree rules'!$C$10,"Steel plate or jacket","Polymer laminate")))</f>
        <v>Polymer laminate</v>
      </c>
      <c r="T1959" s="5" t="str">
        <f aca="false">IF(S1959=R1959,"Yes","No")</f>
        <v>Yes</v>
      </c>
    </row>
    <row r="1960" customFormat="false" ht="15" hidden="false" customHeight="false" outlineLevel="0" collapsed="false">
      <c r="A1960" s="15" t="n">
        <v>2796</v>
      </c>
      <c r="B1960" s="16" t="n">
        <v>7.63207764188748</v>
      </c>
      <c r="C1960" s="15" t="n">
        <v>300</v>
      </c>
      <c r="D1960" s="15" t="n">
        <v>725</v>
      </c>
      <c r="E1960" s="15" t="n">
        <v>25</v>
      </c>
      <c r="F1960" s="16" t="n">
        <v>0.592229542944762</v>
      </c>
      <c r="G1960" s="17" t="s">
        <v>91</v>
      </c>
      <c r="H1960" s="18" t="n">
        <v>0.2</v>
      </c>
      <c r="I1960" s="18" t="n">
        <v>2</v>
      </c>
      <c r="J1960" s="19" t="n">
        <v>0.956433054031243</v>
      </c>
      <c r="K1960" s="19" t="n">
        <v>0.551333732065864</v>
      </c>
      <c r="L1960" s="16" t="n">
        <v>11.2401732575662</v>
      </c>
      <c r="M1960" s="19" t="n">
        <v>0.468186920647103</v>
      </c>
      <c r="N1960" s="19" t="n">
        <v>1.31432395812403</v>
      </c>
      <c r="O1960" s="19" t="n">
        <v>1.38555230291229</v>
      </c>
      <c r="P1960" s="19" t="n">
        <v>0.822822528135059</v>
      </c>
      <c r="Q1960" s="17" t="s">
        <v>92</v>
      </c>
      <c r="R1960" s="5" t="str">
        <f aca="false">IF(OR(Q1960="Steel plate",Q1960="Concrete jacket"),"Steel plate or jacket",Q1960)</f>
        <v>Steel plate or jacket</v>
      </c>
      <c r="S1960" s="5" t="str">
        <f aca="false">IF(O1960&lt;='Tree rules'!$C$4,IF(N1960&lt;='Tree rules'!$C$5,IF(P1960&lt;='Tree rules'!$C$6,"Monitor","Polymer laminate"),IF(P1960&lt;='Tree rules'!$C$7,"Seal cracks","Polymer laminate")),IF(O1960&lt;='Tree rules'!$C$8,IF(M1960&lt;='Tree rules'!$C$9,"Steel plate or jacket","Polymer laminate"),IF(L1960&lt;='Tree rules'!$C$10,"Steel plate or jacket","Polymer laminate")))</f>
        <v>Steel plate or jacket</v>
      </c>
      <c r="T1960" s="5" t="str">
        <f aca="false">IF(S1960=R1960,"Yes","No")</f>
        <v>Yes</v>
      </c>
    </row>
    <row r="1961" customFormat="false" ht="15" hidden="false" customHeight="false" outlineLevel="0" collapsed="false">
      <c r="A1961" s="15" t="n">
        <v>2797</v>
      </c>
      <c r="B1961" s="16" t="n">
        <v>7.04454875347501</v>
      </c>
      <c r="C1961" s="15" t="n">
        <v>230</v>
      </c>
      <c r="D1961" s="15" t="n">
        <v>625</v>
      </c>
      <c r="E1961" s="15" t="n">
        <v>25</v>
      </c>
      <c r="F1961" s="16" t="n">
        <v>0.710178431223674</v>
      </c>
      <c r="G1961" s="17" t="s">
        <v>89</v>
      </c>
      <c r="H1961" s="18" t="n">
        <v>0.3</v>
      </c>
      <c r="I1961" s="18" t="n">
        <v>1</v>
      </c>
      <c r="J1961" s="19" t="n">
        <v>0.962965919689491</v>
      </c>
      <c r="K1961" s="19" t="n">
        <v>0.449757768547235</v>
      </c>
      <c r="L1961" s="16" t="n">
        <v>12.2089233162479</v>
      </c>
      <c r="M1961" s="19" t="n">
        <v>0.340428514811319</v>
      </c>
      <c r="N1961" s="19" t="n">
        <v>0.702932215295754</v>
      </c>
      <c r="O1961" s="19" t="n">
        <v>0.962965919689491</v>
      </c>
      <c r="P1961" s="19" t="n">
        <v>1.01420652531954</v>
      </c>
      <c r="Q1961" s="17" t="s">
        <v>31</v>
      </c>
      <c r="R1961" s="5" t="str">
        <f aca="false">IF(OR(Q1961="Steel plate",Q1961="Concrete jacket"),"Steel plate or jacket",Q1961)</f>
        <v>Polymer laminate</v>
      </c>
      <c r="S1961" s="5" t="str">
        <f aca="false">IF(O1961&lt;='Tree rules'!$C$4,IF(N1961&lt;='Tree rules'!$C$5,IF(P1961&lt;='Tree rules'!$C$6,"Monitor","Polymer laminate"),IF(P1961&lt;='Tree rules'!$C$7,"Seal cracks","Polymer laminate")),IF(O1961&lt;='Tree rules'!$C$8,IF(M1961&lt;='Tree rules'!$C$9,"Steel plate or jacket","Polymer laminate"),IF(L1961&lt;='Tree rules'!$C$10,"Steel plate or jacket","Polymer laminate")))</f>
        <v>Polymer laminate</v>
      </c>
      <c r="T1961" s="5" t="str">
        <f aca="false">IF(S1961=R1961,"Yes","No")</f>
        <v>Yes</v>
      </c>
    </row>
    <row r="1962" customFormat="false" ht="15" hidden="false" customHeight="false" outlineLevel="0" collapsed="false">
      <c r="A1962" s="15" t="n">
        <v>2798</v>
      </c>
      <c r="B1962" s="16" t="n">
        <v>3.27196244396566</v>
      </c>
      <c r="C1962" s="15" t="n">
        <v>230</v>
      </c>
      <c r="D1962" s="15" t="n">
        <v>300</v>
      </c>
      <c r="E1962" s="15" t="n">
        <v>20</v>
      </c>
      <c r="F1962" s="16" t="n">
        <v>0.576243217710084</v>
      </c>
      <c r="G1962" s="17" t="s">
        <v>91</v>
      </c>
      <c r="H1962" s="18" t="n">
        <v>0.2</v>
      </c>
      <c r="I1962" s="18" t="n">
        <v>2</v>
      </c>
      <c r="J1962" s="19" t="n">
        <v>0.957108220039997</v>
      </c>
      <c r="K1962" s="19" t="n">
        <v>0.630931392499248</v>
      </c>
      <c r="L1962" s="16" t="n">
        <v>12.7811032967409</v>
      </c>
      <c r="M1962" s="19" t="n">
        <v>0.626634827286588</v>
      </c>
      <c r="N1962" s="19" t="n">
        <v>1.43322956211089</v>
      </c>
      <c r="O1962" s="19" t="n">
        <v>1.31034681803768</v>
      </c>
      <c r="P1962" s="19" t="n">
        <v>0.574531647803734</v>
      </c>
      <c r="Q1962" s="17" t="s">
        <v>31</v>
      </c>
      <c r="R1962" s="5" t="str">
        <f aca="false">IF(OR(Q1962="Steel plate",Q1962="Concrete jacket"),"Steel plate or jacket",Q1962)</f>
        <v>Polymer laminate</v>
      </c>
      <c r="S1962" s="5" t="str">
        <f aca="false">IF(O1962&lt;='Tree rules'!$C$4,IF(N1962&lt;='Tree rules'!$C$5,IF(P1962&lt;='Tree rules'!$C$6,"Monitor","Polymer laminate"),IF(P1962&lt;='Tree rules'!$C$7,"Seal cracks","Polymer laminate")),IF(O1962&lt;='Tree rules'!$C$8,IF(M1962&lt;='Tree rules'!$C$9,"Steel plate or jacket","Polymer laminate"),IF(L1962&lt;='Tree rules'!$C$10,"Steel plate or jacket","Polymer laminate")))</f>
        <v>Steel plate or jacket</v>
      </c>
      <c r="T1962" s="5" t="str">
        <f aca="false">IF(S1962=R1962,"Yes","No")</f>
        <v>No</v>
      </c>
    </row>
    <row r="1963" customFormat="false" ht="15" hidden="false" customHeight="false" outlineLevel="0" collapsed="false">
      <c r="A1963" s="15" t="n">
        <v>2801</v>
      </c>
      <c r="B1963" s="16" t="n">
        <v>3.41084049308432</v>
      </c>
      <c r="C1963" s="15" t="n">
        <v>300</v>
      </c>
      <c r="D1963" s="15" t="n">
        <v>300</v>
      </c>
      <c r="E1963" s="15" t="n">
        <v>30</v>
      </c>
      <c r="F1963" s="16" t="n">
        <v>0.791582400904515</v>
      </c>
      <c r="G1963" s="17" t="s">
        <v>91</v>
      </c>
      <c r="H1963" s="18" t="n">
        <v>0.2</v>
      </c>
      <c r="I1963" s="18" t="n">
        <v>2</v>
      </c>
      <c r="J1963" s="19" t="n">
        <v>0.888176651561812</v>
      </c>
      <c r="K1963" s="19" t="n">
        <v>0.635679906868072</v>
      </c>
      <c r="L1963" s="16" t="n">
        <v>13.4285058782847</v>
      </c>
      <c r="M1963" s="19" t="n">
        <v>0.823908362765834</v>
      </c>
      <c r="N1963" s="19" t="n">
        <v>1.4930158647932</v>
      </c>
      <c r="O1963" s="19" t="n">
        <v>1.21175725197642</v>
      </c>
      <c r="P1963" s="19" t="n">
        <v>0.498224646695225</v>
      </c>
      <c r="Q1963" s="17" t="s">
        <v>31</v>
      </c>
      <c r="R1963" s="5" t="str">
        <f aca="false">IF(OR(Q1963="Steel plate",Q1963="Concrete jacket"),"Steel plate or jacket",Q1963)</f>
        <v>Polymer laminate</v>
      </c>
      <c r="S1963" s="5" t="str">
        <f aca="false">IF(O1963&lt;='Tree rules'!$C$4,IF(N1963&lt;='Tree rules'!$C$5,IF(P1963&lt;='Tree rules'!$C$6,"Monitor","Polymer laminate"),IF(P1963&lt;='Tree rules'!$C$7,"Seal cracks","Polymer laminate")),IF(O1963&lt;='Tree rules'!$C$8,IF(M1963&lt;='Tree rules'!$C$9,"Steel plate or jacket","Polymer laminate"),IF(L1963&lt;='Tree rules'!$C$10,"Steel plate or jacket","Polymer laminate")))</f>
        <v>Polymer laminate</v>
      </c>
      <c r="T1963" s="5" t="str">
        <f aca="false">IF(S1963=R1963,"Yes","No")</f>
        <v>Yes</v>
      </c>
    </row>
    <row r="1964" customFormat="false" ht="15" hidden="false" customHeight="false" outlineLevel="0" collapsed="false">
      <c r="A1964" s="15" t="n">
        <v>2803</v>
      </c>
      <c r="B1964" s="16" t="n">
        <v>4.80861441278205</v>
      </c>
      <c r="C1964" s="15" t="n">
        <v>230</v>
      </c>
      <c r="D1964" s="15" t="n">
        <v>400</v>
      </c>
      <c r="E1964" s="15" t="n">
        <v>30</v>
      </c>
      <c r="F1964" s="16" t="n">
        <v>0.552502860426148</v>
      </c>
      <c r="G1964" s="17" t="s">
        <v>89</v>
      </c>
      <c r="H1964" s="18" t="n">
        <v>0.3</v>
      </c>
      <c r="I1964" s="18" t="n">
        <v>1</v>
      </c>
      <c r="J1964" s="19" t="n">
        <v>0.856007222748582</v>
      </c>
      <c r="K1964" s="19" t="n">
        <v>0.452279131427337</v>
      </c>
      <c r="L1964" s="16" t="n">
        <v>13.5073438561294</v>
      </c>
      <c r="M1964" s="19" t="n">
        <v>0.306651102701957</v>
      </c>
      <c r="N1964" s="19" t="n">
        <v>0.594363321383876</v>
      </c>
      <c r="O1964" s="19" t="n">
        <v>0.856007222748582</v>
      </c>
      <c r="P1964" s="19" t="n">
        <v>0.752925363132606</v>
      </c>
      <c r="Q1964" s="17" t="s">
        <v>29</v>
      </c>
      <c r="R1964" s="5" t="str">
        <f aca="false">IF(OR(Q1964="Steel plate",Q1964="Concrete jacket"),"Steel plate or jacket",Q1964)</f>
        <v>Monitor</v>
      </c>
      <c r="S1964" s="5" t="str">
        <f aca="false">IF(O1964&lt;='Tree rules'!$C$4,IF(N1964&lt;='Tree rules'!$C$5,IF(P1964&lt;='Tree rules'!$C$6,"Monitor","Polymer laminate"),IF(P1964&lt;='Tree rules'!$C$7,"Seal cracks","Polymer laminate")),IF(O1964&lt;='Tree rules'!$C$8,IF(M1964&lt;='Tree rules'!$C$9,"Steel plate or jacket","Polymer laminate"),IF(L1964&lt;='Tree rules'!$C$10,"Steel plate or jacket","Polymer laminate")))</f>
        <v>Monitor</v>
      </c>
      <c r="T1964" s="5" t="str">
        <f aca="false">IF(S1964=R1964,"Yes","No")</f>
        <v>Yes</v>
      </c>
    </row>
    <row r="1965" customFormat="false" ht="15" hidden="false" customHeight="false" outlineLevel="0" collapsed="false">
      <c r="A1965" s="15" t="n">
        <v>2806</v>
      </c>
      <c r="B1965" s="16" t="n">
        <v>5.80630300637569</v>
      </c>
      <c r="C1965" s="15" t="n">
        <v>300</v>
      </c>
      <c r="D1965" s="15" t="n">
        <v>550</v>
      </c>
      <c r="E1965" s="15" t="n">
        <v>20</v>
      </c>
      <c r="F1965" s="16" t="n">
        <v>0.625815269639401</v>
      </c>
      <c r="G1965" s="17" t="s">
        <v>89</v>
      </c>
      <c r="H1965" s="18" t="n">
        <v>0.3</v>
      </c>
      <c r="I1965" s="18" t="n">
        <v>1</v>
      </c>
      <c r="J1965" s="19" t="n">
        <v>0.860510315346188</v>
      </c>
      <c r="K1965" s="19" t="n">
        <v>0.622123482794893</v>
      </c>
      <c r="L1965" s="16" t="n">
        <v>11.5663406501508</v>
      </c>
      <c r="M1965" s="19" t="n">
        <v>0.47979089053019</v>
      </c>
      <c r="N1965" s="19" t="n">
        <v>0.703143418266918</v>
      </c>
      <c r="O1965" s="19" t="n">
        <v>0.860510315346188</v>
      </c>
      <c r="P1965" s="19" t="n">
        <v>0.67976242839567</v>
      </c>
      <c r="Q1965" s="17" t="s">
        <v>29</v>
      </c>
      <c r="R1965" s="5" t="str">
        <f aca="false">IF(OR(Q1965="Steel plate",Q1965="Concrete jacket"),"Steel plate or jacket",Q1965)</f>
        <v>Monitor</v>
      </c>
      <c r="S1965" s="5" t="str">
        <f aca="false">IF(O1965&lt;='Tree rules'!$C$4,IF(N1965&lt;='Tree rules'!$C$5,IF(P1965&lt;='Tree rules'!$C$6,"Monitor","Polymer laminate"),IF(P1965&lt;='Tree rules'!$C$7,"Seal cracks","Polymer laminate")),IF(O1965&lt;='Tree rules'!$C$8,IF(M1965&lt;='Tree rules'!$C$9,"Steel plate or jacket","Polymer laminate"),IF(L1965&lt;='Tree rules'!$C$10,"Steel plate or jacket","Polymer laminate")))</f>
        <v>Monitor</v>
      </c>
      <c r="T1965" s="5" t="str">
        <f aca="false">IF(S1965=R1965,"Yes","No")</f>
        <v>Yes</v>
      </c>
    </row>
    <row r="1966" customFormat="false" ht="15" hidden="false" customHeight="false" outlineLevel="0" collapsed="false">
      <c r="A1966" s="15" t="n">
        <v>2809</v>
      </c>
      <c r="B1966" s="16" t="n">
        <v>7.10105400588582</v>
      </c>
      <c r="C1966" s="15" t="n">
        <v>300</v>
      </c>
      <c r="D1966" s="15" t="n">
        <v>600</v>
      </c>
      <c r="E1966" s="15" t="n">
        <v>30</v>
      </c>
      <c r="F1966" s="16" t="n">
        <v>0.725855342345656</v>
      </c>
      <c r="G1966" s="17" t="s">
        <v>91</v>
      </c>
      <c r="H1966" s="18" t="n">
        <v>0.2</v>
      </c>
      <c r="I1966" s="18" t="n">
        <v>1.5</v>
      </c>
      <c r="J1966" s="19" t="n">
        <v>0.914559053798158</v>
      </c>
      <c r="K1966" s="19" t="n">
        <v>0.455773520408479</v>
      </c>
      <c r="L1966" s="16" t="n">
        <v>12.8177870142343</v>
      </c>
      <c r="M1966" s="19" t="n">
        <v>0.683917201417487</v>
      </c>
      <c r="N1966" s="19" t="n">
        <v>1.08484400020435</v>
      </c>
      <c r="O1966" s="19" t="n">
        <v>1.16342268091172</v>
      </c>
      <c r="P1966" s="19" t="n">
        <v>0.588704287851636</v>
      </c>
      <c r="Q1966" s="17" t="s">
        <v>31</v>
      </c>
      <c r="R1966" s="5" t="str">
        <f aca="false">IF(OR(Q1966="Steel plate",Q1966="Concrete jacket"),"Steel plate or jacket",Q1966)</f>
        <v>Polymer laminate</v>
      </c>
      <c r="S1966" s="5" t="str">
        <f aca="false">IF(O1966&lt;='Tree rules'!$C$4,IF(N1966&lt;='Tree rules'!$C$5,IF(P1966&lt;='Tree rules'!$C$6,"Monitor","Polymer laminate"),IF(P1966&lt;='Tree rules'!$C$7,"Seal cracks","Polymer laminate")),IF(O1966&lt;='Tree rules'!$C$8,IF(M1966&lt;='Tree rules'!$C$9,"Steel plate or jacket","Polymer laminate"),IF(L1966&lt;='Tree rules'!$C$10,"Steel plate or jacket","Polymer laminate")))</f>
        <v>Polymer laminate</v>
      </c>
      <c r="T1966" s="5" t="str">
        <f aca="false">IF(S1966=R1966,"Yes","No")</f>
        <v>Yes</v>
      </c>
    </row>
    <row r="1967" customFormat="false" ht="15" hidden="false" customHeight="false" outlineLevel="0" collapsed="false">
      <c r="A1967" s="15" t="n">
        <v>2810</v>
      </c>
      <c r="B1967" s="16" t="n">
        <v>6.22803457041514</v>
      </c>
      <c r="C1967" s="15" t="n">
        <v>300</v>
      </c>
      <c r="D1967" s="15" t="n">
        <v>500</v>
      </c>
      <c r="E1967" s="15" t="n">
        <v>25</v>
      </c>
      <c r="F1967" s="16" t="n">
        <v>0.590490249132883</v>
      </c>
      <c r="G1967" s="17" t="s">
        <v>89</v>
      </c>
      <c r="H1967" s="18" t="n">
        <v>0.3</v>
      </c>
      <c r="I1967" s="18" t="n">
        <v>1</v>
      </c>
      <c r="J1967" s="19" t="n">
        <v>0.861509753773709</v>
      </c>
      <c r="K1967" s="19" t="n">
        <v>0.574459187565945</v>
      </c>
      <c r="L1967" s="16" t="n">
        <v>13.7181378202977</v>
      </c>
      <c r="M1967" s="19" t="n">
        <v>0.75993188615282</v>
      </c>
      <c r="N1967" s="19" t="n">
        <v>0.567822794947793</v>
      </c>
      <c r="O1967" s="19" t="n">
        <v>0.861509753773709</v>
      </c>
      <c r="P1967" s="19" t="n">
        <v>0.449221401868587</v>
      </c>
      <c r="Q1967" s="17" t="s">
        <v>29</v>
      </c>
      <c r="R1967" s="5" t="str">
        <f aca="false">IF(OR(Q1967="Steel plate",Q1967="Concrete jacket"),"Steel plate or jacket",Q1967)</f>
        <v>Monitor</v>
      </c>
      <c r="S1967" s="5" t="str">
        <f aca="false">IF(O1967&lt;='Tree rules'!$C$4,IF(N1967&lt;='Tree rules'!$C$5,IF(P1967&lt;='Tree rules'!$C$6,"Monitor","Polymer laminate"),IF(P1967&lt;='Tree rules'!$C$7,"Seal cracks","Polymer laminate")),IF(O1967&lt;='Tree rules'!$C$8,IF(M1967&lt;='Tree rules'!$C$9,"Steel plate or jacket","Polymer laminate"),IF(L1967&lt;='Tree rules'!$C$10,"Steel plate or jacket","Polymer laminate")))</f>
        <v>Monitor</v>
      </c>
      <c r="T1967" s="5" t="str">
        <f aca="false">IF(S1967=R1967,"Yes","No")</f>
        <v>Yes</v>
      </c>
    </row>
    <row r="1968" customFormat="false" ht="15" hidden="false" customHeight="false" outlineLevel="0" collapsed="false">
      <c r="A1968" s="15" t="n">
        <v>2811</v>
      </c>
      <c r="B1968" s="16" t="n">
        <v>5.42844379060489</v>
      </c>
      <c r="C1968" s="15" t="n">
        <v>230</v>
      </c>
      <c r="D1968" s="15" t="n">
        <v>525</v>
      </c>
      <c r="E1968" s="15" t="n">
        <v>25</v>
      </c>
      <c r="F1968" s="16" t="n">
        <v>0.730006099046008</v>
      </c>
      <c r="G1968" s="17" t="s">
        <v>89</v>
      </c>
      <c r="H1968" s="18" t="n">
        <v>0.3</v>
      </c>
      <c r="I1968" s="18" t="n">
        <v>1</v>
      </c>
      <c r="J1968" s="19" t="n">
        <v>0.972838946598609</v>
      </c>
      <c r="K1968" s="19" t="n">
        <v>0.415783084236361</v>
      </c>
      <c r="L1968" s="16" t="n">
        <v>11.3328680388411</v>
      </c>
      <c r="M1968" s="19" t="n">
        <v>0.469806403885995</v>
      </c>
      <c r="N1968" s="19" t="n">
        <v>0.639669784472729</v>
      </c>
      <c r="O1968" s="19" t="n">
        <v>0.972838946598609</v>
      </c>
      <c r="P1968" s="19" t="n">
        <v>0.675246352318704</v>
      </c>
      <c r="Q1968" s="17" t="s">
        <v>29</v>
      </c>
      <c r="R1968" s="5" t="str">
        <f aca="false">IF(OR(Q1968="Steel plate",Q1968="Concrete jacket"),"Steel plate or jacket",Q1968)</f>
        <v>Monitor</v>
      </c>
      <c r="S1968" s="5" t="str">
        <f aca="false">IF(O1968&lt;='Tree rules'!$C$4,IF(N1968&lt;='Tree rules'!$C$5,IF(P1968&lt;='Tree rules'!$C$6,"Monitor","Polymer laminate"),IF(P1968&lt;='Tree rules'!$C$7,"Seal cracks","Polymer laminate")),IF(O1968&lt;='Tree rules'!$C$8,IF(M1968&lt;='Tree rules'!$C$9,"Steel plate or jacket","Polymer laminate"),IF(L1968&lt;='Tree rules'!$C$10,"Steel plate or jacket","Polymer laminate")))</f>
        <v>Monitor</v>
      </c>
      <c r="T1968" s="5" t="str">
        <f aca="false">IF(S1968=R1968,"Yes","No")</f>
        <v>Yes</v>
      </c>
    </row>
    <row r="1969" customFormat="false" ht="15" hidden="false" customHeight="false" outlineLevel="0" collapsed="false">
      <c r="A1969" s="15" t="n">
        <v>2812</v>
      </c>
      <c r="B1969" s="16" t="n">
        <v>4.63738847981512</v>
      </c>
      <c r="C1969" s="15" t="n">
        <v>300</v>
      </c>
      <c r="D1969" s="15" t="n">
        <v>375</v>
      </c>
      <c r="E1969" s="15" t="n">
        <v>30</v>
      </c>
      <c r="F1969" s="16" t="n">
        <v>0.569472988566126</v>
      </c>
      <c r="G1969" s="17" t="s">
        <v>89</v>
      </c>
      <c r="H1969" s="18" t="n">
        <v>0.3</v>
      </c>
      <c r="I1969" s="18" t="n">
        <v>2</v>
      </c>
      <c r="J1969" s="19" t="n">
        <v>0.894107839592792</v>
      </c>
      <c r="K1969" s="19" t="n">
        <v>0.421513308967632</v>
      </c>
      <c r="L1969" s="16" t="n">
        <v>14.0102370991393</v>
      </c>
      <c r="M1969" s="19" t="n">
        <v>0.94552920155063</v>
      </c>
      <c r="N1969" s="19" t="n">
        <v>0.906591829706288</v>
      </c>
      <c r="O1969" s="19" t="n">
        <v>1.41133732514493</v>
      </c>
      <c r="P1969" s="19" t="n">
        <v>0.37493575760793</v>
      </c>
      <c r="Q1969" s="17" t="s">
        <v>31</v>
      </c>
      <c r="R1969" s="5" t="str">
        <f aca="false">IF(OR(Q1969="Steel plate",Q1969="Concrete jacket"),"Steel plate or jacket",Q1969)</f>
        <v>Polymer laminate</v>
      </c>
      <c r="S1969" s="5" t="str">
        <f aca="false">IF(O1969&lt;='Tree rules'!$C$4,IF(N1969&lt;='Tree rules'!$C$5,IF(P1969&lt;='Tree rules'!$C$6,"Monitor","Polymer laminate"),IF(P1969&lt;='Tree rules'!$C$7,"Seal cracks","Polymer laminate")),IF(O1969&lt;='Tree rules'!$C$8,IF(M1969&lt;='Tree rules'!$C$9,"Steel plate or jacket","Polymer laminate"),IF(L1969&lt;='Tree rules'!$C$10,"Steel plate or jacket","Polymer laminate")))</f>
        <v>Polymer laminate</v>
      </c>
      <c r="T1969" s="5" t="str">
        <f aca="false">IF(S1969=R1969,"Yes","No")</f>
        <v>Yes</v>
      </c>
    </row>
    <row r="1970" customFormat="false" ht="15" hidden="false" customHeight="false" outlineLevel="0" collapsed="false">
      <c r="A1970" s="15" t="n">
        <v>2815</v>
      </c>
      <c r="B1970" s="16" t="n">
        <v>4.48445296695942</v>
      </c>
      <c r="C1970" s="15" t="n">
        <v>300</v>
      </c>
      <c r="D1970" s="15" t="n">
        <v>425</v>
      </c>
      <c r="E1970" s="15" t="n">
        <v>30</v>
      </c>
      <c r="F1970" s="16" t="n">
        <v>0.833313701217452</v>
      </c>
      <c r="G1970" s="17" t="s">
        <v>91</v>
      </c>
      <c r="H1970" s="18" t="n">
        <v>0.2</v>
      </c>
      <c r="I1970" s="18" t="n">
        <v>1</v>
      </c>
      <c r="J1970" s="19" t="n">
        <v>0.913664511888811</v>
      </c>
      <c r="K1970" s="19" t="n">
        <v>0.41038178755482</v>
      </c>
      <c r="L1970" s="16" t="n">
        <v>11.8951007081152</v>
      </c>
      <c r="M1970" s="19" t="n">
        <v>0.851218024478244</v>
      </c>
      <c r="N1970" s="19" t="n">
        <v>1.07827958239678</v>
      </c>
      <c r="O1970" s="19" t="n">
        <v>0.913664511888811</v>
      </c>
      <c r="P1970" s="19" t="n">
        <v>0.382333383034175</v>
      </c>
      <c r="Q1970" s="17" t="s">
        <v>30</v>
      </c>
      <c r="R1970" s="5" t="str">
        <f aca="false">IF(OR(Q1970="Steel plate",Q1970="Concrete jacket"),"Steel plate or jacket",Q1970)</f>
        <v>Seal cracks</v>
      </c>
      <c r="S1970" s="5" t="str">
        <f aca="false">IF(O1970&lt;='Tree rules'!$C$4,IF(N1970&lt;='Tree rules'!$C$5,IF(P1970&lt;='Tree rules'!$C$6,"Monitor","Polymer laminate"),IF(P1970&lt;='Tree rules'!$C$7,"Seal cracks","Polymer laminate")),IF(O1970&lt;='Tree rules'!$C$8,IF(M1970&lt;='Tree rules'!$C$9,"Steel plate or jacket","Polymer laminate"),IF(L1970&lt;='Tree rules'!$C$10,"Steel plate or jacket","Polymer laminate")))</f>
        <v>Seal cracks</v>
      </c>
      <c r="T1970" s="5" t="str">
        <f aca="false">IF(S1970=R1970,"Yes","No")</f>
        <v>Yes</v>
      </c>
    </row>
    <row r="1971" customFormat="false" ht="15" hidden="false" customHeight="false" outlineLevel="0" collapsed="false">
      <c r="A1971" s="15" t="n">
        <v>2816</v>
      </c>
      <c r="B1971" s="16" t="n">
        <v>4.95435656957789</v>
      </c>
      <c r="C1971" s="15" t="n">
        <v>230</v>
      </c>
      <c r="D1971" s="15" t="n">
        <v>500</v>
      </c>
      <c r="E1971" s="15" t="n">
        <v>25</v>
      </c>
      <c r="F1971" s="16" t="n">
        <v>0.937695548778169</v>
      </c>
      <c r="G1971" s="17" t="s">
        <v>90</v>
      </c>
      <c r="H1971" s="18" t="n">
        <v>0.1</v>
      </c>
      <c r="I1971" s="18" t="n">
        <v>1.5</v>
      </c>
      <c r="J1971" s="19" t="n">
        <v>0.926230598030702</v>
      </c>
      <c r="K1971" s="19" t="n">
        <v>0.429247235128246</v>
      </c>
      <c r="L1971" s="16" t="n">
        <v>11.3372003880501</v>
      </c>
      <c r="M1971" s="19" t="n">
        <v>0.955248561178536</v>
      </c>
      <c r="N1971" s="19" t="n">
        <v>3.06196290739192</v>
      </c>
      <c r="O1971" s="19" t="n">
        <v>1.19055493539812</v>
      </c>
      <c r="P1971" s="19" t="n">
        <v>0.429659482103608</v>
      </c>
      <c r="Q1971" s="17" t="s">
        <v>31</v>
      </c>
      <c r="R1971" s="5" t="str">
        <f aca="false">IF(OR(Q1971="Steel plate",Q1971="Concrete jacket"),"Steel plate or jacket",Q1971)</f>
        <v>Polymer laminate</v>
      </c>
      <c r="S1971" s="5" t="str">
        <f aca="false">IF(O1971&lt;='Tree rules'!$C$4,IF(N1971&lt;='Tree rules'!$C$5,IF(P1971&lt;='Tree rules'!$C$6,"Monitor","Polymer laminate"),IF(P1971&lt;='Tree rules'!$C$7,"Seal cracks","Polymer laminate")),IF(O1971&lt;='Tree rules'!$C$8,IF(M1971&lt;='Tree rules'!$C$9,"Steel plate or jacket","Polymer laminate"),IF(L1971&lt;='Tree rules'!$C$10,"Steel plate or jacket","Polymer laminate")))</f>
        <v>Polymer laminate</v>
      </c>
      <c r="T1971" s="5" t="str">
        <f aca="false">IF(S1971=R1971,"Yes","No")</f>
        <v>Yes</v>
      </c>
    </row>
    <row r="1972" customFormat="false" ht="15" hidden="false" customHeight="false" outlineLevel="0" collapsed="false">
      <c r="A1972" s="15" t="n">
        <v>2817</v>
      </c>
      <c r="B1972" s="16" t="n">
        <v>5.15304991472834</v>
      </c>
      <c r="C1972" s="15" t="n">
        <v>300</v>
      </c>
      <c r="D1972" s="15" t="n">
        <v>425</v>
      </c>
      <c r="E1972" s="15" t="n">
        <v>25</v>
      </c>
      <c r="F1972" s="16" t="n">
        <v>0.707341881547042</v>
      </c>
      <c r="G1972" s="17" t="s">
        <v>91</v>
      </c>
      <c r="H1972" s="18" t="n">
        <v>0.2</v>
      </c>
      <c r="I1972" s="18" t="n">
        <v>2</v>
      </c>
      <c r="J1972" s="19" t="n">
        <v>0.944427463291548</v>
      </c>
      <c r="K1972" s="19" t="n">
        <v>0.410420641642151</v>
      </c>
      <c r="L1972" s="16" t="n">
        <v>13.5964377697318</v>
      </c>
      <c r="M1972" s="19" t="n">
        <v>0.455018991168222</v>
      </c>
      <c r="N1972" s="19" t="n">
        <v>1.68189657448414</v>
      </c>
      <c r="O1972" s="19" t="n">
        <v>1.50124240111451</v>
      </c>
      <c r="P1972" s="19" t="n">
        <v>0.986421317747227</v>
      </c>
      <c r="Q1972" s="17" t="s">
        <v>31</v>
      </c>
      <c r="R1972" s="5" t="str">
        <f aca="false">IF(OR(Q1972="Steel plate",Q1972="Concrete jacket"),"Steel plate or jacket",Q1972)</f>
        <v>Polymer laminate</v>
      </c>
      <c r="S1972" s="5" t="str">
        <f aca="false">IF(O1972&lt;='Tree rules'!$C$4,IF(N1972&lt;='Tree rules'!$C$5,IF(P1972&lt;='Tree rules'!$C$6,"Monitor","Polymer laminate"),IF(P1972&lt;='Tree rules'!$C$7,"Seal cracks","Polymer laminate")),IF(O1972&lt;='Tree rules'!$C$8,IF(M1972&lt;='Tree rules'!$C$9,"Steel plate or jacket","Polymer laminate"),IF(L1972&lt;='Tree rules'!$C$10,"Steel plate or jacket","Polymer laminate")))</f>
        <v>Polymer laminate</v>
      </c>
      <c r="T1972" s="5" t="str">
        <f aca="false">IF(S1972=R1972,"Yes","No")</f>
        <v>Yes</v>
      </c>
    </row>
    <row r="1973" customFormat="false" ht="15" hidden="false" customHeight="false" outlineLevel="0" collapsed="false">
      <c r="A1973" s="15" t="n">
        <v>2819</v>
      </c>
      <c r="B1973" s="16" t="n">
        <v>6.31018212381416</v>
      </c>
      <c r="C1973" s="15" t="n">
        <v>230</v>
      </c>
      <c r="D1973" s="15" t="n">
        <v>600</v>
      </c>
      <c r="E1973" s="15" t="n">
        <v>25</v>
      </c>
      <c r="F1973" s="16" t="n">
        <v>0.742342309449384</v>
      </c>
      <c r="G1973" s="17" t="s">
        <v>89</v>
      </c>
      <c r="H1973" s="18" t="n">
        <v>0.3</v>
      </c>
      <c r="I1973" s="18" t="n">
        <v>1</v>
      </c>
      <c r="J1973" s="19" t="n">
        <v>0.873995763985487</v>
      </c>
      <c r="K1973" s="19" t="n">
        <v>0.550105179984819</v>
      </c>
      <c r="L1973" s="16" t="n">
        <v>11.4314893547358</v>
      </c>
      <c r="M1973" s="19" t="n">
        <v>0.385381976132064</v>
      </c>
      <c r="N1973" s="19" t="n">
        <v>0.632027341464647</v>
      </c>
      <c r="O1973" s="19" t="n">
        <v>0.873995763985487</v>
      </c>
      <c r="P1973" s="19" t="n">
        <v>0.860033005539878</v>
      </c>
      <c r="Q1973" s="17" t="s">
        <v>29</v>
      </c>
      <c r="R1973" s="5" t="str">
        <f aca="false">IF(OR(Q1973="Steel plate",Q1973="Concrete jacket"),"Steel plate or jacket",Q1973)</f>
        <v>Monitor</v>
      </c>
      <c r="S1973" s="5" t="str">
        <f aca="false">IF(O1973&lt;='Tree rules'!$C$4,IF(N1973&lt;='Tree rules'!$C$5,IF(P1973&lt;='Tree rules'!$C$6,"Monitor","Polymer laminate"),IF(P1973&lt;='Tree rules'!$C$7,"Seal cracks","Polymer laminate")),IF(O1973&lt;='Tree rules'!$C$8,IF(M1973&lt;='Tree rules'!$C$9,"Steel plate or jacket","Polymer laminate"),IF(L1973&lt;='Tree rules'!$C$10,"Steel plate or jacket","Polymer laminate")))</f>
        <v>Monitor</v>
      </c>
      <c r="T1973" s="5" t="str">
        <f aca="false">IF(S1973=R1973,"Yes","No")</f>
        <v>Yes</v>
      </c>
    </row>
    <row r="1974" customFormat="false" ht="15" hidden="false" customHeight="false" outlineLevel="0" collapsed="false">
      <c r="A1974" s="15" t="n">
        <v>2823</v>
      </c>
      <c r="B1974" s="16" t="n">
        <v>6.05360480312206</v>
      </c>
      <c r="C1974" s="15" t="n">
        <v>300</v>
      </c>
      <c r="D1974" s="15" t="n">
        <v>500</v>
      </c>
      <c r="E1974" s="15" t="n">
        <v>25</v>
      </c>
      <c r="F1974" s="16" t="n">
        <v>0.695042622475618</v>
      </c>
      <c r="G1974" s="17" t="s">
        <v>91</v>
      </c>
      <c r="H1974" s="18" t="n">
        <v>0.2</v>
      </c>
      <c r="I1974" s="18" t="n">
        <v>1.5</v>
      </c>
      <c r="J1974" s="19" t="n">
        <v>0.885979650614697</v>
      </c>
      <c r="K1974" s="19" t="n">
        <v>0.54761196124891</v>
      </c>
      <c r="L1974" s="16" t="n">
        <v>13.3929309803586</v>
      </c>
      <c r="M1974" s="19" t="n">
        <v>0.787677443450841</v>
      </c>
      <c r="N1974" s="19" t="n">
        <v>1.28880556589666</v>
      </c>
      <c r="O1974" s="19" t="n">
        <v>1.08638294887218</v>
      </c>
      <c r="P1974" s="19" t="n">
        <v>0.53288045717353</v>
      </c>
      <c r="Q1974" s="17" t="s">
        <v>31</v>
      </c>
      <c r="R1974" s="5" t="str">
        <f aca="false">IF(OR(Q1974="Steel plate",Q1974="Concrete jacket"),"Steel plate or jacket",Q1974)</f>
        <v>Polymer laminate</v>
      </c>
      <c r="S1974" s="5" t="str">
        <f aca="false">IF(O1974&lt;='Tree rules'!$C$4,IF(N1974&lt;='Tree rules'!$C$5,IF(P1974&lt;='Tree rules'!$C$6,"Monitor","Polymer laminate"),IF(P1974&lt;='Tree rules'!$C$7,"Seal cracks","Polymer laminate")),IF(O1974&lt;='Tree rules'!$C$8,IF(M1974&lt;='Tree rules'!$C$9,"Steel plate or jacket","Polymer laminate"),IF(L1974&lt;='Tree rules'!$C$10,"Steel plate or jacket","Polymer laminate")))</f>
        <v>Polymer laminate</v>
      </c>
      <c r="T1974" s="5" t="str">
        <f aca="false">IF(S1974=R1974,"Yes","No")</f>
        <v>Yes</v>
      </c>
    </row>
    <row r="1975" customFormat="false" ht="15" hidden="false" customHeight="false" outlineLevel="0" collapsed="false">
      <c r="A1975" s="15" t="n">
        <v>2825</v>
      </c>
      <c r="B1975" s="16" t="n">
        <v>7.24777461814205</v>
      </c>
      <c r="C1975" s="15" t="n">
        <v>230</v>
      </c>
      <c r="D1975" s="15" t="n">
        <v>700</v>
      </c>
      <c r="E1975" s="15" t="n">
        <v>30</v>
      </c>
      <c r="F1975" s="16" t="n">
        <v>0.628486127018497</v>
      </c>
      <c r="G1975" s="17" t="s">
        <v>89</v>
      </c>
      <c r="H1975" s="18" t="n">
        <v>0.3</v>
      </c>
      <c r="I1975" s="18" t="n">
        <v>2</v>
      </c>
      <c r="J1975" s="19" t="n">
        <v>0.974853196069967</v>
      </c>
      <c r="K1975" s="19" t="n">
        <v>0.498196571338213</v>
      </c>
      <c r="L1975" s="16" t="n">
        <v>11.1162187394817</v>
      </c>
      <c r="M1975" s="19" t="n">
        <v>0.753741846639904</v>
      </c>
      <c r="N1975" s="19" t="n">
        <v>1.01303953077014</v>
      </c>
      <c r="O1975" s="19" t="n">
        <v>1.46403787229978</v>
      </c>
      <c r="P1975" s="19" t="n">
        <v>0.511057889101904</v>
      </c>
      <c r="Q1975" s="17" t="s">
        <v>92</v>
      </c>
      <c r="R1975" s="5" t="str">
        <f aca="false">IF(OR(Q1975="Steel plate",Q1975="Concrete jacket"),"Steel plate or jacket",Q1975)</f>
        <v>Steel plate or jacket</v>
      </c>
      <c r="S1975" s="5" t="str">
        <f aca="false">IF(O1975&lt;='Tree rules'!$C$4,IF(N1975&lt;='Tree rules'!$C$5,IF(P1975&lt;='Tree rules'!$C$6,"Monitor","Polymer laminate"),IF(P1975&lt;='Tree rules'!$C$7,"Seal cracks","Polymer laminate")),IF(O1975&lt;='Tree rules'!$C$8,IF(M1975&lt;='Tree rules'!$C$9,"Steel plate or jacket","Polymer laminate"),IF(L1975&lt;='Tree rules'!$C$10,"Steel plate or jacket","Polymer laminate")))</f>
        <v>Steel plate or jacket</v>
      </c>
      <c r="T1975" s="5" t="str">
        <f aca="false">IF(S1975=R1975,"Yes","No")</f>
        <v>Yes</v>
      </c>
    </row>
    <row r="1976" customFormat="false" ht="15" hidden="false" customHeight="false" outlineLevel="0" collapsed="false">
      <c r="A1976" s="15" t="n">
        <v>2826</v>
      </c>
      <c r="B1976" s="16" t="n">
        <v>3.56237988955371</v>
      </c>
      <c r="C1976" s="15" t="n">
        <v>300</v>
      </c>
      <c r="D1976" s="15" t="n">
        <v>300</v>
      </c>
      <c r="E1976" s="15" t="n">
        <v>25</v>
      </c>
      <c r="F1976" s="16" t="n">
        <v>0.52772160060301</v>
      </c>
      <c r="G1976" s="17" t="s">
        <v>89</v>
      </c>
      <c r="H1976" s="18" t="n">
        <v>0.3</v>
      </c>
      <c r="I1976" s="18" t="n">
        <v>2</v>
      </c>
      <c r="J1976" s="19" t="n">
        <v>0.990799747613854</v>
      </c>
      <c r="K1976" s="19" t="n">
        <v>0.6205283330813</v>
      </c>
      <c r="L1976" s="16" t="n">
        <v>14.0251176754083</v>
      </c>
      <c r="M1976" s="19" t="n">
        <v>0.747001736942944</v>
      </c>
      <c r="N1976" s="19" t="n">
        <v>1.4488411814648</v>
      </c>
      <c r="O1976" s="19" t="n">
        <v>1.36678017942351</v>
      </c>
      <c r="P1976" s="19" t="n">
        <v>0.468255746765367</v>
      </c>
      <c r="Q1976" s="17" t="s">
        <v>31</v>
      </c>
      <c r="R1976" s="5" t="str">
        <f aca="false">IF(OR(Q1976="Steel plate",Q1976="Concrete jacket"),"Steel plate or jacket",Q1976)</f>
        <v>Polymer laminate</v>
      </c>
      <c r="S1976" s="5" t="str">
        <f aca="false">IF(O1976&lt;='Tree rules'!$C$4,IF(N1976&lt;='Tree rules'!$C$5,IF(P1976&lt;='Tree rules'!$C$6,"Monitor","Polymer laminate"),IF(P1976&lt;='Tree rules'!$C$7,"Seal cracks","Polymer laminate")),IF(O1976&lt;='Tree rules'!$C$8,IF(M1976&lt;='Tree rules'!$C$9,"Steel plate or jacket","Polymer laminate"),IF(L1976&lt;='Tree rules'!$C$10,"Steel plate or jacket","Polymer laminate")))</f>
        <v>Polymer laminate</v>
      </c>
      <c r="T1976" s="5" t="str">
        <f aca="false">IF(S1976=R1976,"Yes","No")</f>
        <v>Yes</v>
      </c>
    </row>
    <row r="1977" customFormat="false" ht="15" hidden="false" customHeight="false" outlineLevel="0" collapsed="false">
      <c r="A1977" s="15" t="n">
        <v>2828</v>
      </c>
      <c r="B1977" s="16" t="n">
        <v>5.3640822689673</v>
      </c>
      <c r="C1977" s="15" t="n">
        <v>300</v>
      </c>
      <c r="D1977" s="15" t="n">
        <v>500</v>
      </c>
      <c r="E1977" s="15" t="n">
        <v>20</v>
      </c>
      <c r="F1977" s="16" t="n">
        <v>0.590490249132883</v>
      </c>
      <c r="G1977" s="17" t="s">
        <v>89</v>
      </c>
      <c r="H1977" s="18" t="n">
        <v>0.3</v>
      </c>
      <c r="I1977" s="18" t="n">
        <v>1</v>
      </c>
      <c r="J1977" s="19" t="n">
        <v>0.996085263828619</v>
      </c>
      <c r="K1977" s="19" t="n">
        <v>0.512026283480491</v>
      </c>
      <c r="L1977" s="16" t="n">
        <v>11.8151591827474</v>
      </c>
      <c r="M1977" s="19" t="n">
        <v>0.530486567228389</v>
      </c>
      <c r="N1977" s="19" t="n">
        <v>0.702895960788424</v>
      </c>
      <c r="O1977" s="19" t="n">
        <v>0.996085263828619</v>
      </c>
      <c r="P1977" s="19" t="n">
        <v>0.626990800724335</v>
      </c>
      <c r="Q1977" s="17" t="s">
        <v>29</v>
      </c>
      <c r="R1977" s="5" t="str">
        <f aca="false">IF(OR(Q1977="Steel plate",Q1977="Concrete jacket"),"Steel plate or jacket",Q1977)</f>
        <v>Monitor</v>
      </c>
      <c r="S1977" s="5" t="str">
        <f aca="false">IF(O1977&lt;='Tree rules'!$C$4,IF(N1977&lt;='Tree rules'!$C$5,IF(P1977&lt;='Tree rules'!$C$6,"Monitor","Polymer laminate"),IF(P1977&lt;='Tree rules'!$C$7,"Seal cracks","Polymer laminate")),IF(O1977&lt;='Tree rules'!$C$8,IF(M1977&lt;='Tree rules'!$C$9,"Steel plate or jacket","Polymer laminate"),IF(L1977&lt;='Tree rules'!$C$10,"Steel plate or jacket","Polymer laminate")))</f>
        <v>Monitor</v>
      </c>
      <c r="T1977" s="5" t="str">
        <f aca="false">IF(S1977=R1977,"Yes","No")</f>
        <v>Yes</v>
      </c>
    </row>
    <row r="1978" customFormat="false" ht="15" hidden="false" customHeight="false" outlineLevel="0" collapsed="false">
      <c r="A1978" s="15" t="n">
        <v>2830</v>
      </c>
      <c r="B1978" s="16" t="n">
        <v>3.07340672052907</v>
      </c>
      <c r="C1978" s="15" t="n">
        <v>230</v>
      </c>
      <c r="D1978" s="15" t="n">
        <v>300</v>
      </c>
      <c r="E1978" s="15" t="n">
        <v>30</v>
      </c>
      <c r="F1978" s="16" t="n">
        <v>1.0324987837885</v>
      </c>
      <c r="G1978" s="17" t="s">
        <v>89</v>
      </c>
      <c r="H1978" s="18" t="n">
        <v>0.3</v>
      </c>
      <c r="I1978" s="18" t="n">
        <v>1</v>
      </c>
      <c r="J1978" s="19" t="n">
        <v>0.850692322111196</v>
      </c>
      <c r="K1978" s="19" t="n">
        <v>0.608785504146682</v>
      </c>
      <c r="L1978" s="16" t="n">
        <v>12.1000264587759</v>
      </c>
      <c r="M1978" s="19" t="n">
        <v>0.947868312928074</v>
      </c>
      <c r="N1978" s="19" t="n">
        <v>0.593552446648884</v>
      </c>
      <c r="O1978" s="19" t="n">
        <v>0.850692322111196</v>
      </c>
      <c r="P1978" s="19" t="n">
        <v>0.398239401405341</v>
      </c>
      <c r="Q1978" s="17" t="s">
        <v>29</v>
      </c>
      <c r="R1978" s="5" t="str">
        <f aca="false">IF(OR(Q1978="Steel plate",Q1978="Concrete jacket"),"Steel plate or jacket",Q1978)</f>
        <v>Monitor</v>
      </c>
      <c r="S1978" s="5" t="str">
        <f aca="false">IF(O1978&lt;='Tree rules'!$C$4,IF(N1978&lt;='Tree rules'!$C$5,IF(P1978&lt;='Tree rules'!$C$6,"Monitor","Polymer laminate"),IF(P1978&lt;='Tree rules'!$C$7,"Seal cracks","Polymer laminate")),IF(O1978&lt;='Tree rules'!$C$8,IF(M1978&lt;='Tree rules'!$C$9,"Steel plate or jacket","Polymer laminate"),IF(L1978&lt;='Tree rules'!$C$10,"Steel plate or jacket","Polymer laminate")))</f>
        <v>Monitor</v>
      </c>
      <c r="T1978" s="5" t="str">
        <f aca="false">IF(S1978=R1978,"Yes","No")</f>
        <v>Yes</v>
      </c>
    </row>
    <row r="1979" customFormat="false" ht="15" hidden="false" customHeight="false" outlineLevel="0" collapsed="false">
      <c r="A1979" s="15" t="n">
        <v>2831</v>
      </c>
      <c r="B1979" s="16" t="n">
        <v>3.22337777741334</v>
      </c>
      <c r="C1979" s="15" t="n">
        <v>300</v>
      </c>
      <c r="D1979" s="15" t="n">
        <v>300</v>
      </c>
      <c r="E1979" s="15" t="n">
        <v>20</v>
      </c>
      <c r="F1979" s="16" t="n">
        <v>0.736310778185108</v>
      </c>
      <c r="G1979" s="17" t="s">
        <v>89</v>
      </c>
      <c r="H1979" s="18" t="n">
        <v>0.3</v>
      </c>
      <c r="I1979" s="18" t="n">
        <v>2</v>
      </c>
      <c r="J1979" s="19" t="n">
        <v>0.903928870971595</v>
      </c>
      <c r="K1979" s="19" t="n">
        <v>0.410934270288292</v>
      </c>
      <c r="L1979" s="16" t="n">
        <v>12.5913194430209</v>
      </c>
      <c r="M1979" s="19" t="n">
        <v>0.84865059020144</v>
      </c>
      <c r="N1979" s="19" t="n">
        <v>0.959832395503815</v>
      </c>
      <c r="O1979" s="19" t="n">
        <v>1.43640239095796</v>
      </c>
      <c r="P1979" s="19" t="n">
        <v>0.479857353277669</v>
      </c>
      <c r="Q1979" s="17" t="s">
        <v>31</v>
      </c>
      <c r="R1979" s="5" t="str">
        <f aca="false">IF(OR(Q1979="Steel plate",Q1979="Concrete jacket"),"Steel plate or jacket",Q1979)</f>
        <v>Polymer laminate</v>
      </c>
      <c r="S1979" s="5" t="str">
        <f aca="false">IF(O1979&lt;='Tree rules'!$C$4,IF(N1979&lt;='Tree rules'!$C$5,IF(P1979&lt;='Tree rules'!$C$6,"Monitor","Polymer laminate"),IF(P1979&lt;='Tree rules'!$C$7,"Seal cracks","Polymer laminate")),IF(O1979&lt;='Tree rules'!$C$8,IF(M1979&lt;='Tree rules'!$C$9,"Steel plate or jacket","Polymer laminate"),IF(L1979&lt;='Tree rules'!$C$10,"Steel plate or jacket","Polymer laminate")))</f>
        <v>Steel plate or jacket</v>
      </c>
      <c r="T1979" s="5" t="str">
        <f aca="false">IF(S1979=R1979,"Yes","No")</f>
        <v>No</v>
      </c>
    </row>
    <row r="1980" customFormat="false" ht="15" hidden="false" customHeight="false" outlineLevel="0" collapsed="false">
      <c r="A1980" s="15" t="n">
        <v>2832</v>
      </c>
      <c r="B1980" s="16" t="n">
        <v>4.88141627490703</v>
      </c>
      <c r="C1980" s="15" t="n">
        <v>300</v>
      </c>
      <c r="D1980" s="15" t="n">
        <v>400</v>
      </c>
      <c r="E1980" s="15" t="n">
        <v>30</v>
      </c>
      <c r="F1980" s="16" t="n">
        <v>0.529481907908392</v>
      </c>
      <c r="G1980" s="17" t="s">
        <v>91</v>
      </c>
      <c r="H1980" s="18" t="n">
        <v>0.2</v>
      </c>
      <c r="I1980" s="18" t="n">
        <v>2</v>
      </c>
      <c r="J1980" s="19" t="n">
        <v>0.997798720035146</v>
      </c>
      <c r="K1980" s="19" t="n">
        <v>0.48540766198423</v>
      </c>
      <c r="L1980" s="16" t="n">
        <v>13.71184346884</v>
      </c>
      <c r="M1980" s="19" t="n">
        <v>0.834753092953648</v>
      </c>
      <c r="N1980" s="19" t="n">
        <v>1.47984943081668</v>
      </c>
      <c r="O1980" s="19" t="n">
        <v>1.51125829624717</v>
      </c>
      <c r="P1980" s="19" t="n">
        <v>0.441730647390351</v>
      </c>
      <c r="Q1980" s="17" t="s">
        <v>31</v>
      </c>
      <c r="R1980" s="5" t="str">
        <f aca="false">IF(OR(Q1980="Steel plate",Q1980="Concrete jacket"),"Steel plate or jacket",Q1980)</f>
        <v>Polymer laminate</v>
      </c>
      <c r="S1980" s="5" t="str">
        <f aca="false">IF(O1980&lt;='Tree rules'!$C$4,IF(N1980&lt;='Tree rules'!$C$5,IF(P1980&lt;='Tree rules'!$C$6,"Monitor","Polymer laminate"),IF(P1980&lt;='Tree rules'!$C$7,"Seal cracks","Polymer laminate")),IF(O1980&lt;='Tree rules'!$C$8,IF(M1980&lt;='Tree rules'!$C$9,"Steel plate or jacket","Polymer laminate"),IF(L1980&lt;='Tree rules'!$C$10,"Steel plate or jacket","Polymer laminate")))</f>
        <v>Polymer laminate</v>
      </c>
      <c r="T1980" s="5" t="str">
        <f aca="false">IF(S1980=R1980,"Yes","No")</f>
        <v>Yes</v>
      </c>
    </row>
    <row r="1981" customFormat="false" ht="15" hidden="false" customHeight="false" outlineLevel="0" collapsed="false">
      <c r="A1981" s="15" t="n">
        <v>2833</v>
      </c>
      <c r="B1981" s="16" t="n">
        <v>4.22853732104444</v>
      </c>
      <c r="C1981" s="15" t="n">
        <v>300</v>
      </c>
      <c r="D1981" s="15" t="n">
        <v>425</v>
      </c>
      <c r="E1981" s="15" t="n">
        <v>30</v>
      </c>
      <c r="F1981" s="16" t="n">
        <v>1.06101282232056</v>
      </c>
      <c r="G1981" s="17" t="s">
        <v>91</v>
      </c>
      <c r="H1981" s="18" t="n">
        <v>0.2</v>
      </c>
      <c r="I1981" s="18" t="n">
        <v>1.5</v>
      </c>
      <c r="J1981" s="19" t="n">
        <v>0.927048153508832</v>
      </c>
      <c r="K1981" s="19" t="n">
        <v>0.454055897910092</v>
      </c>
      <c r="L1981" s="16" t="n">
        <v>11.1570905568455</v>
      </c>
      <c r="M1981" s="19" t="n">
        <v>0.873230199261615</v>
      </c>
      <c r="N1981" s="19" t="n">
        <v>1.11113692242355</v>
      </c>
      <c r="O1981" s="19" t="n">
        <v>1.18010638938958</v>
      </c>
      <c r="P1981" s="19" t="n">
        <v>0.508284069461401</v>
      </c>
      <c r="Q1981" s="17" t="s">
        <v>31</v>
      </c>
      <c r="R1981" s="5" t="str">
        <f aca="false">IF(OR(Q1981="Steel plate",Q1981="Concrete jacket"),"Steel plate or jacket",Q1981)</f>
        <v>Polymer laminate</v>
      </c>
      <c r="S1981" s="5" t="str">
        <f aca="false">IF(O1981&lt;='Tree rules'!$C$4,IF(N1981&lt;='Tree rules'!$C$5,IF(P1981&lt;='Tree rules'!$C$6,"Monitor","Polymer laminate"),IF(P1981&lt;='Tree rules'!$C$7,"Seal cracks","Polymer laminate")),IF(O1981&lt;='Tree rules'!$C$8,IF(M1981&lt;='Tree rules'!$C$9,"Steel plate or jacket","Polymer laminate"),IF(L1981&lt;='Tree rules'!$C$10,"Steel plate or jacket","Polymer laminate")))</f>
        <v>Polymer laminate</v>
      </c>
      <c r="T1981" s="5" t="str">
        <f aca="false">IF(S1981=R1981,"Yes","No")</f>
        <v>Yes</v>
      </c>
    </row>
    <row r="1982" customFormat="false" ht="15" hidden="false" customHeight="false" outlineLevel="0" collapsed="false">
      <c r="A1982" s="15" t="n">
        <v>2836</v>
      </c>
      <c r="B1982" s="16" t="n">
        <v>5.80627043240134</v>
      </c>
      <c r="C1982" s="15" t="n">
        <v>230</v>
      </c>
      <c r="D1982" s="15" t="n">
        <v>550</v>
      </c>
      <c r="E1982" s="15" t="n">
        <v>25</v>
      </c>
      <c r="F1982" s="16" t="n">
        <v>0.841422905166448</v>
      </c>
      <c r="G1982" s="17" t="s">
        <v>90</v>
      </c>
      <c r="H1982" s="18" t="n">
        <v>0.1</v>
      </c>
      <c r="I1982" s="18" t="n">
        <v>2</v>
      </c>
      <c r="J1982" s="19" t="n">
        <v>0.923686698988197</v>
      </c>
      <c r="K1982" s="19" t="n">
        <v>0.563706873359075</v>
      </c>
      <c r="L1982" s="16" t="n">
        <v>11.9225265552389</v>
      </c>
      <c r="M1982" s="19" t="n">
        <v>0.809747674129505</v>
      </c>
      <c r="N1982" s="19" t="n">
        <v>3.47130677282199</v>
      </c>
      <c r="O1982" s="19" t="n">
        <v>1.32668485692639</v>
      </c>
      <c r="P1982" s="19" t="n">
        <v>0.579861562923979</v>
      </c>
      <c r="Q1982" s="17" t="s">
        <v>31</v>
      </c>
      <c r="R1982" s="5" t="str">
        <f aca="false">IF(OR(Q1982="Steel plate",Q1982="Concrete jacket"),"Steel plate or jacket",Q1982)</f>
        <v>Polymer laminate</v>
      </c>
      <c r="S1982" s="5" t="str">
        <f aca="false">IF(O1982&lt;='Tree rules'!$C$4,IF(N1982&lt;='Tree rules'!$C$5,IF(P1982&lt;='Tree rules'!$C$6,"Monitor","Polymer laminate"),IF(P1982&lt;='Tree rules'!$C$7,"Seal cracks","Polymer laminate")),IF(O1982&lt;='Tree rules'!$C$8,IF(M1982&lt;='Tree rules'!$C$9,"Steel plate or jacket","Polymer laminate"),IF(L1982&lt;='Tree rules'!$C$10,"Steel plate or jacket","Polymer laminate")))</f>
        <v>Steel plate or jacket</v>
      </c>
      <c r="T1982" s="5" t="str">
        <f aca="false">IF(S1982=R1982,"Yes","No")</f>
        <v>No</v>
      </c>
    </row>
    <row r="1983" customFormat="false" ht="15" hidden="false" customHeight="false" outlineLevel="0" collapsed="false">
      <c r="A1983" s="15" t="n">
        <v>2837</v>
      </c>
      <c r="B1983" s="16" t="n">
        <v>3.09158208199246</v>
      </c>
      <c r="C1983" s="15" t="n">
        <v>230</v>
      </c>
      <c r="D1983" s="15" t="n">
        <v>300</v>
      </c>
      <c r="E1983" s="15" t="n">
        <v>30</v>
      </c>
      <c r="F1983" s="16" t="n">
        <v>1.08405543602132</v>
      </c>
      <c r="G1983" s="17" t="s">
        <v>91</v>
      </c>
      <c r="H1983" s="18" t="n">
        <v>0.2</v>
      </c>
      <c r="I1983" s="18" t="n">
        <v>1</v>
      </c>
      <c r="J1983" s="19" t="n">
        <v>0.889894136921237</v>
      </c>
      <c r="K1983" s="19" t="n">
        <v>0.432769647742516</v>
      </c>
      <c r="L1983" s="16" t="n">
        <v>12.2681828650495</v>
      </c>
      <c r="M1983" s="19" t="n">
        <v>0.711583779230384</v>
      </c>
      <c r="N1983" s="19" t="n">
        <v>1.21742725483355</v>
      </c>
      <c r="O1983" s="19" t="n">
        <v>0.889894136921237</v>
      </c>
      <c r="P1983" s="19" t="n">
        <v>0.481476315319047</v>
      </c>
      <c r="Q1983" s="17" t="s">
        <v>30</v>
      </c>
      <c r="R1983" s="5" t="str">
        <f aca="false">IF(OR(Q1983="Steel plate",Q1983="Concrete jacket"),"Steel plate or jacket",Q1983)</f>
        <v>Seal cracks</v>
      </c>
      <c r="S1983" s="5" t="str">
        <f aca="false">IF(O1983&lt;='Tree rules'!$C$4,IF(N1983&lt;='Tree rules'!$C$5,IF(P1983&lt;='Tree rules'!$C$6,"Monitor","Polymer laminate"),IF(P1983&lt;='Tree rules'!$C$7,"Seal cracks","Polymer laminate")),IF(O1983&lt;='Tree rules'!$C$8,IF(M1983&lt;='Tree rules'!$C$9,"Steel plate or jacket","Polymer laminate"),IF(L1983&lt;='Tree rules'!$C$10,"Steel plate or jacket","Polymer laminate")))</f>
        <v>Seal cracks</v>
      </c>
      <c r="T1983" s="5" t="str">
        <f aca="false">IF(S1983=R1983,"Yes","No")</f>
        <v>Yes</v>
      </c>
    </row>
    <row r="1984" customFormat="false" ht="15" hidden="false" customHeight="false" outlineLevel="0" collapsed="false">
      <c r="A1984" s="15" t="n">
        <v>2838</v>
      </c>
      <c r="B1984" s="16" t="n">
        <v>3.75138354117891</v>
      </c>
      <c r="C1984" s="15" t="n">
        <v>230</v>
      </c>
      <c r="D1984" s="15" t="n">
        <v>300</v>
      </c>
      <c r="E1984" s="15" t="n">
        <v>25</v>
      </c>
      <c r="F1984" s="16" t="n">
        <v>0.688332522525665</v>
      </c>
      <c r="G1984" s="17" t="s">
        <v>91</v>
      </c>
      <c r="H1984" s="18" t="n">
        <v>0.2</v>
      </c>
      <c r="I1984" s="18" t="n">
        <v>1</v>
      </c>
      <c r="J1984" s="19" t="n">
        <v>0.882925893833825</v>
      </c>
      <c r="K1984" s="19" t="n">
        <v>0.630915231926591</v>
      </c>
      <c r="L1984" s="16" t="n">
        <v>14.7692265400744</v>
      </c>
      <c r="M1984" s="19" t="n">
        <v>0.65092963734328</v>
      </c>
      <c r="N1984" s="19" t="n">
        <v>1.19045774140743</v>
      </c>
      <c r="O1984" s="19" t="n">
        <v>0.882925893833825</v>
      </c>
      <c r="P1984" s="19" t="n">
        <v>0.537618777119868</v>
      </c>
      <c r="Q1984" s="17" t="s">
        <v>30</v>
      </c>
      <c r="R1984" s="5" t="str">
        <f aca="false">IF(OR(Q1984="Steel plate",Q1984="Concrete jacket"),"Steel plate or jacket",Q1984)</f>
        <v>Seal cracks</v>
      </c>
      <c r="S1984" s="5" t="str">
        <f aca="false">IF(O1984&lt;='Tree rules'!$C$4,IF(N1984&lt;='Tree rules'!$C$5,IF(P1984&lt;='Tree rules'!$C$6,"Monitor","Polymer laminate"),IF(P1984&lt;='Tree rules'!$C$7,"Seal cracks","Polymer laminate")),IF(O1984&lt;='Tree rules'!$C$8,IF(M1984&lt;='Tree rules'!$C$9,"Steel plate or jacket","Polymer laminate"),IF(L1984&lt;='Tree rules'!$C$10,"Steel plate or jacket","Polymer laminate")))</f>
        <v>Seal cracks</v>
      </c>
      <c r="T1984" s="5" t="str">
        <f aca="false">IF(S1984=R1984,"Yes","No")</f>
        <v>Yes</v>
      </c>
    </row>
    <row r="1985" customFormat="false" ht="15" hidden="false" customHeight="false" outlineLevel="0" collapsed="false">
      <c r="A1985" s="15" t="n">
        <v>2839</v>
      </c>
      <c r="B1985" s="16" t="n">
        <v>5.63708415308689</v>
      </c>
      <c r="C1985" s="15" t="n">
        <v>230</v>
      </c>
      <c r="D1985" s="15" t="n">
        <v>500</v>
      </c>
      <c r="E1985" s="15" t="n">
        <v>30</v>
      </c>
      <c r="F1985" s="16" t="n">
        <v>0.604384889109233</v>
      </c>
      <c r="G1985" s="17" t="s">
        <v>89</v>
      </c>
      <c r="H1985" s="18" t="n">
        <v>0.3</v>
      </c>
      <c r="I1985" s="18" t="n">
        <v>1</v>
      </c>
      <c r="J1985" s="19" t="n">
        <v>0.924558993237009</v>
      </c>
      <c r="K1985" s="19" t="n">
        <v>0.586093802718313</v>
      </c>
      <c r="L1985" s="16" t="n">
        <v>12.4714251174489</v>
      </c>
      <c r="M1985" s="19" t="n">
        <v>0.799852452088512</v>
      </c>
      <c r="N1985" s="19" t="n">
        <v>0.814512218235602</v>
      </c>
      <c r="O1985" s="19" t="n">
        <v>0.924558993237009</v>
      </c>
      <c r="P1985" s="19" t="n">
        <v>0.393407629607152</v>
      </c>
      <c r="Q1985" s="17" t="s">
        <v>29</v>
      </c>
      <c r="R1985" s="5" t="str">
        <f aca="false">IF(OR(Q1985="Steel plate",Q1985="Concrete jacket"),"Steel plate or jacket",Q1985)</f>
        <v>Monitor</v>
      </c>
      <c r="S1985" s="5" t="str">
        <f aca="false">IF(O1985&lt;='Tree rules'!$C$4,IF(N1985&lt;='Tree rules'!$C$5,IF(P1985&lt;='Tree rules'!$C$6,"Monitor","Polymer laminate"),IF(P1985&lt;='Tree rules'!$C$7,"Seal cracks","Polymer laminate")),IF(O1985&lt;='Tree rules'!$C$8,IF(M1985&lt;='Tree rules'!$C$9,"Steel plate or jacket","Polymer laminate"),IF(L1985&lt;='Tree rules'!$C$10,"Steel plate or jacket","Polymer laminate")))</f>
        <v>Monitor</v>
      </c>
      <c r="T1985" s="5" t="str">
        <f aca="false">IF(S1985=R1985,"Yes","No")</f>
        <v>Yes</v>
      </c>
    </row>
    <row r="1986" customFormat="false" ht="15" hidden="false" customHeight="false" outlineLevel="0" collapsed="false">
      <c r="A1986" s="15" t="n">
        <v>2840</v>
      </c>
      <c r="B1986" s="16" t="n">
        <v>5.76540815153049</v>
      </c>
      <c r="C1986" s="15" t="n">
        <v>230</v>
      </c>
      <c r="D1986" s="15" t="n">
        <v>500</v>
      </c>
      <c r="E1986" s="15" t="n">
        <v>30</v>
      </c>
      <c r="F1986" s="16" t="n">
        <v>0.604384889109233</v>
      </c>
      <c r="G1986" s="17" t="s">
        <v>89</v>
      </c>
      <c r="H1986" s="18" t="n">
        <v>0.3</v>
      </c>
      <c r="I1986" s="18" t="n">
        <v>1</v>
      </c>
      <c r="J1986" s="19" t="n">
        <v>0.879704127654619</v>
      </c>
      <c r="K1986" s="19" t="n">
        <v>0.556973652743249</v>
      </c>
      <c r="L1986" s="16" t="n">
        <v>12.7553277688728</v>
      </c>
      <c r="M1986" s="19" t="n">
        <v>0.75858666808224</v>
      </c>
      <c r="N1986" s="19" t="n">
        <v>0.778196337413193</v>
      </c>
      <c r="O1986" s="19" t="n">
        <v>0.879704127654619</v>
      </c>
      <c r="P1986" s="19" t="n">
        <v>0.394910106282151</v>
      </c>
      <c r="Q1986" s="17" t="s">
        <v>29</v>
      </c>
      <c r="R1986" s="5" t="str">
        <f aca="false">IF(OR(Q1986="Steel plate",Q1986="Concrete jacket"),"Steel plate or jacket",Q1986)</f>
        <v>Monitor</v>
      </c>
      <c r="S1986" s="5" t="str">
        <f aca="false">IF(O1986&lt;='Tree rules'!$C$4,IF(N1986&lt;='Tree rules'!$C$5,IF(P1986&lt;='Tree rules'!$C$6,"Monitor","Polymer laminate"),IF(P1986&lt;='Tree rules'!$C$7,"Seal cracks","Polymer laminate")),IF(O1986&lt;='Tree rules'!$C$8,IF(M1986&lt;='Tree rules'!$C$9,"Steel plate or jacket","Polymer laminate"),IF(L1986&lt;='Tree rules'!$C$10,"Steel plate or jacket","Polymer laminate")))</f>
        <v>Monitor</v>
      </c>
      <c r="T1986" s="5" t="str">
        <f aca="false">IF(S1986=R1986,"Yes","No")</f>
        <v>Yes</v>
      </c>
    </row>
    <row r="1987" customFormat="false" ht="15" hidden="false" customHeight="false" outlineLevel="0" collapsed="false">
      <c r="A1987" s="15" t="n">
        <v>2841</v>
      </c>
      <c r="B1987" s="16" t="n">
        <v>6.95566600782308</v>
      </c>
      <c r="C1987" s="15" t="n">
        <v>230</v>
      </c>
      <c r="D1987" s="15" t="n">
        <v>625</v>
      </c>
      <c r="E1987" s="15" t="n">
        <v>25</v>
      </c>
      <c r="F1987" s="16" t="n">
        <v>0.710178431223674</v>
      </c>
      <c r="G1987" s="17" t="s">
        <v>91</v>
      </c>
      <c r="H1987" s="18" t="n">
        <v>0.2</v>
      </c>
      <c r="I1987" s="18" t="n">
        <v>1</v>
      </c>
      <c r="J1987" s="19" t="n">
        <v>0.941766985754938</v>
      </c>
      <c r="K1987" s="19" t="n">
        <v>0.544091509462531</v>
      </c>
      <c r="L1987" s="16" t="n">
        <v>12.0548804295027</v>
      </c>
      <c r="M1987" s="19" t="n">
        <v>0.340073021310527</v>
      </c>
      <c r="N1987" s="19" t="n">
        <v>1.0310917627701</v>
      </c>
      <c r="O1987" s="19" t="n">
        <v>0.941766985754938</v>
      </c>
      <c r="P1987" s="19" t="n">
        <v>1.06301352168961</v>
      </c>
      <c r="Q1987" s="17" t="s">
        <v>31</v>
      </c>
      <c r="R1987" s="5" t="str">
        <f aca="false">IF(OR(Q1987="Steel plate",Q1987="Concrete jacket"),"Steel plate or jacket",Q1987)</f>
        <v>Polymer laminate</v>
      </c>
      <c r="S1987" s="5" t="str">
        <f aca="false">IF(O1987&lt;='Tree rules'!$C$4,IF(N1987&lt;='Tree rules'!$C$5,IF(P1987&lt;='Tree rules'!$C$6,"Monitor","Polymer laminate"),IF(P1987&lt;='Tree rules'!$C$7,"Seal cracks","Polymer laminate")),IF(O1987&lt;='Tree rules'!$C$8,IF(M1987&lt;='Tree rules'!$C$9,"Steel plate or jacket","Polymer laminate"),IF(L1987&lt;='Tree rules'!$C$10,"Steel plate or jacket","Polymer laminate")))</f>
        <v>Polymer laminate</v>
      </c>
      <c r="T1987" s="5" t="str">
        <f aca="false">IF(S1987=R1987,"Yes","No")</f>
        <v>Yes</v>
      </c>
    </row>
    <row r="1988" customFormat="false" ht="15" hidden="false" customHeight="false" outlineLevel="0" collapsed="false">
      <c r="A1988" s="15" t="n">
        <v>2846</v>
      </c>
      <c r="B1988" s="16" t="n">
        <v>3.29020121664927</v>
      </c>
      <c r="C1988" s="15" t="n">
        <v>230</v>
      </c>
      <c r="D1988" s="15" t="n">
        <v>300</v>
      </c>
      <c r="E1988" s="15" t="n">
        <v>25</v>
      </c>
      <c r="F1988" s="16" t="n">
        <v>0.768324290280112</v>
      </c>
      <c r="G1988" s="17" t="s">
        <v>91</v>
      </c>
      <c r="H1988" s="18" t="n">
        <v>0.2</v>
      </c>
      <c r="I1988" s="18" t="n">
        <v>2</v>
      </c>
      <c r="J1988" s="19" t="n">
        <v>0.911650997924249</v>
      </c>
      <c r="K1988" s="19" t="n">
        <v>0.453040793304563</v>
      </c>
      <c r="L1988" s="16" t="n">
        <v>12.8523485025362</v>
      </c>
      <c r="M1988" s="19" t="n">
        <v>0.314007042239318</v>
      </c>
      <c r="N1988" s="19" t="n">
        <v>1.52549021671251</v>
      </c>
      <c r="O1988" s="19" t="n">
        <v>1.410286904532</v>
      </c>
      <c r="P1988" s="19" t="n">
        <v>1.21140611001548</v>
      </c>
      <c r="Q1988" s="17" t="s">
        <v>31</v>
      </c>
      <c r="R1988" s="5" t="str">
        <f aca="false">IF(OR(Q1988="Steel plate",Q1988="Concrete jacket"),"Steel plate or jacket",Q1988)</f>
        <v>Polymer laminate</v>
      </c>
      <c r="S1988" s="5" t="str">
        <f aca="false">IF(O1988&lt;='Tree rules'!$C$4,IF(N1988&lt;='Tree rules'!$C$5,IF(P1988&lt;='Tree rules'!$C$6,"Monitor","Polymer laminate"),IF(P1988&lt;='Tree rules'!$C$7,"Seal cracks","Polymer laminate")),IF(O1988&lt;='Tree rules'!$C$8,IF(M1988&lt;='Tree rules'!$C$9,"Steel plate or jacket","Polymer laminate"),IF(L1988&lt;='Tree rules'!$C$10,"Steel plate or jacket","Polymer laminate")))</f>
        <v>Steel plate or jacket</v>
      </c>
      <c r="T1988" s="5" t="str">
        <f aca="false">IF(S1988=R1988,"Yes","No")</f>
        <v>No</v>
      </c>
    </row>
    <row r="1989" customFormat="false" ht="15" hidden="false" customHeight="false" outlineLevel="0" collapsed="false">
      <c r="A1989" s="15" t="n">
        <v>2848</v>
      </c>
      <c r="B1989" s="16" t="n">
        <v>4.65749306020028</v>
      </c>
      <c r="C1989" s="15" t="n">
        <v>300</v>
      </c>
      <c r="D1989" s="15" t="n">
        <v>350</v>
      </c>
      <c r="E1989" s="15" t="n">
        <v>25</v>
      </c>
      <c r="F1989" s="16" t="n">
        <v>0.693508312050727</v>
      </c>
      <c r="G1989" s="17" t="s">
        <v>91</v>
      </c>
      <c r="H1989" s="18" t="n">
        <v>0.2</v>
      </c>
      <c r="I1989" s="18" t="n">
        <v>2</v>
      </c>
      <c r="J1989" s="19" t="n">
        <v>0.862127572321365</v>
      </c>
      <c r="K1989" s="19" t="n">
        <v>0.640488924744436</v>
      </c>
      <c r="L1989" s="16" t="n">
        <v>15.4221624509943</v>
      </c>
      <c r="M1989" s="19" t="n">
        <v>0.94921451648982</v>
      </c>
      <c r="N1989" s="19" t="n">
        <v>1.83214344899289</v>
      </c>
      <c r="O1989" s="19" t="n">
        <v>1.17207198285409</v>
      </c>
      <c r="P1989" s="19" t="n">
        <v>0.495414852566165</v>
      </c>
      <c r="Q1989" s="17" t="s">
        <v>31</v>
      </c>
      <c r="R1989" s="5" t="str">
        <f aca="false">IF(OR(Q1989="Steel plate",Q1989="Concrete jacket"),"Steel plate or jacket",Q1989)</f>
        <v>Polymer laminate</v>
      </c>
      <c r="S1989" s="5" t="str">
        <f aca="false">IF(O1989&lt;='Tree rules'!$C$4,IF(N1989&lt;='Tree rules'!$C$5,IF(P1989&lt;='Tree rules'!$C$6,"Monitor","Polymer laminate"),IF(P1989&lt;='Tree rules'!$C$7,"Seal cracks","Polymer laminate")),IF(O1989&lt;='Tree rules'!$C$8,IF(M1989&lt;='Tree rules'!$C$9,"Steel plate or jacket","Polymer laminate"),IF(L1989&lt;='Tree rules'!$C$10,"Steel plate or jacket","Polymer laminate")))</f>
        <v>Polymer laminate</v>
      </c>
      <c r="T1989" s="5" t="str">
        <f aca="false">IF(S1989=R1989,"Yes","No")</f>
        <v>Yes</v>
      </c>
    </row>
    <row r="1990" customFormat="false" ht="15" hidden="false" customHeight="false" outlineLevel="0" collapsed="false">
      <c r="A1990" s="15" t="n">
        <v>2850</v>
      </c>
      <c r="B1990" s="16" t="n">
        <v>3.83992541359777</v>
      </c>
      <c r="C1990" s="15" t="n">
        <v>230</v>
      </c>
      <c r="D1990" s="15" t="n">
        <v>300</v>
      </c>
      <c r="E1990" s="15" t="n">
        <v>20</v>
      </c>
      <c r="F1990" s="16" t="n">
        <v>0.688332522525665</v>
      </c>
      <c r="G1990" s="17" t="s">
        <v>89</v>
      </c>
      <c r="H1990" s="18" t="n">
        <v>0.3</v>
      </c>
      <c r="I1990" s="18" t="n">
        <v>1</v>
      </c>
      <c r="J1990" s="19" t="n">
        <v>0.861777460387068</v>
      </c>
      <c r="K1990" s="19" t="n">
        <v>0.64085356162276</v>
      </c>
      <c r="L1990" s="16" t="n">
        <v>15.1178165889676</v>
      </c>
      <c r="M1990" s="19" t="n">
        <v>0.900387487221727</v>
      </c>
      <c r="N1990" s="19" t="n">
        <v>0.710446049899944</v>
      </c>
      <c r="O1990" s="19" t="n">
        <v>0.861777460387068</v>
      </c>
      <c r="P1990" s="19" t="n">
        <v>0.435235761608762</v>
      </c>
      <c r="Q1990" s="17" t="s">
        <v>29</v>
      </c>
      <c r="R1990" s="5" t="str">
        <f aca="false">IF(OR(Q1990="Steel plate",Q1990="Concrete jacket"),"Steel plate or jacket",Q1990)</f>
        <v>Monitor</v>
      </c>
      <c r="S1990" s="5" t="str">
        <f aca="false">IF(O1990&lt;='Tree rules'!$C$4,IF(N1990&lt;='Tree rules'!$C$5,IF(P1990&lt;='Tree rules'!$C$6,"Monitor","Polymer laminate"),IF(P1990&lt;='Tree rules'!$C$7,"Seal cracks","Polymer laminate")),IF(O1990&lt;='Tree rules'!$C$8,IF(M1990&lt;='Tree rules'!$C$9,"Steel plate or jacket","Polymer laminate"),IF(L1990&lt;='Tree rules'!$C$10,"Steel plate or jacket","Polymer laminate")))</f>
        <v>Monitor</v>
      </c>
      <c r="T1990" s="5" t="str">
        <f aca="false">IF(S1990=R1990,"Yes","No")</f>
        <v>Yes</v>
      </c>
    </row>
    <row r="1991" customFormat="false" ht="15" hidden="false" customHeight="false" outlineLevel="0" collapsed="false">
      <c r="A1991" s="15" t="n">
        <v>2851</v>
      </c>
      <c r="B1991" s="16" t="n">
        <v>6.39776095173627</v>
      </c>
      <c r="C1991" s="15" t="n">
        <v>300</v>
      </c>
      <c r="D1991" s="15" t="n">
        <v>600</v>
      </c>
      <c r="E1991" s="15" t="n">
        <v>25</v>
      </c>
      <c r="F1991" s="16" t="n">
        <v>0.604879451954714</v>
      </c>
      <c r="G1991" s="17" t="s">
        <v>89</v>
      </c>
      <c r="H1991" s="18" t="n">
        <v>0.3</v>
      </c>
      <c r="I1991" s="18" t="n">
        <v>1</v>
      </c>
      <c r="J1991" s="19" t="n">
        <v>0.94442889848583</v>
      </c>
      <c r="K1991" s="19" t="n">
        <v>0.465076277327355</v>
      </c>
      <c r="L1991" s="16" t="n">
        <v>11.548304967033</v>
      </c>
      <c r="M1991" s="19" t="n">
        <v>0.884076847206777</v>
      </c>
      <c r="N1991" s="19" t="n">
        <v>0.558680304499461</v>
      </c>
      <c r="O1991" s="19" t="n">
        <v>0.94442889848583</v>
      </c>
      <c r="P1991" s="19" t="n">
        <v>0.352922404733639</v>
      </c>
      <c r="Q1991" s="17" t="s">
        <v>29</v>
      </c>
      <c r="R1991" s="5" t="str">
        <f aca="false">IF(OR(Q1991="Steel plate",Q1991="Concrete jacket"),"Steel plate or jacket",Q1991)</f>
        <v>Monitor</v>
      </c>
      <c r="S1991" s="5" t="str">
        <f aca="false">IF(O1991&lt;='Tree rules'!$C$4,IF(N1991&lt;='Tree rules'!$C$5,IF(P1991&lt;='Tree rules'!$C$6,"Monitor","Polymer laminate"),IF(P1991&lt;='Tree rules'!$C$7,"Seal cracks","Polymer laminate")),IF(O1991&lt;='Tree rules'!$C$8,IF(M1991&lt;='Tree rules'!$C$9,"Steel plate or jacket","Polymer laminate"),IF(L1991&lt;='Tree rules'!$C$10,"Steel plate or jacket","Polymer laminate")))</f>
        <v>Monitor</v>
      </c>
      <c r="T1991" s="5" t="str">
        <f aca="false">IF(S1991=R1991,"Yes","No")</f>
        <v>Yes</v>
      </c>
    </row>
    <row r="1992" customFormat="false" ht="15" hidden="false" customHeight="false" outlineLevel="0" collapsed="false">
      <c r="A1992" s="15" t="n">
        <v>2852</v>
      </c>
      <c r="B1992" s="16" t="n">
        <v>5.5188541980512</v>
      </c>
      <c r="C1992" s="15" t="n">
        <v>300</v>
      </c>
      <c r="D1992" s="15" t="n">
        <v>425</v>
      </c>
      <c r="E1992" s="15" t="n">
        <v>30</v>
      </c>
      <c r="F1992" s="16" t="n">
        <v>0.578562182981546</v>
      </c>
      <c r="G1992" s="17" t="s">
        <v>90</v>
      </c>
      <c r="H1992" s="18" t="n">
        <v>0.1</v>
      </c>
      <c r="I1992" s="18" t="n">
        <v>2</v>
      </c>
      <c r="J1992" s="19" t="n">
        <v>0.978588393636726</v>
      </c>
      <c r="K1992" s="19" t="n">
        <v>0.644875537965159</v>
      </c>
      <c r="L1992" s="16" t="n">
        <v>15.2454535857768</v>
      </c>
      <c r="M1992" s="19" t="n">
        <v>0.592285533735008</v>
      </c>
      <c r="N1992" s="19" t="n">
        <v>5.02476766061947</v>
      </c>
      <c r="O1992" s="19" t="n">
        <v>1.32610907048051</v>
      </c>
      <c r="P1992" s="19" t="n">
        <v>0.659077555051189</v>
      </c>
      <c r="Q1992" s="17" t="s">
        <v>31</v>
      </c>
      <c r="R1992" s="5" t="str">
        <f aca="false">IF(OR(Q1992="Steel plate",Q1992="Concrete jacket"),"Steel plate or jacket",Q1992)</f>
        <v>Polymer laminate</v>
      </c>
      <c r="S1992" s="5" t="str">
        <f aca="false">IF(O1992&lt;='Tree rules'!$C$4,IF(N1992&lt;='Tree rules'!$C$5,IF(P1992&lt;='Tree rules'!$C$6,"Monitor","Polymer laminate"),IF(P1992&lt;='Tree rules'!$C$7,"Seal cracks","Polymer laminate")),IF(O1992&lt;='Tree rules'!$C$8,IF(M1992&lt;='Tree rules'!$C$9,"Steel plate or jacket","Polymer laminate"),IF(L1992&lt;='Tree rules'!$C$10,"Steel plate or jacket","Polymer laminate")))</f>
        <v>Polymer laminate</v>
      </c>
      <c r="T1992" s="5" t="str">
        <f aca="false">IF(S1992=R1992,"Yes","No")</f>
        <v>Yes</v>
      </c>
    </row>
    <row r="1993" customFormat="false" ht="15" hidden="false" customHeight="false" outlineLevel="0" collapsed="false">
      <c r="A1993" s="15" t="n">
        <v>2853</v>
      </c>
      <c r="B1993" s="16" t="n">
        <v>6.66103189364487</v>
      </c>
      <c r="C1993" s="15" t="n">
        <v>300</v>
      </c>
      <c r="D1993" s="15" t="n">
        <v>600</v>
      </c>
      <c r="E1993" s="15" t="n">
        <v>30</v>
      </c>
      <c r="F1993" s="16" t="n">
        <v>0.621712831879242</v>
      </c>
      <c r="G1993" s="17" t="s">
        <v>90</v>
      </c>
      <c r="H1993" s="18" t="n">
        <v>0.1</v>
      </c>
      <c r="I1993" s="18" t="n">
        <v>1</v>
      </c>
      <c r="J1993" s="19" t="n">
        <v>0.858032394089577</v>
      </c>
      <c r="K1993" s="19" t="n">
        <v>0.498205615975351</v>
      </c>
      <c r="L1993" s="16" t="n">
        <v>12.3581296728105</v>
      </c>
      <c r="M1993" s="19" t="n">
        <v>0.403053851591674</v>
      </c>
      <c r="N1993" s="19" t="n">
        <v>2.29057973562802</v>
      </c>
      <c r="O1993" s="19" t="n">
        <v>0.858032394089577</v>
      </c>
      <c r="P1993" s="19" t="n">
        <v>0.644308538214834</v>
      </c>
      <c r="Q1993" s="17" t="s">
        <v>30</v>
      </c>
      <c r="R1993" s="5" t="str">
        <f aca="false">IF(OR(Q1993="Steel plate",Q1993="Concrete jacket"),"Steel plate or jacket",Q1993)</f>
        <v>Seal cracks</v>
      </c>
      <c r="S1993" s="5" t="str">
        <f aca="false">IF(O1993&lt;='Tree rules'!$C$4,IF(N1993&lt;='Tree rules'!$C$5,IF(P1993&lt;='Tree rules'!$C$6,"Monitor","Polymer laminate"),IF(P1993&lt;='Tree rules'!$C$7,"Seal cracks","Polymer laminate")),IF(O1993&lt;='Tree rules'!$C$8,IF(M1993&lt;='Tree rules'!$C$9,"Steel plate or jacket","Polymer laminate"),IF(L1993&lt;='Tree rules'!$C$10,"Steel plate or jacket","Polymer laminate")))</f>
        <v>Seal cracks</v>
      </c>
      <c r="T1993" s="5" t="str">
        <f aca="false">IF(S1993=R1993,"Yes","No")</f>
        <v>Yes</v>
      </c>
    </row>
    <row r="1994" customFormat="false" ht="15" hidden="false" customHeight="false" outlineLevel="0" collapsed="false">
      <c r="A1994" s="15" t="n">
        <v>2854</v>
      </c>
      <c r="B1994" s="16" t="n">
        <v>5.43850762615253</v>
      </c>
      <c r="C1994" s="15" t="n">
        <v>300</v>
      </c>
      <c r="D1994" s="15" t="n">
        <v>450</v>
      </c>
      <c r="E1994" s="15" t="n">
        <v>30</v>
      </c>
      <c r="F1994" s="16" t="n">
        <v>0.520993806565472</v>
      </c>
      <c r="G1994" s="17" t="s">
        <v>91</v>
      </c>
      <c r="H1994" s="18" t="n">
        <v>0.2</v>
      </c>
      <c r="I1994" s="18" t="n">
        <v>2</v>
      </c>
      <c r="J1994" s="19" t="n">
        <v>0.879313158452892</v>
      </c>
      <c r="K1994" s="19" t="n">
        <v>0.506265359491372</v>
      </c>
      <c r="L1994" s="16" t="n">
        <v>13.5286259357028</v>
      </c>
      <c r="M1994" s="19" t="n">
        <v>0.535547646157824</v>
      </c>
      <c r="N1994" s="19" t="n">
        <v>2.33091004495387</v>
      </c>
      <c r="O1994" s="19" t="n">
        <v>1.31346052463614</v>
      </c>
      <c r="P1994" s="19" t="n">
        <v>0.586785526464303</v>
      </c>
      <c r="Q1994" s="17" t="s">
        <v>31</v>
      </c>
      <c r="R1994" s="5" t="str">
        <f aca="false">IF(OR(Q1994="Steel plate",Q1994="Concrete jacket"),"Steel plate or jacket",Q1994)</f>
        <v>Polymer laminate</v>
      </c>
      <c r="S1994" s="5" t="str">
        <f aca="false">IF(O1994&lt;='Tree rules'!$C$4,IF(N1994&lt;='Tree rules'!$C$5,IF(P1994&lt;='Tree rules'!$C$6,"Monitor","Polymer laminate"),IF(P1994&lt;='Tree rules'!$C$7,"Seal cracks","Polymer laminate")),IF(O1994&lt;='Tree rules'!$C$8,IF(M1994&lt;='Tree rules'!$C$9,"Steel plate or jacket","Polymer laminate"),IF(L1994&lt;='Tree rules'!$C$10,"Steel plate or jacket","Polymer laminate")))</f>
        <v>Polymer laminate</v>
      </c>
      <c r="T1994" s="5" t="str">
        <f aca="false">IF(S1994=R1994,"Yes","No")</f>
        <v>Yes</v>
      </c>
    </row>
    <row r="1995" customFormat="false" ht="15" hidden="false" customHeight="false" outlineLevel="0" collapsed="false">
      <c r="A1995" s="15" t="n">
        <v>2855</v>
      </c>
      <c r="B1995" s="16" t="n">
        <v>3.34598338134743</v>
      </c>
      <c r="C1995" s="15" t="n">
        <v>300</v>
      </c>
      <c r="D1995" s="15" t="n">
        <v>300</v>
      </c>
      <c r="E1995" s="15" t="n">
        <v>25</v>
      </c>
      <c r="F1995" s="16" t="n">
        <v>0.831109167616348</v>
      </c>
      <c r="G1995" s="17" t="s">
        <v>91</v>
      </c>
      <c r="H1995" s="18" t="n">
        <v>0.2</v>
      </c>
      <c r="I1995" s="18" t="n">
        <v>1</v>
      </c>
      <c r="J1995" s="19" t="n">
        <v>0.86293519806641</v>
      </c>
      <c r="K1995" s="19" t="n">
        <v>0.594572952011539</v>
      </c>
      <c r="L1995" s="16" t="n">
        <v>13.2777118307438</v>
      </c>
      <c r="M1995" s="19" t="n">
        <v>0.808030676021169</v>
      </c>
      <c r="N1995" s="19" t="n">
        <v>1.31602437193212</v>
      </c>
      <c r="O1995" s="19" t="n">
        <v>0.86293519806641</v>
      </c>
      <c r="P1995" s="19" t="n">
        <v>0.442431490299809</v>
      </c>
      <c r="Q1995" s="17" t="s">
        <v>30</v>
      </c>
      <c r="R1995" s="5" t="str">
        <f aca="false">IF(OR(Q1995="Steel plate",Q1995="Concrete jacket"),"Steel plate or jacket",Q1995)</f>
        <v>Seal cracks</v>
      </c>
      <c r="S1995" s="5" t="str">
        <f aca="false">IF(O1995&lt;='Tree rules'!$C$4,IF(N1995&lt;='Tree rules'!$C$5,IF(P1995&lt;='Tree rules'!$C$6,"Monitor","Polymer laminate"),IF(P1995&lt;='Tree rules'!$C$7,"Seal cracks","Polymer laminate")),IF(O1995&lt;='Tree rules'!$C$8,IF(M1995&lt;='Tree rules'!$C$9,"Steel plate or jacket","Polymer laminate"),IF(L1995&lt;='Tree rules'!$C$10,"Steel plate or jacket","Polymer laminate")))</f>
        <v>Seal cracks</v>
      </c>
      <c r="T1995" s="5" t="str">
        <f aca="false">IF(S1995=R1995,"Yes","No")</f>
        <v>Yes</v>
      </c>
    </row>
    <row r="1996" customFormat="false" ht="15" hidden="false" customHeight="false" outlineLevel="0" collapsed="false">
      <c r="A1996" s="15" t="n">
        <v>2858</v>
      </c>
      <c r="B1996" s="16" t="n">
        <v>3.98678477109447</v>
      </c>
      <c r="C1996" s="15" t="n">
        <v>300</v>
      </c>
      <c r="D1996" s="15" t="n">
        <v>375</v>
      </c>
      <c r="E1996" s="15" t="n">
        <v>25</v>
      </c>
      <c r="F1996" s="16" t="n">
        <v>0.814840647739602</v>
      </c>
      <c r="G1996" s="17" t="s">
        <v>89</v>
      </c>
      <c r="H1996" s="18" t="n">
        <v>0.3</v>
      </c>
      <c r="I1996" s="18" t="n">
        <v>2</v>
      </c>
      <c r="J1996" s="19" t="n">
        <v>0.92455172839727</v>
      </c>
      <c r="K1996" s="19" t="n">
        <v>0.408412241418131</v>
      </c>
      <c r="L1996" s="16" t="n">
        <v>12.1178868422324</v>
      </c>
      <c r="M1996" s="19" t="n">
        <v>0.832350976027726</v>
      </c>
      <c r="N1996" s="19" t="n">
        <v>1.05298529903836</v>
      </c>
      <c r="O1996" s="19" t="n">
        <v>1.4715052130928</v>
      </c>
      <c r="P1996" s="19" t="n">
        <v>0.52731268274351</v>
      </c>
      <c r="Q1996" s="17" t="s">
        <v>31</v>
      </c>
      <c r="R1996" s="5" t="str">
        <f aca="false">IF(OR(Q1996="Steel plate",Q1996="Concrete jacket"),"Steel plate or jacket",Q1996)</f>
        <v>Polymer laminate</v>
      </c>
      <c r="S1996" s="5" t="str">
        <f aca="false">IF(O1996&lt;='Tree rules'!$C$4,IF(N1996&lt;='Tree rules'!$C$5,IF(P1996&lt;='Tree rules'!$C$6,"Monitor","Polymer laminate"),IF(P1996&lt;='Tree rules'!$C$7,"Seal cracks","Polymer laminate")),IF(O1996&lt;='Tree rules'!$C$8,IF(M1996&lt;='Tree rules'!$C$9,"Steel plate or jacket","Polymer laminate"),IF(L1996&lt;='Tree rules'!$C$10,"Steel plate or jacket","Polymer laminate")))</f>
        <v>Steel plate or jacket</v>
      </c>
      <c r="T1996" s="5" t="str">
        <f aca="false">IF(S1996=R1996,"Yes","No")</f>
        <v>No</v>
      </c>
    </row>
    <row r="1997" customFormat="false" ht="15" hidden="false" customHeight="false" outlineLevel="0" collapsed="false">
      <c r="A1997" s="15" t="n">
        <v>2859</v>
      </c>
      <c r="B1997" s="16" t="n">
        <v>3.15586648098271</v>
      </c>
      <c r="C1997" s="15" t="n">
        <v>300</v>
      </c>
      <c r="D1997" s="15" t="n">
        <v>300</v>
      </c>
      <c r="E1997" s="15" t="n">
        <v>25</v>
      </c>
      <c r="F1997" s="16" t="n">
        <v>0.736310778185108</v>
      </c>
      <c r="G1997" s="17" t="s">
        <v>91</v>
      </c>
      <c r="H1997" s="18" t="n">
        <v>0.2</v>
      </c>
      <c r="I1997" s="18" t="n">
        <v>1.5</v>
      </c>
      <c r="J1997" s="19" t="n">
        <v>0.952967328839325</v>
      </c>
      <c r="K1997" s="19" t="n">
        <v>0.510182455255495</v>
      </c>
      <c r="L1997" s="16" t="n">
        <v>12.3276034413387</v>
      </c>
      <c r="M1997" s="19" t="n">
        <v>0.328889631650965</v>
      </c>
      <c r="N1997" s="19" t="n">
        <v>1.29927209944379</v>
      </c>
      <c r="O1997" s="19" t="n">
        <v>1.18635738745623</v>
      </c>
      <c r="P1997" s="19" t="n">
        <v>1.02597693400321</v>
      </c>
      <c r="Q1997" s="17" t="s">
        <v>31</v>
      </c>
      <c r="R1997" s="5" t="str">
        <f aca="false">IF(OR(Q1997="Steel plate",Q1997="Concrete jacket"),"Steel plate or jacket",Q1997)</f>
        <v>Polymer laminate</v>
      </c>
      <c r="S1997" s="5" t="str">
        <f aca="false">IF(O1997&lt;='Tree rules'!$C$4,IF(N1997&lt;='Tree rules'!$C$5,IF(P1997&lt;='Tree rules'!$C$6,"Monitor","Polymer laminate"),IF(P1997&lt;='Tree rules'!$C$7,"Seal cracks","Polymer laminate")),IF(O1997&lt;='Tree rules'!$C$8,IF(M1997&lt;='Tree rules'!$C$9,"Steel plate or jacket","Polymer laminate"),IF(L1997&lt;='Tree rules'!$C$10,"Steel plate or jacket","Polymer laminate")))</f>
        <v>Polymer laminate</v>
      </c>
      <c r="T1997" s="5" t="str">
        <f aca="false">IF(S1997=R1997,"Yes","No")</f>
        <v>Yes</v>
      </c>
    </row>
    <row r="1998" customFormat="false" ht="15" hidden="false" customHeight="false" outlineLevel="0" collapsed="false">
      <c r="A1998" s="15" t="n">
        <v>2860</v>
      </c>
      <c r="B1998" s="16" t="n">
        <v>6.93625267065091</v>
      </c>
      <c r="C1998" s="15" t="n">
        <v>300</v>
      </c>
      <c r="D1998" s="15" t="n">
        <v>550</v>
      </c>
      <c r="E1998" s="15" t="n">
        <v>25</v>
      </c>
      <c r="F1998" s="16" t="n">
        <v>0.664887334093078</v>
      </c>
      <c r="G1998" s="17" t="s">
        <v>89</v>
      </c>
      <c r="H1998" s="18" t="n">
        <v>0.3</v>
      </c>
      <c r="I1998" s="18" t="n">
        <v>1</v>
      </c>
      <c r="J1998" s="19" t="n">
        <v>0.853765778188666</v>
      </c>
      <c r="K1998" s="19" t="n">
        <v>0.602165555912546</v>
      </c>
      <c r="L1998" s="16" t="n">
        <v>13.7624060925613</v>
      </c>
      <c r="M1998" s="19" t="n">
        <v>0.928574271343132</v>
      </c>
      <c r="N1998" s="19" t="n">
        <v>0.498724215743122</v>
      </c>
      <c r="O1998" s="19" t="n">
        <v>0.853765778188666</v>
      </c>
      <c r="P1998" s="19" t="n">
        <v>0.431994685254235</v>
      </c>
      <c r="Q1998" s="17" t="s">
        <v>29</v>
      </c>
      <c r="R1998" s="5" t="str">
        <f aca="false">IF(OR(Q1998="Steel plate",Q1998="Concrete jacket"),"Steel plate or jacket",Q1998)</f>
        <v>Monitor</v>
      </c>
      <c r="S1998" s="5" t="str">
        <f aca="false">IF(O1998&lt;='Tree rules'!$C$4,IF(N1998&lt;='Tree rules'!$C$5,IF(P1998&lt;='Tree rules'!$C$6,"Monitor","Polymer laminate"),IF(P1998&lt;='Tree rules'!$C$7,"Seal cracks","Polymer laminate")),IF(O1998&lt;='Tree rules'!$C$8,IF(M1998&lt;='Tree rules'!$C$9,"Steel plate or jacket","Polymer laminate"),IF(L1998&lt;='Tree rules'!$C$10,"Steel plate or jacket","Polymer laminate")))</f>
        <v>Monitor</v>
      </c>
      <c r="T1998" s="5" t="str">
        <f aca="false">IF(S1998=R1998,"Yes","No")</f>
        <v>Yes</v>
      </c>
    </row>
    <row r="1999" customFormat="false" ht="15" hidden="false" customHeight="false" outlineLevel="0" collapsed="false">
      <c r="A1999" s="15" t="n">
        <v>2861</v>
      </c>
      <c r="B1999" s="16" t="n">
        <v>6.95211919960175</v>
      </c>
      <c r="C1999" s="15" t="n">
        <v>300</v>
      </c>
      <c r="D1999" s="15" t="n">
        <v>575</v>
      </c>
      <c r="E1999" s="15" t="n">
        <v>25</v>
      </c>
      <c r="F1999" s="16" t="n">
        <v>0.596127638252333</v>
      </c>
      <c r="G1999" s="17" t="s">
        <v>89</v>
      </c>
      <c r="H1999" s="18" t="n">
        <v>0.3</v>
      </c>
      <c r="I1999" s="18" t="n">
        <v>1.5</v>
      </c>
      <c r="J1999" s="19" t="n">
        <v>0.950275131979265</v>
      </c>
      <c r="K1999" s="19" t="n">
        <v>0.489237730937917</v>
      </c>
      <c r="L1999" s="16" t="n">
        <v>13.1918770390925</v>
      </c>
      <c r="M1999" s="19" t="n">
        <v>0.749795040558052</v>
      </c>
      <c r="N1999" s="19" t="n">
        <v>0.950085679475163</v>
      </c>
      <c r="O1999" s="19" t="n">
        <v>1.19295747330077</v>
      </c>
      <c r="P1999" s="19" t="n">
        <v>0.521767118645769</v>
      </c>
      <c r="Q1999" s="17" t="s">
        <v>31</v>
      </c>
      <c r="R1999" s="5" t="str">
        <f aca="false">IF(OR(Q1999="Steel plate",Q1999="Concrete jacket"),"Steel plate or jacket",Q1999)</f>
        <v>Polymer laminate</v>
      </c>
      <c r="S1999" s="5" t="str">
        <f aca="false">IF(O1999&lt;='Tree rules'!$C$4,IF(N1999&lt;='Tree rules'!$C$5,IF(P1999&lt;='Tree rules'!$C$6,"Monitor","Polymer laminate"),IF(P1999&lt;='Tree rules'!$C$7,"Seal cracks","Polymer laminate")),IF(O1999&lt;='Tree rules'!$C$8,IF(M1999&lt;='Tree rules'!$C$9,"Steel plate or jacket","Polymer laminate"),IF(L1999&lt;='Tree rules'!$C$10,"Steel plate or jacket","Polymer laminate")))</f>
        <v>Polymer laminate</v>
      </c>
      <c r="T1999" s="5" t="str">
        <f aca="false">IF(S1999=R1999,"Yes","No")</f>
        <v>Yes</v>
      </c>
    </row>
    <row r="2000" customFormat="false" ht="15" hidden="false" customHeight="false" outlineLevel="0" collapsed="false">
      <c r="A2000" s="15" t="n">
        <v>2862</v>
      </c>
      <c r="B2000" s="16" t="n">
        <v>6.88744091057391</v>
      </c>
      <c r="C2000" s="15" t="n">
        <v>230</v>
      </c>
      <c r="D2000" s="15" t="n">
        <v>625</v>
      </c>
      <c r="E2000" s="15" t="n">
        <v>25</v>
      </c>
      <c r="F2000" s="16" t="n">
        <v>0.710178431223674</v>
      </c>
      <c r="G2000" s="17" t="s">
        <v>89</v>
      </c>
      <c r="H2000" s="18" t="n">
        <v>0.3</v>
      </c>
      <c r="I2000" s="18" t="n">
        <v>1.5</v>
      </c>
      <c r="J2000" s="19" t="n">
        <v>0.864075024361414</v>
      </c>
      <c r="K2000" s="19" t="n">
        <v>0.552640235260627</v>
      </c>
      <c r="L2000" s="16" t="n">
        <v>11.9366393597468</v>
      </c>
      <c r="M2000" s="19" t="n">
        <v>0.374784039940136</v>
      </c>
      <c r="N2000" s="19" t="n">
        <v>0.767285393021259</v>
      </c>
      <c r="O2000" s="19" t="n">
        <v>1.05735122416916</v>
      </c>
      <c r="P2000" s="19" t="n">
        <v>0.990735150345176</v>
      </c>
      <c r="Q2000" s="17" t="s">
        <v>31</v>
      </c>
      <c r="R2000" s="5" t="str">
        <f aca="false">IF(OR(Q2000="Steel plate",Q2000="Concrete jacket"),"Steel plate or jacket",Q2000)</f>
        <v>Polymer laminate</v>
      </c>
      <c r="S2000" s="5" t="str">
        <f aca="false">IF(O2000&lt;='Tree rules'!$C$4,IF(N2000&lt;='Tree rules'!$C$5,IF(P2000&lt;='Tree rules'!$C$6,"Monitor","Polymer laminate"),IF(P2000&lt;='Tree rules'!$C$7,"Seal cracks","Polymer laminate")),IF(O2000&lt;='Tree rules'!$C$8,IF(M2000&lt;='Tree rules'!$C$9,"Steel plate or jacket","Polymer laminate"),IF(L2000&lt;='Tree rules'!$C$10,"Steel plate or jacket","Polymer laminate")))</f>
        <v>Polymer laminate</v>
      </c>
      <c r="T2000" s="5" t="str">
        <f aca="false">IF(S2000=R2000,"Yes","No")</f>
        <v>Yes</v>
      </c>
    </row>
    <row r="2001" customFormat="false" ht="15" hidden="false" customHeight="false" outlineLevel="0" collapsed="false">
      <c r="A2001" s="15" t="n">
        <v>2864</v>
      </c>
      <c r="B2001" s="16" t="n">
        <v>5.0326056798348</v>
      </c>
      <c r="C2001" s="15" t="n">
        <v>300</v>
      </c>
      <c r="D2001" s="15" t="n">
        <v>500</v>
      </c>
      <c r="E2001" s="15" t="n">
        <v>25</v>
      </c>
      <c r="F2001" s="16" t="n">
        <v>0.695042622475618</v>
      </c>
      <c r="G2001" s="17" t="s">
        <v>89</v>
      </c>
      <c r="H2001" s="18" t="n">
        <v>0.3</v>
      </c>
      <c r="I2001" s="18" t="n">
        <v>2</v>
      </c>
      <c r="J2001" s="19" t="n">
        <v>0.896813595622923</v>
      </c>
      <c r="K2001" s="19" t="n">
        <v>0.429423345930399</v>
      </c>
      <c r="L2001" s="16" t="n">
        <v>11.1340833624664</v>
      </c>
      <c r="M2001" s="19" t="n">
        <v>0.913520191556869</v>
      </c>
      <c r="N2001" s="19" t="n">
        <v>1.11816425437849</v>
      </c>
      <c r="O2001" s="19" t="n">
        <v>1.40851449633758</v>
      </c>
      <c r="P2001" s="19" t="n">
        <v>0.418169008931301</v>
      </c>
      <c r="Q2001" s="17" t="s">
        <v>31</v>
      </c>
      <c r="R2001" s="5" t="str">
        <f aca="false">IF(OR(Q2001="Steel plate",Q2001="Concrete jacket"),"Steel plate or jacket",Q2001)</f>
        <v>Polymer laminate</v>
      </c>
      <c r="S2001" s="5" t="str">
        <f aca="false">IF(O2001&lt;='Tree rules'!$C$4,IF(N2001&lt;='Tree rules'!$C$5,IF(P2001&lt;='Tree rules'!$C$6,"Monitor","Polymer laminate"),IF(P2001&lt;='Tree rules'!$C$7,"Seal cracks","Polymer laminate")),IF(O2001&lt;='Tree rules'!$C$8,IF(M2001&lt;='Tree rules'!$C$9,"Steel plate or jacket","Polymer laminate"),IF(L2001&lt;='Tree rules'!$C$10,"Steel plate or jacket","Polymer laminate")))</f>
        <v>Steel plate or jacket</v>
      </c>
      <c r="T2001" s="5" t="str">
        <f aca="false">IF(S2001=R2001,"Yes","No")</f>
        <v>No</v>
      </c>
    </row>
    <row r="2002" customFormat="false" ht="15" hidden="false" customHeight="false" outlineLevel="0" collapsed="false">
      <c r="A2002" s="15" t="n">
        <v>2866</v>
      </c>
      <c r="B2002" s="16" t="n">
        <v>3.38003936714715</v>
      </c>
      <c r="C2002" s="15" t="n">
        <v>230</v>
      </c>
      <c r="D2002" s="15" t="n">
        <v>300</v>
      </c>
      <c r="E2002" s="15" t="n">
        <v>25</v>
      </c>
      <c r="F2002" s="16" t="n">
        <v>0.816145304197962</v>
      </c>
      <c r="G2002" s="17" t="s">
        <v>90</v>
      </c>
      <c r="H2002" s="18" t="n">
        <v>0.1</v>
      </c>
      <c r="I2002" s="18" t="n">
        <v>1</v>
      </c>
      <c r="J2002" s="19" t="n">
        <v>0.918846175796828</v>
      </c>
      <c r="K2002" s="19" t="n">
        <v>0.537484054937159</v>
      </c>
      <c r="L2002" s="16" t="n">
        <v>14.0250596147185</v>
      </c>
      <c r="M2002" s="19" t="n">
        <v>0.309634051963108</v>
      </c>
      <c r="N2002" s="19" t="n">
        <v>2.72671235046653</v>
      </c>
      <c r="O2002" s="19" t="n">
        <v>0.918846175796828</v>
      </c>
      <c r="P2002" s="19" t="n">
        <v>0.985438350450628</v>
      </c>
      <c r="Q2002" s="17" t="s">
        <v>30</v>
      </c>
      <c r="R2002" s="5" t="str">
        <f aca="false">IF(OR(Q2002="Steel plate",Q2002="Concrete jacket"),"Steel plate or jacket",Q2002)</f>
        <v>Seal cracks</v>
      </c>
      <c r="S2002" s="5" t="str">
        <f aca="false">IF(O2002&lt;='Tree rules'!$C$4,IF(N2002&lt;='Tree rules'!$C$5,IF(P2002&lt;='Tree rules'!$C$6,"Monitor","Polymer laminate"),IF(P2002&lt;='Tree rules'!$C$7,"Seal cracks","Polymer laminate")),IF(O2002&lt;='Tree rules'!$C$8,IF(M2002&lt;='Tree rules'!$C$9,"Steel plate or jacket","Polymer laminate"),IF(L2002&lt;='Tree rules'!$C$10,"Steel plate or jacket","Polymer laminate")))</f>
        <v>Seal cracks</v>
      </c>
      <c r="T2002" s="5" t="str">
        <f aca="false">IF(S2002=R2002,"Yes","No")</f>
        <v>Yes</v>
      </c>
    </row>
    <row r="2003" customFormat="false" ht="15" hidden="false" customHeight="false" outlineLevel="0" collapsed="false">
      <c r="A2003" s="15" t="n">
        <v>2867</v>
      </c>
      <c r="B2003" s="16" t="n">
        <v>6.38479934456564</v>
      </c>
      <c r="C2003" s="15" t="n">
        <v>230</v>
      </c>
      <c r="D2003" s="15" t="n">
        <v>625</v>
      </c>
      <c r="E2003" s="15" t="n">
        <v>30</v>
      </c>
      <c r="F2003" s="16" t="n">
        <v>0.710178431223674</v>
      </c>
      <c r="G2003" s="17" t="s">
        <v>89</v>
      </c>
      <c r="H2003" s="18" t="n">
        <v>0.3</v>
      </c>
      <c r="I2003" s="18" t="n">
        <v>1</v>
      </c>
      <c r="J2003" s="19" t="n">
        <v>0.943071040966758</v>
      </c>
      <c r="K2003" s="19" t="n">
        <v>0.579408698825481</v>
      </c>
      <c r="L2003" s="16" t="n">
        <v>11.0655101292299</v>
      </c>
      <c r="M2003" s="19" t="n">
        <v>0.754958714546435</v>
      </c>
      <c r="N2003" s="19" t="n">
        <v>0.635350487676413</v>
      </c>
      <c r="O2003" s="19" t="n">
        <v>0.943071040966758</v>
      </c>
      <c r="P2003" s="19" t="n">
        <v>0.453102197434414</v>
      </c>
      <c r="Q2003" s="17" t="s">
        <v>29</v>
      </c>
      <c r="R2003" s="5" t="str">
        <f aca="false">IF(OR(Q2003="Steel plate",Q2003="Concrete jacket"),"Steel plate or jacket",Q2003)</f>
        <v>Monitor</v>
      </c>
      <c r="S2003" s="5" t="str">
        <f aca="false">IF(O2003&lt;='Tree rules'!$C$4,IF(N2003&lt;='Tree rules'!$C$5,IF(P2003&lt;='Tree rules'!$C$6,"Monitor","Polymer laminate"),IF(P2003&lt;='Tree rules'!$C$7,"Seal cracks","Polymer laminate")),IF(O2003&lt;='Tree rules'!$C$8,IF(M2003&lt;='Tree rules'!$C$9,"Steel plate or jacket","Polymer laminate"),IF(L2003&lt;='Tree rules'!$C$10,"Steel plate or jacket","Polymer laminate")))</f>
        <v>Monitor</v>
      </c>
      <c r="T2003" s="5" t="str">
        <f aca="false">IF(S2003=R2003,"Yes","No")</f>
        <v>Yes</v>
      </c>
    </row>
    <row r="2004" customFormat="false" ht="15" hidden="false" customHeight="false" outlineLevel="0" collapsed="false">
      <c r="A2004" s="15" t="n">
        <v>2868</v>
      </c>
      <c r="B2004" s="16" t="n">
        <v>3.30738477922536</v>
      </c>
      <c r="C2004" s="15" t="n">
        <v>230</v>
      </c>
      <c r="D2004" s="15" t="n">
        <v>325</v>
      </c>
      <c r="E2004" s="15" t="n">
        <v>25</v>
      </c>
      <c r="F2004" s="16" t="n">
        <v>0.939980971621069</v>
      </c>
      <c r="G2004" s="17" t="s">
        <v>91</v>
      </c>
      <c r="H2004" s="18" t="n">
        <v>0.2</v>
      </c>
      <c r="I2004" s="18" t="n">
        <v>1.5</v>
      </c>
      <c r="J2004" s="19" t="n">
        <v>0.876270583892878</v>
      </c>
      <c r="K2004" s="19" t="n">
        <v>0.471769865459553</v>
      </c>
      <c r="L2004" s="16" t="n">
        <v>11.8544257319905</v>
      </c>
      <c r="M2004" s="19" t="n">
        <v>0.810995473236716</v>
      </c>
      <c r="N2004" s="19" t="n">
        <v>1.19136458206135</v>
      </c>
      <c r="O2004" s="19" t="n">
        <v>1.10770684810466</v>
      </c>
      <c r="P2004" s="19" t="n">
        <v>0.478355325858237</v>
      </c>
      <c r="Q2004" s="17" t="s">
        <v>31</v>
      </c>
      <c r="R2004" s="5" t="str">
        <f aca="false">IF(OR(Q2004="Steel plate",Q2004="Concrete jacket"),"Steel plate or jacket",Q2004)</f>
        <v>Polymer laminate</v>
      </c>
      <c r="S2004" s="5" t="str">
        <f aca="false">IF(O2004&lt;='Tree rules'!$C$4,IF(N2004&lt;='Tree rules'!$C$5,IF(P2004&lt;='Tree rules'!$C$6,"Monitor","Polymer laminate"),IF(P2004&lt;='Tree rules'!$C$7,"Seal cracks","Polymer laminate")),IF(O2004&lt;='Tree rules'!$C$8,IF(M2004&lt;='Tree rules'!$C$9,"Steel plate or jacket","Polymer laminate"),IF(L2004&lt;='Tree rules'!$C$10,"Steel plate or jacket","Polymer laminate")))</f>
        <v>Polymer laminate</v>
      </c>
      <c r="T2004" s="5" t="str">
        <f aca="false">IF(S2004=R2004,"Yes","No")</f>
        <v>Yes</v>
      </c>
    </row>
    <row r="2005" customFormat="false" ht="15" hidden="false" customHeight="false" outlineLevel="0" collapsed="false">
      <c r="A2005" s="15" t="n">
        <v>2870</v>
      </c>
      <c r="B2005" s="16" t="n">
        <v>6.2850501312927</v>
      </c>
      <c r="C2005" s="15" t="n">
        <v>230</v>
      </c>
      <c r="D2005" s="15" t="n">
        <v>500</v>
      </c>
      <c r="E2005" s="15" t="n">
        <v>20</v>
      </c>
      <c r="F2005" s="16" t="n">
        <v>0.577653504586516</v>
      </c>
      <c r="G2005" s="17" t="s">
        <v>91</v>
      </c>
      <c r="H2005" s="18" t="n">
        <v>0.2</v>
      </c>
      <c r="I2005" s="18" t="n">
        <v>1.5</v>
      </c>
      <c r="J2005" s="19" t="n">
        <v>0.942787618256278</v>
      </c>
      <c r="K2005" s="19" t="n">
        <v>0.411995382564222</v>
      </c>
      <c r="L2005" s="16" t="n">
        <v>13.8437227561513</v>
      </c>
      <c r="M2005" s="19" t="n">
        <v>0.575641536393847</v>
      </c>
      <c r="N2005" s="19" t="n">
        <v>1.30348191861122</v>
      </c>
      <c r="O2005" s="19" t="n">
        <v>1.21996935465426</v>
      </c>
      <c r="P2005" s="19" t="n">
        <v>0.677858700213455</v>
      </c>
      <c r="Q2005" s="17" t="s">
        <v>31</v>
      </c>
      <c r="R2005" s="5" t="str">
        <f aca="false">IF(OR(Q2005="Steel plate",Q2005="Concrete jacket"),"Steel plate or jacket",Q2005)</f>
        <v>Polymer laminate</v>
      </c>
      <c r="S2005" s="5" t="str">
        <f aca="false">IF(O2005&lt;='Tree rules'!$C$4,IF(N2005&lt;='Tree rules'!$C$5,IF(P2005&lt;='Tree rules'!$C$6,"Monitor","Polymer laminate"),IF(P2005&lt;='Tree rules'!$C$7,"Seal cracks","Polymer laminate")),IF(O2005&lt;='Tree rules'!$C$8,IF(M2005&lt;='Tree rules'!$C$9,"Steel plate or jacket","Polymer laminate"),IF(L2005&lt;='Tree rules'!$C$10,"Steel plate or jacket","Polymer laminate")))</f>
        <v>Polymer laminate</v>
      </c>
      <c r="T2005" s="5" t="str">
        <f aca="false">IF(S2005=R2005,"Yes","No")</f>
        <v>Yes</v>
      </c>
    </row>
    <row r="2006" customFormat="false" ht="15" hidden="false" customHeight="false" outlineLevel="0" collapsed="false">
      <c r="A2006" s="15" t="n">
        <v>2871</v>
      </c>
      <c r="B2006" s="16" t="n">
        <v>4.03838779836806</v>
      </c>
      <c r="C2006" s="15" t="n">
        <v>300</v>
      </c>
      <c r="D2006" s="15" t="n">
        <v>400</v>
      </c>
      <c r="E2006" s="15" t="n">
        <v>25</v>
      </c>
      <c r="F2006" s="16" t="n">
        <v>0.529481907908392</v>
      </c>
      <c r="G2006" s="17" t="s">
        <v>91</v>
      </c>
      <c r="H2006" s="18" t="n">
        <v>0.2</v>
      </c>
      <c r="I2006" s="18" t="n">
        <v>1</v>
      </c>
      <c r="J2006" s="19" t="n">
        <v>0.993976885415564</v>
      </c>
      <c r="K2006" s="19" t="n">
        <v>0.449489359807938</v>
      </c>
      <c r="L2006" s="16" t="n">
        <v>11.3437859504721</v>
      </c>
      <c r="M2006" s="19" t="n">
        <v>0.851872576680112</v>
      </c>
      <c r="N2006" s="19" t="n">
        <v>0.903609426558686</v>
      </c>
      <c r="O2006" s="19" t="n">
        <v>0.993976885415564</v>
      </c>
      <c r="P2006" s="19" t="n">
        <v>0.295386436590215</v>
      </c>
      <c r="Q2006" s="17" t="s">
        <v>29</v>
      </c>
      <c r="R2006" s="5" t="str">
        <f aca="false">IF(OR(Q2006="Steel plate",Q2006="Concrete jacket"),"Steel plate or jacket",Q2006)</f>
        <v>Monitor</v>
      </c>
      <c r="S2006" s="5" t="str">
        <f aca="false">IF(O2006&lt;='Tree rules'!$C$4,IF(N2006&lt;='Tree rules'!$C$5,IF(P2006&lt;='Tree rules'!$C$6,"Monitor","Polymer laminate"),IF(P2006&lt;='Tree rules'!$C$7,"Seal cracks","Polymer laminate")),IF(O2006&lt;='Tree rules'!$C$8,IF(M2006&lt;='Tree rules'!$C$9,"Steel plate or jacket","Polymer laminate"),IF(L2006&lt;='Tree rules'!$C$10,"Steel plate or jacket","Polymer laminate")))</f>
        <v>Monitor</v>
      </c>
      <c r="T2006" s="5" t="str">
        <f aca="false">IF(S2006=R2006,"Yes","No")</f>
        <v>Yes</v>
      </c>
    </row>
    <row r="2007" customFormat="false" ht="15" hidden="false" customHeight="false" outlineLevel="0" collapsed="false">
      <c r="A2007" s="15" t="n">
        <v>2872</v>
      </c>
      <c r="B2007" s="16" t="n">
        <v>4.35932490914998</v>
      </c>
      <c r="C2007" s="15" t="n">
        <v>230</v>
      </c>
      <c r="D2007" s="15" t="n">
        <v>425</v>
      </c>
      <c r="E2007" s="15" t="n">
        <v>20</v>
      </c>
      <c r="F2007" s="16" t="n">
        <v>0.691964884122107</v>
      </c>
      <c r="G2007" s="17" t="s">
        <v>89</v>
      </c>
      <c r="H2007" s="18" t="n">
        <v>0.3</v>
      </c>
      <c r="I2007" s="18" t="n">
        <v>1</v>
      </c>
      <c r="J2007" s="19" t="n">
        <v>0.883420865346758</v>
      </c>
      <c r="K2007" s="19" t="n">
        <v>0.519105290526811</v>
      </c>
      <c r="L2007" s="16" t="n">
        <v>11.5021765412928</v>
      </c>
      <c r="M2007" s="19" t="n">
        <v>0.762271795523371</v>
      </c>
      <c r="N2007" s="19" t="n">
        <v>0.595567417815428</v>
      </c>
      <c r="O2007" s="19" t="n">
        <v>0.883420865346758</v>
      </c>
      <c r="P2007" s="19" t="n">
        <v>0.4246013210803</v>
      </c>
      <c r="Q2007" s="17" t="s">
        <v>29</v>
      </c>
      <c r="R2007" s="5" t="str">
        <f aca="false">IF(OR(Q2007="Steel plate",Q2007="Concrete jacket"),"Steel plate or jacket",Q2007)</f>
        <v>Monitor</v>
      </c>
      <c r="S2007" s="5" t="str">
        <f aca="false">IF(O2007&lt;='Tree rules'!$C$4,IF(N2007&lt;='Tree rules'!$C$5,IF(P2007&lt;='Tree rules'!$C$6,"Monitor","Polymer laminate"),IF(P2007&lt;='Tree rules'!$C$7,"Seal cracks","Polymer laminate")),IF(O2007&lt;='Tree rules'!$C$8,IF(M2007&lt;='Tree rules'!$C$9,"Steel plate or jacket","Polymer laminate"),IF(L2007&lt;='Tree rules'!$C$10,"Steel plate or jacket","Polymer laminate")))</f>
        <v>Monitor</v>
      </c>
      <c r="T2007" s="5" t="str">
        <f aca="false">IF(S2007=R2007,"Yes","No")</f>
        <v>Yes</v>
      </c>
    </row>
    <row r="2008" customFormat="false" ht="15" hidden="false" customHeight="false" outlineLevel="0" collapsed="false">
      <c r="A2008" s="15" t="n">
        <v>2873</v>
      </c>
      <c r="B2008" s="16" t="n">
        <v>3.10422108878923</v>
      </c>
      <c r="C2008" s="15" t="n">
        <v>230</v>
      </c>
      <c r="D2008" s="15" t="n">
        <v>300</v>
      </c>
      <c r="E2008" s="15" t="n">
        <v>30</v>
      </c>
      <c r="F2008" s="16" t="n">
        <v>1.08405543602132</v>
      </c>
      <c r="G2008" s="17" t="s">
        <v>89</v>
      </c>
      <c r="H2008" s="18" t="n">
        <v>0.3</v>
      </c>
      <c r="I2008" s="18" t="n">
        <v>2</v>
      </c>
      <c r="J2008" s="19" t="n">
        <v>0.91779734164533</v>
      </c>
      <c r="K2008" s="19" t="n">
        <v>0.41322544498314</v>
      </c>
      <c r="L2008" s="16" t="n">
        <v>12.3183376539255</v>
      </c>
      <c r="M2008" s="19" t="n">
        <v>0.654511679885314</v>
      </c>
      <c r="N2008" s="19" t="n">
        <v>1.37335580460099</v>
      </c>
      <c r="O2008" s="19" t="n">
        <v>1.45633746838493</v>
      </c>
      <c r="P2008" s="19" t="n">
        <v>0.693318520106598</v>
      </c>
      <c r="Q2008" s="17" t="s">
        <v>31</v>
      </c>
      <c r="R2008" s="5" t="str">
        <f aca="false">IF(OR(Q2008="Steel plate",Q2008="Concrete jacket"),"Steel plate or jacket",Q2008)</f>
        <v>Polymer laminate</v>
      </c>
      <c r="S2008" s="5" t="str">
        <f aca="false">IF(O2008&lt;='Tree rules'!$C$4,IF(N2008&lt;='Tree rules'!$C$5,IF(P2008&lt;='Tree rules'!$C$6,"Monitor","Polymer laminate"),IF(P2008&lt;='Tree rules'!$C$7,"Seal cracks","Polymer laminate")),IF(O2008&lt;='Tree rules'!$C$8,IF(M2008&lt;='Tree rules'!$C$9,"Steel plate or jacket","Polymer laminate"),IF(L2008&lt;='Tree rules'!$C$10,"Steel plate or jacket","Polymer laminate")))</f>
        <v>Steel plate or jacket</v>
      </c>
      <c r="T2008" s="5" t="str">
        <f aca="false">IF(S2008=R2008,"Yes","No")</f>
        <v>No</v>
      </c>
    </row>
    <row r="2009" customFormat="false" ht="15" hidden="false" customHeight="false" outlineLevel="0" collapsed="false">
      <c r="A2009" s="15" t="n">
        <v>2874</v>
      </c>
      <c r="B2009" s="16" t="n">
        <v>7.72116603263969</v>
      </c>
      <c r="C2009" s="15" t="n">
        <v>300</v>
      </c>
      <c r="D2009" s="15" t="n">
        <v>725</v>
      </c>
      <c r="E2009" s="15" t="n">
        <v>30</v>
      </c>
      <c r="F2009" s="16" t="n">
        <v>0.6187282429522</v>
      </c>
      <c r="G2009" s="17" t="s">
        <v>91</v>
      </c>
      <c r="H2009" s="18" t="n">
        <v>0.2</v>
      </c>
      <c r="I2009" s="18" t="n">
        <v>1</v>
      </c>
      <c r="J2009" s="19" t="n">
        <v>0.922042399778222</v>
      </c>
      <c r="K2009" s="19" t="n">
        <v>0.508792774035389</v>
      </c>
      <c r="L2009" s="16" t="n">
        <v>11.4049719832196</v>
      </c>
      <c r="M2009" s="19" t="n">
        <v>0.496770355390165</v>
      </c>
      <c r="N2009" s="19" t="n">
        <v>0.973533698795283</v>
      </c>
      <c r="O2009" s="19" t="n">
        <v>0.922042399778222</v>
      </c>
      <c r="P2009" s="19" t="n">
        <v>0.585350274329048</v>
      </c>
      <c r="Q2009" s="17" t="s">
        <v>29</v>
      </c>
      <c r="R2009" s="5" t="str">
        <f aca="false">IF(OR(Q2009="Steel plate",Q2009="Concrete jacket"),"Steel plate or jacket",Q2009)</f>
        <v>Monitor</v>
      </c>
      <c r="S2009" s="5" t="str">
        <f aca="false">IF(O2009&lt;='Tree rules'!$C$4,IF(N2009&lt;='Tree rules'!$C$5,IF(P2009&lt;='Tree rules'!$C$6,"Monitor","Polymer laminate"),IF(P2009&lt;='Tree rules'!$C$7,"Seal cracks","Polymer laminate")),IF(O2009&lt;='Tree rules'!$C$8,IF(M2009&lt;='Tree rules'!$C$9,"Steel plate or jacket","Polymer laminate"),IF(L2009&lt;='Tree rules'!$C$10,"Steel plate or jacket","Polymer laminate")))</f>
        <v>Monitor</v>
      </c>
      <c r="T2009" s="5" t="str">
        <f aca="false">IF(S2009=R2009,"Yes","No")</f>
        <v>Yes</v>
      </c>
    </row>
    <row r="2010" customFormat="false" ht="15" hidden="false" customHeight="false" outlineLevel="0" collapsed="false">
      <c r="A2010" s="15" t="n">
        <v>2875</v>
      </c>
      <c r="B2010" s="16" t="n">
        <v>3.15326887566462</v>
      </c>
      <c r="C2010" s="15" t="n">
        <v>230</v>
      </c>
      <c r="D2010" s="15" t="n">
        <v>300</v>
      </c>
      <c r="E2010" s="15" t="n">
        <v>25</v>
      </c>
      <c r="F2010" s="16" t="n">
        <v>0.576243217710084</v>
      </c>
      <c r="G2010" s="17" t="s">
        <v>89</v>
      </c>
      <c r="H2010" s="18" t="n">
        <v>0.3</v>
      </c>
      <c r="I2010" s="18" t="n">
        <v>2</v>
      </c>
      <c r="J2010" s="19" t="n">
        <v>0.947466740442927</v>
      </c>
      <c r="K2010" s="19" t="n">
        <v>0.594839126799544</v>
      </c>
      <c r="L2010" s="16" t="n">
        <v>12.3174565455649</v>
      </c>
      <c r="M2010" s="19" t="n">
        <v>0.887247625286374</v>
      </c>
      <c r="N2010" s="19" t="n">
        <v>0.929630494538169</v>
      </c>
      <c r="O2010" s="19" t="n">
        <v>1.33134319232917</v>
      </c>
      <c r="P2010" s="19" t="n">
        <v>0.362793058612779</v>
      </c>
      <c r="Q2010" s="17" t="s">
        <v>31</v>
      </c>
      <c r="R2010" s="5" t="str">
        <f aca="false">IF(OR(Q2010="Steel plate",Q2010="Concrete jacket"),"Steel plate or jacket",Q2010)</f>
        <v>Polymer laminate</v>
      </c>
      <c r="S2010" s="5" t="str">
        <f aca="false">IF(O2010&lt;='Tree rules'!$C$4,IF(N2010&lt;='Tree rules'!$C$5,IF(P2010&lt;='Tree rules'!$C$6,"Monitor","Polymer laminate"),IF(P2010&lt;='Tree rules'!$C$7,"Seal cracks","Polymer laminate")),IF(O2010&lt;='Tree rules'!$C$8,IF(M2010&lt;='Tree rules'!$C$9,"Steel plate or jacket","Polymer laminate"),IF(L2010&lt;='Tree rules'!$C$10,"Steel plate or jacket","Polymer laminate")))</f>
        <v>Steel plate or jacket</v>
      </c>
      <c r="T2010" s="5" t="str">
        <f aca="false">IF(S2010=R2010,"Yes","No")</f>
        <v>No</v>
      </c>
    </row>
    <row r="2011" customFormat="false" ht="15" hidden="false" customHeight="false" outlineLevel="0" collapsed="false">
      <c r="A2011" s="15" t="n">
        <v>2876</v>
      </c>
      <c r="B2011" s="16" t="n">
        <v>3.09526926485852</v>
      </c>
      <c r="C2011" s="15" t="n">
        <v>300</v>
      </c>
      <c r="D2011" s="15" t="n">
        <v>300</v>
      </c>
      <c r="E2011" s="15" t="n">
        <v>30</v>
      </c>
      <c r="F2011" s="16" t="n">
        <v>0.831109167616348</v>
      </c>
      <c r="G2011" s="17" t="s">
        <v>89</v>
      </c>
      <c r="H2011" s="18" t="n">
        <v>0.3</v>
      </c>
      <c r="I2011" s="18" t="n">
        <v>2</v>
      </c>
      <c r="J2011" s="19" t="n">
        <v>0.927299159003742</v>
      </c>
      <c r="K2011" s="19" t="n">
        <v>0.506924811834223</v>
      </c>
      <c r="L2011" s="16" t="n">
        <v>12.2828145430894</v>
      </c>
      <c r="M2011" s="19" t="n">
        <v>0.304745636262105</v>
      </c>
      <c r="N2011" s="19" t="n">
        <v>1.60499063708247</v>
      </c>
      <c r="O2011" s="19" t="n">
        <v>1.38452736631548</v>
      </c>
      <c r="P2011" s="19" t="n">
        <v>1.18819556975286</v>
      </c>
      <c r="Q2011" s="17" t="s">
        <v>31</v>
      </c>
      <c r="R2011" s="5" t="str">
        <f aca="false">IF(OR(Q2011="Steel plate",Q2011="Concrete jacket"),"Steel plate or jacket",Q2011)</f>
        <v>Polymer laminate</v>
      </c>
      <c r="S2011" s="5" t="str">
        <f aca="false">IF(O2011&lt;='Tree rules'!$C$4,IF(N2011&lt;='Tree rules'!$C$5,IF(P2011&lt;='Tree rules'!$C$6,"Monitor","Polymer laminate"),IF(P2011&lt;='Tree rules'!$C$7,"Seal cracks","Polymer laminate")),IF(O2011&lt;='Tree rules'!$C$8,IF(M2011&lt;='Tree rules'!$C$9,"Steel plate or jacket","Polymer laminate"),IF(L2011&lt;='Tree rules'!$C$10,"Steel plate or jacket","Polymer laminate")))</f>
        <v>Steel plate or jacket</v>
      </c>
      <c r="T2011" s="5" t="str">
        <f aca="false">IF(S2011=R2011,"Yes","No")</f>
        <v>No</v>
      </c>
    </row>
    <row r="2012" customFormat="false" ht="15" hidden="false" customHeight="false" outlineLevel="0" collapsed="false">
      <c r="A2012" s="15" t="n">
        <v>2877</v>
      </c>
      <c r="B2012" s="16" t="n">
        <v>5.44654770351783</v>
      </c>
      <c r="C2012" s="15" t="n">
        <v>230</v>
      </c>
      <c r="D2012" s="15" t="n">
        <v>450</v>
      </c>
      <c r="E2012" s="15" t="n">
        <v>30</v>
      </c>
      <c r="F2012" s="16" t="n">
        <v>0.705896562990629</v>
      </c>
      <c r="G2012" s="17" t="s">
        <v>90</v>
      </c>
      <c r="H2012" s="18" t="n">
        <v>0.1</v>
      </c>
      <c r="I2012" s="18" t="n">
        <v>1.5</v>
      </c>
      <c r="J2012" s="19" t="n">
        <v>0.956839581379189</v>
      </c>
      <c r="K2012" s="19" t="n">
        <v>0.494869803241231</v>
      </c>
      <c r="L2012" s="16" t="n">
        <v>14.0737666757567</v>
      </c>
      <c r="M2012" s="19" t="n">
        <v>0.777857129828732</v>
      </c>
      <c r="N2012" s="19" t="n">
        <v>3.68258146466228</v>
      </c>
      <c r="O2012" s="19" t="n">
        <v>1.19850386438351</v>
      </c>
      <c r="P2012" s="19" t="n">
        <v>0.488365332489726</v>
      </c>
      <c r="Q2012" s="17" t="s">
        <v>31</v>
      </c>
      <c r="R2012" s="5" t="str">
        <f aca="false">IF(OR(Q2012="Steel plate",Q2012="Concrete jacket"),"Steel plate or jacket",Q2012)</f>
        <v>Polymer laminate</v>
      </c>
      <c r="S2012" s="5" t="str">
        <f aca="false">IF(O2012&lt;='Tree rules'!$C$4,IF(N2012&lt;='Tree rules'!$C$5,IF(P2012&lt;='Tree rules'!$C$6,"Monitor","Polymer laminate"),IF(P2012&lt;='Tree rules'!$C$7,"Seal cracks","Polymer laminate")),IF(O2012&lt;='Tree rules'!$C$8,IF(M2012&lt;='Tree rules'!$C$9,"Steel plate or jacket","Polymer laminate"),IF(L2012&lt;='Tree rules'!$C$10,"Steel plate or jacket","Polymer laminate")))</f>
        <v>Polymer laminate</v>
      </c>
      <c r="T2012" s="5" t="str">
        <f aca="false">IF(S2012=R2012,"Yes","No")</f>
        <v>Yes</v>
      </c>
    </row>
    <row r="2013" customFormat="false" ht="15" hidden="false" customHeight="false" outlineLevel="0" collapsed="false">
      <c r="A2013" s="15" t="n">
        <v>2879</v>
      </c>
      <c r="B2013" s="16" t="n">
        <v>4.66828022770102</v>
      </c>
      <c r="C2013" s="15" t="n">
        <v>230</v>
      </c>
      <c r="D2013" s="15" t="n">
        <v>425</v>
      </c>
      <c r="E2013" s="15" t="n">
        <v>25</v>
      </c>
      <c r="F2013" s="16" t="n">
        <v>0.724620609754306</v>
      </c>
      <c r="G2013" s="17" t="s">
        <v>91</v>
      </c>
      <c r="H2013" s="18" t="n">
        <v>0.2</v>
      </c>
      <c r="I2013" s="18" t="n">
        <v>1.5</v>
      </c>
      <c r="J2013" s="19" t="n">
        <v>0.927429430171094</v>
      </c>
      <c r="K2013" s="19" t="n">
        <v>0.559418670964744</v>
      </c>
      <c r="L2013" s="16" t="n">
        <v>12.3827061742733</v>
      </c>
      <c r="M2013" s="19" t="n">
        <v>0.525773510969458</v>
      </c>
      <c r="N2013" s="19" t="n">
        <v>1.61910242919124</v>
      </c>
      <c r="O2013" s="19" t="n">
        <v>1.13173347563669</v>
      </c>
      <c r="P2013" s="19" t="n">
        <v>0.730762609147079</v>
      </c>
      <c r="Q2013" s="17" t="s">
        <v>31</v>
      </c>
      <c r="R2013" s="5" t="str">
        <f aca="false">IF(OR(Q2013="Steel plate",Q2013="Concrete jacket"),"Steel plate or jacket",Q2013)</f>
        <v>Polymer laminate</v>
      </c>
      <c r="S2013" s="5" t="str">
        <f aca="false">IF(O2013&lt;='Tree rules'!$C$4,IF(N2013&lt;='Tree rules'!$C$5,IF(P2013&lt;='Tree rules'!$C$6,"Monitor","Polymer laminate"),IF(P2013&lt;='Tree rules'!$C$7,"Seal cracks","Polymer laminate")),IF(O2013&lt;='Tree rules'!$C$8,IF(M2013&lt;='Tree rules'!$C$9,"Steel plate or jacket","Polymer laminate"),IF(L2013&lt;='Tree rules'!$C$10,"Steel plate or jacket","Polymer laminate")))</f>
        <v>Polymer laminate</v>
      </c>
      <c r="T2013" s="5" t="str">
        <f aca="false">IF(S2013=R2013,"Yes","No")</f>
        <v>Yes</v>
      </c>
    </row>
    <row r="2014" customFormat="false" ht="15" hidden="false" customHeight="false" outlineLevel="0" collapsed="false">
      <c r="A2014" s="15" t="n">
        <v>2880</v>
      </c>
      <c r="B2014" s="16" t="n">
        <v>3.02971065085962</v>
      </c>
      <c r="C2014" s="15" t="n">
        <v>230</v>
      </c>
      <c r="D2014" s="15" t="n">
        <v>300</v>
      </c>
      <c r="E2014" s="15" t="n">
        <v>25</v>
      </c>
      <c r="F2014" s="16" t="n">
        <v>0.688332522525665</v>
      </c>
      <c r="G2014" s="17" t="s">
        <v>89</v>
      </c>
      <c r="H2014" s="18" t="n">
        <v>0.3</v>
      </c>
      <c r="I2014" s="18" t="n">
        <v>1</v>
      </c>
      <c r="J2014" s="19" t="n">
        <v>0.987644914918525</v>
      </c>
      <c r="K2014" s="19" t="n">
        <v>0.524329053123226</v>
      </c>
      <c r="L2014" s="16" t="n">
        <v>11.9279946884237</v>
      </c>
      <c r="M2014" s="19" t="n">
        <v>0.28948035550317</v>
      </c>
      <c r="N2014" s="19" t="n">
        <v>0.974940647609235</v>
      </c>
      <c r="O2014" s="19" t="n">
        <v>0.987644914918525</v>
      </c>
      <c r="P2014" s="19" t="n">
        <v>0.954579958165783</v>
      </c>
      <c r="Q2014" s="17" t="s">
        <v>29</v>
      </c>
      <c r="R2014" s="5" t="str">
        <f aca="false">IF(OR(Q2014="Steel plate",Q2014="Concrete jacket"),"Steel plate or jacket",Q2014)</f>
        <v>Monitor</v>
      </c>
      <c r="S2014" s="5" t="str">
        <f aca="false">IF(O2014&lt;='Tree rules'!$C$4,IF(N2014&lt;='Tree rules'!$C$5,IF(P2014&lt;='Tree rules'!$C$6,"Monitor","Polymer laminate"),IF(P2014&lt;='Tree rules'!$C$7,"Seal cracks","Polymer laminate")),IF(O2014&lt;='Tree rules'!$C$8,IF(M2014&lt;='Tree rules'!$C$9,"Steel plate or jacket","Polymer laminate"),IF(L2014&lt;='Tree rules'!$C$10,"Steel plate or jacket","Polymer laminate")))</f>
        <v>Monitor</v>
      </c>
      <c r="T2014" s="5" t="str">
        <f aca="false">IF(S2014=R2014,"Yes","No")</f>
        <v>Yes</v>
      </c>
    </row>
    <row r="2015" customFormat="false" ht="15" hidden="false" customHeight="false" outlineLevel="0" collapsed="false">
      <c r="A2015" s="15" t="n">
        <v>2881</v>
      </c>
      <c r="B2015" s="16" t="n">
        <v>3.52486707803426</v>
      </c>
      <c r="C2015" s="15" t="n">
        <v>300</v>
      </c>
      <c r="D2015" s="15" t="n">
        <v>350</v>
      </c>
      <c r="E2015" s="15" t="n">
        <v>20</v>
      </c>
      <c r="F2015" s="16" t="n">
        <v>0.693508312050727</v>
      </c>
      <c r="G2015" s="17" t="s">
        <v>91</v>
      </c>
      <c r="H2015" s="18" t="n">
        <v>0.2</v>
      </c>
      <c r="I2015" s="18" t="n">
        <v>1.5</v>
      </c>
      <c r="J2015" s="19" t="n">
        <v>0.875402951274602</v>
      </c>
      <c r="K2015" s="19" t="n">
        <v>0.623468481977321</v>
      </c>
      <c r="L2015" s="16" t="n">
        <v>11.6717452915042</v>
      </c>
      <c r="M2015" s="19" t="n">
        <v>0.936146190294705</v>
      </c>
      <c r="N2015" s="19" t="n">
        <v>1.57345074284651</v>
      </c>
      <c r="O2015" s="19" t="n">
        <v>1.04021135233708</v>
      </c>
      <c r="P2015" s="19" t="n">
        <v>0.382656410980553</v>
      </c>
      <c r="Q2015" s="17" t="s">
        <v>31</v>
      </c>
      <c r="R2015" s="5" t="str">
        <f aca="false">IF(OR(Q2015="Steel plate",Q2015="Concrete jacket"),"Steel plate or jacket",Q2015)</f>
        <v>Polymer laminate</v>
      </c>
      <c r="S2015" s="5" t="str">
        <f aca="false">IF(O2015&lt;='Tree rules'!$C$4,IF(N2015&lt;='Tree rules'!$C$5,IF(P2015&lt;='Tree rules'!$C$6,"Monitor","Polymer laminate"),IF(P2015&lt;='Tree rules'!$C$7,"Seal cracks","Polymer laminate")),IF(O2015&lt;='Tree rules'!$C$8,IF(M2015&lt;='Tree rules'!$C$9,"Steel plate or jacket","Polymer laminate"),IF(L2015&lt;='Tree rules'!$C$10,"Steel plate or jacket","Polymer laminate")))</f>
        <v>Polymer laminate</v>
      </c>
      <c r="T2015" s="5" t="str">
        <f aca="false">IF(S2015=R2015,"Yes","No")</f>
        <v>Yes</v>
      </c>
    </row>
    <row r="2016" customFormat="false" ht="15" hidden="false" customHeight="false" outlineLevel="0" collapsed="false">
      <c r="A2016" s="15" t="n">
        <v>2883</v>
      </c>
      <c r="B2016" s="16" t="n">
        <v>6.2989611462934</v>
      </c>
      <c r="C2016" s="15" t="n">
        <v>230</v>
      </c>
      <c r="D2016" s="15" t="n">
        <v>600</v>
      </c>
      <c r="E2016" s="15" t="n">
        <v>25</v>
      </c>
      <c r="F2016" s="16" t="n">
        <v>0.63117855856144</v>
      </c>
      <c r="G2016" s="17" t="s">
        <v>89</v>
      </c>
      <c r="H2016" s="18" t="n">
        <v>0.3</v>
      </c>
      <c r="I2016" s="18" t="n">
        <v>1.5</v>
      </c>
      <c r="J2016" s="19" t="n">
        <v>0.886923266709133</v>
      </c>
      <c r="K2016" s="19" t="n">
        <v>0.471341833283793</v>
      </c>
      <c r="L2016" s="16" t="n">
        <v>11.3699659680386</v>
      </c>
      <c r="M2016" s="19" t="n">
        <v>0.352253216338729</v>
      </c>
      <c r="N2016" s="19" t="n">
        <v>0.74947600874947</v>
      </c>
      <c r="O2016" s="19" t="n">
        <v>1.12136288080733</v>
      </c>
      <c r="P2016" s="19" t="n">
        <v>0.897200562087241</v>
      </c>
      <c r="Q2016" s="17" t="s">
        <v>31</v>
      </c>
      <c r="R2016" s="5" t="str">
        <f aca="false">IF(OR(Q2016="Steel plate",Q2016="Concrete jacket"),"Steel plate or jacket",Q2016)</f>
        <v>Polymer laminate</v>
      </c>
      <c r="S2016" s="5" t="str">
        <f aca="false">IF(O2016&lt;='Tree rules'!$C$4,IF(N2016&lt;='Tree rules'!$C$5,IF(P2016&lt;='Tree rules'!$C$6,"Monitor","Polymer laminate"),IF(P2016&lt;='Tree rules'!$C$7,"Seal cracks","Polymer laminate")),IF(O2016&lt;='Tree rules'!$C$8,IF(M2016&lt;='Tree rules'!$C$9,"Steel plate or jacket","Polymer laminate"),IF(L2016&lt;='Tree rules'!$C$10,"Steel plate or jacket","Polymer laminate")))</f>
        <v>Polymer laminate</v>
      </c>
      <c r="T2016" s="5" t="str">
        <f aca="false">IF(S2016=R2016,"Yes","No")</f>
        <v>Yes</v>
      </c>
    </row>
    <row r="2017" customFormat="false" ht="15" hidden="false" customHeight="false" outlineLevel="0" collapsed="false">
      <c r="A2017" s="15" t="n">
        <v>2884</v>
      </c>
      <c r="B2017" s="16" t="n">
        <v>3.95337588792581</v>
      </c>
      <c r="C2017" s="15" t="n">
        <v>300</v>
      </c>
      <c r="D2017" s="15" t="n">
        <v>400</v>
      </c>
      <c r="E2017" s="15" t="n">
        <v>20</v>
      </c>
      <c r="F2017" s="16" t="n">
        <v>0.757295404255167</v>
      </c>
      <c r="G2017" s="17" t="s">
        <v>89</v>
      </c>
      <c r="H2017" s="18" t="n">
        <v>0.3</v>
      </c>
      <c r="I2017" s="18" t="n">
        <v>1</v>
      </c>
      <c r="J2017" s="19" t="n">
        <v>0.886086991263021</v>
      </c>
      <c r="K2017" s="19" t="n">
        <v>0.441127619906653</v>
      </c>
      <c r="L2017" s="16" t="n">
        <v>11.1677284969656</v>
      </c>
      <c r="M2017" s="19" t="n">
        <v>0.498724786891894</v>
      </c>
      <c r="N2017" s="19" t="n">
        <v>0.63627507764921</v>
      </c>
      <c r="O2017" s="19" t="n">
        <v>0.886086991263021</v>
      </c>
      <c r="P2017" s="19" t="n">
        <v>0.599873655262456</v>
      </c>
      <c r="Q2017" s="17" t="s">
        <v>29</v>
      </c>
      <c r="R2017" s="5" t="str">
        <f aca="false">IF(OR(Q2017="Steel plate",Q2017="Concrete jacket"),"Steel plate or jacket",Q2017)</f>
        <v>Monitor</v>
      </c>
      <c r="S2017" s="5" t="str">
        <f aca="false">IF(O2017&lt;='Tree rules'!$C$4,IF(N2017&lt;='Tree rules'!$C$5,IF(P2017&lt;='Tree rules'!$C$6,"Monitor","Polymer laminate"),IF(P2017&lt;='Tree rules'!$C$7,"Seal cracks","Polymer laminate")),IF(O2017&lt;='Tree rules'!$C$8,IF(M2017&lt;='Tree rules'!$C$9,"Steel plate or jacket","Polymer laminate"),IF(L2017&lt;='Tree rules'!$C$10,"Steel plate or jacket","Polymer laminate")))</f>
        <v>Monitor</v>
      </c>
      <c r="T2017" s="5" t="str">
        <f aca="false">IF(S2017=R2017,"Yes","No")</f>
        <v>Yes</v>
      </c>
    </row>
    <row r="2018" customFormat="false" ht="15" hidden="false" customHeight="false" outlineLevel="0" collapsed="false">
      <c r="A2018" s="15" t="n">
        <v>2885</v>
      </c>
      <c r="B2018" s="16" t="n">
        <v>5.15607329392843</v>
      </c>
      <c r="C2018" s="15" t="n">
        <v>230</v>
      </c>
      <c r="D2018" s="15" t="n">
        <v>425</v>
      </c>
      <c r="E2018" s="15" t="n">
        <v>25</v>
      </c>
      <c r="F2018" s="16" t="n">
        <v>0.72047992055571</v>
      </c>
      <c r="G2018" s="17" t="s">
        <v>90</v>
      </c>
      <c r="H2018" s="18" t="n">
        <v>0.1</v>
      </c>
      <c r="I2018" s="18" t="n">
        <v>2</v>
      </c>
      <c r="J2018" s="19" t="n">
        <v>0.97244346184885</v>
      </c>
      <c r="K2018" s="19" t="n">
        <v>0.408044719226916</v>
      </c>
      <c r="L2018" s="16" t="n">
        <v>14.1650365217814</v>
      </c>
      <c r="M2018" s="19" t="n">
        <v>0.782235491676802</v>
      </c>
      <c r="N2018" s="19" t="n">
        <v>4.24004855240558</v>
      </c>
      <c r="O2018" s="19" t="n">
        <v>1.54808650434354</v>
      </c>
      <c r="P2018" s="19" t="n">
        <v>0.575507295890509</v>
      </c>
      <c r="Q2018" s="17" t="s">
        <v>31</v>
      </c>
      <c r="R2018" s="5" t="str">
        <f aca="false">IF(OR(Q2018="Steel plate",Q2018="Concrete jacket"),"Steel plate or jacket",Q2018)</f>
        <v>Polymer laminate</v>
      </c>
      <c r="S2018" s="5" t="str">
        <f aca="false">IF(O2018&lt;='Tree rules'!$C$4,IF(N2018&lt;='Tree rules'!$C$5,IF(P2018&lt;='Tree rules'!$C$6,"Monitor","Polymer laminate"),IF(P2018&lt;='Tree rules'!$C$7,"Seal cracks","Polymer laminate")),IF(O2018&lt;='Tree rules'!$C$8,IF(M2018&lt;='Tree rules'!$C$9,"Steel plate or jacket","Polymer laminate"),IF(L2018&lt;='Tree rules'!$C$10,"Steel plate or jacket","Polymer laminate")))</f>
        <v>Polymer laminate</v>
      </c>
      <c r="T2018" s="5" t="str">
        <f aca="false">IF(S2018=R2018,"Yes","No")</f>
        <v>Yes</v>
      </c>
    </row>
    <row r="2019" customFormat="false" ht="15" hidden="false" customHeight="false" outlineLevel="0" collapsed="false">
      <c r="A2019" s="15" t="n">
        <v>2886</v>
      </c>
      <c r="B2019" s="16" t="n">
        <v>5.91418418463218</v>
      </c>
      <c r="C2019" s="15" t="n">
        <v>300</v>
      </c>
      <c r="D2019" s="15" t="n">
        <v>550</v>
      </c>
      <c r="E2019" s="15" t="n">
        <v>20</v>
      </c>
      <c r="F2019" s="16" t="n">
        <v>0.625815269639401</v>
      </c>
      <c r="G2019" s="17" t="s">
        <v>89</v>
      </c>
      <c r="H2019" s="18" t="n">
        <v>0.3</v>
      </c>
      <c r="I2019" s="18" t="n">
        <v>1</v>
      </c>
      <c r="J2019" s="19" t="n">
        <v>0.974916790662492</v>
      </c>
      <c r="K2019" s="19" t="n">
        <v>0.547631629480318</v>
      </c>
      <c r="L2019" s="16" t="n">
        <v>11.7812433956816</v>
      </c>
      <c r="M2019" s="19" t="n">
        <v>0.676120911194912</v>
      </c>
      <c r="N2019" s="19" t="n">
        <v>0.762702989618713</v>
      </c>
      <c r="O2019" s="19" t="n">
        <v>0.974916790662492</v>
      </c>
      <c r="P2019" s="19" t="n">
        <v>0.535089684619238</v>
      </c>
      <c r="Q2019" s="17" t="s">
        <v>29</v>
      </c>
      <c r="R2019" s="5" t="str">
        <f aca="false">IF(OR(Q2019="Steel plate",Q2019="Concrete jacket"),"Steel plate or jacket",Q2019)</f>
        <v>Monitor</v>
      </c>
      <c r="S2019" s="5" t="str">
        <f aca="false">IF(O2019&lt;='Tree rules'!$C$4,IF(N2019&lt;='Tree rules'!$C$5,IF(P2019&lt;='Tree rules'!$C$6,"Monitor","Polymer laminate"),IF(P2019&lt;='Tree rules'!$C$7,"Seal cracks","Polymer laminate")),IF(O2019&lt;='Tree rules'!$C$8,IF(M2019&lt;='Tree rules'!$C$9,"Steel plate or jacket","Polymer laminate"),IF(L2019&lt;='Tree rules'!$C$10,"Steel plate or jacket","Polymer laminate")))</f>
        <v>Monitor</v>
      </c>
      <c r="T2019" s="5" t="str">
        <f aca="false">IF(S2019=R2019,"Yes","No")</f>
        <v>Yes</v>
      </c>
    </row>
    <row r="2020" customFormat="false" ht="15" hidden="false" customHeight="false" outlineLevel="0" collapsed="false">
      <c r="A2020" s="15" t="n">
        <v>2887</v>
      </c>
      <c r="B2020" s="16" t="n">
        <v>6.48668307331152</v>
      </c>
      <c r="C2020" s="15" t="n">
        <v>230</v>
      </c>
      <c r="D2020" s="15" t="n">
        <v>600</v>
      </c>
      <c r="E2020" s="15" t="n">
        <v>30</v>
      </c>
      <c r="F2020" s="16" t="n">
        <v>0.742342309449384</v>
      </c>
      <c r="G2020" s="17" t="s">
        <v>91</v>
      </c>
      <c r="H2020" s="18" t="n">
        <v>0.2</v>
      </c>
      <c r="I2020" s="18" t="n">
        <v>2</v>
      </c>
      <c r="J2020" s="19" t="n">
        <v>0.966602607630271</v>
      </c>
      <c r="K2020" s="19" t="n">
        <v>0.526755348708283</v>
      </c>
      <c r="L2020" s="16" t="n">
        <v>11.7512374516513</v>
      </c>
      <c r="M2020" s="19" t="n">
        <v>0.943949980307353</v>
      </c>
      <c r="N2020" s="19" t="n">
        <v>1.45675577317167</v>
      </c>
      <c r="O2020" s="19" t="n">
        <v>1.42404212161592</v>
      </c>
      <c r="P2020" s="19" t="n">
        <v>0.487293145891314</v>
      </c>
      <c r="Q2020" s="17" t="s">
        <v>92</v>
      </c>
      <c r="R2020" s="5" t="str">
        <f aca="false">IF(OR(Q2020="Steel plate",Q2020="Concrete jacket"),"Steel plate or jacket",Q2020)</f>
        <v>Steel plate or jacket</v>
      </c>
      <c r="S2020" s="5" t="str">
        <f aca="false">IF(O2020&lt;='Tree rules'!$C$4,IF(N2020&lt;='Tree rules'!$C$5,IF(P2020&lt;='Tree rules'!$C$6,"Monitor","Polymer laminate"),IF(P2020&lt;='Tree rules'!$C$7,"Seal cracks","Polymer laminate")),IF(O2020&lt;='Tree rules'!$C$8,IF(M2020&lt;='Tree rules'!$C$9,"Steel plate or jacket","Polymer laminate"),IF(L2020&lt;='Tree rules'!$C$10,"Steel plate or jacket","Polymer laminate")))</f>
        <v>Steel plate or jacket</v>
      </c>
      <c r="T2020" s="5" t="str">
        <f aca="false">IF(S2020=R2020,"Yes","No")</f>
        <v>Yes</v>
      </c>
    </row>
    <row r="2021" customFormat="false" ht="15" hidden="false" customHeight="false" outlineLevel="0" collapsed="false">
      <c r="A2021" s="15" t="n">
        <v>2888</v>
      </c>
      <c r="B2021" s="16" t="n">
        <v>4.38765706205599</v>
      </c>
      <c r="C2021" s="15" t="n">
        <v>300</v>
      </c>
      <c r="D2021" s="15" t="n">
        <v>375</v>
      </c>
      <c r="E2021" s="15" t="n">
        <v>30</v>
      </c>
      <c r="F2021" s="16" t="n">
        <v>0.611130485804701</v>
      </c>
      <c r="G2021" s="17" t="s">
        <v>89</v>
      </c>
      <c r="H2021" s="18" t="n">
        <v>0.3</v>
      </c>
      <c r="I2021" s="18" t="n">
        <v>1</v>
      </c>
      <c r="J2021" s="19" t="n">
        <v>0.982198068938546</v>
      </c>
      <c r="K2021" s="19" t="n">
        <v>0.498832548612771</v>
      </c>
      <c r="L2021" s="16" t="n">
        <v>13.3363436536656</v>
      </c>
      <c r="M2021" s="19" t="n">
        <v>0.41630744925489</v>
      </c>
      <c r="N2021" s="19" t="n">
        <v>0.848542803315008</v>
      </c>
      <c r="O2021" s="19" t="n">
        <v>0.982198068938546</v>
      </c>
      <c r="P2021" s="19" t="n">
        <v>0.69903176664043</v>
      </c>
      <c r="Q2021" s="17" t="s">
        <v>29</v>
      </c>
      <c r="R2021" s="5" t="str">
        <f aca="false">IF(OR(Q2021="Steel plate",Q2021="Concrete jacket"),"Steel plate or jacket",Q2021)</f>
        <v>Monitor</v>
      </c>
      <c r="S2021" s="5" t="str">
        <f aca="false">IF(O2021&lt;='Tree rules'!$C$4,IF(N2021&lt;='Tree rules'!$C$5,IF(P2021&lt;='Tree rules'!$C$6,"Monitor","Polymer laminate"),IF(P2021&lt;='Tree rules'!$C$7,"Seal cracks","Polymer laminate")),IF(O2021&lt;='Tree rules'!$C$8,IF(M2021&lt;='Tree rules'!$C$9,"Steel plate or jacket","Polymer laminate"),IF(L2021&lt;='Tree rules'!$C$10,"Steel plate or jacket","Polymer laminate")))</f>
        <v>Monitor</v>
      </c>
      <c r="T2021" s="5" t="str">
        <f aca="false">IF(S2021=R2021,"Yes","No")</f>
        <v>Yes</v>
      </c>
    </row>
    <row r="2022" customFormat="false" ht="15" hidden="false" customHeight="false" outlineLevel="0" collapsed="false">
      <c r="A2022" s="15" t="n">
        <v>2891</v>
      </c>
      <c r="B2022" s="16" t="n">
        <v>6.47588755761618</v>
      </c>
      <c r="C2022" s="15" t="n">
        <v>230</v>
      </c>
      <c r="D2022" s="15" t="n">
        <v>550</v>
      </c>
      <c r="E2022" s="15" t="n">
        <v>25</v>
      </c>
      <c r="F2022" s="16" t="n">
        <v>0.544187190990784</v>
      </c>
      <c r="G2022" s="17" t="s">
        <v>89</v>
      </c>
      <c r="H2022" s="18" t="n">
        <v>0.3</v>
      </c>
      <c r="I2022" s="18" t="n">
        <v>1</v>
      </c>
      <c r="J2022" s="19" t="n">
        <v>0.914846389301311</v>
      </c>
      <c r="K2022" s="19" t="n">
        <v>0.537765677740909</v>
      </c>
      <c r="L2022" s="16" t="n">
        <v>12.9001744175621</v>
      </c>
      <c r="M2022" s="19" t="n">
        <v>0.431361527155774</v>
      </c>
      <c r="N2022" s="19" t="n">
        <v>0.883666314020117</v>
      </c>
      <c r="O2022" s="19" t="n">
        <v>0.914846389301311</v>
      </c>
      <c r="P2022" s="19" t="n">
        <v>0.686371109458955</v>
      </c>
      <c r="Q2022" s="17" t="s">
        <v>29</v>
      </c>
      <c r="R2022" s="5" t="str">
        <f aca="false">IF(OR(Q2022="Steel plate",Q2022="Concrete jacket"),"Steel plate or jacket",Q2022)</f>
        <v>Monitor</v>
      </c>
      <c r="S2022" s="5" t="str">
        <f aca="false">IF(O2022&lt;='Tree rules'!$C$4,IF(N2022&lt;='Tree rules'!$C$5,IF(P2022&lt;='Tree rules'!$C$6,"Monitor","Polymer laminate"),IF(P2022&lt;='Tree rules'!$C$7,"Seal cracks","Polymer laminate")),IF(O2022&lt;='Tree rules'!$C$8,IF(M2022&lt;='Tree rules'!$C$9,"Steel plate or jacket","Polymer laminate"),IF(L2022&lt;='Tree rules'!$C$10,"Steel plate or jacket","Polymer laminate")))</f>
        <v>Monitor</v>
      </c>
      <c r="T2022" s="5" t="str">
        <f aca="false">IF(S2022=R2022,"Yes","No")</f>
        <v>Yes</v>
      </c>
    </row>
    <row r="2023" customFormat="false" ht="15" hidden="false" customHeight="false" outlineLevel="0" collapsed="false">
      <c r="A2023" s="15" t="n">
        <v>2892</v>
      </c>
      <c r="B2023" s="16" t="n">
        <v>3.85443922923725</v>
      </c>
      <c r="C2023" s="15" t="n">
        <v>300</v>
      </c>
      <c r="D2023" s="15" t="n">
        <v>325</v>
      </c>
      <c r="E2023" s="15" t="n">
        <v>20</v>
      </c>
      <c r="F2023" s="16" t="n">
        <v>0.708629921862359</v>
      </c>
      <c r="G2023" s="17" t="s">
        <v>90</v>
      </c>
      <c r="H2023" s="18" t="n">
        <v>0.1</v>
      </c>
      <c r="I2023" s="18" t="n">
        <v>2</v>
      </c>
      <c r="J2023" s="19" t="n">
        <v>0.905671030625553</v>
      </c>
      <c r="K2023" s="19" t="n">
        <v>0.530382378309042</v>
      </c>
      <c r="L2023" s="16" t="n">
        <v>14.4903730422453</v>
      </c>
      <c r="M2023" s="19" t="n">
        <v>0.927260778230515</v>
      </c>
      <c r="N2023" s="19" t="n">
        <v>3.49140051870856</v>
      </c>
      <c r="O2023" s="19" t="n">
        <v>1.33099010606232</v>
      </c>
      <c r="P2023" s="19" t="n">
        <v>0.45433292207524</v>
      </c>
      <c r="Q2023" s="17" t="s">
        <v>31</v>
      </c>
      <c r="R2023" s="5" t="str">
        <f aca="false">IF(OR(Q2023="Steel plate",Q2023="Concrete jacket"),"Steel plate or jacket",Q2023)</f>
        <v>Polymer laminate</v>
      </c>
      <c r="S2023" s="5" t="str">
        <f aca="false">IF(O2023&lt;='Tree rules'!$C$4,IF(N2023&lt;='Tree rules'!$C$5,IF(P2023&lt;='Tree rules'!$C$6,"Monitor","Polymer laminate"),IF(P2023&lt;='Tree rules'!$C$7,"Seal cracks","Polymer laminate")),IF(O2023&lt;='Tree rules'!$C$8,IF(M2023&lt;='Tree rules'!$C$9,"Steel plate or jacket","Polymer laminate"),IF(L2023&lt;='Tree rules'!$C$10,"Steel plate or jacket","Polymer laminate")))</f>
        <v>Polymer laminate</v>
      </c>
      <c r="T2023" s="5" t="str">
        <f aca="false">IF(S2023=R2023,"Yes","No")</f>
        <v>Yes</v>
      </c>
    </row>
    <row r="2024" customFormat="false" ht="15" hidden="false" customHeight="false" outlineLevel="0" collapsed="false">
      <c r="A2024" s="15" t="n">
        <v>2893</v>
      </c>
      <c r="B2024" s="16" t="n">
        <v>5.08440399805423</v>
      </c>
      <c r="C2024" s="15" t="n">
        <v>300</v>
      </c>
      <c r="D2024" s="15" t="n">
        <v>475</v>
      </c>
      <c r="E2024" s="15" t="n">
        <v>25</v>
      </c>
      <c r="F2024" s="16" t="n">
        <v>0.624901102811956</v>
      </c>
      <c r="G2024" s="17" t="s">
        <v>89</v>
      </c>
      <c r="H2024" s="18" t="n">
        <v>0.3</v>
      </c>
      <c r="I2024" s="18" t="n">
        <v>2</v>
      </c>
      <c r="J2024" s="19" t="n">
        <v>0.938638311251264</v>
      </c>
      <c r="K2024" s="19" t="n">
        <v>0.426930346119812</v>
      </c>
      <c r="L2024" s="16" t="n">
        <v>11.851757571222</v>
      </c>
      <c r="M2024" s="19" t="n">
        <v>0.366720224224858</v>
      </c>
      <c r="N2024" s="19" t="n">
        <v>1.10987878903081</v>
      </c>
      <c r="O2024" s="19" t="n">
        <v>1.47654344339871</v>
      </c>
      <c r="P2024" s="19" t="n">
        <v>0.986662924642492</v>
      </c>
      <c r="Q2024" s="17" t="s">
        <v>31</v>
      </c>
      <c r="R2024" s="5" t="str">
        <f aca="false">IF(OR(Q2024="Steel plate",Q2024="Concrete jacket"),"Steel plate or jacket",Q2024)</f>
        <v>Polymer laminate</v>
      </c>
      <c r="S2024" s="5" t="str">
        <f aca="false">IF(O2024&lt;='Tree rules'!$C$4,IF(N2024&lt;='Tree rules'!$C$5,IF(P2024&lt;='Tree rules'!$C$6,"Monitor","Polymer laminate"),IF(P2024&lt;='Tree rules'!$C$7,"Seal cracks","Polymer laminate")),IF(O2024&lt;='Tree rules'!$C$8,IF(M2024&lt;='Tree rules'!$C$9,"Steel plate or jacket","Polymer laminate"),IF(L2024&lt;='Tree rules'!$C$10,"Steel plate or jacket","Polymer laminate")))</f>
        <v>Steel plate or jacket</v>
      </c>
      <c r="T2024" s="5" t="str">
        <f aca="false">IF(S2024=R2024,"Yes","No")</f>
        <v>No</v>
      </c>
    </row>
    <row r="2025" customFormat="false" ht="15" hidden="false" customHeight="false" outlineLevel="0" collapsed="false">
      <c r="A2025" s="15" t="n">
        <v>2895</v>
      </c>
      <c r="B2025" s="16" t="n">
        <v>4.68801169157116</v>
      </c>
      <c r="C2025" s="15" t="n">
        <v>230</v>
      </c>
      <c r="D2025" s="15" t="n">
        <v>450</v>
      </c>
      <c r="E2025" s="15" t="n">
        <v>25</v>
      </c>
      <c r="F2025" s="16" t="n">
        <v>0.865527033274846</v>
      </c>
      <c r="G2025" s="17" t="s">
        <v>91</v>
      </c>
      <c r="H2025" s="18" t="n">
        <v>0.2</v>
      </c>
      <c r="I2025" s="18" t="n">
        <v>1.5</v>
      </c>
      <c r="J2025" s="19" t="n">
        <v>0.881908943866382</v>
      </c>
      <c r="K2025" s="19" t="n">
        <v>0.413474936676177</v>
      </c>
      <c r="L2025" s="16" t="n">
        <v>11.6039893355722</v>
      </c>
      <c r="M2025" s="19" t="n">
        <v>0.947533317939044</v>
      </c>
      <c r="N2025" s="19" t="n">
        <v>1.05920226894211</v>
      </c>
      <c r="O2025" s="19" t="n">
        <v>1.14053979343992</v>
      </c>
      <c r="P2025" s="19" t="n">
        <v>0.423393762044483</v>
      </c>
      <c r="Q2025" s="17" t="s">
        <v>31</v>
      </c>
      <c r="R2025" s="5" t="str">
        <f aca="false">IF(OR(Q2025="Steel plate",Q2025="Concrete jacket"),"Steel plate or jacket",Q2025)</f>
        <v>Polymer laminate</v>
      </c>
      <c r="S2025" s="5" t="str">
        <f aca="false">IF(O2025&lt;='Tree rules'!$C$4,IF(N2025&lt;='Tree rules'!$C$5,IF(P2025&lt;='Tree rules'!$C$6,"Monitor","Polymer laminate"),IF(P2025&lt;='Tree rules'!$C$7,"Seal cracks","Polymer laminate")),IF(O2025&lt;='Tree rules'!$C$8,IF(M2025&lt;='Tree rules'!$C$9,"Steel plate or jacket","Polymer laminate"),IF(L2025&lt;='Tree rules'!$C$10,"Steel plate or jacket","Polymer laminate")))</f>
        <v>Polymer laminate</v>
      </c>
      <c r="T2025" s="5" t="str">
        <f aca="false">IF(S2025=R2025,"Yes","No")</f>
        <v>Yes</v>
      </c>
    </row>
    <row r="2026" customFormat="false" ht="15" hidden="false" customHeight="false" outlineLevel="0" collapsed="false">
      <c r="A2026" s="15" t="n">
        <v>2896</v>
      </c>
      <c r="B2026" s="16" t="n">
        <v>7.87612565950545</v>
      </c>
      <c r="C2026" s="15" t="n">
        <v>230</v>
      </c>
      <c r="D2026" s="15" t="n">
        <v>700</v>
      </c>
      <c r="E2026" s="15" t="n">
        <v>25</v>
      </c>
      <c r="F2026" s="16" t="n">
        <v>0.628486127018497</v>
      </c>
      <c r="G2026" s="17" t="s">
        <v>91</v>
      </c>
      <c r="H2026" s="18" t="n">
        <v>0.2</v>
      </c>
      <c r="I2026" s="18" t="n">
        <v>1.5</v>
      </c>
      <c r="J2026" s="19" t="n">
        <v>0.857235826414941</v>
      </c>
      <c r="K2026" s="19" t="n">
        <v>0.62040476522655</v>
      </c>
      <c r="L2026" s="16" t="n">
        <v>12.0799473305298</v>
      </c>
      <c r="M2026" s="19" t="n">
        <v>0.566078589324622</v>
      </c>
      <c r="N2026" s="19" t="n">
        <v>1.05798629964876</v>
      </c>
      <c r="O2026" s="19" t="n">
        <v>1.01993714380704</v>
      </c>
      <c r="P2026" s="19" t="n">
        <v>0.64991755472716</v>
      </c>
      <c r="Q2026" s="17" t="s">
        <v>31</v>
      </c>
      <c r="R2026" s="5" t="str">
        <f aca="false">IF(OR(Q2026="Steel plate",Q2026="Concrete jacket"),"Steel plate or jacket",Q2026)</f>
        <v>Polymer laminate</v>
      </c>
      <c r="S2026" s="5" t="str">
        <f aca="false">IF(O2026&lt;='Tree rules'!$C$4,IF(N2026&lt;='Tree rules'!$C$5,IF(P2026&lt;='Tree rules'!$C$6,"Monitor","Polymer laminate"),IF(P2026&lt;='Tree rules'!$C$7,"Seal cracks","Polymer laminate")),IF(O2026&lt;='Tree rules'!$C$8,IF(M2026&lt;='Tree rules'!$C$9,"Steel plate or jacket","Polymer laminate"),IF(L2026&lt;='Tree rules'!$C$10,"Steel plate or jacket","Polymer laminate")))</f>
        <v>Polymer laminate</v>
      </c>
      <c r="T2026" s="5" t="str">
        <f aca="false">IF(S2026=R2026,"Yes","No")</f>
        <v>Yes</v>
      </c>
    </row>
    <row r="2027" customFormat="false" ht="15" hidden="false" customHeight="false" outlineLevel="0" collapsed="false">
      <c r="A2027" s="15" t="n">
        <v>2898</v>
      </c>
      <c r="B2027" s="16" t="n">
        <v>5.85271680313007</v>
      </c>
      <c r="C2027" s="15" t="n">
        <v>300</v>
      </c>
      <c r="D2027" s="15" t="n">
        <v>475</v>
      </c>
      <c r="E2027" s="15" t="n">
        <v>25</v>
      </c>
      <c r="F2027" s="16" t="n">
        <v>0.735735984447258</v>
      </c>
      <c r="G2027" s="17" t="s">
        <v>89</v>
      </c>
      <c r="H2027" s="18" t="n">
        <v>0.3</v>
      </c>
      <c r="I2027" s="18" t="n">
        <v>1</v>
      </c>
      <c r="J2027" s="19" t="n">
        <v>0.861522993444595</v>
      </c>
      <c r="K2027" s="19" t="n">
        <v>0.450744484976447</v>
      </c>
      <c r="L2027" s="16" t="n">
        <v>13.7065967286419</v>
      </c>
      <c r="M2027" s="19" t="n">
        <v>0.291810222247116</v>
      </c>
      <c r="N2027" s="19" t="n">
        <v>0.751067555678625</v>
      </c>
      <c r="O2027" s="19" t="n">
        <v>0.861522993444595</v>
      </c>
      <c r="P2027" s="19" t="n">
        <v>1.13872658775502</v>
      </c>
      <c r="Q2027" s="17" t="s">
        <v>31</v>
      </c>
      <c r="R2027" s="5" t="str">
        <f aca="false">IF(OR(Q2027="Steel plate",Q2027="Concrete jacket"),"Steel plate or jacket",Q2027)</f>
        <v>Polymer laminate</v>
      </c>
      <c r="S2027" s="5" t="str">
        <f aca="false">IF(O2027&lt;='Tree rules'!$C$4,IF(N2027&lt;='Tree rules'!$C$5,IF(P2027&lt;='Tree rules'!$C$6,"Monitor","Polymer laminate"),IF(P2027&lt;='Tree rules'!$C$7,"Seal cracks","Polymer laminate")),IF(O2027&lt;='Tree rules'!$C$8,IF(M2027&lt;='Tree rules'!$C$9,"Steel plate or jacket","Polymer laminate"),IF(L2027&lt;='Tree rules'!$C$10,"Steel plate or jacket","Polymer laminate")))</f>
        <v>Polymer laminate</v>
      </c>
      <c r="T2027" s="5" t="str">
        <f aca="false">IF(S2027=R2027,"Yes","No")</f>
        <v>Yes</v>
      </c>
    </row>
    <row r="2028" customFormat="false" ht="15" hidden="false" customHeight="false" outlineLevel="0" collapsed="false">
      <c r="A2028" s="15" t="n">
        <v>2899</v>
      </c>
      <c r="B2028" s="16" t="n">
        <v>6.35355358438859</v>
      </c>
      <c r="C2028" s="15" t="n">
        <v>300</v>
      </c>
      <c r="D2028" s="15" t="n">
        <v>625</v>
      </c>
      <c r="E2028" s="15" t="n">
        <v>30</v>
      </c>
      <c r="F2028" s="16" t="n">
        <v>0.578762031749415</v>
      </c>
      <c r="G2028" s="17" t="s">
        <v>89</v>
      </c>
      <c r="H2028" s="18" t="n">
        <v>0.3</v>
      </c>
      <c r="I2028" s="18" t="n">
        <v>1</v>
      </c>
      <c r="J2028" s="19" t="n">
        <v>0.97668280511705</v>
      </c>
      <c r="K2028" s="19" t="n">
        <v>0.608917277014447</v>
      </c>
      <c r="L2028" s="16" t="n">
        <v>10.97332225283</v>
      </c>
      <c r="M2028" s="19" t="n">
        <v>0.672726288878987</v>
      </c>
      <c r="N2028" s="19" t="n">
        <v>0.61611914606434</v>
      </c>
      <c r="O2028" s="19" t="n">
        <v>0.97668280511705</v>
      </c>
      <c r="P2028" s="19" t="n">
        <v>0.450393740968293</v>
      </c>
      <c r="Q2028" s="17" t="s">
        <v>29</v>
      </c>
      <c r="R2028" s="5" t="str">
        <f aca="false">IF(OR(Q2028="Steel plate",Q2028="Concrete jacket"),"Steel plate or jacket",Q2028)</f>
        <v>Monitor</v>
      </c>
      <c r="S2028" s="5" t="str">
        <f aca="false">IF(O2028&lt;='Tree rules'!$C$4,IF(N2028&lt;='Tree rules'!$C$5,IF(P2028&lt;='Tree rules'!$C$6,"Monitor","Polymer laminate"),IF(P2028&lt;='Tree rules'!$C$7,"Seal cracks","Polymer laminate")),IF(O2028&lt;='Tree rules'!$C$8,IF(M2028&lt;='Tree rules'!$C$9,"Steel plate or jacket","Polymer laminate"),IF(L2028&lt;='Tree rules'!$C$10,"Steel plate or jacket","Polymer laminate")))</f>
        <v>Monitor</v>
      </c>
      <c r="T2028" s="5" t="str">
        <f aca="false">IF(S2028=R2028,"Yes","No")</f>
        <v>Yes</v>
      </c>
    </row>
    <row r="2029" customFormat="false" ht="15" hidden="false" customHeight="false" outlineLevel="0" collapsed="false">
      <c r="A2029" s="15" t="n">
        <v>2900</v>
      </c>
      <c r="B2029" s="16" t="n">
        <v>6.5382330181127</v>
      </c>
      <c r="C2029" s="15" t="n">
        <v>230</v>
      </c>
      <c r="D2029" s="15" t="n">
        <v>600</v>
      </c>
      <c r="E2029" s="15" t="n">
        <v>30</v>
      </c>
      <c r="F2029" s="16" t="n">
        <v>0.63117855856144</v>
      </c>
      <c r="G2029" s="17" t="s">
        <v>89</v>
      </c>
      <c r="H2029" s="18" t="n">
        <v>0.3</v>
      </c>
      <c r="I2029" s="18" t="n">
        <v>1</v>
      </c>
      <c r="J2029" s="19" t="n">
        <v>0.982950908388749</v>
      </c>
      <c r="K2029" s="19" t="n">
        <v>0.43709012481979</v>
      </c>
      <c r="L2029" s="16" t="n">
        <v>11.801864653633</v>
      </c>
      <c r="M2029" s="19" t="n">
        <v>0.355130360325403</v>
      </c>
      <c r="N2029" s="19" t="n">
        <v>0.659851148446611</v>
      </c>
      <c r="O2029" s="19" t="n">
        <v>0.982950908388749</v>
      </c>
      <c r="P2029" s="19" t="n">
        <v>0.812337720696332</v>
      </c>
      <c r="Q2029" s="17" t="s">
        <v>29</v>
      </c>
      <c r="R2029" s="5" t="str">
        <f aca="false">IF(OR(Q2029="Steel plate",Q2029="Concrete jacket"),"Steel plate or jacket",Q2029)</f>
        <v>Monitor</v>
      </c>
      <c r="S2029" s="5" t="str">
        <f aca="false">IF(O2029&lt;='Tree rules'!$C$4,IF(N2029&lt;='Tree rules'!$C$5,IF(P2029&lt;='Tree rules'!$C$6,"Monitor","Polymer laminate"),IF(P2029&lt;='Tree rules'!$C$7,"Seal cracks","Polymer laminate")),IF(O2029&lt;='Tree rules'!$C$8,IF(M2029&lt;='Tree rules'!$C$9,"Steel plate or jacket","Polymer laminate"),IF(L2029&lt;='Tree rules'!$C$10,"Steel plate or jacket","Polymer laminate")))</f>
        <v>Monitor</v>
      </c>
      <c r="T2029" s="5" t="str">
        <f aca="false">IF(S2029=R2029,"Yes","No")</f>
        <v>Yes</v>
      </c>
    </row>
    <row r="2030" customFormat="false" ht="15" hidden="false" customHeight="false" outlineLevel="0" collapsed="false">
      <c r="A2030" s="15" t="n">
        <v>2902</v>
      </c>
      <c r="B2030" s="16" t="n">
        <v>3.96026662819475</v>
      </c>
      <c r="C2030" s="15" t="n">
        <v>230</v>
      </c>
      <c r="D2030" s="15" t="n">
        <v>400</v>
      </c>
      <c r="E2030" s="15" t="n">
        <v>30</v>
      </c>
      <c r="F2030" s="16" t="n">
        <v>0.98777661424587</v>
      </c>
      <c r="G2030" s="17" t="s">
        <v>89</v>
      </c>
      <c r="H2030" s="18" t="n">
        <v>0.3</v>
      </c>
      <c r="I2030" s="18" t="n">
        <v>1</v>
      </c>
      <c r="J2030" s="19" t="n">
        <v>0.949939620433851</v>
      </c>
      <c r="K2030" s="19" t="n">
        <v>0.435763407033503</v>
      </c>
      <c r="L2030" s="16" t="n">
        <v>11.1871938649569</v>
      </c>
      <c r="M2030" s="19" t="n">
        <v>0.427961789078636</v>
      </c>
      <c r="N2030" s="19" t="n">
        <v>0.65320286977891</v>
      </c>
      <c r="O2030" s="19" t="n">
        <v>0.949939620433851</v>
      </c>
      <c r="P2030" s="19" t="n">
        <v>0.798198196588479</v>
      </c>
      <c r="Q2030" s="17" t="s">
        <v>29</v>
      </c>
      <c r="R2030" s="5" t="str">
        <f aca="false">IF(OR(Q2030="Steel plate",Q2030="Concrete jacket"),"Steel plate or jacket",Q2030)</f>
        <v>Monitor</v>
      </c>
      <c r="S2030" s="5" t="str">
        <f aca="false">IF(O2030&lt;='Tree rules'!$C$4,IF(N2030&lt;='Tree rules'!$C$5,IF(P2030&lt;='Tree rules'!$C$6,"Monitor","Polymer laminate"),IF(P2030&lt;='Tree rules'!$C$7,"Seal cracks","Polymer laminate")),IF(O2030&lt;='Tree rules'!$C$8,IF(M2030&lt;='Tree rules'!$C$9,"Steel plate or jacket","Polymer laminate"),IF(L2030&lt;='Tree rules'!$C$10,"Steel plate or jacket","Polymer laminate")))</f>
        <v>Monitor</v>
      </c>
      <c r="T2030" s="5" t="str">
        <f aca="false">IF(S2030=R2030,"Yes","No")</f>
        <v>Yes</v>
      </c>
    </row>
    <row r="2031" customFormat="false" ht="15" hidden="false" customHeight="false" outlineLevel="0" collapsed="false">
      <c r="A2031" s="15" t="n">
        <v>2903</v>
      </c>
      <c r="B2031" s="16" t="n">
        <v>3.70090947770531</v>
      </c>
      <c r="C2031" s="15" t="n">
        <v>300</v>
      </c>
      <c r="D2031" s="15" t="n">
        <v>325</v>
      </c>
      <c r="E2031" s="15" t="n">
        <v>30</v>
      </c>
      <c r="F2031" s="16" t="n">
        <v>0.804963242200943</v>
      </c>
      <c r="G2031" s="17" t="s">
        <v>91</v>
      </c>
      <c r="H2031" s="18" t="n">
        <v>0.2</v>
      </c>
      <c r="I2031" s="18" t="n">
        <v>1</v>
      </c>
      <c r="J2031" s="19" t="n">
        <v>0.928325247940585</v>
      </c>
      <c r="K2031" s="19" t="n">
        <v>0.439735353481065</v>
      </c>
      <c r="L2031" s="16" t="n">
        <v>13.1704963619406</v>
      </c>
      <c r="M2031" s="19" t="n">
        <v>0.346028940803431</v>
      </c>
      <c r="N2031" s="19" t="n">
        <v>0.973248197735229</v>
      </c>
      <c r="O2031" s="19" t="n">
        <v>0.928325247940585</v>
      </c>
      <c r="P2031" s="19" t="n">
        <v>0.894497751755293</v>
      </c>
      <c r="Q2031" s="17" t="s">
        <v>29</v>
      </c>
      <c r="R2031" s="5" t="str">
        <f aca="false">IF(OR(Q2031="Steel plate",Q2031="Concrete jacket"),"Steel plate or jacket",Q2031)</f>
        <v>Monitor</v>
      </c>
      <c r="S2031" s="5" t="str">
        <f aca="false">IF(O2031&lt;='Tree rules'!$C$4,IF(N2031&lt;='Tree rules'!$C$5,IF(P2031&lt;='Tree rules'!$C$6,"Monitor","Polymer laminate"),IF(P2031&lt;='Tree rules'!$C$7,"Seal cracks","Polymer laminate")),IF(O2031&lt;='Tree rules'!$C$8,IF(M2031&lt;='Tree rules'!$C$9,"Steel plate or jacket","Polymer laminate"),IF(L2031&lt;='Tree rules'!$C$10,"Steel plate or jacket","Polymer laminate")))</f>
        <v>Monitor</v>
      </c>
      <c r="T2031" s="5" t="str">
        <f aca="false">IF(S2031=R2031,"Yes","No")</f>
        <v>Yes</v>
      </c>
    </row>
    <row r="2032" customFormat="false" ht="15" hidden="false" customHeight="false" outlineLevel="0" collapsed="false">
      <c r="A2032" s="15" t="n">
        <v>2904</v>
      </c>
      <c r="B2032" s="16" t="n">
        <v>4.09491814254427</v>
      </c>
      <c r="C2032" s="15" t="n">
        <v>300</v>
      </c>
      <c r="D2032" s="15" t="n">
        <v>350</v>
      </c>
      <c r="E2032" s="15" t="n">
        <v>25</v>
      </c>
      <c r="F2032" s="16" t="n">
        <v>0.61599855952741</v>
      </c>
      <c r="G2032" s="17" t="s">
        <v>91</v>
      </c>
      <c r="H2032" s="18" t="n">
        <v>0.2</v>
      </c>
      <c r="I2032" s="18" t="n">
        <v>1.5</v>
      </c>
      <c r="J2032" s="19" t="n">
        <v>0.862581784686648</v>
      </c>
      <c r="K2032" s="19" t="n">
        <v>0.446906962759123</v>
      </c>
      <c r="L2032" s="16" t="n">
        <v>13.3820854331512</v>
      </c>
      <c r="M2032" s="19" t="n">
        <v>0.942006968884253</v>
      </c>
      <c r="N2032" s="19" t="n">
        <v>1.03000633256608</v>
      </c>
      <c r="O2032" s="19" t="n">
        <v>1.10112577426715</v>
      </c>
      <c r="P2032" s="19" t="n">
        <v>0.345564272399739</v>
      </c>
      <c r="Q2032" s="17" t="s">
        <v>31</v>
      </c>
      <c r="R2032" s="5" t="str">
        <f aca="false">IF(OR(Q2032="Steel plate",Q2032="Concrete jacket"),"Steel plate or jacket",Q2032)</f>
        <v>Polymer laminate</v>
      </c>
      <c r="S2032" s="5" t="str">
        <f aca="false">IF(O2032&lt;='Tree rules'!$C$4,IF(N2032&lt;='Tree rules'!$C$5,IF(P2032&lt;='Tree rules'!$C$6,"Monitor","Polymer laminate"),IF(P2032&lt;='Tree rules'!$C$7,"Seal cracks","Polymer laminate")),IF(O2032&lt;='Tree rules'!$C$8,IF(M2032&lt;='Tree rules'!$C$9,"Steel plate or jacket","Polymer laminate"),IF(L2032&lt;='Tree rules'!$C$10,"Steel plate or jacket","Polymer laminate")))</f>
        <v>Polymer laminate</v>
      </c>
      <c r="T2032" s="5" t="str">
        <f aca="false">IF(S2032=R2032,"Yes","No")</f>
        <v>Yes</v>
      </c>
    </row>
    <row r="2033" customFormat="false" ht="15" hidden="false" customHeight="false" outlineLevel="0" collapsed="false">
      <c r="A2033" s="15" t="n">
        <v>2905</v>
      </c>
      <c r="B2033" s="16" t="n">
        <v>5.29465854290322</v>
      </c>
      <c r="C2033" s="15" t="n">
        <v>300</v>
      </c>
      <c r="D2033" s="15" t="n">
        <v>425</v>
      </c>
      <c r="E2033" s="15" t="n">
        <v>25</v>
      </c>
      <c r="F2033" s="16" t="n">
        <v>0.593686800678386</v>
      </c>
      <c r="G2033" s="17" t="s">
        <v>91</v>
      </c>
      <c r="H2033" s="18" t="n">
        <v>0.2</v>
      </c>
      <c r="I2033" s="18" t="n">
        <v>1</v>
      </c>
      <c r="J2033" s="19" t="n">
        <v>0.869929976850859</v>
      </c>
      <c r="K2033" s="19" t="n">
        <v>0.615661317995548</v>
      </c>
      <c r="L2033" s="16" t="n">
        <v>13.8967415824232</v>
      </c>
      <c r="M2033" s="19" t="n">
        <v>0.309855368185168</v>
      </c>
      <c r="N2033" s="19" t="n">
        <v>0.883192333836326</v>
      </c>
      <c r="O2033" s="19" t="n">
        <v>0.869929976850859</v>
      </c>
      <c r="P2033" s="19" t="n">
        <v>1.04624201565858</v>
      </c>
      <c r="Q2033" s="17" t="s">
        <v>31</v>
      </c>
      <c r="R2033" s="5" t="str">
        <f aca="false">IF(OR(Q2033="Steel plate",Q2033="Concrete jacket"),"Steel plate or jacket",Q2033)</f>
        <v>Polymer laminate</v>
      </c>
      <c r="S2033" s="5" t="str">
        <f aca="false">IF(O2033&lt;='Tree rules'!$C$4,IF(N2033&lt;='Tree rules'!$C$5,IF(P2033&lt;='Tree rules'!$C$6,"Monitor","Polymer laminate"),IF(P2033&lt;='Tree rules'!$C$7,"Seal cracks","Polymer laminate")),IF(O2033&lt;='Tree rules'!$C$8,IF(M2033&lt;='Tree rules'!$C$9,"Steel plate or jacket","Polymer laminate"),IF(L2033&lt;='Tree rules'!$C$10,"Steel plate or jacket","Polymer laminate")))</f>
        <v>Polymer laminate</v>
      </c>
      <c r="T2033" s="5" t="str">
        <f aca="false">IF(S2033=R2033,"Yes","No")</f>
        <v>Yes</v>
      </c>
    </row>
    <row r="2034" customFormat="false" ht="15" hidden="false" customHeight="false" outlineLevel="0" collapsed="false">
      <c r="A2034" s="15" t="n">
        <v>2906</v>
      </c>
      <c r="B2034" s="16" t="n">
        <v>7.34365706632919</v>
      </c>
      <c r="C2034" s="15" t="n">
        <v>230</v>
      </c>
      <c r="D2034" s="15" t="n">
        <v>625</v>
      </c>
      <c r="E2034" s="15" t="n">
        <v>30</v>
      </c>
      <c r="F2034" s="16" t="n">
        <v>0.710178431223674</v>
      </c>
      <c r="G2034" s="17" t="s">
        <v>89</v>
      </c>
      <c r="H2034" s="18" t="n">
        <v>0.3</v>
      </c>
      <c r="I2034" s="18" t="n">
        <v>2</v>
      </c>
      <c r="J2034" s="19" t="n">
        <v>0.859708630246254</v>
      </c>
      <c r="K2034" s="19" t="n">
        <v>0.404943185945805</v>
      </c>
      <c r="L2034" s="16" t="n">
        <v>12.7273086071563</v>
      </c>
      <c r="M2034" s="19" t="n">
        <v>0.949070964911505</v>
      </c>
      <c r="N2034" s="19" t="n">
        <v>0.926568786897698</v>
      </c>
      <c r="O2034" s="19" t="n">
        <v>1.37128410877549</v>
      </c>
      <c r="P2034" s="19" t="n">
        <v>0.448554070348366</v>
      </c>
      <c r="Q2034" s="17" t="s">
        <v>92</v>
      </c>
      <c r="R2034" s="5" t="str">
        <f aca="false">IF(OR(Q2034="Steel plate",Q2034="Concrete jacket"),"Steel plate or jacket",Q2034)</f>
        <v>Steel plate or jacket</v>
      </c>
      <c r="S2034" s="5" t="str">
        <f aca="false">IF(O2034&lt;='Tree rules'!$C$4,IF(N2034&lt;='Tree rules'!$C$5,IF(P2034&lt;='Tree rules'!$C$6,"Monitor","Polymer laminate"),IF(P2034&lt;='Tree rules'!$C$7,"Seal cracks","Polymer laminate")),IF(O2034&lt;='Tree rules'!$C$8,IF(M2034&lt;='Tree rules'!$C$9,"Steel plate or jacket","Polymer laminate"),IF(L2034&lt;='Tree rules'!$C$10,"Steel plate or jacket","Polymer laminate")))</f>
        <v>Steel plate or jacket</v>
      </c>
      <c r="T2034" s="5" t="str">
        <f aca="false">IF(S2034=R2034,"Yes","No")</f>
        <v>Yes</v>
      </c>
    </row>
    <row r="2035" customFormat="false" ht="15" hidden="false" customHeight="false" outlineLevel="0" collapsed="false">
      <c r="A2035" s="15" t="n">
        <v>2908</v>
      </c>
      <c r="B2035" s="16" t="n">
        <v>4.36683965397065</v>
      </c>
      <c r="C2035" s="15" t="n">
        <v>300</v>
      </c>
      <c r="D2035" s="15" t="n">
        <v>350</v>
      </c>
      <c r="E2035" s="15" t="n">
        <v>25</v>
      </c>
      <c r="F2035" s="16" t="n">
        <v>0.661387927071535</v>
      </c>
      <c r="G2035" s="17" t="s">
        <v>89</v>
      </c>
      <c r="H2035" s="18" t="n">
        <v>0.3</v>
      </c>
      <c r="I2035" s="18" t="n">
        <v>2</v>
      </c>
      <c r="J2035" s="19" t="n">
        <v>0.917320231374629</v>
      </c>
      <c r="K2035" s="19" t="n">
        <v>0.541953664702791</v>
      </c>
      <c r="L2035" s="16" t="n">
        <v>14.3646041249035</v>
      </c>
      <c r="M2035" s="19" t="n">
        <v>0.320233507080775</v>
      </c>
      <c r="N2035" s="19" t="n">
        <v>1.18125492144556</v>
      </c>
      <c r="O2035" s="19" t="n">
        <v>1.33749540164977</v>
      </c>
      <c r="P2035" s="19" t="n">
        <v>1.28152024297635</v>
      </c>
      <c r="Q2035" s="17" t="s">
        <v>31</v>
      </c>
      <c r="R2035" s="5" t="str">
        <f aca="false">IF(OR(Q2035="Steel plate",Q2035="Concrete jacket"),"Steel plate or jacket",Q2035)</f>
        <v>Polymer laminate</v>
      </c>
      <c r="S2035" s="5" t="str">
        <f aca="false">IF(O2035&lt;='Tree rules'!$C$4,IF(N2035&lt;='Tree rules'!$C$5,IF(P2035&lt;='Tree rules'!$C$6,"Monitor","Polymer laminate"),IF(P2035&lt;='Tree rules'!$C$7,"Seal cracks","Polymer laminate")),IF(O2035&lt;='Tree rules'!$C$8,IF(M2035&lt;='Tree rules'!$C$9,"Steel plate or jacket","Polymer laminate"),IF(L2035&lt;='Tree rules'!$C$10,"Steel plate or jacket","Polymer laminate")))</f>
        <v>Polymer laminate</v>
      </c>
      <c r="T2035" s="5" t="str">
        <f aca="false">IF(S2035=R2035,"Yes","No")</f>
        <v>Yes</v>
      </c>
    </row>
    <row r="2036" customFormat="false" ht="15" hidden="false" customHeight="false" outlineLevel="0" collapsed="false">
      <c r="A2036" s="15" t="n">
        <v>2911</v>
      </c>
      <c r="B2036" s="16" t="n">
        <v>6.79855747662498</v>
      </c>
      <c r="C2036" s="15" t="n">
        <v>230</v>
      </c>
      <c r="D2036" s="15" t="n">
        <v>625</v>
      </c>
      <c r="E2036" s="15" t="n">
        <v>25</v>
      </c>
      <c r="F2036" s="16" t="n">
        <v>0.710178431223674</v>
      </c>
      <c r="G2036" s="17" t="s">
        <v>89</v>
      </c>
      <c r="H2036" s="18" t="n">
        <v>0.3</v>
      </c>
      <c r="I2036" s="18" t="n">
        <v>1.5</v>
      </c>
      <c r="J2036" s="19" t="n">
        <v>0.963398286202871</v>
      </c>
      <c r="K2036" s="19" t="n">
        <v>0.516144802385579</v>
      </c>
      <c r="L2036" s="16" t="n">
        <v>11.7825952801126</v>
      </c>
      <c r="M2036" s="19" t="n">
        <v>0.787621970444211</v>
      </c>
      <c r="N2036" s="19" t="n">
        <v>0.808799532682498</v>
      </c>
      <c r="O2036" s="19" t="n">
        <v>1.19647092027891</v>
      </c>
      <c r="P2036" s="19" t="n">
        <v>0.533687586241308</v>
      </c>
      <c r="Q2036" s="17" t="s">
        <v>31</v>
      </c>
      <c r="R2036" s="5" t="str">
        <f aca="false">IF(OR(Q2036="Steel plate",Q2036="Concrete jacket"),"Steel plate or jacket",Q2036)</f>
        <v>Polymer laminate</v>
      </c>
      <c r="S2036" s="5" t="str">
        <f aca="false">IF(O2036&lt;='Tree rules'!$C$4,IF(N2036&lt;='Tree rules'!$C$5,IF(P2036&lt;='Tree rules'!$C$6,"Monitor","Polymer laminate"),IF(P2036&lt;='Tree rules'!$C$7,"Seal cracks","Polymer laminate")),IF(O2036&lt;='Tree rules'!$C$8,IF(M2036&lt;='Tree rules'!$C$9,"Steel plate or jacket","Polymer laminate"),IF(L2036&lt;='Tree rules'!$C$10,"Steel plate or jacket","Polymer laminate")))</f>
        <v>Polymer laminate</v>
      </c>
      <c r="T2036" s="5" t="str">
        <f aca="false">IF(S2036=R2036,"Yes","No")</f>
        <v>Yes</v>
      </c>
    </row>
    <row r="2037" customFormat="false" ht="15" hidden="false" customHeight="false" outlineLevel="0" collapsed="false">
      <c r="A2037" s="15" t="n">
        <v>2912</v>
      </c>
      <c r="B2037" s="16" t="n">
        <v>6.23244796340621</v>
      </c>
      <c r="C2037" s="15" t="n">
        <v>300</v>
      </c>
      <c r="D2037" s="15" t="n">
        <v>550</v>
      </c>
      <c r="E2037" s="15" t="n">
        <v>30</v>
      </c>
      <c r="F2037" s="16" t="n">
        <v>0.797864800911693</v>
      </c>
      <c r="G2037" s="17" t="s">
        <v>89</v>
      </c>
      <c r="H2037" s="18" t="n">
        <v>0.3</v>
      </c>
      <c r="I2037" s="18" t="n">
        <v>1.5</v>
      </c>
      <c r="J2037" s="19" t="n">
        <v>0.897353496567537</v>
      </c>
      <c r="K2037" s="19" t="n">
        <v>0.533587729723559</v>
      </c>
      <c r="L2037" s="16" t="n">
        <v>12.3659681813615</v>
      </c>
      <c r="M2037" s="19" t="n">
        <v>0.367307878894521</v>
      </c>
      <c r="N2037" s="19" t="n">
        <v>0.730117742444815</v>
      </c>
      <c r="O2037" s="19" t="n">
        <v>1.10662183735482</v>
      </c>
      <c r="P2037" s="19" t="n">
        <v>1.08838300244775</v>
      </c>
      <c r="Q2037" s="17" t="s">
        <v>31</v>
      </c>
      <c r="R2037" s="5" t="str">
        <f aca="false">IF(OR(Q2037="Steel plate",Q2037="Concrete jacket"),"Steel plate or jacket",Q2037)</f>
        <v>Polymer laminate</v>
      </c>
      <c r="S2037" s="5" t="str">
        <f aca="false">IF(O2037&lt;='Tree rules'!$C$4,IF(N2037&lt;='Tree rules'!$C$5,IF(P2037&lt;='Tree rules'!$C$6,"Monitor","Polymer laminate"),IF(P2037&lt;='Tree rules'!$C$7,"Seal cracks","Polymer laminate")),IF(O2037&lt;='Tree rules'!$C$8,IF(M2037&lt;='Tree rules'!$C$9,"Steel plate or jacket","Polymer laminate"),IF(L2037&lt;='Tree rules'!$C$10,"Steel plate or jacket","Polymer laminate")))</f>
        <v>Polymer laminate</v>
      </c>
      <c r="T2037" s="5" t="str">
        <f aca="false">IF(S2037=R2037,"Yes","No")</f>
        <v>Yes</v>
      </c>
    </row>
    <row r="2038" customFormat="false" ht="15" hidden="false" customHeight="false" outlineLevel="0" collapsed="false">
      <c r="A2038" s="15" t="n">
        <v>2914</v>
      </c>
      <c r="B2038" s="16" t="n">
        <v>4.64122799462917</v>
      </c>
      <c r="C2038" s="15" t="n">
        <v>230</v>
      </c>
      <c r="D2038" s="15" t="n">
        <v>450</v>
      </c>
      <c r="E2038" s="15" t="n">
        <v>20</v>
      </c>
      <c r="F2038" s="16" t="n">
        <v>0.679557138998441</v>
      </c>
      <c r="G2038" s="17" t="s">
        <v>89</v>
      </c>
      <c r="H2038" s="18" t="n">
        <v>0.3</v>
      </c>
      <c r="I2038" s="18" t="n">
        <v>1.5</v>
      </c>
      <c r="J2038" s="19" t="n">
        <v>0.93157845871414</v>
      </c>
      <c r="K2038" s="19" t="n">
        <v>0.616638052828642</v>
      </c>
      <c r="L2038" s="16" t="n">
        <v>11.5453432702218</v>
      </c>
      <c r="M2038" s="19" t="n">
        <v>0.945826891892326</v>
      </c>
      <c r="N2038" s="19" t="n">
        <v>0.957043242080067</v>
      </c>
      <c r="O2038" s="19" t="n">
        <v>1.11014432465191</v>
      </c>
      <c r="P2038" s="19" t="n">
        <v>0.427191099005949</v>
      </c>
      <c r="Q2038" s="17" t="s">
        <v>31</v>
      </c>
      <c r="R2038" s="5" t="str">
        <f aca="false">IF(OR(Q2038="Steel plate",Q2038="Concrete jacket"),"Steel plate or jacket",Q2038)</f>
        <v>Polymer laminate</v>
      </c>
      <c r="S2038" s="5" t="str">
        <f aca="false">IF(O2038&lt;='Tree rules'!$C$4,IF(N2038&lt;='Tree rules'!$C$5,IF(P2038&lt;='Tree rules'!$C$6,"Monitor","Polymer laminate"),IF(P2038&lt;='Tree rules'!$C$7,"Seal cracks","Polymer laminate")),IF(O2038&lt;='Tree rules'!$C$8,IF(M2038&lt;='Tree rules'!$C$9,"Steel plate or jacket","Polymer laminate"),IF(L2038&lt;='Tree rules'!$C$10,"Steel plate or jacket","Polymer laminate")))</f>
        <v>Polymer laminate</v>
      </c>
      <c r="T2038" s="5" t="str">
        <f aca="false">IF(S2038=R2038,"Yes","No")</f>
        <v>Yes</v>
      </c>
    </row>
    <row r="2039" customFormat="false" ht="15" hidden="false" customHeight="false" outlineLevel="0" collapsed="false">
      <c r="A2039" s="15" t="n">
        <v>2915</v>
      </c>
      <c r="B2039" s="16" t="n">
        <v>6.36858513339749</v>
      </c>
      <c r="C2039" s="15" t="n">
        <v>300</v>
      </c>
      <c r="D2039" s="15" t="n">
        <v>550</v>
      </c>
      <c r="E2039" s="15" t="n">
        <v>30</v>
      </c>
      <c r="F2039" s="16" t="n">
        <v>0.625815269639401</v>
      </c>
      <c r="G2039" s="17" t="s">
        <v>89</v>
      </c>
      <c r="H2039" s="18" t="n">
        <v>0.3</v>
      </c>
      <c r="I2039" s="18" t="n">
        <v>1</v>
      </c>
      <c r="J2039" s="19" t="n">
        <v>0.931763491541914</v>
      </c>
      <c r="K2039" s="19" t="n">
        <v>0.606608232880971</v>
      </c>
      <c r="L2039" s="16" t="n">
        <v>12.6864245685209</v>
      </c>
      <c r="M2039" s="19" t="n">
        <v>0.314471949557305</v>
      </c>
      <c r="N2039" s="19" t="n">
        <v>0.815063407498442</v>
      </c>
      <c r="O2039" s="19" t="n">
        <v>0.931763491541914</v>
      </c>
      <c r="P2039" s="19" t="n">
        <v>1.03275938600803</v>
      </c>
      <c r="Q2039" s="17" t="s">
        <v>31</v>
      </c>
      <c r="R2039" s="5" t="str">
        <f aca="false">IF(OR(Q2039="Steel plate",Q2039="Concrete jacket"),"Steel plate or jacket",Q2039)</f>
        <v>Polymer laminate</v>
      </c>
      <c r="S2039" s="5" t="str">
        <f aca="false">IF(O2039&lt;='Tree rules'!$C$4,IF(N2039&lt;='Tree rules'!$C$5,IF(P2039&lt;='Tree rules'!$C$6,"Monitor","Polymer laminate"),IF(P2039&lt;='Tree rules'!$C$7,"Seal cracks","Polymer laminate")),IF(O2039&lt;='Tree rules'!$C$8,IF(M2039&lt;='Tree rules'!$C$9,"Steel plate or jacket","Polymer laminate"),IF(L2039&lt;='Tree rules'!$C$10,"Steel plate or jacket","Polymer laminate")))</f>
        <v>Polymer laminate</v>
      </c>
      <c r="T2039" s="5" t="str">
        <f aca="false">IF(S2039=R2039,"Yes","No")</f>
        <v>Yes</v>
      </c>
    </row>
    <row r="2040" customFormat="false" ht="15" hidden="false" customHeight="false" outlineLevel="0" collapsed="false">
      <c r="A2040" s="15" t="n">
        <v>2916</v>
      </c>
      <c r="B2040" s="16" t="n">
        <v>6.51994236461498</v>
      </c>
      <c r="C2040" s="15" t="n">
        <v>300</v>
      </c>
      <c r="D2040" s="15" t="n">
        <v>575</v>
      </c>
      <c r="E2040" s="15" t="n">
        <v>25</v>
      </c>
      <c r="F2040" s="16" t="n">
        <v>0.613592315154257</v>
      </c>
      <c r="G2040" s="17" t="s">
        <v>90</v>
      </c>
      <c r="H2040" s="18" t="n">
        <v>0.1</v>
      </c>
      <c r="I2040" s="18" t="n">
        <v>1.5</v>
      </c>
      <c r="J2040" s="19" t="n">
        <v>0.925196408948614</v>
      </c>
      <c r="K2040" s="19" t="n">
        <v>0.47898423852229</v>
      </c>
      <c r="L2040" s="16" t="n">
        <v>12.7342624308886</v>
      </c>
      <c r="M2040" s="19" t="n">
        <v>0.76012836137745</v>
      </c>
      <c r="N2040" s="19" t="n">
        <v>3.27871168266218</v>
      </c>
      <c r="O2040" s="19" t="n">
        <v>1.16621736471102</v>
      </c>
      <c r="P2040" s="19" t="n">
        <v>0.458149140945222</v>
      </c>
      <c r="Q2040" s="17" t="s">
        <v>31</v>
      </c>
      <c r="R2040" s="5" t="str">
        <f aca="false">IF(OR(Q2040="Steel plate",Q2040="Concrete jacket"),"Steel plate or jacket",Q2040)</f>
        <v>Polymer laminate</v>
      </c>
      <c r="S2040" s="5" t="str">
        <f aca="false">IF(O2040&lt;='Tree rules'!$C$4,IF(N2040&lt;='Tree rules'!$C$5,IF(P2040&lt;='Tree rules'!$C$6,"Monitor","Polymer laminate"),IF(P2040&lt;='Tree rules'!$C$7,"Seal cracks","Polymer laminate")),IF(O2040&lt;='Tree rules'!$C$8,IF(M2040&lt;='Tree rules'!$C$9,"Steel plate or jacket","Polymer laminate"),IF(L2040&lt;='Tree rules'!$C$10,"Steel plate or jacket","Polymer laminate")))</f>
        <v>Polymer laminate</v>
      </c>
      <c r="T2040" s="5" t="str">
        <f aca="false">IF(S2040=R2040,"Yes","No")</f>
        <v>Yes</v>
      </c>
    </row>
    <row r="2041" customFormat="false" ht="15" hidden="false" customHeight="false" outlineLevel="0" collapsed="false">
      <c r="A2041" s="15" t="n">
        <v>2917</v>
      </c>
      <c r="B2041" s="16" t="n">
        <v>5.45222841622469</v>
      </c>
      <c r="C2041" s="15" t="n">
        <v>300</v>
      </c>
      <c r="D2041" s="15" t="n">
        <v>500</v>
      </c>
      <c r="E2041" s="15" t="n">
        <v>20</v>
      </c>
      <c r="F2041" s="16" t="n">
        <v>0.738112811416104</v>
      </c>
      <c r="G2041" s="17" t="s">
        <v>89</v>
      </c>
      <c r="H2041" s="18" t="n">
        <v>0.3</v>
      </c>
      <c r="I2041" s="18" t="n">
        <v>1.5</v>
      </c>
      <c r="J2041" s="19" t="n">
        <v>0.853708468760094</v>
      </c>
      <c r="K2041" s="19" t="n">
        <v>0.632926101096802</v>
      </c>
      <c r="L2041" s="16" t="n">
        <v>12.0093136921249</v>
      </c>
      <c r="M2041" s="19" t="n">
        <v>0.45426449225784</v>
      </c>
      <c r="N2041" s="19" t="n">
        <v>0.668424420375014</v>
      </c>
      <c r="O2041" s="19" t="n">
        <v>1.01039551683732</v>
      </c>
      <c r="P2041" s="19" t="n">
        <v>0.899522498473423</v>
      </c>
      <c r="Q2041" s="17" t="s">
        <v>31</v>
      </c>
      <c r="R2041" s="5" t="str">
        <f aca="false">IF(OR(Q2041="Steel plate",Q2041="Concrete jacket"),"Steel plate or jacket",Q2041)</f>
        <v>Polymer laminate</v>
      </c>
      <c r="S2041" s="5" t="str">
        <f aca="false">IF(O2041&lt;='Tree rules'!$C$4,IF(N2041&lt;='Tree rules'!$C$5,IF(P2041&lt;='Tree rules'!$C$6,"Monitor","Polymer laminate"),IF(P2041&lt;='Tree rules'!$C$7,"Seal cracks","Polymer laminate")),IF(O2041&lt;='Tree rules'!$C$8,IF(M2041&lt;='Tree rules'!$C$9,"Steel plate or jacket","Polymer laminate"),IF(L2041&lt;='Tree rules'!$C$10,"Steel plate or jacket","Polymer laminate")))</f>
        <v>Polymer laminate</v>
      </c>
      <c r="T2041" s="5" t="str">
        <f aca="false">IF(S2041=R2041,"Yes","No")</f>
        <v>Yes</v>
      </c>
    </row>
    <row r="2042" customFormat="false" ht="15" hidden="false" customHeight="false" outlineLevel="0" collapsed="false">
      <c r="A2042" s="15" t="n">
        <v>2918</v>
      </c>
      <c r="B2042" s="16" t="n">
        <v>4.66761974200726</v>
      </c>
      <c r="C2042" s="15" t="n">
        <v>230</v>
      </c>
      <c r="D2042" s="15" t="n">
        <v>425</v>
      </c>
      <c r="E2042" s="15" t="n">
        <v>30</v>
      </c>
      <c r="F2042" s="16" t="n">
        <v>0.691964884122107</v>
      </c>
      <c r="G2042" s="17" t="s">
        <v>91</v>
      </c>
      <c r="H2042" s="18" t="n">
        <v>0.2</v>
      </c>
      <c r="I2042" s="18" t="n">
        <v>1</v>
      </c>
      <c r="J2042" s="19" t="n">
        <v>0.929452288570895</v>
      </c>
      <c r="K2042" s="19" t="n">
        <v>0.455199687206064</v>
      </c>
      <c r="L2042" s="16" t="n">
        <v>12.3156193720508</v>
      </c>
      <c r="M2042" s="19" t="n">
        <v>0.255182735787542</v>
      </c>
      <c r="N2042" s="19" t="n">
        <v>1.08101090049553</v>
      </c>
      <c r="O2042" s="19" t="n">
        <v>0.929452288570895</v>
      </c>
      <c r="P2042" s="19" t="n">
        <v>1.08973427527786</v>
      </c>
      <c r="Q2042" s="17" t="s">
        <v>31</v>
      </c>
      <c r="R2042" s="5" t="str">
        <f aca="false">IF(OR(Q2042="Steel plate",Q2042="Concrete jacket"),"Steel plate or jacket",Q2042)</f>
        <v>Polymer laminate</v>
      </c>
      <c r="S2042" s="5" t="str">
        <f aca="false">IF(O2042&lt;='Tree rules'!$C$4,IF(N2042&lt;='Tree rules'!$C$5,IF(P2042&lt;='Tree rules'!$C$6,"Monitor","Polymer laminate"),IF(P2042&lt;='Tree rules'!$C$7,"Seal cracks","Polymer laminate")),IF(O2042&lt;='Tree rules'!$C$8,IF(M2042&lt;='Tree rules'!$C$9,"Steel plate or jacket","Polymer laminate"),IF(L2042&lt;='Tree rules'!$C$10,"Steel plate or jacket","Polymer laminate")))</f>
        <v>Polymer laminate</v>
      </c>
      <c r="T2042" s="5" t="str">
        <f aca="false">IF(S2042=R2042,"Yes","No")</f>
        <v>Yes</v>
      </c>
    </row>
    <row r="2043" customFormat="false" ht="15" hidden="false" customHeight="false" outlineLevel="0" collapsed="false">
      <c r="A2043" s="15" t="n">
        <v>2920</v>
      </c>
      <c r="B2043" s="16" t="n">
        <v>3.45806836252433</v>
      </c>
      <c r="C2043" s="15" t="n">
        <v>300</v>
      </c>
      <c r="D2043" s="15" t="n">
        <v>300</v>
      </c>
      <c r="E2043" s="15" t="n">
        <v>30</v>
      </c>
      <c r="F2043" s="16" t="n">
        <v>0.883711013668015</v>
      </c>
      <c r="G2043" s="17" t="s">
        <v>90</v>
      </c>
      <c r="H2043" s="18" t="n">
        <v>0.1</v>
      </c>
      <c r="I2043" s="18" t="n">
        <v>1</v>
      </c>
      <c r="J2043" s="19" t="n">
        <v>0.926242655777272</v>
      </c>
      <c r="K2043" s="19" t="n">
        <v>0.609194251844255</v>
      </c>
      <c r="L2043" s="16" t="n">
        <v>14.5910057490478</v>
      </c>
      <c r="M2043" s="19" t="n">
        <v>0.342282189929308</v>
      </c>
      <c r="N2043" s="19" t="n">
        <v>3.6308358508476</v>
      </c>
      <c r="O2043" s="19" t="n">
        <v>0.926242655777272</v>
      </c>
      <c r="P2043" s="19" t="n">
        <v>0.966124780548755</v>
      </c>
      <c r="Q2043" s="17" t="s">
        <v>30</v>
      </c>
      <c r="R2043" s="5" t="str">
        <f aca="false">IF(OR(Q2043="Steel plate",Q2043="Concrete jacket"),"Steel plate or jacket",Q2043)</f>
        <v>Seal cracks</v>
      </c>
      <c r="S2043" s="5" t="str">
        <f aca="false">IF(O2043&lt;='Tree rules'!$C$4,IF(N2043&lt;='Tree rules'!$C$5,IF(P2043&lt;='Tree rules'!$C$6,"Monitor","Polymer laminate"),IF(P2043&lt;='Tree rules'!$C$7,"Seal cracks","Polymer laminate")),IF(O2043&lt;='Tree rules'!$C$8,IF(M2043&lt;='Tree rules'!$C$9,"Steel plate or jacket","Polymer laminate"),IF(L2043&lt;='Tree rules'!$C$10,"Steel plate or jacket","Polymer laminate")))</f>
        <v>Seal cracks</v>
      </c>
      <c r="T2043" s="5" t="str">
        <f aca="false">IF(S2043=R2043,"Yes","No")</f>
        <v>Yes</v>
      </c>
    </row>
    <row r="2044" customFormat="false" ht="15" hidden="false" customHeight="false" outlineLevel="0" collapsed="false">
      <c r="A2044" s="15" t="n">
        <v>2921</v>
      </c>
      <c r="B2044" s="16" t="n">
        <v>3.8070716242559</v>
      </c>
      <c r="C2044" s="15" t="n">
        <v>230</v>
      </c>
      <c r="D2044" s="15" t="n">
        <v>350</v>
      </c>
      <c r="E2044" s="15" t="n">
        <v>30</v>
      </c>
      <c r="F2044" s="16" t="n">
        <v>0.675914152273913</v>
      </c>
      <c r="G2044" s="17" t="s">
        <v>90</v>
      </c>
      <c r="H2044" s="18" t="n">
        <v>0.1</v>
      </c>
      <c r="I2044" s="18" t="n">
        <v>1</v>
      </c>
      <c r="J2044" s="19" t="n">
        <v>0.887131560844678</v>
      </c>
      <c r="K2044" s="19" t="n">
        <v>0.587963458889977</v>
      </c>
      <c r="L2044" s="16" t="n">
        <v>13.0827203582677</v>
      </c>
      <c r="M2044" s="19" t="n">
        <v>0.635802688460761</v>
      </c>
      <c r="N2044" s="19" t="n">
        <v>2.363038779517</v>
      </c>
      <c r="O2044" s="19" t="n">
        <v>0.887131560844678</v>
      </c>
      <c r="P2044" s="19" t="n">
        <v>0.420287573282921</v>
      </c>
      <c r="Q2044" s="17" t="s">
        <v>30</v>
      </c>
      <c r="R2044" s="5" t="str">
        <f aca="false">IF(OR(Q2044="Steel plate",Q2044="Concrete jacket"),"Steel plate or jacket",Q2044)</f>
        <v>Seal cracks</v>
      </c>
      <c r="S2044" s="5" t="str">
        <f aca="false">IF(O2044&lt;='Tree rules'!$C$4,IF(N2044&lt;='Tree rules'!$C$5,IF(P2044&lt;='Tree rules'!$C$6,"Monitor","Polymer laminate"),IF(P2044&lt;='Tree rules'!$C$7,"Seal cracks","Polymer laminate")),IF(O2044&lt;='Tree rules'!$C$8,IF(M2044&lt;='Tree rules'!$C$9,"Steel plate or jacket","Polymer laminate"),IF(L2044&lt;='Tree rules'!$C$10,"Steel plate or jacket","Polymer laminate")))</f>
        <v>Seal cracks</v>
      </c>
      <c r="T2044" s="5" t="str">
        <f aca="false">IF(S2044=R2044,"Yes","No")</f>
        <v>Yes</v>
      </c>
    </row>
    <row r="2045" customFormat="false" ht="15" hidden="false" customHeight="false" outlineLevel="0" collapsed="false">
      <c r="A2045" s="15" t="n">
        <v>2922</v>
      </c>
      <c r="B2045" s="16" t="n">
        <v>3.19443016477426</v>
      </c>
      <c r="C2045" s="15" t="n">
        <v>230</v>
      </c>
      <c r="D2045" s="15" t="n">
        <v>300</v>
      </c>
      <c r="E2045" s="15" t="n">
        <v>30</v>
      </c>
      <c r="F2045" s="16" t="n">
        <v>0.688332522525665</v>
      </c>
      <c r="G2045" s="17" t="s">
        <v>89</v>
      </c>
      <c r="H2045" s="18" t="n">
        <v>0.3</v>
      </c>
      <c r="I2045" s="18" t="n">
        <v>2</v>
      </c>
      <c r="J2045" s="19" t="n">
        <v>0.886105118479041</v>
      </c>
      <c r="K2045" s="19" t="n">
        <v>0.536799277287772</v>
      </c>
      <c r="L2045" s="16" t="n">
        <v>12.5764967117097</v>
      </c>
      <c r="M2045" s="19" t="n">
        <v>0.444065943417578</v>
      </c>
      <c r="N2045" s="19" t="n">
        <v>1.26219644277149</v>
      </c>
      <c r="O2045" s="19" t="n">
        <v>1.29654964975754</v>
      </c>
      <c r="P2045" s="19" t="n">
        <v>0.7052462637143</v>
      </c>
      <c r="Q2045" s="17" t="s">
        <v>31</v>
      </c>
      <c r="R2045" s="5" t="str">
        <f aca="false">IF(OR(Q2045="Steel plate",Q2045="Concrete jacket"),"Steel plate or jacket",Q2045)</f>
        <v>Polymer laminate</v>
      </c>
      <c r="S2045" s="5" t="str">
        <f aca="false">IF(O2045&lt;='Tree rules'!$C$4,IF(N2045&lt;='Tree rules'!$C$5,IF(P2045&lt;='Tree rules'!$C$6,"Monitor","Polymer laminate"),IF(P2045&lt;='Tree rules'!$C$7,"Seal cracks","Polymer laminate")),IF(O2045&lt;='Tree rules'!$C$8,IF(M2045&lt;='Tree rules'!$C$9,"Steel plate or jacket","Polymer laminate"),IF(L2045&lt;='Tree rules'!$C$10,"Steel plate or jacket","Polymer laminate")))</f>
        <v>Steel plate or jacket</v>
      </c>
      <c r="T2045" s="5" t="str">
        <f aca="false">IF(S2045=R2045,"Yes","No")</f>
        <v>No</v>
      </c>
    </row>
    <row r="2046" customFormat="false" ht="15" hidden="false" customHeight="false" outlineLevel="0" collapsed="false">
      <c r="A2046" s="15" t="n">
        <v>2924</v>
      </c>
      <c r="B2046" s="16" t="n">
        <v>6.60437072453123</v>
      </c>
      <c r="C2046" s="15" t="n">
        <v>300</v>
      </c>
      <c r="D2046" s="15" t="n">
        <v>600</v>
      </c>
      <c r="E2046" s="15" t="n">
        <v>30</v>
      </c>
      <c r="F2046" s="16" t="n">
        <v>0.569129103911194</v>
      </c>
      <c r="G2046" s="17" t="s">
        <v>89</v>
      </c>
      <c r="H2046" s="18" t="n">
        <v>0.3</v>
      </c>
      <c r="I2046" s="18" t="n">
        <v>1</v>
      </c>
      <c r="J2046" s="19" t="n">
        <v>0.853995762713473</v>
      </c>
      <c r="K2046" s="19" t="n">
        <v>0.564965781363667</v>
      </c>
      <c r="L2046" s="16" t="n">
        <v>11.9644397183537</v>
      </c>
      <c r="M2046" s="19" t="n">
        <v>0.427283168846108</v>
      </c>
      <c r="N2046" s="19" t="n">
        <v>0.720565408361379</v>
      </c>
      <c r="O2046" s="19" t="n">
        <v>0.853995762713473</v>
      </c>
      <c r="P2046" s="19" t="n">
        <v>0.615506086035163</v>
      </c>
      <c r="Q2046" s="17" t="s">
        <v>29</v>
      </c>
      <c r="R2046" s="5" t="str">
        <f aca="false">IF(OR(Q2046="Steel plate",Q2046="Concrete jacket"),"Steel plate or jacket",Q2046)</f>
        <v>Monitor</v>
      </c>
      <c r="S2046" s="5" t="str">
        <f aca="false">IF(O2046&lt;='Tree rules'!$C$4,IF(N2046&lt;='Tree rules'!$C$5,IF(P2046&lt;='Tree rules'!$C$6,"Monitor","Polymer laminate"),IF(P2046&lt;='Tree rules'!$C$7,"Seal cracks","Polymer laminate")),IF(O2046&lt;='Tree rules'!$C$8,IF(M2046&lt;='Tree rules'!$C$9,"Steel plate or jacket","Polymer laminate"),IF(L2046&lt;='Tree rules'!$C$10,"Steel plate or jacket","Polymer laminate")))</f>
        <v>Monitor</v>
      </c>
      <c r="T2046" s="5" t="str">
        <f aca="false">IF(S2046=R2046,"Yes","No")</f>
        <v>Yes</v>
      </c>
    </row>
    <row r="2047" customFormat="false" ht="15" hidden="false" customHeight="false" outlineLevel="0" collapsed="false">
      <c r="A2047" s="15" t="n">
        <v>2925</v>
      </c>
      <c r="B2047" s="16" t="n">
        <v>5.18262974088698</v>
      </c>
      <c r="C2047" s="15" t="n">
        <v>230</v>
      </c>
      <c r="D2047" s="15" t="n">
        <v>425</v>
      </c>
      <c r="E2047" s="15" t="n">
        <v>25</v>
      </c>
      <c r="F2047" s="16" t="n">
        <v>0.724620609754306</v>
      </c>
      <c r="G2047" s="17" t="s">
        <v>89</v>
      </c>
      <c r="H2047" s="18" t="n">
        <v>0.3</v>
      </c>
      <c r="I2047" s="18" t="n">
        <v>2</v>
      </c>
      <c r="J2047" s="19" t="n">
        <v>0.868826915393602</v>
      </c>
      <c r="K2047" s="19" t="n">
        <v>0.431791483609199</v>
      </c>
      <c r="L2047" s="16" t="n">
        <v>13.7470284904164</v>
      </c>
      <c r="M2047" s="19" t="n">
        <v>0.645193738643229</v>
      </c>
      <c r="N2047" s="19" t="n">
        <v>1.28587986698901</v>
      </c>
      <c r="O2047" s="19" t="n">
        <v>1.3625017679898</v>
      </c>
      <c r="P2047" s="19" t="n">
        <v>0.671126345020325</v>
      </c>
      <c r="Q2047" s="17" t="s">
        <v>31</v>
      </c>
      <c r="R2047" s="5" t="str">
        <f aca="false">IF(OR(Q2047="Steel plate",Q2047="Concrete jacket"),"Steel plate or jacket",Q2047)</f>
        <v>Polymer laminate</v>
      </c>
      <c r="S2047" s="5" t="str">
        <f aca="false">IF(O2047&lt;='Tree rules'!$C$4,IF(N2047&lt;='Tree rules'!$C$5,IF(P2047&lt;='Tree rules'!$C$6,"Monitor","Polymer laminate"),IF(P2047&lt;='Tree rules'!$C$7,"Seal cracks","Polymer laminate")),IF(O2047&lt;='Tree rules'!$C$8,IF(M2047&lt;='Tree rules'!$C$9,"Steel plate or jacket","Polymer laminate"),IF(L2047&lt;='Tree rules'!$C$10,"Steel plate or jacket","Polymer laminate")))</f>
        <v>Polymer laminate</v>
      </c>
      <c r="T2047" s="5" t="str">
        <f aca="false">IF(S2047=R2047,"Yes","No")</f>
        <v>Yes</v>
      </c>
    </row>
    <row r="2048" customFormat="false" ht="15" hidden="false" customHeight="false" outlineLevel="0" collapsed="false">
      <c r="A2048" s="15" t="n">
        <v>2930</v>
      </c>
      <c r="B2048" s="16" t="n">
        <v>4.16287960801791</v>
      </c>
      <c r="C2048" s="15" t="n">
        <v>230</v>
      </c>
      <c r="D2048" s="15" t="n">
        <v>325</v>
      </c>
      <c r="E2048" s="15" t="n">
        <v>25</v>
      </c>
      <c r="F2048" s="16" t="n">
        <v>0.699968036696473</v>
      </c>
      <c r="G2048" s="17" t="s">
        <v>89</v>
      </c>
      <c r="H2048" s="18" t="n">
        <v>0.3</v>
      </c>
      <c r="I2048" s="18" t="n">
        <v>1</v>
      </c>
      <c r="J2048" s="19" t="n">
        <v>0.891243256435433</v>
      </c>
      <c r="K2048" s="19" t="n">
        <v>0.578047127530802</v>
      </c>
      <c r="L2048" s="16" t="n">
        <v>14.8145181779997</v>
      </c>
      <c r="M2048" s="19" t="n">
        <v>0.425483671924201</v>
      </c>
      <c r="N2048" s="19" t="n">
        <v>0.616756404654469</v>
      </c>
      <c r="O2048" s="19" t="n">
        <v>0.891243256435433</v>
      </c>
      <c r="P2048" s="19" t="n">
        <v>0.83931182604385</v>
      </c>
      <c r="Q2048" s="17" t="s">
        <v>29</v>
      </c>
      <c r="R2048" s="5" t="str">
        <f aca="false">IF(OR(Q2048="Steel plate",Q2048="Concrete jacket"),"Steel plate or jacket",Q2048)</f>
        <v>Monitor</v>
      </c>
      <c r="S2048" s="5" t="str">
        <f aca="false">IF(O2048&lt;='Tree rules'!$C$4,IF(N2048&lt;='Tree rules'!$C$5,IF(P2048&lt;='Tree rules'!$C$6,"Monitor","Polymer laminate"),IF(P2048&lt;='Tree rules'!$C$7,"Seal cracks","Polymer laminate")),IF(O2048&lt;='Tree rules'!$C$8,IF(M2048&lt;='Tree rules'!$C$9,"Steel plate or jacket","Polymer laminate"),IF(L2048&lt;='Tree rules'!$C$10,"Steel plate or jacket","Polymer laminate")))</f>
        <v>Monitor</v>
      </c>
      <c r="T2048" s="5" t="str">
        <f aca="false">IF(S2048=R2048,"Yes","No")</f>
        <v>Yes</v>
      </c>
    </row>
    <row r="2049" customFormat="false" ht="15" hidden="false" customHeight="false" outlineLevel="0" collapsed="false">
      <c r="A2049" s="15" t="n">
        <v>2931</v>
      </c>
      <c r="B2049" s="16" t="n">
        <v>5.63003928457957</v>
      </c>
      <c r="C2049" s="15" t="n">
        <v>300</v>
      </c>
      <c r="D2049" s="15" t="n">
        <v>500</v>
      </c>
      <c r="E2049" s="15" t="n">
        <v>30</v>
      </c>
      <c r="F2049" s="16" t="n">
        <v>0.590490249132883</v>
      </c>
      <c r="G2049" s="17" t="s">
        <v>91</v>
      </c>
      <c r="H2049" s="18" t="n">
        <v>0.2</v>
      </c>
      <c r="I2049" s="18" t="n">
        <v>2</v>
      </c>
      <c r="J2049" s="19" t="n">
        <v>0.853824394206792</v>
      </c>
      <c r="K2049" s="19" t="n">
        <v>0.608945952911987</v>
      </c>
      <c r="L2049" s="16" t="n">
        <v>12.4009675871797</v>
      </c>
      <c r="M2049" s="19" t="n">
        <v>0.542162784972865</v>
      </c>
      <c r="N2049" s="19" t="n">
        <v>1.29115775914447</v>
      </c>
      <c r="O2049" s="19" t="n">
        <v>1.18771587906383</v>
      </c>
      <c r="P2049" s="19" t="n">
        <v>0.620008138760833</v>
      </c>
      <c r="Q2049" s="17" t="s">
        <v>31</v>
      </c>
      <c r="R2049" s="5" t="str">
        <f aca="false">IF(OR(Q2049="Steel plate",Q2049="Concrete jacket"),"Steel plate or jacket",Q2049)</f>
        <v>Polymer laminate</v>
      </c>
      <c r="S2049" s="5" t="str">
        <f aca="false">IF(O2049&lt;='Tree rules'!$C$4,IF(N2049&lt;='Tree rules'!$C$5,IF(P2049&lt;='Tree rules'!$C$6,"Monitor","Polymer laminate"),IF(P2049&lt;='Tree rules'!$C$7,"Seal cracks","Polymer laminate")),IF(O2049&lt;='Tree rules'!$C$8,IF(M2049&lt;='Tree rules'!$C$9,"Steel plate or jacket","Polymer laminate"),IF(L2049&lt;='Tree rules'!$C$10,"Steel plate or jacket","Polymer laminate")))</f>
        <v>Polymer laminate</v>
      </c>
      <c r="T2049" s="5" t="str">
        <f aca="false">IF(S2049=R2049,"Yes","No")</f>
        <v>Yes</v>
      </c>
    </row>
    <row r="2050" customFormat="false" ht="15" hidden="false" customHeight="false" outlineLevel="0" collapsed="false">
      <c r="A2050" s="15" t="n">
        <v>2932</v>
      </c>
      <c r="B2050" s="16" t="n">
        <v>5.48237525549281</v>
      </c>
      <c r="C2050" s="15" t="n">
        <v>300</v>
      </c>
      <c r="D2050" s="15" t="n">
        <v>500</v>
      </c>
      <c r="E2050" s="15" t="n">
        <v>25</v>
      </c>
      <c r="F2050" s="16" t="n">
        <v>0.590490249132883</v>
      </c>
      <c r="G2050" s="17" t="s">
        <v>89</v>
      </c>
      <c r="H2050" s="18" t="n">
        <v>0.3</v>
      </c>
      <c r="I2050" s="18" t="n">
        <v>1.5</v>
      </c>
      <c r="J2050" s="19" t="n">
        <v>0.86076534843552</v>
      </c>
      <c r="K2050" s="19" t="n">
        <v>0.636854612146603</v>
      </c>
      <c r="L2050" s="16" t="n">
        <v>12.0757164217903</v>
      </c>
      <c r="M2050" s="19" t="n">
        <v>0.687919778249275</v>
      </c>
      <c r="N2050" s="19" t="n">
        <v>0.699270096879613</v>
      </c>
      <c r="O2050" s="19" t="n">
        <v>1.01705683158971</v>
      </c>
      <c r="P2050" s="19" t="n">
        <v>0.488299415780872</v>
      </c>
      <c r="Q2050" s="17" t="s">
        <v>31</v>
      </c>
      <c r="R2050" s="5" t="str">
        <f aca="false">IF(OR(Q2050="Steel plate",Q2050="Concrete jacket"),"Steel plate or jacket",Q2050)</f>
        <v>Polymer laminate</v>
      </c>
      <c r="S2050" s="5" t="str">
        <f aca="false">IF(O2050&lt;='Tree rules'!$C$4,IF(N2050&lt;='Tree rules'!$C$5,IF(P2050&lt;='Tree rules'!$C$6,"Monitor","Polymer laminate"),IF(P2050&lt;='Tree rules'!$C$7,"Seal cracks","Polymer laminate")),IF(O2050&lt;='Tree rules'!$C$8,IF(M2050&lt;='Tree rules'!$C$9,"Steel plate or jacket","Polymer laminate"),IF(L2050&lt;='Tree rules'!$C$10,"Steel plate or jacket","Polymer laminate")))</f>
        <v>Polymer laminate</v>
      </c>
      <c r="T2050" s="5" t="str">
        <f aca="false">IF(S2050=R2050,"Yes","No")</f>
        <v>Yes</v>
      </c>
    </row>
    <row r="2051" customFormat="false" ht="15" hidden="false" customHeight="false" outlineLevel="0" collapsed="false">
      <c r="A2051" s="15" t="n">
        <v>2933</v>
      </c>
      <c r="B2051" s="16" t="n">
        <v>3.71758565120549</v>
      </c>
      <c r="C2051" s="15" t="n">
        <v>230</v>
      </c>
      <c r="D2051" s="15" t="n">
        <v>300</v>
      </c>
      <c r="E2051" s="15" t="n">
        <v>30</v>
      </c>
      <c r="F2051" s="16" t="n">
        <v>0.768324290280112</v>
      </c>
      <c r="G2051" s="17" t="s">
        <v>91</v>
      </c>
      <c r="H2051" s="18" t="n">
        <v>0.2</v>
      </c>
      <c r="I2051" s="18" t="n">
        <v>1.5</v>
      </c>
      <c r="J2051" s="19" t="n">
        <v>0.884265636749538</v>
      </c>
      <c r="K2051" s="19" t="n">
        <v>0.649762686206483</v>
      </c>
      <c r="L2051" s="16" t="n">
        <v>14.5218189500214</v>
      </c>
      <c r="M2051" s="19" t="n">
        <v>0.286374781593274</v>
      </c>
      <c r="N2051" s="19" t="n">
        <v>1.13424651103052</v>
      </c>
      <c r="O2051" s="19" t="n">
        <v>1.03911704739707</v>
      </c>
      <c r="P2051" s="19" t="n">
        <v>1.32830970311098</v>
      </c>
      <c r="Q2051" s="17" t="s">
        <v>31</v>
      </c>
      <c r="R2051" s="5" t="str">
        <f aca="false">IF(OR(Q2051="Steel plate",Q2051="Concrete jacket"),"Steel plate or jacket",Q2051)</f>
        <v>Polymer laminate</v>
      </c>
      <c r="S2051" s="5" t="str">
        <f aca="false">IF(O2051&lt;='Tree rules'!$C$4,IF(N2051&lt;='Tree rules'!$C$5,IF(P2051&lt;='Tree rules'!$C$6,"Monitor","Polymer laminate"),IF(P2051&lt;='Tree rules'!$C$7,"Seal cracks","Polymer laminate")),IF(O2051&lt;='Tree rules'!$C$8,IF(M2051&lt;='Tree rules'!$C$9,"Steel plate or jacket","Polymer laminate"),IF(L2051&lt;='Tree rules'!$C$10,"Steel plate or jacket","Polymer laminate")))</f>
        <v>Steel plate or jacket</v>
      </c>
      <c r="T2051" s="5" t="str">
        <f aca="false">IF(S2051=R2051,"Yes","No")</f>
        <v>No</v>
      </c>
    </row>
    <row r="2052" customFormat="false" ht="15" hidden="false" customHeight="false" outlineLevel="0" collapsed="false">
      <c r="A2052" s="15" t="n">
        <v>2934</v>
      </c>
      <c r="B2052" s="16" t="n">
        <v>6.18462614239147</v>
      </c>
      <c r="C2052" s="15" t="n">
        <v>300</v>
      </c>
      <c r="D2052" s="15" t="n">
        <v>600</v>
      </c>
      <c r="E2052" s="15" t="n">
        <v>20</v>
      </c>
      <c r="F2052" s="16" t="n">
        <v>0.569129103911194</v>
      </c>
      <c r="G2052" s="17" t="s">
        <v>89</v>
      </c>
      <c r="H2052" s="18" t="n">
        <v>0.3</v>
      </c>
      <c r="I2052" s="18" t="n">
        <v>1</v>
      </c>
      <c r="J2052" s="19" t="n">
        <v>0.945890058770606</v>
      </c>
      <c r="K2052" s="19" t="n">
        <v>0.527232844323534</v>
      </c>
      <c r="L2052" s="16" t="n">
        <v>11.2040328666512</v>
      </c>
      <c r="M2052" s="19" t="n">
        <v>0.320442374981816</v>
      </c>
      <c r="N2052" s="19" t="n">
        <v>0.809164437065717</v>
      </c>
      <c r="O2052" s="19" t="n">
        <v>0.945890058770606</v>
      </c>
      <c r="P2052" s="19" t="n">
        <v>0.927052667023821</v>
      </c>
      <c r="Q2052" s="17" t="s">
        <v>29</v>
      </c>
      <c r="R2052" s="5" t="str">
        <f aca="false">IF(OR(Q2052="Steel plate",Q2052="Concrete jacket"),"Steel plate or jacket",Q2052)</f>
        <v>Monitor</v>
      </c>
      <c r="S2052" s="5" t="str">
        <f aca="false">IF(O2052&lt;='Tree rules'!$C$4,IF(N2052&lt;='Tree rules'!$C$5,IF(P2052&lt;='Tree rules'!$C$6,"Monitor","Polymer laminate"),IF(P2052&lt;='Tree rules'!$C$7,"Seal cracks","Polymer laminate")),IF(O2052&lt;='Tree rules'!$C$8,IF(M2052&lt;='Tree rules'!$C$9,"Steel plate or jacket","Polymer laminate"),IF(L2052&lt;='Tree rules'!$C$10,"Steel plate or jacket","Polymer laminate")))</f>
        <v>Monitor</v>
      </c>
      <c r="T2052" s="5" t="str">
        <f aca="false">IF(S2052=R2052,"Yes","No")</f>
        <v>Yes</v>
      </c>
    </row>
    <row r="2053" customFormat="false" ht="15" hidden="false" customHeight="false" outlineLevel="0" collapsed="false">
      <c r="A2053" s="15" t="n">
        <v>2935</v>
      </c>
      <c r="B2053" s="16" t="n">
        <v>5.8557697815412</v>
      </c>
      <c r="C2053" s="15" t="n">
        <v>230</v>
      </c>
      <c r="D2053" s="15" t="n">
        <v>500</v>
      </c>
      <c r="E2053" s="15" t="n">
        <v>20</v>
      </c>
      <c r="F2053" s="16" t="n">
        <v>0.577653504586516</v>
      </c>
      <c r="G2053" s="17" t="s">
        <v>91</v>
      </c>
      <c r="H2053" s="18" t="n">
        <v>0.2</v>
      </c>
      <c r="I2053" s="18" t="n">
        <v>1</v>
      </c>
      <c r="J2053" s="19" t="n">
        <v>0.90167343715846</v>
      </c>
      <c r="K2053" s="19" t="n">
        <v>0.582564337138888</v>
      </c>
      <c r="L2053" s="16" t="n">
        <v>12.8981713249806</v>
      </c>
      <c r="M2053" s="19" t="n">
        <v>0.661436675339562</v>
      </c>
      <c r="N2053" s="19" t="n">
        <v>0.917921315021774</v>
      </c>
      <c r="O2053" s="19" t="n">
        <v>0.90167343715846</v>
      </c>
      <c r="P2053" s="19" t="n">
        <v>0.527843758564719</v>
      </c>
      <c r="Q2053" s="17" t="s">
        <v>29</v>
      </c>
      <c r="R2053" s="5" t="str">
        <f aca="false">IF(OR(Q2053="Steel plate",Q2053="Concrete jacket"),"Steel plate or jacket",Q2053)</f>
        <v>Monitor</v>
      </c>
      <c r="S2053" s="5" t="str">
        <f aca="false">IF(O2053&lt;='Tree rules'!$C$4,IF(N2053&lt;='Tree rules'!$C$5,IF(P2053&lt;='Tree rules'!$C$6,"Monitor","Polymer laminate"),IF(P2053&lt;='Tree rules'!$C$7,"Seal cracks","Polymer laminate")),IF(O2053&lt;='Tree rules'!$C$8,IF(M2053&lt;='Tree rules'!$C$9,"Steel plate or jacket","Polymer laminate"),IF(L2053&lt;='Tree rules'!$C$10,"Steel plate or jacket","Polymer laminate")))</f>
        <v>Monitor</v>
      </c>
      <c r="T2053" s="5" t="str">
        <f aca="false">IF(S2053=R2053,"Yes","No")</f>
        <v>Yes</v>
      </c>
    </row>
    <row r="2054" customFormat="false" ht="15" hidden="false" customHeight="false" outlineLevel="0" collapsed="false">
      <c r="A2054" s="15" t="n">
        <v>2936</v>
      </c>
      <c r="B2054" s="16" t="n">
        <v>4.0743204505218</v>
      </c>
      <c r="C2054" s="15" t="n">
        <v>300</v>
      </c>
      <c r="D2054" s="15" t="n">
        <v>400</v>
      </c>
      <c r="E2054" s="15" t="n">
        <v>30</v>
      </c>
      <c r="F2054" s="16" t="n">
        <v>0.946619255318958</v>
      </c>
      <c r="G2054" s="17" t="s">
        <v>91</v>
      </c>
      <c r="H2054" s="18" t="n">
        <v>0.2</v>
      </c>
      <c r="I2054" s="18" t="n">
        <v>1.5</v>
      </c>
      <c r="J2054" s="19" t="n">
        <v>0.918054632834813</v>
      </c>
      <c r="K2054" s="19" t="n">
        <v>0.514132155463285</v>
      </c>
      <c r="L2054" s="16" t="n">
        <v>11.5093798037339</v>
      </c>
      <c r="M2054" s="19" t="n">
        <v>0.689929619461872</v>
      </c>
      <c r="N2054" s="19" t="n">
        <v>1.15674492957857</v>
      </c>
      <c r="O2054" s="19" t="n">
        <v>1.14108124564601</v>
      </c>
      <c r="P2054" s="19" t="n">
        <v>0.595834988122511</v>
      </c>
      <c r="Q2054" s="17" t="s">
        <v>31</v>
      </c>
      <c r="R2054" s="5" t="str">
        <f aca="false">IF(OR(Q2054="Steel plate",Q2054="Concrete jacket"),"Steel plate or jacket",Q2054)</f>
        <v>Polymer laminate</v>
      </c>
      <c r="S2054" s="5" t="str">
        <f aca="false">IF(O2054&lt;='Tree rules'!$C$4,IF(N2054&lt;='Tree rules'!$C$5,IF(P2054&lt;='Tree rules'!$C$6,"Monitor","Polymer laminate"),IF(P2054&lt;='Tree rules'!$C$7,"Seal cracks","Polymer laminate")),IF(O2054&lt;='Tree rules'!$C$8,IF(M2054&lt;='Tree rules'!$C$9,"Steel plate or jacket","Polymer laminate"),IF(L2054&lt;='Tree rules'!$C$10,"Steel plate or jacket","Polymer laminate")))</f>
        <v>Polymer laminate</v>
      </c>
      <c r="T2054" s="5" t="str">
        <f aca="false">IF(S2054=R2054,"Yes","No")</f>
        <v>Yes</v>
      </c>
    </row>
    <row r="2055" customFormat="false" ht="15" hidden="false" customHeight="false" outlineLevel="0" collapsed="false">
      <c r="A2055" s="15" t="n">
        <v>2937</v>
      </c>
      <c r="B2055" s="16" t="n">
        <v>4.17839246278107</v>
      </c>
      <c r="C2055" s="15" t="n">
        <v>300</v>
      </c>
      <c r="D2055" s="15" t="n">
        <v>350</v>
      </c>
      <c r="E2055" s="15" t="n">
        <v>20</v>
      </c>
      <c r="F2055" s="16" t="n">
        <v>0.693508312050727</v>
      </c>
      <c r="G2055" s="17" t="s">
        <v>89</v>
      </c>
      <c r="H2055" s="18" t="n">
        <v>0.3</v>
      </c>
      <c r="I2055" s="18" t="n">
        <v>1</v>
      </c>
      <c r="J2055" s="19" t="n">
        <v>0.912787688338047</v>
      </c>
      <c r="K2055" s="19" t="n">
        <v>0.424275951241786</v>
      </c>
      <c r="L2055" s="16" t="n">
        <v>13.8357366317254</v>
      </c>
      <c r="M2055" s="19" t="n">
        <v>0.932866159959034</v>
      </c>
      <c r="N2055" s="19" t="n">
        <v>0.900731694611738</v>
      </c>
      <c r="O2055" s="19" t="n">
        <v>0.912787688338047</v>
      </c>
      <c r="P2055" s="19" t="n">
        <v>0.374431577376505</v>
      </c>
      <c r="Q2055" s="17" t="s">
        <v>29</v>
      </c>
      <c r="R2055" s="5" t="str">
        <f aca="false">IF(OR(Q2055="Steel plate",Q2055="Concrete jacket"),"Steel plate or jacket",Q2055)</f>
        <v>Monitor</v>
      </c>
      <c r="S2055" s="5" t="str">
        <f aca="false">IF(O2055&lt;='Tree rules'!$C$4,IF(N2055&lt;='Tree rules'!$C$5,IF(P2055&lt;='Tree rules'!$C$6,"Monitor","Polymer laminate"),IF(P2055&lt;='Tree rules'!$C$7,"Seal cracks","Polymer laminate")),IF(O2055&lt;='Tree rules'!$C$8,IF(M2055&lt;='Tree rules'!$C$9,"Steel plate or jacket","Polymer laminate"),IF(L2055&lt;='Tree rules'!$C$10,"Steel plate or jacket","Polymer laminate")))</f>
        <v>Monitor</v>
      </c>
      <c r="T2055" s="5" t="str">
        <f aca="false">IF(S2055=R2055,"Yes","No")</f>
        <v>Yes</v>
      </c>
    </row>
    <row r="2056" customFormat="false" ht="15" hidden="false" customHeight="false" outlineLevel="0" collapsed="false">
      <c r="A2056" s="15" t="n">
        <v>2938</v>
      </c>
      <c r="B2056" s="16" t="n">
        <v>4.55684476059206</v>
      </c>
      <c r="C2056" s="15" t="n">
        <v>300</v>
      </c>
      <c r="D2056" s="15" t="n">
        <v>425</v>
      </c>
      <c r="E2056" s="15" t="n">
        <v>25</v>
      </c>
      <c r="F2056" s="16" t="n">
        <v>0.833313701217452</v>
      </c>
      <c r="G2056" s="17" t="s">
        <v>89</v>
      </c>
      <c r="H2056" s="18" t="n">
        <v>0.3</v>
      </c>
      <c r="I2056" s="18" t="n">
        <v>1</v>
      </c>
      <c r="J2056" s="19" t="n">
        <v>0.89422654457273</v>
      </c>
      <c r="K2056" s="19" t="n">
        <v>0.42537385907591</v>
      </c>
      <c r="L2056" s="16" t="n">
        <v>12.0871213808808</v>
      </c>
      <c r="M2056" s="19" t="n">
        <v>0.813893013857128</v>
      </c>
      <c r="N2056" s="19" t="n">
        <v>0.696158344606438</v>
      </c>
      <c r="O2056" s="19" t="n">
        <v>0.89422654457273</v>
      </c>
      <c r="P2056" s="19" t="n">
        <v>0.422969827973995</v>
      </c>
      <c r="Q2056" s="17" t="s">
        <v>29</v>
      </c>
      <c r="R2056" s="5" t="str">
        <f aca="false">IF(OR(Q2056="Steel plate",Q2056="Concrete jacket"),"Steel plate or jacket",Q2056)</f>
        <v>Monitor</v>
      </c>
      <c r="S2056" s="5" t="str">
        <f aca="false">IF(O2056&lt;='Tree rules'!$C$4,IF(N2056&lt;='Tree rules'!$C$5,IF(P2056&lt;='Tree rules'!$C$6,"Monitor","Polymer laminate"),IF(P2056&lt;='Tree rules'!$C$7,"Seal cracks","Polymer laminate")),IF(O2056&lt;='Tree rules'!$C$8,IF(M2056&lt;='Tree rules'!$C$9,"Steel plate or jacket","Polymer laminate"),IF(L2056&lt;='Tree rules'!$C$10,"Steel plate or jacket","Polymer laminate")))</f>
        <v>Monitor</v>
      </c>
      <c r="T2056" s="5" t="str">
        <f aca="false">IF(S2056=R2056,"Yes","No")</f>
        <v>Yes</v>
      </c>
    </row>
    <row r="2057" customFormat="false" ht="15" hidden="false" customHeight="false" outlineLevel="0" collapsed="false">
      <c r="A2057" s="15" t="n">
        <v>2939</v>
      </c>
      <c r="B2057" s="16" t="n">
        <v>5.15409243202803</v>
      </c>
      <c r="C2057" s="15" t="n">
        <v>230</v>
      </c>
      <c r="D2057" s="15" t="n">
        <v>425</v>
      </c>
      <c r="E2057" s="15" t="n">
        <v>20</v>
      </c>
      <c r="F2057" s="16" t="n">
        <v>0.516249391894249</v>
      </c>
      <c r="G2057" s="17" t="s">
        <v>89</v>
      </c>
      <c r="H2057" s="18" t="n">
        <v>0.3</v>
      </c>
      <c r="I2057" s="18" t="n">
        <v>1</v>
      </c>
      <c r="J2057" s="19" t="n">
        <v>0.969890773660787</v>
      </c>
      <c r="K2057" s="19" t="n">
        <v>0.549817484157847</v>
      </c>
      <c r="L2057" s="16" t="n">
        <v>13.5278016588662</v>
      </c>
      <c r="M2057" s="19" t="n">
        <v>0.823735775286079</v>
      </c>
      <c r="N2057" s="19" t="n">
        <v>0.570479902897273</v>
      </c>
      <c r="O2057" s="19" t="n">
        <v>0.969890773660787</v>
      </c>
      <c r="P2057" s="19" t="n">
        <v>0.410613818503801</v>
      </c>
      <c r="Q2057" s="17" t="s">
        <v>29</v>
      </c>
      <c r="R2057" s="5" t="str">
        <f aca="false">IF(OR(Q2057="Steel plate",Q2057="Concrete jacket"),"Steel plate or jacket",Q2057)</f>
        <v>Monitor</v>
      </c>
      <c r="S2057" s="5" t="str">
        <f aca="false">IF(O2057&lt;='Tree rules'!$C$4,IF(N2057&lt;='Tree rules'!$C$5,IF(P2057&lt;='Tree rules'!$C$6,"Monitor","Polymer laminate"),IF(P2057&lt;='Tree rules'!$C$7,"Seal cracks","Polymer laminate")),IF(O2057&lt;='Tree rules'!$C$8,IF(M2057&lt;='Tree rules'!$C$9,"Steel plate or jacket","Polymer laminate"),IF(L2057&lt;='Tree rules'!$C$10,"Steel plate or jacket","Polymer laminate")))</f>
        <v>Monitor</v>
      </c>
      <c r="T2057" s="5" t="str">
        <f aca="false">IF(S2057=R2057,"Yes","No")</f>
        <v>Yes</v>
      </c>
    </row>
    <row r="2058" customFormat="false" ht="15" hidden="false" customHeight="false" outlineLevel="0" collapsed="false">
      <c r="A2058" s="15" t="n">
        <v>2944</v>
      </c>
      <c r="B2058" s="16" t="n">
        <v>4.07605755053696</v>
      </c>
      <c r="C2058" s="15" t="n">
        <v>300</v>
      </c>
      <c r="D2058" s="15" t="n">
        <v>400</v>
      </c>
      <c r="E2058" s="15" t="n">
        <v>30</v>
      </c>
      <c r="F2058" s="16" t="n">
        <v>1.13594310638275</v>
      </c>
      <c r="G2058" s="17" t="s">
        <v>91</v>
      </c>
      <c r="H2058" s="18" t="n">
        <v>0.2</v>
      </c>
      <c r="I2058" s="18" t="n">
        <v>1</v>
      </c>
      <c r="J2058" s="19" t="n">
        <v>0.859800621798726</v>
      </c>
      <c r="K2058" s="19" t="n">
        <v>0.443276224929212</v>
      </c>
      <c r="L2058" s="16" t="n">
        <v>11.5142868659236</v>
      </c>
      <c r="M2058" s="19" t="n">
        <v>0.946964384351502</v>
      </c>
      <c r="N2058" s="19" t="n">
        <v>0.784066783704634</v>
      </c>
      <c r="O2058" s="19" t="n">
        <v>0.859800621798726</v>
      </c>
      <c r="P2058" s="19" t="n">
        <v>0.412300178896697</v>
      </c>
      <c r="Q2058" s="17" t="s">
        <v>29</v>
      </c>
      <c r="R2058" s="5" t="str">
        <f aca="false">IF(OR(Q2058="Steel plate",Q2058="Concrete jacket"),"Steel plate or jacket",Q2058)</f>
        <v>Monitor</v>
      </c>
      <c r="S2058" s="5" t="str">
        <f aca="false">IF(O2058&lt;='Tree rules'!$C$4,IF(N2058&lt;='Tree rules'!$C$5,IF(P2058&lt;='Tree rules'!$C$6,"Monitor","Polymer laminate"),IF(P2058&lt;='Tree rules'!$C$7,"Seal cracks","Polymer laminate")),IF(O2058&lt;='Tree rules'!$C$8,IF(M2058&lt;='Tree rules'!$C$9,"Steel plate or jacket","Polymer laminate"),IF(L2058&lt;='Tree rules'!$C$10,"Steel plate or jacket","Polymer laminate")))</f>
        <v>Monitor</v>
      </c>
      <c r="T2058" s="5" t="str">
        <f aca="false">IF(S2058=R2058,"Yes","No")</f>
        <v>Yes</v>
      </c>
    </row>
    <row r="2059" customFormat="false" ht="15" hidden="false" customHeight="false" outlineLevel="0" collapsed="false">
      <c r="A2059" s="15" t="n">
        <v>2945</v>
      </c>
      <c r="B2059" s="16" t="n">
        <v>4.52314139984167</v>
      </c>
      <c r="C2059" s="15" t="n">
        <v>300</v>
      </c>
      <c r="D2059" s="15" t="n">
        <v>350</v>
      </c>
      <c r="E2059" s="15" t="n">
        <v>30</v>
      </c>
      <c r="F2059" s="16" t="n">
        <v>0.729754391077768</v>
      </c>
      <c r="G2059" s="17" t="s">
        <v>90</v>
      </c>
      <c r="H2059" s="18" t="n">
        <v>0.1</v>
      </c>
      <c r="I2059" s="18" t="n">
        <v>2</v>
      </c>
      <c r="J2059" s="19" t="n">
        <v>0.97131053726653</v>
      </c>
      <c r="K2059" s="19" t="n">
        <v>0.448360853136389</v>
      </c>
      <c r="L2059" s="16" t="n">
        <v>15.7600745639083</v>
      </c>
      <c r="M2059" s="19" t="n">
        <v>0.601996766639627</v>
      </c>
      <c r="N2059" s="19" t="n">
        <v>5.77444252385842</v>
      </c>
      <c r="O2059" s="19" t="n">
        <v>1.50712345338387</v>
      </c>
      <c r="P2059" s="19" t="n">
        <v>0.695528247107576</v>
      </c>
      <c r="Q2059" s="17" t="s">
        <v>31</v>
      </c>
      <c r="R2059" s="5" t="str">
        <f aca="false">IF(OR(Q2059="Steel plate",Q2059="Concrete jacket"),"Steel plate or jacket",Q2059)</f>
        <v>Polymer laminate</v>
      </c>
      <c r="S2059" s="5" t="str">
        <f aca="false">IF(O2059&lt;='Tree rules'!$C$4,IF(N2059&lt;='Tree rules'!$C$5,IF(P2059&lt;='Tree rules'!$C$6,"Monitor","Polymer laminate"),IF(P2059&lt;='Tree rules'!$C$7,"Seal cracks","Polymer laminate")),IF(O2059&lt;='Tree rules'!$C$8,IF(M2059&lt;='Tree rules'!$C$9,"Steel plate or jacket","Polymer laminate"),IF(L2059&lt;='Tree rules'!$C$10,"Steel plate or jacket","Polymer laminate")))</f>
        <v>Polymer laminate</v>
      </c>
      <c r="T2059" s="5" t="str">
        <f aca="false">IF(S2059=R2059,"Yes","No")</f>
        <v>Yes</v>
      </c>
    </row>
    <row r="2060" customFormat="false" ht="15" hidden="false" customHeight="false" outlineLevel="0" collapsed="false">
      <c r="A2060" s="15" t="n">
        <v>2946</v>
      </c>
      <c r="B2060" s="16" t="n">
        <v>5.96208590195303</v>
      </c>
      <c r="C2060" s="15" t="n">
        <v>230</v>
      </c>
      <c r="D2060" s="15" t="n">
        <v>550</v>
      </c>
      <c r="E2060" s="15" t="n">
        <v>25</v>
      </c>
      <c r="F2060" s="16" t="n">
        <v>0.816280786486175</v>
      </c>
      <c r="G2060" s="17" t="s">
        <v>91</v>
      </c>
      <c r="H2060" s="18" t="n">
        <v>0.2</v>
      </c>
      <c r="I2060" s="18" t="n">
        <v>2</v>
      </c>
      <c r="J2060" s="19" t="n">
        <v>0.908139096195286</v>
      </c>
      <c r="K2060" s="19" t="n">
        <v>0.548877291292415</v>
      </c>
      <c r="L2060" s="16" t="n">
        <v>11.8766651433327</v>
      </c>
      <c r="M2060" s="19" t="n">
        <v>0.824698373747069</v>
      </c>
      <c r="N2060" s="19" t="n">
        <v>1.35228479455866</v>
      </c>
      <c r="O2060" s="19" t="n">
        <v>1.31782126515416</v>
      </c>
      <c r="P2060" s="19" t="n">
        <v>0.588044512491155</v>
      </c>
      <c r="Q2060" s="17" t="s">
        <v>92</v>
      </c>
      <c r="R2060" s="5" t="str">
        <f aca="false">IF(OR(Q2060="Steel plate",Q2060="Concrete jacket"),"Steel plate or jacket",Q2060)</f>
        <v>Steel plate or jacket</v>
      </c>
      <c r="S2060" s="5" t="str">
        <f aca="false">IF(O2060&lt;='Tree rules'!$C$4,IF(N2060&lt;='Tree rules'!$C$5,IF(P2060&lt;='Tree rules'!$C$6,"Monitor","Polymer laminate"),IF(P2060&lt;='Tree rules'!$C$7,"Seal cracks","Polymer laminate")),IF(O2060&lt;='Tree rules'!$C$8,IF(M2060&lt;='Tree rules'!$C$9,"Steel plate or jacket","Polymer laminate"),IF(L2060&lt;='Tree rules'!$C$10,"Steel plate or jacket","Polymer laminate")))</f>
        <v>Steel plate or jacket</v>
      </c>
      <c r="T2060" s="5" t="str">
        <f aca="false">IF(S2060=R2060,"Yes","No")</f>
        <v>Yes</v>
      </c>
    </row>
    <row r="2061" customFormat="false" ht="15" hidden="false" customHeight="false" outlineLevel="0" collapsed="false">
      <c r="A2061" s="15" t="n">
        <v>2948</v>
      </c>
      <c r="B2061" s="16" t="n">
        <v>5.51860902158645</v>
      </c>
      <c r="C2061" s="15" t="n">
        <v>230</v>
      </c>
      <c r="D2061" s="15" t="n">
        <v>500</v>
      </c>
      <c r="E2061" s="15" t="n">
        <v>30</v>
      </c>
      <c r="F2061" s="16" t="n">
        <v>0.770204672782022</v>
      </c>
      <c r="G2061" s="17" t="s">
        <v>89</v>
      </c>
      <c r="H2061" s="18" t="n">
        <v>0.3</v>
      </c>
      <c r="I2061" s="18" t="n">
        <v>1</v>
      </c>
      <c r="J2061" s="19" t="n">
        <v>0.950962618419879</v>
      </c>
      <c r="K2061" s="19" t="n">
        <v>0.540564823502363</v>
      </c>
      <c r="L2061" s="16" t="n">
        <v>12.1555264792653</v>
      </c>
      <c r="M2061" s="19" t="n">
        <v>0.471170357152038</v>
      </c>
      <c r="N2061" s="19" t="n">
        <v>0.634238874601983</v>
      </c>
      <c r="O2061" s="19" t="n">
        <v>0.950962618419879</v>
      </c>
      <c r="P2061" s="19" t="n">
        <v>0.763180247298491</v>
      </c>
      <c r="Q2061" s="17" t="s">
        <v>29</v>
      </c>
      <c r="R2061" s="5" t="str">
        <f aca="false">IF(OR(Q2061="Steel plate",Q2061="Concrete jacket"),"Steel plate or jacket",Q2061)</f>
        <v>Monitor</v>
      </c>
      <c r="S2061" s="5" t="str">
        <f aca="false">IF(O2061&lt;='Tree rules'!$C$4,IF(N2061&lt;='Tree rules'!$C$5,IF(P2061&lt;='Tree rules'!$C$6,"Monitor","Polymer laminate"),IF(P2061&lt;='Tree rules'!$C$7,"Seal cracks","Polymer laminate")),IF(O2061&lt;='Tree rules'!$C$8,IF(M2061&lt;='Tree rules'!$C$9,"Steel plate or jacket","Polymer laminate"),IF(L2061&lt;='Tree rules'!$C$10,"Steel plate or jacket","Polymer laminate")))</f>
        <v>Monitor</v>
      </c>
      <c r="T2061" s="5" t="str">
        <f aca="false">IF(S2061=R2061,"Yes","No")</f>
        <v>Yes</v>
      </c>
    </row>
    <row r="2062" customFormat="false" ht="15" hidden="false" customHeight="false" outlineLevel="0" collapsed="false">
      <c r="A2062" s="15" t="n">
        <v>2949</v>
      </c>
      <c r="B2062" s="16" t="n">
        <v>5.57010639481169</v>
      </c>
      <c r="C2062" s="15" t="n">
        <v>230</v>
      </c>
      <c r="D2062" s="15" t="n">
        <v>500</v>
      </c>
      <c r="E2062" s="15" t="n">
        <v>25</v>
      </c>
      <c r="F2062" s="16" t="n">
        <v>0.577653504586516</v>
      </c>
      <c r="G2062" s="17" t="s">
        <v>91</v>
      </c>
      <c r="H2062" s="18" t="n">
        <v>0.2</v>
      </c>
      <c r="I2062" s="18" t="n">
        <v>1</v>
      </c>
      <c r="J2062" s="19" t="n">
        <v>0.859498888829447</v>
      </c>
      <c r="K2062" s="19" t="n">
        <v>0.481022204951407</v>
      </c>
      <c r="L2062" s="16" t="n">
        <v>12.2689568167658</v>
      </c>
      <c r="M2062" s="19" t="n">
        <v>0.915343392565615</v>
      </c>
      <c r="N2062" s="19" t="n">
        <v>0.807033949135426</v>
      </c>
      <c r="O2062" s="19" t="n">
        <v>0.859498888829447</v>
      </c>
      <c r="P2062" s="19" t="n">
        <v>0.308629972189967</v>
      </c>
      <c r="Q2062" s="17" t="s">
        <v>29</v>
      </c>
      <c r="R2062" s="5" t="str">
        <f aca="false">IF(OR(Q2062="Steel plate",Q2062="Concrete jacket"),"Steel plate or jacket",Q2062)</f>
        <v>Monitor</v>
      </c>
      <c r="S2062" s="5" t="str">
        <f aca="false">IF(O2062&lt;='Tree rules'!$C$4,IF(N2062&lt;='Tree rules'!$C$5,IF(P2062&lt;='Tree rules'!$C$6,"Monitor","Polymer laminate"),IF(P2062&lt;='Tree rules'!$C$7,"Seal cracks","Polymer laminate")),IF(O2062&lt;='Tree rules'!$C$8,IF(M2062&lt;='Tree rules'!$C$9,"Steel plate or jacket","Polymer laminate"),IF(L2062&lt;='Tree rules'!$C$10,"Steel plate or jacket","Polymer laminate")))</f>
        <v>Monitor</v>
      </c>
      <c r="T2062" s="5" t="str">
        <f aca="false">IF(S2062=R2062,"Yes","No")</f>
        <v>Yes</v>
      </c>
    </row>
    <row r="2063" customFormat="false" ht="15" hidden="false" customHeight="false" outlineLevel="0" collapsed="false">
      <c r="A2063" s="15" t="n">
        <v>2950</v>
      </c>
      <c r="B2063" s="16" t="n">
        <v>6.3592416630469</v>
      </c>
      <c r="C2063" s="15" t="n">
        <v>300</v>
      </c>
      <c r="D2063" s="15" t="n">
        <v>625</v>
      </c>
      <c r="E2063" s="15" t="n">
        <v>25</v>
      </c>
      <c r="F2063" s="16" t="n">
        <v>0.907450217674695</v>
      </c>
      <c r="G2063" s="17" t="s">
        <v>89</v>
      </c>
      <c r="H2063" s="18" t="n">
        <v>0.3</v>
      </c>
      <c r="I2063" s="18" t="n">
        <v>1.5</v>
      </c>
      <c r="J2063" s="19" t="n">
        <v>0.861950738759144</v>
      </c>
      <c r="K2063" s="19" t="n">
        <v>0.504593327346801</v>
      </c>
      <c r="L2063" s="16" t="n">
        <v>11.0212160538075</v>
      </c>
      <c r="M2063" s="19" t="n">
        <v>0.684401690477838</v>
      </c>
      <c r="N2063" s="19" t="n">
        <v>0.673607758273258</v>
      </c>
      <c r="O2063" s="19" t="n">
        <v>1.07545881249896</v>
      </c>
      <c r="P2063" s="19" t="n">
        <v>0.609398845945085</v>
      </c>
      <c r="Q2063" s="17" t="s">
        <v>31</v>
      </c>
      <c r="R2063" s="5" t="str">
        <f aca="false">IF(OR(Q2063="Steel plate",Q2063="Concrete jacket"),"Steel plate or jacket",Q2063)</f>
        <v>Polymer laminate</v>
      </c>
      <c r="S2063" s="5" t="str">
        <f aca="false">IF(O2063&lt;='Tree rules'!$C$4,IF(N2063&lt;='Tree rules'!$C$5,IF(P2063&lt;='Tree rules'!$C$6,"Monitor","Polymer laminate"),IF(P2063&lt;='Tree rules'!$C$7,"Seal cracks","Polymer laminate")),IF(O2063&lt;='Tree rules'!$C$8,IF(M2063&lt;='Tree rules'!$C$9,"Steel plate or jacket","Polymer laminate"),IF(L2063&lt;='Tree rules'!$C$10,"Steel plate or jacket","Polymer laminate")))</f>
        <v>Polymer laminate</v>
      </c>
      <c r="T2063" s="5" t="str">
        <f aca="false">IF(S2063=R2063,"Yes","No")</f>
        <v>Yes</v>
      </c>
    </row>
    <row r="2064" customFormat="false" ht="15" hidden="false" customHeight="false" outlineLevel="0" collapsed="false">
      <c r="A2064" s="15" t="n">
        <v>2951</v>
      </c>
      <c r="B2064" s="16" t="n">
        <v>4.10747705539323</v>
      </c>
      <c r="C2064" s="15" t="n">
        <v>230</v>
      </c>
      <c r="D2064" s="15" t="n">
        <v>400</v>
      </c>
      <c r="E2064" s="15" t="n">
        <v>25</v>
      </c>
      <c r="F2064" s="16" t="n">
        <v>0.740832460684402</v>
      </c>
      <c r="G2064" s="17" t="s">
        <v>89</v>
      </c>
      <c r="H2064" s="18" t="n">
        <v>0.3</v>
      </c>
      <c r="I2064" s="18" t="n">
        <v>1</v>
      </c>
      <c r="J2064" s="19" t="n">
        <v>0.885333048543234</v>
      </c>
      <c r="K2064" s="19" t="n">
        <v>0.596193551015593</v>
      </c>
      <c r="L2064" s="16" t="n">
        <v>11.6030425293594</v>
      </c>
      <c r="M2064" s="19" t="n">
        <v>0.930673927609848</v>
      </c>
      <c r="N2064" s="19" t="n">
        <v>0.584189239730154</v>
      </c>
      <c r="O2064" s="19" t="n">
        <v>0.885333048543234</v>
      </c>
      <c r="P2064" s="19" t="n">
        <v>0.366344814476606</v>
      </c>
      <c r="Q2064" s="17" t="s">
        <v>29</v>
      </c>
      <c r="R2064" s="5" t="str">
        <f aca="false">IF(OR(Q2064="Steel plate",Q2064="Concrete jacket"),"Steel plate or jacket",Q2064)</f>
        <v>Monitor</v>
      </c>
      <c r="S2064" s="5" t="str">
        <f aca="false">IF(O2064&lt;='Tree rules'!$C$4,IF(N2064&lt;='Tree rules'!$C$5,IF(P2064&lt;='Tree rules'!$C$6,"Monitor","Polymer laminate"),IF(P2064&lt;='Tree rules'!$C$7,"Seal cracks","Polymer laminate")),IF(O2064&lt;='Tree rules'!$C$8,IF(M2064&lt;='Tree rules'!$C$9,"Steel plate or jacket","Polymer laminate"),IF(L2064&lt;='Tree rules'!$C$10,"Steel plate or jacket","Polymer laminate")))</f>
        <v>Monitor</v>
      </c>
      <c r="T2064" s="5" t="str">
        <f aca="false">IF(S2064=R2064,"Yes","No")</f>
        <v>Yes</v>
      </c>
    </row>
    <row r="2065" customFormat="false" ht="15" hidden="false" customHeight="false" outlineLevel="0" collapsed="false">
      <c r="A2065" s="15" t="n">
        <v>2952</v>
      </c>
      <c r="B2065" s="16" t="n">
        <v>4.59025985917627</v>
      </c>
      <c r="C2065" s="15" t="n">
        <v>300</v>
      </c>
      <c r="D2065" s="15" t="n">
        <v>425</v>
      </c>
      <c r="E2065" s="15" t="n">
        <v>20</v>
      </c>
      <c r="F2065" s="16" t="n">
        <v>0.593686800678386</v>
      </c>
      <c r="G2065" s="17" t="s">
        <v>91</v>
      </c>
      <c r="H2065" s="18" t="n">
        <v>0.2</v>
      </c>
      <c r="I2065" s="18" t="n">
        <v>1.5</v>
      </c>
      <c r="J2065" s="19" t="n">
        <v>0.86704401854481</v>
      </c>
      <c r="K2065" s="19" t="n">
        <v>0.5968114217644</v>
      </c>
      <c r="L2065" s="16" t="n">
        <v>12.0479261395703</v>
      </c>
      <c r="M2065" s="19" t="n">
        <v>0.336535653621391</v>
      </c>
      <c r="N2065" s="19" t="n">
        <v>1.04673994844692</v>
      </c>
      <c r="O2065" s="19" t="n">
        <v>1.04183514109719</v>
      </c>
      <c r="P2065" s="19" t="n">
        <v>0.979512370180225</v>
      </c>
      <c r="Q2065" s="17" t="s">
        <v>31</v>
      </c>
      <c r="R2065" s="5" t="str">
        <f aca="false">IF(OR(Q2065="Steel plate",Q2065="Concrete jacket"),"Steel plate or jacket",Q2065)</f>
        <v>Polymer laminate</v>
      </c>
      <c r="S2065" s="5" t="str">
        <f aca="false">IF(O2065&lt;='Tree rules'!$C$4,IF(N2065&lt;='Tree rules'!$C$5,IF(P2065&lt;='Tree rules'!$C$6,"Monitor","Polymer laminate"),IF(P2065&lt;='Tree rules'!$C$7,"Seal cracks","Polymer laminate")),IF(O2065&lt;='Tree rules'!$C$8,IF(M2065&lt;='Tree rules'!$C$9,"Steel plate or jacket","Polymer laminate"),IF(L2065&lt;='Tree rules'!$C$10,"Steel plate or jacket","Polymer laminate")))</f>
        <v>Polymer laminate</v>
      </c>
      <c r="T2065" s="5" t="str">
        <f aca="false">IF(S2065=R2065,"Yes","No")</f>
        <v>Yes</v>
      </c>
    </row>
    <row r="2066" customFormat="false" ht="15" hidden="false" customHeight="false" outlineLevel="0" collapsed="false">
      <c r="A2066" s="15" t="n">
        <v>2954</v>
      </c>
      <c r="B2066" s="16" t="n">
        <v>3.57874632517867</v>
      </c>
      <c r="C2066" s="15" t="n">
        <v>300</v>
      </c>
      <c r="D2066" s="15" t="n">
        <v>325</v>
      </c>
      <c r="E2066" s="15" t="n">
        <v>25</v>
      </c>
      <c r="F2066" s="16" t="n">
        <v>0.67080270183412</v>
      </c>
      <c r="G2066" s="17" t="s">
        <v>89</v>
      </c>
      <c r="H2066" s="18" t="n">
        <v>0.3</v>
      </c>
      <c r="I2066" s="18" t="n">
        <v>2</v>
      </c>
      <c r="J2066" s="19" t="n">
        <v>0.884471743647541</v>
      </c>
      <c r="K2066" s="19" t="n">
        <v>0.439323799893009</v>
      </c>
      <c r="L2066" s="16" t="n">
        <v>12.7357520468992</v>
      </c>
      <c r="M2066" s="19" t="n">
        <v>0.259303319171341</v>
      </c>
      <c r="N2066" s="19" t="n">
        <v>1.01220668983649</v>
      </c>
      <c r="O2066" s="19" t="n">
        <v>1.38037399997785</v>
      </c>
      <c r="P2066" s="19" t="n">
        <v>1.30476082856207</v>
      </c>
      <c r="Q2066" s="17" t="s">
        <v>31</v>
      </c>
      <c r="R2066" s="5" t="str">
        <f aca="false">IF(OR(Q2066="Steel plate",Q2066="Concrete jacket"),"Steel plate or jacket",Q2066)</f>
        <v>Polymer laminate</v>
      </c>
      <c r="S2066" s="5" t="str">
        <f aca="false">IF(O2066&lt;='Tree rules'!$C$4,IF(N2066&lt;='Tree rules'!$C$5,IF(P2066&lt;='Tree rules'!$C$6,"Monitor","Polymer laminate"),IF(P2066&lt;='Tree rules'!$C$7,"Seal cracks","Polymer laminate")),IF(O2066&lt;='Tree rules'!$C$8,IF(M2066&lt;='Tree rules'!$C$9,"Steel plate or jacket","Polymer laminate"),IF(L2066&lt;='Tree rules'!$C$10,"Steel plate or jacket","Polymer laminate")))</f>
        <v>Steel plate or jacket</v>
      </c>
      <c r="T2066" s="5" t="str">
        <f aca="false">IF(S2066=R2066,"Yes","No")</f>
        <v>No</v>
      </c>
    </row>
    <row r="2067" customFormat="false" ht="15" hidden="false" customHeight="false" outlineLevel="0" collapsed="false">
      <c r="A2067" s="15" t="n">
        <v>2955</v>
      </c>
      <c r="B2067" s="16" t="n">
        <v>5.07211486358873</v>
      </c>
      <c r="C2067" s="15" t="n">
        <v>230</v>
      </c>
      <c r="D2067" s="15" t="n">
        <v>475</v>
      </c>
      <c r="E2067" s="15" t="n">
        <v>30</v>
      </c>
      <c r="F2067" s="16" t="n">
        <v>0.639770421258486</v>
      </c>
      <c r="G2067" s="17" t="s">
        <v>91</v>
      </c>
      <c r="H2067" s="18" t="n">
        <v>0.2</v>
      </c>
      <c r="I2067" s="18" t="n">
        <v>1</v>
      </c>
      <c r="J2067" s="19" t="n">
        <v>0.889330931125225</v>
      </c>
      <c r="K2067" s="19" t="n">
        <v>0.422820002533338</v>
      </c>
      <c r="L2067" s="16" t="n">
        <v>11.878489141894</v>
      </c>
      <c r="M2067" s="19" t="n">
        <v>0.515198169856317</v>
      </c>
      <c r="N2067" s="19" t="n">
        <v>1.26693537895267</v>
      </c>
      <c r="O2067" s="19" t="n">
        <v>0.889330931125225</v>
      </c>
      <c r="P2067" s="19" t="n">
        <v>0.487041788886992</v>
      </c>
      <c r="Q2067" s="17" t="s">
        <v>30</v>
      </c>
      <c r="R2067" s="5" t="str">
        <f aca="false">IF(OR(Q2067="Steel plate",Q2067="Concrete jacket"),"Steel plate or jacket",Q2067)</f>
        <v>Seal cracks</v>
      </c>
      <c r="S2067" s="5" t="str">
        <f aca="false">IF(O2067&lt;='Tree rules'!$C$4,IF(N2067&lt;='Tree rules'!$C$5,IF(P2067&lt;='Tree rules'!$C$6,"Monitor","Polymer laminate"),IF(P2067&lt;='Tree rules'!$C$7,"Seal cracks","Polymer laminate")),IF(O2067&lt;='Tree rules'!$C$8,IF(M2067&lt;='Tree rules'!$C$9,"Steel plate or jacket","Polymer laminate"),IF(L2067&lt;='Tree rules'!$C$10,"Steel plate or jacket","Polymer laminate")))</f>
        <v>Seal cracks</v>
      </c>
      <c r="T2067" s="5" t="str">
        <f aca="false">IF(S2067=R2067,"Yes","No")</f>
        <v>Yes</v>
      </c>
    </row>
    <row r="2068" customFormat="false" ht="15" hidden="false" customHeight="false" outlineLevel="0" collapsed="false">
      <c r="A2068" s="15" t="n">
        <v>2956</v>
      </c>
      <c r="B2068" s="16" t="n">
        <v>6.86306791871669</v>
      </c>
      <c r="C2068" s="15" t="n">
        <v>300</v>
      </c>
      <c r="D2068" s="15" t="n">
        <v>575</v>
      </c>
      <c r="E2068" s="15" t="n">
        <v>30</v>
      </c>
      <c r="F2068" s="16" t="n">
        <v>0.760158524876169</v>
      </c>
      <c r="G2068" s="17" t="s">
        <v>91</v>
      </c>
      <c r="H2068" s="18" t="n">
        <v>0.2</v>
      </c>
      <c r="I2068" s="18" t="n">
        <v>2</v>
      </c>
      <c r="J2068" s="19" t="n">
        <v>0.883038752383979</v>
      </c>
      <c r="K2068" s="19" t="n">
        <v>0.448231824863498</v>
      </c>
      <c r="L2068" s="16" t="n">
        <v>12.9736633624134</v>
      </c>
      <c r="M2068" s="19" t="n">
        <v>0.907366673177052</v>
      </c>
      <c r="N2068" s="19" t="n">
        <v>1.25520029771729</v>
      </c>
      <c r="O2068" s="19" t="n">
        <v>1.3702714333617</v>
      </c>
      <c r="P2068" s="19" t="n">
        <v>0.515651493288914</v>
      </c>
      <c r="Q2068" s="17" t="s">
        <v>31</v>
      </c>
      <c r="R2068" s="5" t="str">
        <f aca="false">IF(OR(Q2068="Steel plate",Q2068="Concrete jacket"),"Steel plate or jacket",Q2068)</f>
        <v>Polymer laminate</v>
      </c>
      <c r="S2068" s="5" t="str">
        <f aca="false">IF(O2068&lt;='Tree rules'!$C$4,IF(N2068&lt;='Tree rules'!$C$5,IF(P2068&lt;='Tree rules'!$C$6,"Monitor","Polymer laminate"),IF(P2068&lt;='Tree rules'!$C$7,"Seal cracks","Polymer laminate")),IF(O2068&lt;='Tree rules'!$C$8,IF(M2068&lt;='Tree rules'!$C$9,"Steel plate or jacket","Polymer laminate"),IF(L2068&lt;='Tree rules'!$C$10,"Steel plate or jacket","Polymer laminate")))</f>
        <v>Steel plate or jacket</v>
      </c>
      <c r="T2068" s="5" t="str">
        <f aca="false">IF(S2068=R2068,"Yes","No")</f>
        <v>No</v>
      </c>
    </row>
    <row r="2069" customFormat="false" ht="15" hidden="false" customHeight="false" outlineLevel="0" collapsed="false">
      <c r="A2069" s="15" t="n">
        <v>2957</v>
      </c>
      <c r="B2069" s="16" t="n">
        <v>4.02505237021099</v>
      </c>
      <c r="C2069" s="15" t="n">
        <v>230</v>
      </c>
      <c r="D2069" s="15" t="n">
        <v>350</v>
      </c>
      <c r="E2069" s="15" t="n">
        <v>25</v>
      </c>
      <c r="F2069" s="16" t="n">
        <v>0.575119936583944</v>
      </c>
      <c r="G2069" s="17" t="s">
        <v>89</v>
      </c>
      <c r="H2069" s="18" t="n">
        <v>0.3</v>
      </c>
      <c r="I2069" s="18" t="n">
        <v>1</v>
      </c>
      <c r="J2069" s="19" t="n">
        <v>0.992891646720573</v>
      </c>
      <c r="K2069" s="19" t="n">
        <v>0.428947548578125</v>
      </c>
      <c r="L2069" s="16" t="n">
        <v>13.2403038493783</v>
      </c>
      <c r="M2069" s="19" t="n">
        <v>0.772046014979142</v>
      </c>
      <c r="N2069" s="19" t="n">
        <v>0.870038920142729</v>
      </c>
      <c r="O2069" s="19" t="n">
        <v>0.992891646720573</v>
      </c>
      <c r="P2069" s="19" t="n">
        <v>0.362388285840715</v>
      </c>
      <c r="Q2069" s="17" t="s">
        <v>29</v>
      </c>
      <c r="R2069" s="5" t="str">
        <f aca="false">IF(OR(Q2069="Steel plate",Q2069="Concrete jacket"),"Steel plate or jacket",Q2069)</f>
        <v>Monitor</v>
      </c>
      <c r="S2069" s="5" t="str">
        <f aca="false">IF(O2069&lt;='Tree rules'!$C$4,IF(N2069&lt;='Tree rules'!$C$5,IF(P2069&lt;='Tree rules'!$C$6,"Monitor","Polymer laminate"),IF(P2069&lt;='Tree rules'!$C$7,"Seal cracks","Polymer laminate")),IF(O2069&lt;='Tree rules'!$C$8,IF(M2069&lt;='Tree rules'!$C$9,"Steel plate or jacket","Polymer laminate"),IF(L2069&lt;='Tree rules'!$C$10,"Steel plate or jacket","Polymer laminate")))</f>
        <v>Monitor</v>
      </c>
      <c r="T2069" s="5" t="str">
        <f aca="false">IF(S2069=R2069,"Yes","No")</f>
        <v>Yes</v>
      </c>
    </row>
    <row r="2070" customFormat="false" ht="15" hidden="false" customHeight="false" outlineLevel="0" collapsed="false">
      <c r="A2070" s="15" t="n">
        <v>2958</v>
      </c>
      <c r="B2070" s="16" t="n">
        <v>6.63553723923982</v>
      </c>
      <c r="C2070" s="15" t="n">
        <v>300</v>
      </c>
      <c r="D2070" s="15" t="n">
        <v>625</v>
      </c>
      <c r="E2070" s="15" t="n">
        <v>30</v>
      </c>
      <c r="F2070" s="16" t="n">
        <v>0.725960174139756</v>
      </c>
      <c r="G2070" s="17" t="s">
        <v>91</v>
      </c>
      <c r="H2070" s="18" t="n">
        <v>0.2</v>
      </c>
      <c r="I2070" s="18" t="n">
        <v>1.5</v>
      </c>
      <c r="J2070" s="19" t="n">
        <v>0.981969463619498</v>
      </c>
      <c r="K2070" s="19" t="n">
        <v>0.488881913512077</v>
      </c>
      <c r="L2070" s="16" t="n">
        <v>11.5000645394104</v>
      </c>
      <c r="M2070" s="19" t="n">
        <v>0.896588624630943</v>
      </c>
      <c r="N2070" s="19" t="n">
        <v>1.24705994746793</v>
      </c>
      <c r="O2070" s="19" t="n">
        <v>1.23292064023688</v>
      </c>
      <c r="P2070" s="19" t="n">
        <v>0.449492311655198</v>
      </c>
      <c r="Q2070" s="17" t="s">
        <v>31</v>
      </c>
      <c r="R2070" s="5" t="str">
        <f aca="false">IF(OR(Q2070="Steel plate",Q2070="Concrete jacket"),"Steel plate or jacket",Q2070)</f>
        <v>Polymer laminate</v>
      </c>
      <c r="S2070" s="5" t="str">
        <f aca="false">IF(O2070&lt;='Tree rules'!$C$4,IF(N2070&lt;='Tree rules'!$C$5,IF(P2070&lt;='Tree rules'!$C$6,"Monitor","Polymer laminate"),IF(P2070&lt;='Tree rules'!$C$7,"Seal cracks","Polymer laminate")),IF(O2070&lt;='Tree rules'!$C$8,IF(M2070&lt;='Tree rules'!$C$9,"Steel plate or jacket","Polymer laminate"),IF(L2070&lt;='Tree rules'!$C$10,"Steel plate or jacket","Polymer laminate")))</f>
        <v>Polymer laminate</v>
      </c>
      <c r="T2070" s="5" t="str">
        <f aca="false">IF(S2070=R2070,"Yes","No")</f>
        <v>Yes</v>
      </c>
    </row>
    <row r="2071" customFormat="false" ht="15" hidden="false" customHeight="false" outlineLevel="0" collapsed="false">
      <c r="A2071" s="15" t="n">
        <v>2959</v>
      </c>
      <c r="B2071" s="16" t="n">
        <v>5.97012538995105</v>
      </c>
      <c r="C2071" s="15" t="n">
        <v>230</v>
      </c>
      <c r="D2071" s="15" t="n">
        <v>600</v>
      </c>
      <c r="E2071" s="15" t="n">
        <v>20</v>
      </c>
      <c r="F2071" s="16" t="n">
        <v>0.63117855856144</v>
      </c>
      <c r="G2071" s="17" t="s">
        <v>89</v>
      </c>
      <c r="H2071" s="18" t="n">
        <v>0.3</v>
      </c>
      <c r="I2071" s="18" t="n">
        <v>1.5</v>
      </c>
      <c r="J2071" s="19" t="n">
        <v>0.990000560995932</v>
      </c>
      <c r="K2071" s="19" t="n">
        <v>0.461745235054249</v>
      </c>
      <c r="L2071" s="16" t="n">
        <v>10.7763996208503</v>
      </c>
      <c r="M2071" s="19" t="n">
        <v>0.911516398167375</v>
      </c>
      <c r="N2071" s="19" t="n">
        <v>0.745136720740553</v>
      </c>
      <c r="O2071" s="19" t="n">
        <v>1.25643682062345</v>
      </c>
      <c r="P2071" s="19" t="n">
        <v>0.41690852042135</v>
      </c>
      <c r="Q2071" s="17" t="s">
        <v>31</v>
      </c>
      <c r="R2071" s="5" t="str">
        <f aca="false">IF(OR(Q2071="Steel plate",Q2071="Concrete jacket"),"Steel plate or jacket",Q2071)</f>
        <v>Polymer laminate</v>
      </c>
      <c r="S2071" s="5" t="str">
        <f aca="false">IF(O2071&lt;='Tree rules'!$C$4,IF(N2071&lt;='Tree rules'!$C$5,IF(P2071&lt;='Tree rules'!$C$6,"Monitor","Polymer laminate"),IF(P2071&lt;='Tree rules'!$C$7,"Seal cracks","Polymer laminate")),IF(O2071&lt;='Tree rules'!$C$8,IF(M2071&lt;='Tree rules'!$C$9,"Steel plate or jacket","Polymer laminate"),IF(L2071&lt;='Tree rules'!$C$10,"Steel plate or jacket","Polymer laminate")))</f>
        <v>Polymer laminate</v>
      </c>
      <c r="T2071" s="5" t="str">
        <f aca="false">IF(S2071=R2071,"Yes","No")</f>
        <v>Yes</v>
      </c>
    </row>
    <row r="2072" customFormat="false" ht="15" hidden="false" customHeight="false" outlineLevel="0" collapsed="false">
      <c r="A2072" s="15" t="n">
        <v>2960</v>
      </c>
      <c r="B2072" s="16" t="n">
        <v>3.44262187422256</v>
      </c>
      <c r="C2072" s="15" t="n">
        <v>230</v>
      </c>
      <c r="D2072" s="15" t="n">
        <v>325</v>
      </c>
      <c r="E2072" s="15" t="n">
        <v>25</v>
      </c>
      <c r="F2072" s="16" t="n">
        <v>0.699968036696473</v>
      </c>
      <c r="G2072" s="17" t="s">
        <v>91</v>
      </c>
      <c r="H2072" s="18" t="n">
        <v>0.2</v>
      </c>
      <c r="I2072" s="18" t="n">
        <v>1</v>
      </c>
      <c r="J2072" s="19" t="n">
        <v>0.970126726270646</v>
      </c>
      <c r="K2072" s="19" t="n">
        <v>0.47749667890819</v>
      </c>
      <c r="L2072" s="16" t="n">
        <v>12.2513233958098</v>
      </c>
      <c r="M2072" s="19" t="n">
        <v>0.300540823631078</v>
      </c>
      <c r="N2072" s="19" t="n">
        <v>1.03844106693054</v>
      </c>
      <c r="O2072" s="19" t="n">
        <v>0.970126726270646</v>
      </c>
      <c r="P2072" s="19" t="n">
        <v>0.964126048051135</v>
      </c>
      <c r="Q2072" s="17" t="s">
        <v>30</v>
      </c>
      <c r="R2072" s="5" t="str">
        <f aca="false">IF(OR(Q2072="Steel plate",Q2072="Concrete jacket"),"Steel plate or jacket",Q2072)</f>
        <v>Seal cracks</v>
      </c>
      <c r="S2072" s="5" t="str">
        <f aca="false">IF(O2072&lt;='Tree rules'!$C$4,IF(N2072&lt;='Tree rules'!$C$5,IF(P2072&lt;='Tree rules'!$C$6,"Monitor","Polymer laminate"),IF(P2072&lt;='Tree rules'!$C$7,"Seal cracks","Polymer laminate")),IF(O2072&lt;='Tree rules'!$C$8,IF(M2072&lt;='Tree rules'!$C$9,"Steel plate or jacket","Polymer laminate"),IF(L2072&lt;='Tree rules'!$C$10,"Steel plate or jacket","Polymer laminate")))</f>
        <v>Seal cracks</v>
      </c>
      <c r="T2072" s="5" t="str">
        <f aca="false">IF(S2072=R2072,"Yes","No")</f>
        <v>Yes</v>
      </c>
    </row>
    <row r="2073" customFormat="false" ht="15" hidden="false" customHeight="false" outlineLevel="0" collapsed="false">
      <c r="A2073" s="15" t="n">
        <v>2961</v>
      </c>
      <c r="B2073" s="16" t="n">
        <v>3.78601149637949</v>
      </c>
      <c r="C2073" s="15" t="n">
        <v>230</v>
      </c>
      <c r="D2073" s="15" t="n">
        <v>300</v>
      </c>
      <c r="E2073" s="15" t="n">
        <v>30</v>
      </c>
      <c r="F2073" s="16" t="n">
        <v>0.576243217710084</v>
      </c>
      <c r="G2073" s="17" t="s">
        <v>89</v>
      </c>
      <c r="H2073" s="18" t="n">
        <v>0.3</v>
      </c>
      <c r="I2073" s="18" t="n">
        <v>1.5</v>
      </c>
      <c r="J2073" s="19" t="n">
        <v>0.930259051911559</v>
      </c>
      <c r="K2073" s="19" t="n">
        <v>0.405802409012407</v>
      </c>
      <c r="L2073" s="16" t="n">
        <v>14.7891074077324</v>
      </c>
      <c r="M2073" s="19" t="n">
        <v>0.30503846975271</v>
      </c>
      <c r="N2073" s="19" t="n">
        <v>0.951084915559924</v>
      </c>
      <c r="O2073" s="19" t="n">
        <v>1.20663789573168</v>
      </c>
      <c r="P2073" s="19" t="n">
        <v>0.916471324690218</v>
      </c>
      <c r="Q2073" s="17" t="s">
        <v>31</v>
      </c>
      <c r="R2073" s="5" t="str">
        <f aca="false">IF(OR(Q2073="Steel plate",Q2073="Concrete jacket"),"Steel plate or jacket",Q2073)</f>
        <v>Polymer laminate</v>
      </c>
      <c r="S2073" s="5" t="str">
        <f aca="false">IF(O2073&lt;='Tree rules'!$C$4,IF(N2073&lt;='Tree rules'!$C$5,IF(P2073&lt;='Tree rules'!$C$6,"Monitor","Polymer laminate"),IF(P2073&lt;='Tree rules'!$C$7,"Seal cracks","Polymer laminate")),IF(O2073&lt;='Tree rules'!$C$8,IF(M2073&lt;='Tree rules'!$C$9,"Steel plate or jacket","Polymer laminate"),IF(L2073&lt;='Tree rules'!$C$10,"Steel plate or jacket","Polymer laminate")))</f>
        <v>Polymer laminate</v>
      </c>
      <c r="T2073" s="5" t="str">
        <f aca="false">IF(S2073=R2073,"Yes","No")</f>
        <v>Yes</v>
      </c>
    </row>
    <row r="2074" customFormat="false" ht="15" hidden="false" customHeight="false" outlineLevel="0" collapsed="false">
      <c r="A2074" s="15" t="n">
        <v>2963</v>
      </c>
      <c r="B2074" s="16" t="n">
        <v>6.3660254499282</v>
      </c>
      <c r="C2074" s="15" t="n">
        <v>300</v>
      </c>
      <c r="D2074" s="15" t="n">
        <v>625</v>
      </c>
      <c r="E2074" s="15" t="n">
        <v>20</v>
      </c>
      <c r="F2074" s="16" t="n">
        <v>0.559002251528433</v>
      </c>
      <c r="G2074" s="17" t="s">
        <v>90</v>
      </c>
      <c r="H2074" s="18" t="n">
        <v>0.1</v>
      </c>
      <c r="I2074" s="18" t="n">
        <v>2</v>
      </c>
      <c r="J2074" s="19" t="n">
        <v>0.998797102417774</v>
      </c>
      <c r="K2074" s="19" t="n">
        <v>0.645201873704624</v>
      </c>
      <c r="L2074" s="16" t="n">
        <v>11.3274474198011</v>
      </c>
      <c r="M2074" s="19" t="n">
        <v>0.636641026740813</v>
      </c>
      <c r="N2074" s="19" t="n">
        <v>3.86189646349523</v>
      </c>
      <c r="O2074" s="19" t="n">
        <v>1.35316844290485</v>
      </c>
      <c r="P2074" s="19" t="n">
        <v>0.611775602453726</v>
      </c>
      <c r="Q2074" s="17" t="s">
        <v>31</v>
      </c>
      <c r="R2074" s="5" t="str">
        <f aca="false">IF(OR(Q2074="Steel plate",Q2074="Concrete jacket"),"Steel plate or jacket",Q2074)</f>
        <v>Polymer laminate</v>
      </c>
      <c r="S2074" s="5" t="str">
        <f aca="false">IF(O2074&lt;='Tree rules'!$C$4,IF(N2074&lt;='Tree rules'!$C$5,IF(P2074&lt;='Tree rules'!$C$6,"Monitor","Polymer laminate"),IF(P2074&lt;='Tree rules'!$C$7,"Seal cracks","Polymer laminate")),IF(O2074&lt;='Tree rules'!$C$8,IF(M2074&lt;='Tree rules'!$C$9,"Steel plate or jacket","Polymer laminate"),IF(L2074&lt;='Tree rules'!$C$10,"Steel plate or jacket","Polymer laminate")))</f>
        <v>Steel plate or jacket</v>
      </c>
      <c r="T2074" s="5" t="str">
        <f aca="false">IF(S2074=R2074,"Yes","No")</f>
        <v>No</v>
      </c>
    </row>
    <row r="2075" customFormat="false" ht="15" hidden="false" customHeight="false" outlineLevel="0" collapsed="false">
      <c r="A2075" s="15" t="n">
        <v>2965</v>
      </c>
      <c r="B2075" s="16" t="n">
        <v>3.35878670908666</v>
      </c>
      <c r="C2075" s="15" t="n">
        <v>300</v>
      </c>
      <c r="D2075" s="15" t="n">
        <v>300</v>
      </c>
      <c r="E2075" s="15" t="n">
        <v>25</v>
      </c>
      <c r="F2075" s="16" t="n">
        <v>0.736310778185108</v>
      </c>
      <c r="G2075" s="17" t="s">
        <v>91</v>
      </c>
      <c r="H2075" s="18" t="n">
        <v>0.2</v>
      </c>
      <c r="I2075" s="18" t="n">
        <v>1.5</v>
      </c>
      <c r="J2075" s="19" t="n">
        <v>0.971823642268435</v>
      </c>
      <c r="K2075" s="19" t="n">
        <v>0.439979421192238</v>
      </c>
      <c r="L2075" s="16" t="n">
        <v>13.1202605823698</v>
      </c>
      <c r="M2075" s="19" t="n">
        <v>0.63481806301215</v>
      </c>
      <c r="N2075" s="19" t="n">
        <v>1.29498206547517</v>
      </c>
      <c r="O2075" s="19" t="n">
        <v>1.24394426158955</v>
      </c>
      <c r="P2075" s="19" t="n">
        <v>0.578317876545806</v>
      </c>
      <c r="Q2075" s="17" t="s">
        <v>31</v>
      </c>
      <c r="R2075" s="5" t="str">
        <f aca="false">IF(OR(Q2075="Steel plate",Q2075="Concrete jacket"),"Steel plate or jacket",Q2075)</f>
        <v>Polymer laminate</v>
      </c>
      <c r="S2075" s="5" t="str">
        <f aca="false">IF(O2075&lt;='Tree rules'!$C$4,IF(N2075&lt;='Tree rules'!$C$5,IF(P2075&lt;='Tree rules'!$C$6,"Monitor","Polymer laminate"),IF(P2075&lt;='Tree rules'!$C$7,"Seal cracks","Polymer laminate")),IF(O2075&lt;='Tree rules'!$C$8,IF(M2075&lt;='Tree rules'!$C$9,"Steel plate or jacket","Polymer laminate"),IF(L2075&lt;='Tree rules'!$C$10,"Steel plate or jacket","Polymer laminate")))</f>
        <v>Polymer laminate</v>
      </c>
      <c r="T2075" s="5" t="str">
        <f aca="false">IF(S2075=R2075,"Yes","No")</f>
        <v>Yes</v>
      </c>
    </row>
    <row r="2076" customFormat="false" ht="15" hidden="false" customHeight="false" outlineLevel="0" collapsed="false">
      <c r="A2076" s="15" t="n">
        <v>2966</v>
      </c>
      <c r="B2076" s="16" t="n">
        <v>5.02465534683013</v>
      </c>
      <c r="C2076" s="15" t="n">
        <v>230</v>
      </c>
      <c r="D2076" s="15" t="n">
        <v>425</v>
      </c>
      <c r="E2076" s="15" t="n">
        <v>30</v>
      </c>
      <c r="F2076" s="16" t="n">
        <v>0.691964884122107</v>
      </c>
      <c r="G2076" s="17" t="s">
        <v>89</v>
      </c>
      <c r="H2076" s="18" t="n">
        <v>0.3</v>
      </c>
      <c r="I2076" s="18" t="n">
        <v>1</v>
      </c>
      <c r="J2076" s="19" t="n">
        <v>0.914002440758955</v>
      </c>
      <c r="K2076" s="19" t="n">
        <v>0.604125997590174</v>
      </c>
      <c r="L2076" s="16" t="n">
        <v>13.2576658227708</v>
      </c>
      <c r="M2076" s="19" t="n">
        <v>0.876761761186422</v>
      </c>
      <c r="N2076" s="19" t="n">
        <v>0.611870655969001</v>
      </c>
      <c r="O2076" s="19" t="n">
        <v>0.914002440758955</v>
      </c>
      <c r="P2076" s="19" t="n">
        <v>0.41515135211713</v>
      </c>
      <c r="Q2076" s="17" t="s">
        <v>29</v>
      </c>
      <c r="R2076" s="5" t="str">
        <f aca="false">IF(OR(Q2076="Steel plate",Q2076="Concrete jacket"),"Steel plate or jacket",Q2076)</f>
        <v>Monitor</v>
      </c>
      <c r="S2076" s="5" t="str">
        <f aca="false">IF(O2076&lt;='Tree rules'!$C$4,IF(N2076&lt;='Tree rules'!$C$5,IF(P2076&lt;='Tree rules'!$C$6,"Monitor","Polymer laminate"),IF(P2076&lt;='Tree rules'!$C$7,"Seal cracks","Polymer laminate")),IF(O2076&lt;='Tree rules'!$C$8,IF(M2076&lt;='Tree rules'!$C$9,"Steel plate or jacket","Polymer laminate"),IF(L2076&lt;='Tree rules'!$C$10,"Steel plate or jacket","Polymer laminate")))</f>
        <v>Monitor</v>
      </c>
      <c r="T2076" s="5" t="str">
        <f aca="false">IF(S2076=R2076,"Yes","No")</f>
        <v>Yes</v>
      </c>
    </row>
    <row r="2077" customFormat="false" ht="15" hidden="false" customHeight="false" outlineLevel="0" collapsed="false">
      <c r="A2077" s="15" t="n">
        <v>2967</v>
      </c>
      <c r="B2077" s="16" t="n">
        <v>4.16815402668417</v>
      </c>
      <c r="C2077" s="15" t="n">
        <v>230</v>
      </c>
      <c r="D2077" s="15" t="n">
        <v>400</v>
      </c>
      <c r="E2077" s="15" t="n">
        <v>25</v>
      </c>
      <c r="F2077" s="16" t="n">
        <v>0.776085141697083</v>
      </c>
      <c r="G2077" s="17" t="s">
        <v>91</v>
      </c>
      <c r="H2077" s="18" t="n">
        <v>0.2</v>
      </c>
      <c r="I2077" s="18" t="n">
        <v>2</v>
      </c>
      <c r="J2077" s="19" t="n">
        <v>0.918018129308057</v>
      </c>
      <c r="K2077" s="19" t="n">
        <v>0.447651414305731</v>
      </c>
      <c r="L2077" s="16" t="n">
        <v>11.8413466667164</v>
      </c>
      <c r="M2077" s="19" t="n">
        <v>0.667792687449232</v>
      </c>
      <c r="N2077" s="19" t="n">
        <v>2.01233515706833</v>
      </c>
      <c r="O2077" s="19" t="n">
        <v>1.42508414467306</v>
      </c>
      <c r="P2077" s="19" t="n">
        <v>0.611276748528754</v>
      </c>
      <c r="Q2077" s="17" t="s">
        <v>31</v>
      </c>
      <c r="R2077" s="5" t="str">
        <f aca="false">IF(OR(Q2077="Steel plate",Q2077="Concrete jacket"),"Steel plate or jacket",Q2077)</f>
        <v>Polymer laminate</v>
      </c>
      <c r="S2077" s="5" t="str">
        <f aca="false">IF(O2077&lt;='Tree rules'!$C$4,IF(N2077&lt;='Tree rules'!$C$5,IF(P2077&lt;='Tree rules'!$C$6,"Monitor","Polymer laminate"),IF(P2077&lt;='Tree rules'!$C$7,"Seal cracks","Polymer laminate")),IF(O2077&lt;='Tree rules'!$C$8,IF(M2077&lt;='Tree rules'!$C$9,"Steel plate or jacket","Polymer laminate"),IF(L2077&lt;='Tree rules'!$C$10,"Steel plate or jacket","Polymer laminate")))</f>
        <v>Steel plate or jacket</v>
      </c>
      <c r="T2077" s="5" t="str">
        <f aca="false">IF(S2077=R2077,"Yes","No")</f>
        <v>No</v>
      </c>
    </row>
    <row r="2078" customFormat="false" ht="15" hidden="false" customHeight="false" outlineLevel="0" collapsed="false">
      <c r="A2078" s="15" t="n">
        <v>2968</v>
      </c>
      <c r="B2078" s="16" t="n">
        <v>3.19998121345385</v>
      </c>
      <c r="C2078" s="15" t="n">
        <v>300</v>
      </c>
      <c r="D2078" s="15" t="n">
        <v>300</v>
      </c>
      <c r="E2078" s="15" t="n">
        <v>25</v>
      </c>
      <c r="F2078" s="16" t="n">
        <v>0.841263304726974</v>
      </c>
      <c r="G2078" s="17" t="s">
        <v>90</v>
      </c>
      <c r="H2078" s="18" t="n">
        <v>0.1</v>
      </c>
      <c r="I2078" s="18" t="n">
        <v>1</v>
      </c>
      <c r="J2078" s="19" t="n">
        <v>0.968786847150308</v>
      </c>
      <c r="K2078" s="19" t="n">
        <v>0.467236291769963</v>
      </c>
      <c r="L2078" s="16" t="n">
        <v>13.3890427341165</v>
      </c>
      <c r="M2078" s="19" t="n">
        <v>0.786217617853135</v>
      </c>
      <c r="N2078" s="19" t="n">
        <v>2.88595649901919</v>
      </c>
      <c r="O2078" s="19" t="n">
        <v>0.968786847150308</v>
      </c>
      <c r="P2078" s="19" t="n">
        <v>0.400772683553138</v>
      </c>
      <c r="Q2078" s="17" t="s">
        <v>30</v>
      </c>
      <c r="R2078" s="5" t="str">
        <f aca="false">IF(OR(Q2078="Steel plate",Q2078="Concrete jacket"),"Steel plate or jacket",Q2078)</f>
        <v>Seal cracks</v>
      </c>
      <c r="S2078" s="5" t="str">
        <f aca="false">IF(O2078&lt;='Tree rules'!$C$4,IF(N2078&lt;='Tree rules'!$C$5,IF(P2078&lt;='Tree rules'!$C$6,"Monitor","Polymer laminate"),IF(P2078&lt;='Tree rules'!$C$7,"Seal cracks","Polymer laminate")),IF(O2078&lt;='Tree rules'!$C$8,IF(M2078&lt;='Tree rules'!$C$9,"Steel plate or jacket","Polymer laminate"),IF(L2078&lt;='Tree rules'!$C$10,"Steel plate or jacket","Polymer laminate")))</f>
        <v>Seal cracks</v>
      </c>
      <c r="T2078" s="5" t="str">
        <f aca="false">IF(S2078=R2078,"Yes","No")</f>
        <v>Yes</v>
      </c>
    </row>
    <row r="2079" customFormat="false" ht="15" hidden="false" customHeight="false" outlineLevel="0" collapsed="false">
      <c r="A2079" s="15" t="n">
        <v>2969</v>
      </c>
      <c r="B2079" s="16" t="n">
        <v>6.34898988541177</v>
      </c>
      <c r="C2079" s="15" t="n">
        <v>300</v>
      </c>
      <c r="D2079" s="15" t="n">
        <v>600</v>
      </c>
      <c r="E2079" s="15" t="n">
        <v>25</v>
      </c>
      <c r="F2079" s="16" t="n">
        <v>0.758838805214926</v>
      </c>
      <c r="G2079" s="17" t="s">
        <v>89</v>
      </c>
      <c r="H2079" s="18" t="n">
        <v>0.3</v>
      </c>
      <c r="I2079" s="18" t="n">
        <v>1</v>
      </c>
      <c r="J2079" s="19" t="n">
        <v>0.859115272209186</v>
      </c>
      <c r="K2079" s="19" t="n">
        <v>0.499082056230875</v>
      </c>
      <c r="L2079" s="16" t="n">
        <v>11.5017932706735</v>
      </c>
      <c r="M2079" s="19" t="n">
        <v>0.485260976713591</v>
      </c>
      <c r="N2079" s="19" t="n">
        <v>0.605000301593215</v>
      </c>
      <c r="O2079" s="19" t="n">
        <v>0.859115272209186</v>
      </c>
      <c r="P2079" s="19" t="n">
        <v>0.670182673199841</v>
      </c>
      <c r="Q2079" s="17" t="s">
        <v>29</v>
      </c>
      <c r="R2079" s="5" t="str">
        <f aca="false">IF(OR(Q2079="Steel plate",Q2079="Concrete jacket"),"Steel plate or jacket",Q2079)</f>
        <v>Monitor</v>
      </c>
      <c r="S2079" s="5" t="str">
        <f aca="false">IF(O2079&lt;='Tree rules'!$C$4,IF(N2079&lt;='Tree rules'!$C$5,IF(P2079&lt;='Tree rules'!$C$6,"Monitor","Polymer laminate"),IF(P2079&lt;='Tree rules'!$C$7,"Seal cracks","Polymer laminate")),IF(O2079&lt;='Tree rules'!$C$8,IF(M2079&lt;='Tree rules'!$C$9,"Steel plate or jacket","Polymer laminate"),IF(L2079&lt;='Tree rules'!$C$10,"Steel plate or jacket","Polymer laminate")))</f>
        <v>Monitor</v>
      </c>
      <c r="T2079" s="5" t="str">
        <f aca="false">IF(S2079=R2079,"Yes","No")</f>
        <v>Yes</v>
      </c>
    </row>
    <row r="2080" customFormat="false" ht="15" hidden="false" customHeight="false" outlineLevel="0" collapsed="false">
      <c r="A2080" s="15" t="n">
        <v>2970</v>
      </c>
      <c r="B2080" s="16" t="n">
        <v>4.19975949152843</v>
      </c>
      <c r="C2080" s="15" t="n">
        <v>230</v>
      </c>
      <c r="D2080" s="15" t="n">
        <v>400</v>
      </c>
      <c r="E2080" s="15" t="n">
        <v>30</v>
      </c>
      <c r="F2080" s="16" t="n">
        <v>0.740832460684402</v>
      </c>
      <c r="G2080" s="17" t="s">
        <v>89</v>
      </c>
      <c r="H2080" s="18" t="n">
        <v>0.3</v>
      </c>
      <c r="I2080" s="18" t="n">
        <v>1.5</v>
      </c>
      <c r="J2080" s="19" t="n">
        <v>0.854250547523974</v>
      </c>
      <c r="K2080" s="19" t="n">
        <v>0.442085572172746</v>
      </c>
      <c r="L2080" s="16" t="n">
        <v>11.863727377199</v>
      </c>
      <c r="M2080" s="19" t="n">
        <v>0.871034057571897</v>
      </c>
      <c r="N2080" s="19" t="n">
        <v>0.759119157088919</v>
      </c>
      <c r="O2080" s="19" t="n">
        <v>1.09254990024545</v>
      </c>
      <c r="P2080" s="19" t="n">
        <v>0.367683757607153</v>
      </c>
      <c r="Q2080" s="17" t="s">
        <v>31</v>
      </c>
      <c r="R2080" s="5" t="str">
        <f aca="false">IF(OR(Q2080="Steel plate",Q2080="Concrete jacket"),"Steel plate or jacket",Q2080)</f>
        <v>Polymer laminate</v>
      </c>
      <c r="S2080" s="5" t="str">
        <f aca="false">IF(O2080&lt;='Tree rules'!$C$4,IF(N2080&lt;='Tree rules'!$C$5,IF(P2080&lt;='Tree rules'!$C$6,"Monitor","Polymer laminate"),IF(P2080&lt;='Tree rules'!$C$7,"Seal cracks","Polymer laminate")),IF(O2080&lt;='Tree rules'!$C$8,IF(M2080&lt;='Tree rules'!$C$9,"Steel plate or jacket","Polymer laminate"),IF(L2080&lt;='Tree rules'!$C$10,"Steel plate or jacket","Polymer laminate")))</f>
        <v>Polymer laminate</v>
      </c>
      <c r="T2080" s="5" t="str">
        <f aca="false">IF(S2080=R2080,"Yes","No")</f>
        <v>Yes</v>
      </c>
    </row>
    <row r="2081" customFormat="false" ht="15" hidden="false" customHeight="false" outlineLevel="0" collapsed="false">
      <c r="A2081" s="15" t="n">
        <v>2971</v>
      </c>
      <c r="B2081" s="16" t="n">
        <v>3.27403699725732</v>
      </c>
      <c r="C2081" s="15" t="n">
        <v>230</v>
      </c>
      <c r="D2081" s="15" t="n">
        <v>300</v>
      </c>
      <c r="E2081" s="15" t="n">
        <v>20</v>
      </c>
      <c r="F2081" s="16" t="n">
        <v>0.688332522525665</v>
      </c>
      <c r="G2081" s="17" t="s">
        <v>89</v>
      </c>
      <c r="H2081" s="18" t="n">
        <v>0.3</v>
      </c>
      <c r="I2081" s="18" t="n">
        <v>2</v>
      </c>
      <c r="J2081" s="19" t="n">
        <v>0.856491231282172</v>
      </c>
      <c r="K2081" s="19" t="n">
        <v>0.50870177335191</v>
      </c>
      <c r="L2081" s="16" t="n">
        <v>12.889909438021</v>
      </c>
      <c r="M2081" s="19" t="n">
        <v>0.648639846870665</v>
      </c>
      <c r="N2081" s="19" t="n">
        <v>1.17412703773953</v>
      </c>
      <c r="O2081" s="19" t="n">
        <v>1.27728385435074</v>
      </c>
      <c r="P2081" s="19" t="n">
        <v>0.56146689016407</v>
      </c>
      <c r="Q2081" s="17" t="s">
        <v>31</v>
      </c>
      <c r="R2081" s="5" t="str">
        <f aca="false">IF(OR(Q2081="Steel plate",Q2081="Concrete jacket"),"Steel plate or jacket",Q2081)</f>
        <v>Polymer laminate</v>
      </c>
      <c r="S2081" s="5" t="str">
        <f aca="false">IF(O2081&lt;='Tree rules'!$C$4,IF(N2081&lt;='Tree rules'!$C$5,IF(P2081&lt;='Tree rules'!$C$6,"Monitor","Polymer laminate"),IF(P2081&lt;='Tree rules'!$C$7,"Seal cracks","Polymer laminate")),IF(O2081&lt;='Tree rules'!$C$8,IF(M2081&lt;='Tree rules'!$C$9,"Steel plate or jacket","Polymer laminate"),IF(L2081&lt;='Tree rules'!$C$10,"Steel plate or jacket","Polymer laminate")))</f>
        <v>Polymer laminate</v>
      </c>
      <c r="T2081" s="5" t="str">
        <f aca="false">IF(S2081=R2081,"Yes","No")</f>
        <v>Yes</v>
      </c>
    </row>
    <row r="2082" customFormat="false" ht="15" hidden="false" customHeight="false" outlineLevel="0" collapsed="false">
      <c r="A2082" s="15" t="n">
        <v>2972</v>
      </c>
      <c r="B2082" s="16" t="n">
        <v>4.21474399179531</v>
      </c>
      <c r="C2082" s="15" t="n">
        <v>300</v>
      </c>
      <c r="D2082" s="15" t="n">
        <v>350</v>
      </c>
      <c r="E2082" s="15" t="n">
        <v>25</v>
      </c>
      <c r="F2082" s="16" t="n">
        <v>0.647751062595834</v>
      </c>
      <c r="G2082" s="17" t="s">
        <v>90</v>
      </c>
      <c r="H2082" s="18" t="n">
        <v>0.1</v>
      </c>
      <c r="I2082" s="18" t="n">
        <v>1</v>
      </c>
      <c r="J2082" s="19" t="n">
        <v>0.927315539468677</v>
      </c>
      <c r="K2082" s="19" t="n">
        <v>0.411644125789707</v>
      </c>
      <c r="L2082" s="16" t="n">
        <v>14.4836563291935</v>
      </c>
      <c r="M2082" s="19" t="n">
        <v>0.333391647420646</v>
      </c>
      <c r="N2082" s="19" t="n">
        <v>2.68275750693651</v>
      </c>
      <c r="O2082" s="19" t="n">
        <v>0.927315539468677</v>
      </c>
      <c r="P2082" s="19" t="n">
        <v>0.790150944132209</v>
      </c>
      <c r="Q2082" s="17" t="s">
        <v>30</v>
      </c>
      <c r="R2082" s="5" t="str">
        <f aca="false">IF(OR(Q2082="Steel plate",Q2082="Concrete jacket"),"Steel plate or jacket",Q2082)</f>
        <v>Seal cracks</v>
      </c>
      <c r="S2082" s="5" t="str">
        <f aca="false">IF(O2082&lt;='Tree rules'!$C$4,IF(N2082&lt;='Tree rules'!$C$5,IF(P2082&lt;='Tree rules'!$C$6,"Monitor","Polymer laminate"),IF(P2082&lt;='Tree rules'!$C$7,"Seal cracks","Polymer laminate")),IF(O2082&lt;='Tree rules'!$C$8,IF(M2082&lt;='Tree rules'!$C$9,"Steel plate or jacket","Polymer laminate"),IF(L2082&lt;='Tree rules'!$C$10,"Steel plate or jacket","Polymer laminate")))</f>
        <v>Seal cracks</v>
      </c>
      <c r="T2082" s="5" t="str">
        <f aca="false">IF(S2082=R2082,"Yes","No")</f>
        <v>Yes</v>
      </c>
    </row>
    <row r="2083" customFormat="false" ht="15" hidden="false" customHeight="false" outlineLevel="0" collapsed="false">
      <c r="A2083" s="15" t="n">
        <v>2973</v>
      </c>
      <c r="B2083" s="16" t="n">
        <v>6.46405383260886</v>
      </c>
      <c r="C2083" s="15" t="n">
        <v>300</v>
      </c>
      <c r="D2083" s="15" t="n">
        <v>575</v>
      </c>
      <c r="E2083" s="15" t="n">
        <v>20</v>
      </c>
      <c r="F2083" s="16" t="n">
        <v>0.760158524876169</v>
      </c>
      <c r="G2083" s="17" t="s">
        <v>89</v>
      </c>
      <c r="H2083" s="18" t="n">
        <v>0.3</v>
      </c>
      <c r="I2083" s="18" t="n">
        <v>2</v>
      </c>
      <c r="J2083" s="19" t="n">
        <v>0.868579554953943</v>
      </c>
      <c r="K2083" s="19" t="n">
        <v>0.430924441936494</v>
      </c>
      <c r="L2083" s="16" t="n">
        <v>12.2193834264818</v>
      </c>
      <c r="M2083" s="19" t="n">
        <v>0.677435837590395</v>
      </c>
      <c r="N2083" s="19" t="n">
        <v>0.824973616086437</v>
      </c>
      <c r="O2083" s="19" t="n">
        <v>1.36286694991191</v>
      </c>
      <c r="P2083" s="19" t="n">
        <v>0.693315209491263</v>
      </c>
      <c r="Q2083" s="17" t="s">
        <v>92</v>
      </c>
      <c r="R2083" s="5" t="str">
        <f aca="false">IF(OR(Q2083="Steel plate",Q2083="Concrete jacket"),"Steel plate or jacket",Q2083)</f>
        <v>Steel plate or jacket</v>
      </c>
      <c r="S2083" s="5" t="str">
        <f aca="false">IF(O2083&lt;='Tree rules'!$C$4,IF(N2083&lt;='Tree rules'!$C$5,IF(P2083&lt;='Tree rules'!$C$6,"Monitor","Polymer laminate"),IF(P2083&lt;='Tree rules'!$C$7,"Seal cracks","Polymer laminate")),IF(O2083&lt;='Tree rules'!$C$8,IF(M2083&lt;='Tree rules'!$C$9,"Steel plate or jacket","Polymer laminate"),IF(L2083&lt;='Tree rules'!$C$10,"Steel plate or jacket","Polymer laminate")))</f>
        <v>Steel plate or jacket</v>
      </c>
      <c r="T2083" s="5" t="str">
        <f aca="false">IF(S2083=R2083,"Yes","No")</f>
        <v>Yes</v>
      </c>
    </row>
    <row r="2084" customFormat="false" ht="15" hidden="false" customHeight="false" outlineLevel="0" collapsed="false">
      <c r="A2084" s="15" t="n">
        <v>2974</v>
      </c>
      <c r="B2084" s="16" t="n">
        <v>3.71129174575202</v>
      </c>
      <c r="C2084" s="15" t="n">
        <v>300</v>
      </c>
      <c r="D2084" s="15" t="n">
        <v>350</v>
      </c>
      <c r="E2084" s="15" t="n">
        <v>20</v>
      </c>
      <c r="F2084" s="16" t="n">
        <v>0.693508312050727</v>
      </c>
      <c r="G2084" s="17" t="s">
        <v>91</v>
      </c>
      <c r="H2084" s="18" t="n">
        <v>0.2</v>
      </c>
      <c r="I2084" s="18" t="n">
        <v>1</v>
      </c>
      <c r="J2084" s="19" t="n">
        <v>0.962336376047216</v>
      </c>
      <c r="K2084" s="19" t="n">
        <v>0.592537300556656</v>
      </c>
      <c r="L2084" s="16" t="n">
        <v>12.2890455157352</v>
      </c>
      <c r="M2084" s="19" t="n">
        <v>0.638977166775416</v>
      </c>
      <c r="N2084" s="19" t="n">
        <v>1.54928409531217</v>
      </c>
      <c r="O2084" s="19" t="n">
        <v>0.962336376047216</v>
      </c>
      <c r="P2084" s="19" t="n">
        <v>0.558842389842408</v>
      </c>
      <c r="Q2084" s="17" t="s">
        <v>30</v>
      </c>
      <c r="R2084" s="5" t="str">
        <f aca="false">IF(OR(Q2084="Steel plate",Q2084="Concrete jacket"),"Steel plate or jacket",Q2084)</f>
        <v>Seal cracks</v>
      </c>
      <c r="S2084" s="5" t="str">
        <f aca="false">IF(O2084&lt;='Tree rules'!$C$4,IF(N2084&lt;='Tree rules'!$C$5,IF(P2084&lt;='Tree rules'!$C$6,"Monitor","Polymer laminate"),IF(P2084&lt;='Tree rules'!$C$7,"Seal cracks","Polymer laminate")),IF(O2084&lt;='Tree rules'!$C$8,IF(M2084&lt;='Tree rules'!$C$9,"Steel plate or jacket","Polymer laminate"),IF(L2084&lt;='Tree rules'!$C$10,"Steel plate or jacket","Polymer laminate")))</f>
        <v>Seal cracks</v>
      </c>
      <c r="T2084" s="5" t="str">
        <f aca="false">IF(S2084=R2084,"Yes","No")</f>
        <v>Yes</v>
      </c>
    </row>
    <row r="2085" customFormat="false" ht="15" hidden="false" customHeight="false" outlineLevel="0" collapsed="false">
      <c r="A2085" s="15" t="n">
        <v>2975</v>
      </c>
      <c r="B2085" s="16" t="n">
        <v>4.08009960811302</v>
      </c>
      <c r="C2085" s="15" t="n">
        <v>300</v>
      </c>
      <c r="D2085" s="15" t="n">
        <v>350</v>
      </c>
      <c r="E2085" s="15" t="n">
        <v>25</v>
      </c>
      <c r="F2085" s="16" t="n">
        <v>0.661387927071535</v>
      </c>
      <c r="G2085" s="17" t="s">
        <v>89</v>
      </c>
      <c r="H2085" s="18" t="n">
        <v>0.3</v>
      </c>
      <c r="I2085" s="18" t="n">
        <v>1</v>
      </c>
      <c r="J2085" s="19" t="n">
        <v>0.940872478209948</v>
      </c>
      <c r="K2085" s="19" t="n">
        <v>0.464747427943515</v>
      </c>
      <c r="L2085" s="16" t="n">
        <v>13.4213802898455</v>
      </c>
      <c r="M2085" s="19" t="n">
        <v>0.364482009244266</v>
      </c>
      <c r="N2085" s="19" t="n">
        <v>0.818109245651774</v>
      </c>
      <c r="O2085" s="19" t="n">
        <v>0.940872478209948</v>
      </c>
      <c r="P2085" s="19" t="n">
        <v>0.824479335793798</v>
      </c>
      <c r="Q2085" s="17" t="s">
        <v>29</v>
      </c>
      <c r="R2085" s="5" t="str">
        <f aca="false">IF(OR(Q2085="Steel plate",Q2085="Concrete jacket"),"Steel plate or jacket",Q2085)</f>
        <v>Monitor</v>
      </c>
      <c r="S2085" s="5" t="str">
        <f aca="false">IF(O2085&lt;='Tree rules'!$C$4,IF(N2085&lt;='Tree rules'!$C$5,IF(P2085&lt;='Tree rules'!$C$6,"Monitor","Polymer laminate"),IF(P2085&lt;='Tree rules'!$C$7,"Seal cracks","Polymer laminate")),IF(O2085&lt;='Tree rules'!$C$8,IF(M2085&lt;='Tree rules'!$C$9,"Steel plate or jacket","Polymer laminate"),IF(L2085&lt;='Tree rules'!$C$10,"Steel plate or jacket","Polymer laminate")))</f>
        <v>Monitor</v>
      </c>
      <c r="T2085" s="5" t="str">
        <f aca="false">IF(S2085=R2085,"Yes","No")</f>
        <v>Yes</v>
      </c>
    </row>
    <row r="2086" customFormat="false" ht="15" hidden="false" customHeight="false" outlineLevel="0" collapsed="false">
      <c r="A2086" s="15" t="n">
        <v>2978</v>
      </c>
      <c r="B2086" s="16" t="n">
        <v>6.02757462308719</v>
      </c>
      <c r="C2086" s="15" t="n">
        <v>230</v>
      </c>
      <c r="D2086" s="15" t="n">
        <v>600</v>
      </c>
      <c r="E2086" s="15" t="n">
        <v>25</v>
      </c>
      <c r="F2086" s="16" t="n">
        <v>0.742342309449384</v>
      </c>
      <c r="G2086" s="17" t="s">
        <v>89</v>
      </c>
      <c r="H2086" s="18" t="n">
        <v>0.3</v>
      </c>
      <c r="I2086" s="18" t="n">
        <v>1.5</v>
      </c>
      <c r="J2086" s="19" t="n">
        <v>0.864757723133348</v>
      </c>
      <c r="K2086" s="19" t="n">
        <v>0.44110337586244</v>
      </c>
      <c r="L2086" s="16" t="n">
        <v>10.9195192447232</v>
      </c>
      <c r="M2086" s="19" t="n">
        <v>0.484786174593986</v>
      </c>
      <c r="N2086" s="19" t="n">
        <v>0.788721354881243</v>
      </c>
      <c r="O2086" s="19" t="n">
        <v>1.1064128092114</v>
      </c>
      <c r="P2086" s="19" t="n">
        <v>0.690517081485913</v>
      </c>
      <c r="Q2086" s="17" t="s">
        <v>31</v>
      </c>
      <c r="R2086" s="5" t="str">
        <f aca="false">IF(OR(Q2086="Steel plate",Q2086="Concrete jacket"),"Steel plate or jacket",Q2086)</f>
        <v>Polymer laminate</v>
      </c>
      <c r="S2086" s="5" t="str">
        <f aca="false">IF(O2086&lt;='Tree rules'!$C$4,IF(N2086&lt;='Tree rules'!$C$5,IF(P2086&lt;='Tree rules'!$C$6,"Monitor","Polymer laminate"),IF(P2086&lt;='Tree rules'!$C$7,"Seal cracks","Polymer laminate")),IF(O2086&lt;='Tree rules'!$C$8,IF(M2086&lt;='Tree rules'!$C$9,"Steel plate or jacket","Polymer laminate"),IF(L2086&lt;='Tree rules'!$C$10,"Steel plate or jacket","Polymer laminate")))</f>
        <v>Polymer laminate</v>
      </c>
      <c r="T2086" s="5" t="str">
        <f aca="false">IF(S2086=R2086,"Yes","No")</f>
        <v>Yes</v>
      </c>
    </row>
    <row r="2087" customFormat="false" ht="15" hidden="false" customHeight="false" outlineLevel="0" collapsed="false">
      <c r="A2087" s="15" t="n">
        <v>2979</v>
      </c>
      <c r="B2087" s="16" t="n">
        <v>6.92033195837837</v>
      </c>
      <c r="C2087" s="15" t="n">
        <v>300</v>
      </c>
      <c r="D2087" s="15" t="n">
        <v>625</v>
      </c>
      <c r="E2087" s="15" t="n">
        <v>30</v>
      </c>
      <c r="F2087" s="16" t="n">
        <v>0.745336335371244</v>
      </c>
      <c r="G2087" s="17" t="s">
        <v>90</v>
      </c>
      <c r="H2087" s="18" t="n">
        <v>0.1</v>
      </c>
      <c r="I2087" s="18" t="n">
        <v>1</v>
      </c>
      <c r="J2087" s="19" t="n">
        <v>0.933032647592422</v>
      </c>
      <c r="K2087" s="19" t="n">
        <v>0.579642755207565</v>
      </c>
      <c r="L2087" s="16" t="n">
        <v>12.3137579330576</v>
      </c>
      <c r="M2087" s="19" t="n">
        <v>0.49780690769307</v>
      </c>
      <c r="N2087" s="19" t="n">
        <v>2.54182959014696</v>
      </c>
      <c r="O2087" s="19" t="n">
        <v>0.933032647592422</v>
      </c>
      <c r="P2087" s="19" t="n">
        <v>0.709565440208707</v>
      </c>
      <c r="Q2087" s="17" t="s">
        <v>30</v>
      </c>
      <c r="R2087" s="5" t="str">
        <f aca="false">IF(OR(Q2087="Steel plate",Q2087="Concrete jacket"),"Steel plate or jacket",Q2087)</f>
        <v>Seal cracks</v>
      </c>
      <c r="S2087" s="5" t="str">
        <f aca="false">IF(O2087&lt;='Tree rules'!$C$4,IF(N2087&lt;='Tree rules'!$C$5,IF(P2087&lt;='Tree rules'!$C$6,"Monitor","Polymer laminate"),IF(P2087&lt;='Tree rules'!$C$7,"Seal cracks","Polymer laminate")),IF(O2087&lt;='Tree rules'!$C$8,IF(M2087&lt;='Tree rules'!$C$9,"Steel plate or jacket","Polymer laminate"),IF(L2087&lt;='Tree rules'!$C$10,"Steel plate or jacket","Polymer laminate")))</f>
        <v>Seal cracks</v>
      </c>
      <c r="T2087" s="5" t="str">
        <f aca="false">IF(S2087=R2087,"Yes","No")</f>
        <v>Yes</v>
      </c>
    </row>
    <row r="2088" customFormat="false" ht="15" hidden="false" customHeight="false" outlineLevel="0" collapsed="false">
      <c r="A2088" s="15" t="n">
        <v>2980</v>
      </c>
      <c r="B2088" s="16" t="n">
        <v>5.07202307345253</v>
      </c>
      <c r="C2088" s="15" t="n">
        <v>300</v>
      </c>
      <c r="D2088" s="15" t="n">
        <v>475</v>
      </c>
      <c r="E2088" s="15" t="n">
        <v>25</v>
      </c>
      <c r="F2088" s="16" t="n">
        <v>0.781126378514945</v>
      </c>
      <c r="G2088" s="17" t="s">
        <v>89</v>
      </c>
      <c r="H2088" s="18" t="n">
        <v>0.3</v>
      </c>
      <c r="I2088" s="18" t="n">
        <v>1</v>
      </c>
      <c r="J2088" s="19" t="n">
        <v>0.936942954962293</v>
      </c>
      <c r="K2088" s="19" t="n">
        <v>0.479421121892393</v>
      </c>
      <c r="L2088" s="16" t="n">
        <v>11.8228976071155</v>
      </c>
      <c r="M2088" s="19" t="n">
        <v>0.652972983477832</v>
      </c>
      <c r="N2088" s="19" t="n">
        <v>0.607598950478938</v>
      </c>
      <c r="O2088" s="19" t="n">
        <v>0.936942954962293</v>
      </c>
      <c r="P2088" s="19" t="n">
        <v>0.546085284121435</v>
      </c>
      <c r="Q2088" s="17" t="s">
        <v>29</v>
      </c>
      <c r="R2088" s="5" t="str">
        <f aca="false">IF(OR(Q2088="Steel plate",Q2088="Concrete jacket"),"Steel plate or jacket",Q2088)</f>
        <v>Monitor</v>
      </c>
      <c r="S2088" s="5" t="str">
        <f aca="false">IF(O2088&lt;='Tree rules'!$C$4,IF(N2088&lt;='Tree rules'!$C$5,IF(P2088&lt;='Tree rules'!$C$6,"Monitor","Polymer laminate"),IF(P2088&lt;='Tree rules'!$C$7,"Seal cracks","Polymer laminate")),IF(O2088&lt;='Tree rules'!$C$8,IF(M2088&lt;='Tree rules'!$C$9,"Steel plate or jacket","Polymer laminate"),IF(L2088&lt;='Tree rules'!$C$10,"Steel plate or jacket","Polymer laminate")))</f>
        <v>Monitor</v>
      </c>
      <c r="T2088" s="5" t="str">
        <f aca="false">IF(S2088=R2088,"Yes","No")</f>
        <v>Yes</v>
      </c>
    </row>
    <row r="2089" customFormat="false" ht="15" hidden="false" customHeight="false" outlineLevel="0" collapsed="false">
      <c r="A2089" s="15" t="n">
        <v>2981</v>
      </c>
      <c r="B2089" s="16" t="n">
        <v>7.49234165737754</v>
      </c>
      <c r="C2089" s="15" t="n">
        <v>300</v>
      </c>
      <c r="D2089" s="15" t="n">
        <v>600</v>
      </c>
      <c r="E2089" s="15" t="n">
        <v>25</v>
      </c>
      <c r="F2089" s="16" t="n">
        <v>0.569129103911194</v>
      </c>
      <c r="G2089" s="17" t="s">
        <v>91</v>
      </c>
      <c r="H2089" s="18" t="n">
        <v>0.2</v>
      </c>
      <c r="I2089" s="18" t="n">
        <v>1</v>
      </c>
      <c r="J2089" s="19" t="n">
        <v>0.881846215673623</v>
      </c>
      <c r="K2089" s="19" t="n">
        <v>0.589879850524084</v>
      </c>
      <c r="L2089" s="16" t="n">
        <v>13.5730827126405</v>
      </c>
      <c r="M2089" s="19" t="n">
        <v>0.342582988473213</v>
      </c>
      <c r="N2089" s="19" t="n">
        <v>1.13728399035083</v>
      </c>
      <c r="O2089" s="19" t="n">
        <v>0.881846215673623</v>
      </c>
      <c r="P2089" s="19" t="n">
        <v>0.962347669061783</v>
      </c>
      <c r="Q2089" s="17" t="s">
        <v>31</v>
      </c>
      <c r="R2089" s="5" t="str">
        <f aca="false">IF(OR(Q2089="Steel plate",Q2089="Concrete jacket"),"Steel plate or jacket",Q2089)</f>
        <v>Polymer laminate</v>
      </c>
      <c r="S2089" s="5" t="str">
        <f aca="false">IF(O2089&lt;='Tree rules'!$C$4,IF(N2089&lt;='Tree rules'!$C$5,IF(P2089&lt;='Tree rules'!$C$6,"Monitor","Polymer laminate"),IF(P2089&lt;='Tree rules'!$C$7,"Seal cracks","Polymer laminate")),IF(O2089&lt;='Tree rules'!$C$8,IF(M2089&lt;='Tree rules'!$C$9,"Steel plate or jacket","Polymer laminate"),IF(L2089&lt;='Tree rules'!$C$10,"Steel plate or jacket","Polymer laminate")))</f>
        <v>Seal cracks</v>
      </c>
      <c r="T2089" s="5" t="str">
        <f aca="false">IF(S2089=R2089,"Yes","No")</f>
        <v>No</v>
      </c>
    </row>
    <row r="2090" customFormat="false" ht="15" hidden="false" customHeight="false" outlineLevel="0" collapsed="false">
      <c r="A2090" s="15" t="n">
        <v>2983</v>
      </c>
      <c r="B2090" s="16" t="n">
        <v>5.31599579231786</v>
      </c>
      <c r="C2090" s="15" t="n">
        <v>230</v>
      </c>
      <c r="D2090" s="15" t="n">
        <v>500</v>
      </c>
      <c r="E2090" s="15" t="n">
        <v>30</v>
      </c>
      <c r="F2090" s="16" t="n">
        <v>0.90657733366385</v>
      </c>
      <c r="G2090" s="17" t="s">
        <v>89</v>
      </c>
      <c r="H2090" s="18" t="n">
        <v>0.3</v>
      </c>
      <c r="I2090" s="18" t="n">
        <v>1</v>
      </c>
      <c r="J2090" s="19" t="n">
        <v>0.915698998429657</v>
      </c>
      <c r="K2090" s="19" t="n">
        <v>0.503751138278879</v>
      </c>
      <c r="L2090" s="16" t="n">
        <v>11.7610526378714</v>
      </c>
      <c r="M2090" s="19" t="n">
        <v>0.739857063413913</v>
      </c>
      <c r="N2090" s="19" t="n">
        <v>0.633752240683443</v>
      </c>
      <c r="O2090" s="19" t="n">
        <v>0.915698998429657</v>
      </c>
      <c r="P2090" s="19" t="n">
        <v>0.516040572853849</v>
      </c>
      <c r="Q2090" s="17" t="s">
        <v>29</v>
      </c>
      <c r="R2090" s="5" t="str">
        <f aca="false">IF(OR(Q2090="Steel plate",Q2090="Concrete jacket"),"Steel plate or jacket",Q2090)</f>
        <v>Monitor</v>
      </c>
      <c r="S2090" s="5" t="str">
        <f aca="false">IF(O2090&lt;='Tree rules'!$C$4,IF(N2090&lt;='Tree rules'!$C$5,IF(P2090&lt;='Tree rules'!$C$6,"Monitor","Polymer laminate"),IF(P2090&lt;='Tree rules'!$C$7,"Seal cracks","Polymer laminate")),IF(O2090&lt;='Tree rules'!$C$8,IF(M2090&lt;='Tree rules'!$C$9,"Steel plate or jacket","Polymer laminate"),IF(L2090&lt;='Tree rules'!$C$10,"Steel plate or jacket","Polymer laminate")))</f>
        <v>Monitor</v>
      </c>
      <c r="T2090" s="5" t="str">
        <f aca="false">IF(S2090=R2090,"Yes","No")</f>
        <v>Yes</v>
      </c>
    </row>
    <row r="2091" customFormat="false" ht="15" hidden="false" customHeight="false" outlineLevel="0" collapsed="false">
      <c r="A2091" s="15" t="n">
        <v>2984</v>
      </c>
      <c r="B2091" s="16" t="n">
        <v>4.22845435157242</v>
      </c>
      <c r="C2091" s="15" t="n">
        <v>230</v>
      </c>
      <c r="D2091" s="15" t="n">
        <v>350</v>
      </c>
      <c r="E2091" s="15" t="n">
        <v>20</v>
      </c>
      <c r="F2091" s="16" t="n">
        <v>0.64278110559382</v>
      </c>
      <c r="G2091" s="17" t="s">
        <v>91</v>
      </c>
      <c r="H2091" s="18" t="n">
        <v>0.2</v>
      </c>
      <c r="I2091" s="18" t="n">
        <v>1.5</v>
      </c>
      <c r="J2091" s="19" t="n">
        <v>0.900184738486292</v>
      </c>
      <c r="K2091" s="19" t="n">
        <v>0.410780983389285</v>
      </c>
      <c r="L2091" s="16" t="n">
        <v>13.8184782731125</v>
      </c>
      <c r="M2091" s="19" t="n">
        <v>0.29663280023785</v>
      </c>
      <c r="N2091" s="19" t="n">
        <v>1.23273244639391</v>
      </c>
      <c r="O2091" s="19" t="n">
        <v>1.16538772167573</v>
      </c>
      <c r="P2091" s="19" t="n">
        <v>1.17854561492276</v>
      </c>
      <c r="Q2091" s="17" t="s">
        <v>31</v>
      </c>
      <c r="R2091" s="5" t="str">
        <f aca="false">IF(OR(Q2091="Steel plate",Q2091="Concrete jacket"),"Steel plate or jacket",Q2091)</f>
        <v>Polymer laminate</v>
      </c>
      <c r="S2091" s="5" t="str">
        <f aca="false">IF(O2091&lt;='Tree rules'!$C$4,IF(N2091&lt;='Tree rules'!$C$5,IF(P2091&lt;='Tree rules'!$C$6,"Monitor","Polymer laminate"),IF(P2091&lt;='Tree rules'!$C$7,"Seal cracks","Polymer laminate")),IF(O2091&lt;='Tree rules'!$C$8,IF(M2091&lt;='Tree rules'!$C$9,"Steel plate or jacket","Polymer laminate"),IF(L2091&lt;='Tree rules'!$C$10,"Steel plate or jacket","Polymer laminate")))</f>
        <v>Polymer laminate</v>
      </c>
      <c r="T2091" s="5" t="str">
        <f aca="false">IF(S2091=R2091,"Yes","No")</f>
        <v>Yes</v>
      </c>
    </row>
    <row r="2092" customFormat="false" ht="15" hidden="false" customHeight="false" outlineLevel="0" collapsed="false">
      <c r="A2092" s="15" t="n">
        <v>2985</v>
      </c>
      <c r="B2092" s="16" t="n">
        <v>4.5859757365708</v>
      </c>
      <c r="C2092" s="15" t="n">
        <v>300</v>
      </c>
      <c r="D2092" s="15" t="n">
        <v>425</v>
      </c>
      <c r="E2092" s="15" t="n">
        <v>30</v>
      </c>
      <c r="F2092" s="16" t="n">
        <v>0.884177351933803</v>
      </c>
      <c r="G2092" s="17" t="s">
        <v>89</v>
      </c>
      <c r="H2092" s="18" t="n">
        <v>0.3</v>
      </c>
      <c r="I2092" s="18" t="n">
        <v>1</v>
      </c>
      <c r="J2092" s="19" t="n">
        <v>0.859459047366499</v>
      </c>
      <c r="K2092" s="19" t="n">
        <v>0.589169959060354</v>
      </c>
      <c r="L2092" s="16" t="n">
        <v>12.1001998326406</v>
      </c>
      <c r="M2092" s="19" t="n">
        <v>0.635228630350106</v>
      </c>
      <c r="N2092" s="19" t="n">
        <v>0.572208114274572</v>
      </c>
      <c r="O2092" s="19" t="n">
        <v>0.859459047366499</v>
      </c>
      <c r="P2092" s="19" t="n">
        <v>0.582416255691116</v>
      </c>
      <c r="Q2092" s="17" t="s">
        <v>29</v>
      </c>
      <c r="R2092" s="5" t="str">
        <f aca="false">IF(OR(Q2092="Steel plate",Q2092="Concrete jacket"),"Steel plate or jacket",Q2092)</f>
        <v>Monitor</v>
      </c>
      <c r="S2092" s="5" t="str">
        <f aca="false">IF(O2092&lt;='Tree rules'!$C$4,IF(N2092&lt;='Tree rules'!$C$5,IF(P2092&lt;='Tree rules'!$C$6,"Monitor","Polymer laminate"),IF(P2092&lt;='Tree rules'!$C$7,"Seal cracks","Polymer laminate")),IF(O2092&lt;='Tree rules'!$C$8,IF(M2092&lt;='Tree rules'!$C$9,"Steel plate or jacket","Polymer laminate"),IF(L2092&lt;='Tree rules'!$C$10,"Steel plate or jacket","Polymer laminate")))</f>
        <v>Monitor</v>
      </c>
      <c r="T2092" s="5" t="str">
        <f aca="false">IF(S2092=R2092,"Yes","No")</f>
        <v>Yes</v>
      </c>
    </row>
    <row r="2093" customFormat="false" ht="15" hidden="false" customHeight="false" outlineLevel="0" collapsed="false">
      <c r="A2093" s="15" t="n">
        <v>2986</v>
      </c>
      <c r="B2093" s="16" t="n">
        <v>5.00716134043372</v>
      </c>
      <c r="C2093" s="15" t="n">
        <v>300</v>
      </c>
      <c r="D2093" s="15" t="n">
        <v>425</v>
      </c>
      <c r="E2093" s="15" t="n">
        <v>20</v>
      </c>
      <c r="F2093" s="16" t="n">
        <v>0.707341881547042</v>
      </c>
      <c r="G2093" s="17" t="s">
        <v>89</v>
      </c>
      <c r="H2093" s="18" t="n">
        <v>0.3</v>
      </c>
      <c r="I2093" s="18" t="n">
        <v>1.5</v>
      </c>
      <c r="J2093" s="19" t="n">
        <v>0.882730139830164</v>
      </c>
      <c r="K2093" s="19" t="n">
        <v>0.410445337769883</v>
      </c>
      <c r="L2093" s="16" t="n">
        <v>13.2115074945481</v>
      </c>
      <c r="M2093" s="19" t="n">
        <v>0.738587212402312</v>
      </c>
      <c r="N2093" s="19" t="n">
        <v>0.788865223908094</v>
      </c>
      <c r="O2093" s="19" t="n">
        <v>1.14293897454412</v>
      </c>
      <c r="P2093" s="19" t="n">
        <v>0.541713999436378</v>
      </c>
      <c r="Q2093" s="17" t="s">
        <v>31</v>
      </c>
      <c r="R2093" s="5" t="str">
        <f aca="false">IF(OR(Q2093="Steel plate",Q2093="Concrete jacket"),"Steel plate or jacket",Q2093)</f>
        <v>Polymer laminate</v>
      </c>
      <c r="S2093" s="5" t="str">
        <f aca="false">IF(O2093&lt;='Tree rules'!$C$4,IF(N2093&lt;='Tree rules'!$C$5,IF(P2093&lt;='Tree rules'!$C$6,"Monitor","Polymer laminate"),IF(P2093&lt;='Tree rules'!$C$7,"Seal cracks","Polymer laminate")),IF(O2093&lt;='Tree rules'!$C$8,IF(M2093&lt;='Tree rules'!$C$9,"Steel plate or jacket","Polymer laminate"),IF(L2093&lt;='Tree rules'!$C$10,"Steel plate or jacket","Polymer laminate")))</f>
        <v>Polymer laminate</v>
      </c>
      <c r="T2093" s="5" t="str">
        <f aca="false">IF(S2093=R2093,"Yes","No")</f>
        <v>Yes</v>
      </c>
    </row>
    <row r="2094" customFormat="false" ht="15" hidden="false" customHeight="false" outlineLevel="0" collapsed="false">
      <c r="A2094" s="15" t="n">
        <v>2987</v>
      </c>
      <c r="B2094" s="16" t="n">
        <v>4.00027339769807</v>
      </c>
      <c r="C2094" s="15" t="n">
        <v>300</v>
      </c>
      <c r="D2094" s="15" t="n">
        <v>350</v>
      </c>
      <c r="E2094" s="15" t="n">
        <v>20</v>
      </c>
      <c r="F2094" s="16" t="n">
        <v>0.693508312050727</v>
      </c>
      <c r="G2094" s="17" t="s">
        <v>89</v>
      </c>
      <c r="H2094" s="18" t="n">
        <v>0.3</v>
      </c>
      <c r="I2094" s="18" t="n">
        <v>1.5</v>
      </c>
      <c r="J2094" s="19" t="n">
        <v>0.870291497604223</v>
      </c>
      <c r="K2094" s="19" t="n">
        <v>0.593549742322802</v>
      </c>
      <c r="L2094" s="16" t="n">
        <v>13.2459384029737</v>
      </c>
      <c r="M2094" s="19" t="n">
        <v>0.362734239792658</v>
      </c>
      <c r="N2094" s="19" t="n">
        <v>1.20178901332565</v>
      </c>
      <c r="O2094" s="19" t="n">
        <v>1.04715659933198</v>
      </c>
      <c r="P2094" s="19" t="n">
        <v>1.02385215743956</v>
      </c>
      <c r="Q2094" s="17" t="s">
        <v>31</v>
      </c>
      <c r="R2094" s="5" t="str">
        <f aca="false">IF(OR(Q2094="Steel plate",Q2094="Concrete jacket"),"Steel plate or jacket",Q2094)</f>
        <v>Polymer laminate</v>
      </c>
      <c r="S2094" s="5" t="str">
        <f aca="false">IF(O2094&lt;='Tree rules'!$C$4,IF(N2094&lt;='Tree rules'!$C$5,IF(P2094&lt;='Tree rules'!$C$6,"Monitor","Polymer laminate"),IF(P2094&lt;='Tree rules'!$C$7,"Seal cracks","Polymer laminate")),IF(O2094&lt;='Tree rules'!$C$8,IF(M2094&lt;='Tree rules'!$C$9,"Steel plate or jacket","Polymer laminate"),IF(L2094&lt;='Tree rules'!$C$10,"Steel plate or jacket","Polymer laminate")))</f>
        <v>Polymer laminate</v>
      </c>
      <c r="T2094" s="5" t="str">
        <f aca="false">IF(S2094=R2094,"Yes","No")</f>
        <v>Yes</v>
      </c>
    </row>
    <row r="2095" customFormat="false" ht="15" hidden="false" customHeight="false" outlineLevel="0" collapsed="false">
      <c r="A2095" s="15" t="n">
        <v>2989</v>
      </c>
      <c r="B2095" s="16" t="n">
        <v>6.75780865117283</v>
      </c>
      <c r="C2095" s="15" t="n">
        <v>300</v>
      </c>
      <c r="D2095" s="15" t="n">
        <v>575</v>
      </c>
      <c r="E2095" s="15" t="n">
        <v>30</v>
      </c>
      <c r="F2095" s="16" t="n">
        <v>0.818123086872342</v>
      </c>
      <c r="G2095" s="17" t="s">
        <v>90</v>
      </c>
      <c r="H2095" s="18" t="n">
        <v>0.1</v>
      </c>
      <c r="I2095" s="18" t="n">
        <v>1</v>
      </c>
      <c r="J2095" s="19" t="n">
        <v>0.901944143306857</v>
      </c>
      <c r="K2095" s="19" t="n">
        <v>0.475990795907284</v>
      </c>
      <c r="L2095" s="16" t="n">
        <v>13.1988450218219</v>
      </c>
      <c r="M2095" s="19" t="n">
        <v>0.75577723075786</v>
      </c>
      <c r="N2095" s="19" t="n">
        <v>2.34806619450277</v>
      </c>
      <c r="O2095" s="19" t="n">
        <v>0.901944143306857</v>
      </c>
      <c r="P2095" s="19" t="n">
        <v>0.490517459186922</v>
      </c>
      <c r="Q2095" s="17" t="s">
        <v>30</v>
      </c>
      <c r="R2095" s="5" t="str">
        <f aca="false">IF(OR(Q2095="Steel plate",Q2095="Concrete jacket"),"Steel plate or jacket",Q2095)</f>
        <v>Seal cracks</v>
      </c>
      <c r="S2095" s="5" t="str">
        <f aca="false">IF(O2095&lt;='Tree rules'!$C$4,IF(N2095&lt;='Tree rules'!$C$5,IF(P2095&lt;='Tree rules'!$C$6,"Monitor","Polymer laminate"),IF(P2095&lt;='Tree rules'!$C$7,"Seal cracks","Polymer laminate")),IF(O2095&lt;='Tree rules'!$C$8,IF(M2095&lt;='Tree rules'!$C$9,"Steel plate or jacket","Polymer laminate"),IF(L2095&lt;='Tree rules'!$C$10,"Steel plate or jacket","Polymer laminate")))</f>
        <v>Seal cracks</v>
      </c>
      <c r="T2095" s="5" t="str">
        <f aca="false">IF(S2095=R2095,"Yes","No")</f>
        <v>Yes</v>
      </c>
    </row>
    <row r="2096" customFormat="false" ht="15" hidden="false" customHeight="false" outlineLevel="0" collapsed="false">
      <c r="A2096" s="15" t="n">
        <v>2992</v>
      </c>
      <c r="B2096" s="16" t="n">
        <v>3.93860093659504</v>
      </c>
      <c r="C2096" s="15" t="n">
        <v>300</v>
      </c>
      <c r="D2096" s="15" t="n">
        <v>375</v>
      </c>
      <c r="E2096" s="15" t="n">
        <v>25</v>
      </c>
      <c r="F2096" s="16" t="n">
        <v>0.640487798897002</v>
      </c>
      <c r="G2096" s="17" t="s">
        <v>89</v>
      </c>
      <c r="H2096" s="18" t="n">
        <v>0.3</v>
      </c>
      <c r="I2096" s="18" t="n">
        <v>2</v>
      </c>
      <c r="J2096" s="19" t="n">
        <v>0.927681739565901</v>
      </c>
      <c r="K2096" s="19" t="n">
        <v>0.606052935689036</v>
      </c>
      <c r="L2096" s="16" t="n">
        <v>12.0446511822478</v>
      </c>
      <c r="M2096" s="19" t="n">
        <v>0.930964971401874</v>
      </c>
      <c r="N2096" s="19" t="n">
        <v>1.37799630247471</v>
      </c>
      <c r="O2096" s="19" t="n">
        <v>1.29313923748278</v>
      </c>
      <c r="P2096" s="19" t="n">
        <v>0.40244089989263</v>
      </c>
      <c r="Q2096" s="17" t="s">
        <v>31</v>
      </c>
      <c r="R2096" s="5" t="str">
        <f aca="false">IF(OR(Q2096="Steel plate",Q2096="Concrete jacket"),"Steel plate or jacket",Q2096)</f>
        <v>Polymer laminate</v>
      </c>
      <c r="S2096" s="5" t="str">
        <f aca="false">IF(O2096&lt;='Tree rules'!$C$4,IF(N2096&lt;='Tree rules'!$C$5,IF(P2096&lt;='Tree rules'!$C$6,"Monitor","Polymer laminate"),IF(P2096&lt;='Tree rules'!$C$7,"Seal cracks","Polymer laminate")),IF(O2096&lt;='Tree rules'!$C$8,IF(M2096&lt;='Tree rules'!$C$9,"Steel plate or jacket","Polymer laminate"),IF(L2096&lt;='Tree rules'!$C$10,"Steel plate or jacket","Polymer laminate")))</f>
        <v>Polymer laminate</v>
      </c>
      <c r="T2096" s="5" t="str">
        <f aca="false">IF(S2096=R2096,"Yes","No")</f>
        <v>Yes</v>
      </c>
    </row>
    <row r="2097" customFormat="false" ht="15" hidden="false" customHeight="false" outlineLevel="0" collapsed="false">
      <c r="A2097" s="15" t="n">
        <v>2993</v>
      </c>
      <c r="B2097" s="16" t="n">
        <v>4.91199733806678</v>
      </c>
      <c r="C2097" s="15" t="n">
        <v>300</v>
      </c>
      <c r="D2097" s="15" t="n">
        <v>450</v>
      </c>
      <c r="E2097" s="15" t="n">
        <v>25</v>
      </c>
      <c r="F2097" s="16" t="n">
        <v>0.663570725510715</v>
      </c>
      <c r="G2097" s="17" t="s">
        <v>89</v>
      </c>
      <c r="H2097" s="18" t="n">
        <v>0.3</v>
      </c>
      <c r="I2097" s="18" t="n">
        <v>2</v>
      </c>
      <c r="J2097" s="19" t="n">
        <v>0.853500757476778</v>
      </c>
      <c r="K2097" s="19" t="n">
        <v>0.465898614093697</v>
      </c>
      <c r="L2097" s="16" t="n">
        <v>12.1584092526405</v>
      </c>
      <c r="M2097" s="19" t="n">
        <v>0.861568939802381</v>
      </c>
      <c r="N2097" s="19" t="n">
        <v>0.904702394819846</v>
      </c>
      <c r="O2097" s="19" t="n">
        <v>1.30935669491721</v>
      </c>
      <c r="P2097" s="19" t="n">
        <v>0.43827946752914</v>
      </c>
      <c r="Q2097" s="17" t="s">
        <v>31</v>
      </c>
      <c r="R2097" s="5" t="str">
        <f aca="false">IF(OR(Q2097="Steel plate",Q2097="Concrete jacket"),"Steel plate or jacket",Q2097)</f>
        <v>Polymer laminate</v>
      </c>
      <c r="S2097" s="5" t="str">
        <f aca="false">IF(O2097&lt;='Tree rules'!$C$4,IF(N2097&lt;='Tree rules'!$C$5,IF(P2097&lt;='Tree rules'!$C$6,"Monitor","Polymer laminate"),IF(P2097&lt;='Tree rules'!$C$7,"Seal cracks","Polymer laminate")),IF(O2097&lt;='Tree rules'!$C$8,IF(M2097&lt;='Tree rules'!$C$9,"Steel plate or jacket","Polymer laminate"),IF(L2097&lt;='Tree rules'!$C$10,"Steel plate or jacket","Polymer laminate")))</f>
        <v>Steel plate or jacket</v>
      </c>
      <c r="T2097" s="5" t="str">
        <f aca="false">IF(S2097=R2097,"Yes","No")</f>
        <v>No</v>
      </c>
    </row>
    <row r="2098" customFormat="false" ht="15" hidden="false" customHeight="false" outlineLevel="0" collapsed="false">
      <c r="A2098" s="15" t="n">
        <v>2994</v>
      </c>
      <c r="B2098" s="16" t="n">
        <v>5.83827036135153</v>
      </c>
      <c r="C2098" s="15" t="n">
        <v>300</v>
      </c>
      <c r="D2098" s="15" t="n">
        <v>550</v>
      </c>
      <c r="E2098" s="15" t="n">
        <v>30</v>
      </c>
      <c r="F2098" s="16" t="n">
        <v>0.797864800911693</v>
      </c>
      <c r="G2098" s="17" t="s">
        <v>89</v>
      </c>
      <c r="H2098" s="18" t="n">
        <v>0.3</v>
      </c>
      <c r="I2098" s="18" t="n">
        <v>1</v>
      </c>
      <c r="J2098" s="19" t="n">
        <v>0.951344393594968</v>
      </c>
      <c r="K2098" s="19" t="n">
        <v>0.562924805564736</v>
      </c>
      <c r="L2098" s="16" t="n">
        <v>11.5838697645864</v>
      </c>
      <c r="M2098" s="19" t="n">
        <v>0.927417863659103</v>
      </c>
      <c r="N2098" s="19" t="n">
        <v>0.559823764938721</v>
      </c>
      <c r="O2098" s="19" t="n">
        <v>0.951344393594968</v>
      </c>
      <c r="P2098" s="19" t="n">
        <v>0.424262736785907</v>
      </c>
      <c r="Q2098" s="17" t="s">
        <v>29</v>
      </c>
      <c r="R2098" s="5" t="str">
        <f aca="false">IF(OR(Q2098="Steel plate",Q2098="Concrete jacket"),"Steel plate or jacket",Q2098)</f>
        <v>Monitor</v>
      </c>
      <c r="S2098" s="5" t="str">
        <f aca="false">IF(O2098&lt;='Tree rules'!$C$4,IF(N2098&lt;='Tree rules'!$C$5,IF(P2098&lt;='Tree rules'!$C$6,"Monitor","Polymer laminate"),IF(P2098&lt;='Tree rules'!$C$7,"Seal cracks","Polymer laminate")),IF(O2098&lt;='Tree rules'!$C$8,IF(M2098&lt;='Tree rules'!$C$9,"Steel plate or jacket","Polymer laminate"),IF(L2098&lt;='Tree rules'!$C$10,"Steel plate or jacket","Polymer laminate")))</f>
        <v>Monitor</v>
      </c>
      <c r="T2098" s="5" t="str">
        <f aca="false">IF(S2098=R2098,"Yes","No")</f>
        <v>Yes</v>
      </c>
    </row>
    <row r="2099" customFormat="false" ht="15" hidden="false" customHeight="false" outlineLevel="0" collapsed="false">
      <c r="A2099" s="15" t="n">
        <v>2995</v>
      </c>
      <c r="B2099" s="16" t="n">
        <v>5.30526491860474</v>
      </c>
      <c r="C2099" s="15" t="n">
        <v>230</v>
      </c>
      <c r="D2099" s="15" t="n">
        <v>475</v>
      </c>
      <c r="E2099" s="15" t="n">
        <v>30</v>
      </c>
      <c r="F2099" s="16" t="n">
        <v>0.611316296229087</v>
      </c>
      <c r="G2099" s="17" t="s">
        <v>91</v>
      </c>
      <c r="H2099" s="18" t="n">
        <v>0.2</v>
      </c>
      <c r="I2099" s="18" t="n">
        <v>1</v>
      </c>
      <c r="J2099" s="19" t="n">
        <v>0.877764968538416</v>
      </c>
      <c r="K2099" s="19" t="n">
        <v>0.618643903815868</v>
      </c>
      <c r="L2099" s="16" t="n">
        <v>12.3665848918525</v>
      </c>
      <c r="M2099" s="19" t="n">
        <v>0.520462437035175</v>
      </c>
      <c r="N2099" s="19" t="n">
        <v>0.944844692277523</v>
      </c>
      <c r="O2099" s="19" t="n">
        <v>0.877764968538416</v>
      </c>
      <c r="P2099" s="19" t="n">
        <v>0.565144799725392</v>
      </c>
      <c r="Q2099" s="17" t="s">
        <v>29</v>
      </c>
      <c r="R2099" s="5" t="str">
        <f aca="false">IF(OR(Q2099="Steel plate",Q2099="Concrete jacket"),"Steel plate or jacket",Q2099)</f>
        <v>Monitor</v>
      </c>
      <c r="S2099" s="5" t="str">
        <f aca="false">IF(O2099&lt;='Tree rules'!$C$4,IF(N2099&lt;='Tree rules'!$C$5,IF(P2099&lt;='Tree rules'!$C$6,"Monitor","Polymer laminate"),IF(P2099&lt;='Tree rules'!$C$7,"Seal cracks","Polymer laminate")),IF(O2099&lt;='Tree rules'!$C$8,IF(M2099&lt;='Tree rules'!$C$9,"Steel plate or jacket","Polymer laminate"),IF(L2099&lt;='Tree rules'!$C$10,"Steel plate or jacket","Polymer laminate")))</f>
        <v>Monitor</v>
      </c>
      <c r="T2099" s="5" t="str">
        <f aca="false">IF(S2099=R2099,"Yes","No")</f>
        <v>Yes</v>
      </c>
    </row>
    <row r="2100" customFormat="false" ht="15" hidden="false" customHeight="false" outlineLevel="0" collapsed="false">
      <c r="A2100" s="15" t="n">
        <v>2996</v>
      </c>
      <c r="B2100" s="16" t="n">
        <v>6.60477235987993</v>
      </c>
      <c r="C2100" s="15" t="n">
        <v>230</v>
      </c>
      <c r="D2100" s="15" t="n">
        <v>525</v>
      </c>
      <c r="E2100" s="15" t="n">
        <v>30</v>
      </c>
      <c r="F2100" s="16" t="n">
        <v>0.547504574284506</v>
      </c>
      <c r="G2100" s="17" t="s">
        <v>91</v>
      </c>
      <c r="H2100" s="18" t="n">
        <v>0.2</v>
      </c>
      <c r="I2100" s="18" t="n">
        <v>1</v>
      </c>
      <c r="J2100" s="19" t="n">
        <v>0.855727915560124</v>
      </c>
      <c r="K2100" s="19" t="n">
        <v>0.540104085312372</v>
      </c>
      <c r="L2100" s="16" t="n">
        <v>13.7886688097702</v>
      </c>
      <c r="M2100" s="19" t="n">
        <v>0.706034768426843</v>
      </c>
      <c r="N2100" s="19" t="n">
        <v>0.854134671146264</v>
      </c>
      <c r="O2100" s="19" t="n">
        <v>0.855727915560125</v>
      </c>
      <c r="P2100" s="19" t="n">
        <v>0.41300656850641</v>
      </c>
      <c r="Q2100" s="17" t="s">
        <v>29</v>
      </c>
      <c r="R2100" s="5" t="str">
        <f aca="false">IF(OR(Q2100="Steel plate",Q2100="Concrete jacket"),"Steel plate or jacket",Q2100)</f>
        <v>Monitor</v>
      </c>
      <c r="S2100" s="5" t="str">
        <f aca="false">IF(O2100&lt;='Tree rules'!$C$4,IF(N2100&lt;='Tree rules'!$C$5,IF(P2100&lt;='Tree rules'!$C$6,"Monitor","Polymer laminate"),IF(P2100&lt;='Tree rules'!$C$7,"Seal cracks","Polymer laminate")),IF(O2100&lt;='Tree rules'!$C$8,IF(M2100&lt;='Tree rules'!$C$9,"Steel plate or jacket","Polymer laminate"),IF(L2100&lt;='Tree rules'!$C$10,"Steel plate or jacket","Polymer laminate")))</f>
        <v>Monitor</v>
      </c>
      <c r="T2100" s="5" t="str">
        <f aca="false">IF(S2100=R2100,"Yes","No")</f>
        <v>Yes</v>
      </c>
    </row>
    <row r="2101" customFormat="false" ht="15" hidden="false" customHeight="false" outlineLevel="0" collapsed="false">
      <c r="A2101" s="15" t="n">
        <v>2997</v>
      </c>
      <c r="B2101" s="16" t="n">
        <v>3.89371231034181</v>
      </c>
      <c r="C2101" s="15" t="n">
        <v>300</v>
      </c>
      <c r="D2101" s="15" t="n">
        <v>325</v>
      </c>
      <c r="E2101" s="15" t="n">
        <v>20</v>
      </c>
      <c r="F2101" s="16" t="n">
        <v>0.566903937489887</v>
      </c>
      <c r="G2101" s="17" t="s">
        <v>90</v>
      </c>
      <c r="H2101" s="18" t="n">
        <v>0.1</v>
      </c>
      <c r="I2101" s="18" t="n">
        <v>1</v>
      </c>
      <c r="J2101" s="19" t="n">
        <v>0.930553427464039</v>
      </c>
      <c r="K2101" s="19" t="n">
        <v>0.566340544739337</v>
      </c>
      <c r="L2101" s="16" t="n">
        <v>14.6380162042925</v>
      </c>
      <c r="M2101" s="19" t="n">
        <v>0.55026180657984</v>
      </c>
      <c r="N2101" s="19" t="n">
        <v>2.58280844292383</v>
      </c>
      <c r="O2101" s="19" t="n">
        <v>0.930553427464039</v>
      </c>
      <c r="P2101" s="19" t="n">
        <v>0.524470217928372</v>
      </c>
      <c r="Q2101" s="17" t="s">
        <v>30</v>
      </c>
      <c r="R2101" s="5" t="str">
        <f aca="false">IF(OR(Q2101="Steel plate",Q2101="Concrete jacket"),"Steel plate or jacket",Q2101)</f>
        <v>Seal cracks</v>
      </c>
      <c r="S2101" s="5" t="str">
        <f aca="false">IF(O2101&lt;='Tree rules'!$C$4,IF(N2101&lt;='Tree rules'!$C$5,IF(P2101&lt;='Tree rules'!$C$6,"Monitor","Polymer laminate"),IF(P2101&lt;='Tree rules'!$C$7,"Seal cracks","Polymer laminate")),IF(O2101&lt;='Tree rules'!$C$8,IF(M2101&lt;='Tree rules'!$C$9,"Steel plate or jacket","Polymer laminate"),IF(L2101&lt;='Tree rules'!$C$10,"Steel plate or jacket","Polymer laminate")))</f>
        <v>Seal cracks</v>
      </c>
      <c r="T2101" s="5" t="str">
        <f aca="false">IF(S2101=R2101,"Yes","No")</f>
        <v>Yes</v>
      </c>
    </row>
    <row r="2102" customFormat="false" ht="15" hidden="false" customHeight="false" outlineLevel="0" collapsed="false">
      <c r="A2102" s="15" t="n">
        <v>2998</v>
      </c>
      <c r="B2102" s="16" t="n">
        <v>3.72672797707151</v>
      </c>
      <c r="C2102" s="15" t="n">
        <v>300</v>
      </c>
      <c r="D2102" s="15" t="n">
        <v>325</v>
      </c>
      <c r="E2102" s="15" t="n">
        <v>25</v>
      </c>
      <c r="F2102" s="16" t="n">
        <v>0.67080270183412</v>
      </c>
      <c r="G2102" s="17" t="s">
        <v>89</v>
      </c>
      <c r="H2102" s="18" t="n">
        <v>0.3</v>
      </c>
      <c r="I2102" s="18" t="n">
        <v>1.5</v>
      </c>
      <c r="J2102" s="19" t="n">
        <v>0.939405972010116</v>
      </c>
      <c r="K2102" s="19" t="n">
        <v>0.529752507931804</v>
      </c>
      <c r="L2102" s="16" t="n">
        <v>13.2623771426032</v>
      </c>
      <c r="M2102" s="19" t="n">
        <v>0.764160805003325</v>
      </c>
      <c r="N2102" s="19" t="n">
        <v>0.770659531411866</v>
      </c>
      <c r="O2102" s="19" t="n">
        <v>1.16028262319594</v>
      </c>
      <c r="P2102" s="19" t="n">
        <v>0.481163494394062</v>
      </c>
      <c r="Q2102" s="17" t="s">
        <v>31</v>
      </c>
      <c r="R2102" s="5" t="str">
        <f aca="false">IF(OR(Q2102="Steel plate",Q2102="Concrete jacket"),"Steel plate or jacket",Q2102)</f>
        <v>Polymer laminate</v>
      </c>
      <c r="S2102" s="5" t="str">
        <f aca="false">IF(O2102&lt;='Tree rules'!$C$4,IF(N2102&lt;='Tree rules'!$C$5,IF(P2102&lt;='Tree rules'!$C$6,"Monitor","Polymer laminate"),IF(P2102&lt;='Tree rules'!$C$7,"Seal cracks","Polymer laminate")),IF(O2102&lt;='Tree rules'!$C$8,IF(M2102&lt;='Tree rules'!$C$9,"Steel plate or jacket","Polymer laminate"),IF(L2102&lt;='Tree rules'!$C$10,"Steel plate or jacket","Polymer laminate")))</f>
        <v>Polymer laminate</v>
      </c>
      <c r="T2102" s="5" t="str">
        <f aca="false">IF(S2102=R2102,"Yes","No")</f>
        <v>Yes</v>
      </c>
    </row>
    <row r="2103" customFormat="false" ht="15" hidden="false" customHeight="false" outlineLevel="0" collapsed="false">
      <c r="A2103" s="15" t="n">
        <v>2999</v>
      </c>
      <c r="B2103" s="16" t="n">
        <v>3.28340017112587</v>
      </c>
      <c r="C2103" s="15" t="n">
        <v>300</v>
      </c>
      <c r="D2103" s="15" t="n">
        <v>300</v>
      </c>
      <c r="E2103" s="15" t="n">
        <v>30</v>
      </c>
      <c r="F2103" s="16" t="n">
        <v>0.736310778185108</v>
      </c>
      <c r="G2103" s="17" t="s">
        <v>89</v>
      </c>
      <c r="H2103" s="18" t="n">
        <v>0.3</v>
      </c>
      <c r="I2103" s="18" t="n">
        <v>1</v>
      </c>
      <c r="J2103" s="19" t="n">
        <v>0.974742811628971</v>
      </c>
      <c r="K2103" s="19" t="n">
        <v>0.430741906176155</v>
      </c>
      <c r="L2103" s="16" t="n">
        <v>12.8257819184604</v>
      </c>
      <c r="M2103" s="19" t="n">
        <v>0.433041895607846</v>
      </c>
      <c r="N2103" s="19" t="n">
        <v>0.700119461513768</v>
      </c>
      <c r="O2103" s="19" t="n">
        <v>0.974742811628971</v>
      </c>
      <c r="P2103" s="19" t="n">
        <v>0.654250166899584</v>
      </c>
      <c r="Q2103" s="17" t="s">
        <v>29</v>
      </c>
      <c r="R2103" s="5" t="str">
        <f aca="false">IF(OR(Q2103="Steel plate",Q2103="Concrete jacket"),"Steel plate or jacket",Q2103)</f>
        <v>Monitor</v>
      </c>
      <c r="S2103" s="5" t="str">
        <f aca="false">IF(O2103&lt;='Tree rules'!$C$4,IF(N2103&lt;='Tree rules'!$C$5,IF(P2103&lt;='Tree rules'!$C$6,"Monitor","Polymer laminate"),IF(P2103&lt;='Tree rules'!$C$7,"Seal cracks","Polymer laminate")),IF(O2103&lt;='Tree rules'!$C$8,IF(M2103&lt;='Tree rules'!$C$9,"Steel plate or jacket","Polymer laminate"),IF(L2103&lt;='Tree rules'!$C$10,"Steel plate or jacket","Polymer laminate")))</f>
        <v>Monitor</v>
      </c>
      <c r="T2103" s="5" t="str">
        <f aca="false">IF(S2103=R2103,"Yes","No")</f>
        <v>Yes</v>
      </c>
    </row>
  </sheetData>
  <autoFilter ref="A3:T21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2" min="10" style="0" width="11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18"/>
    <col collapsed="false" customWidth="true" hidden="false" outlineLevel="0" max="19" min="18" style="0" width="20"/>
    <col collapsed="false" customWidth="true" hidden="false" outlineLevel="0" max="20" min="20" style="0" width="9"/>
  </cols>
  <sheetData>
    <row r="1" customFormat="false" ht="15" hidden="false" customHeight="false" outlineLevel="0" collapsed="false">
      <c r="A1" s="4" t="s">
        <v>94</v>
      </c>
    </row>
    <row r="3" customFormat="false" ht="48" hidden="false" customHeight="true" outlineLevel="0" collapsed="false">
      <c r="A3" s="14" t="s">
        <v>73</v>
      </c>
      <c r="B3" s="14" t="s">
        <v>74</v>
      </c>
      <c r="C3" s="14" t="s">
        <v>75</v>
      </c>
      <c r="D3" s="14" t="s">
        <v>76</v>
      </c>
      <c r="E3" s="14" t="s">
        <v>77</v>
      </c>
      <c r="F3" s="14" t="s">
        <v>78</v>
      </c>
      <c r="G3" s="14" t="s">
        <v>79</v>
      </c>
      <c r="H3" s="14" t="s">
        <v>80</v>
      </c>
      <c r="I3" s="14" t="s">
        <v>81</v>
      </c>
      <c r="J3" s="14" t="s">
        <v>82</v>
      </c>
      <c r="K3" s="14" t="s">
        <v>83</v>
      </c>
      <c r="L3" s="14" t="s">
        <v>62</v>
      </c>
      <c r="M3" s="14" t="s">
        <v>59</v>
      </c>
      <c r="N3" s="14" t="s">
        <v>84</v>
      </c>
      <c r="O3" s="14" t="s">
        <v>46</v>
      </c>
      <c r="P3" s="14" t="s">
        <v>52</v>
      </c>
      <c r="Q3" s="14" t="s">
        <v>85</v>
      </c>
      <c r="R3" s="14" t="s">
        <v>86</v>
      </c>
      <c r="S3" s="14" t="s">
        <v>87</v>
      </c>
      <c r="T3" s="14" t="s">
        <v>88</v>
      </c>
    </row>
    <row r="4" customFormat="false" ht="15" hidden="false" customHeight="false" outlineLevel="0" collapsed="false">
      <c r="A4" s="15" t="n">
        <v>1</v>
      </c>
      <c r="B4" s="16" t="n">
        <v>4.15849110696154</v>
      </c>
      <c r="C4" s="15" t="n">
        <v>230</v>
      </c>
      <c r="D4" s="15" t="n">
        <v>350</v>
      </c>
      <c r="E4" s="15" t="n">
        <v>30</v>
      </c>
      <c r="F4" s="16" t="n">
        <v>0.907455678485392</v>
      </c>
      <c r="G4" s="17" t="s">
        <v>90</v>
      </c>
      <c r="H4" s="18" t="n">
        <v>0.1</v>
      </c>
      <c r="I4" s="18" t="n">
        <v>1.5</v>
      </c>
      <c r="J4" s="19" t="n">
        <v>0.897801844965812</v>
      </c>
      <c r="K4" s="19" t="n">
        <v>0.478416685390952</v>
      </c>
      <c r="L4" s="16" t="n">
        <v>14.389242584642</v>
      </c>
      <c r="M4" s="19" t="n">
        <v>0.834166684435831</v>
      </c>
      <c r="N4" s="19" t="n">
        <v>3.15959776421226</v>
      </c>
      <c r="O4" s="19" t="n">
        <v>1.13194107604551</v>
      </c>
      <c r="P4" s="19" t="n">
        <v>0.480968267633341</v>
      </c>
      <c r="Q4" s="17" t="s">
        <v>31</v>
      </c>
      <c r="R4" s="5" t="str">
        <f aca="false">IF(OR(Q4="Steel plate",Q4="Concrete jacket"),"Steel plate or jacket",Q4)</f>
        <v>Polymer laminate</v>
      </c>
      <c r="S4" s="5" t="str">
        <f aca="false">IF(O4&lt;='Tree rules'!$C$4,IF(N4&lt;='Tree rules'!$C$5,IF(P4&lt;='Tree rules'!$C$6,"Monitor","Polymer laminate"),IF(P4&lt;='Tree rules'!$C$7,"Seal cracks","Polymer laminate")),IF(O4&lt;='Tree rules'!$C$8,IF(M4&lt;='Tree rules'!$C$9,"Steel plate or jacket","Polymer laminate"),IF(L4&lt;='Tree rules'!$C$10,"Steel plate or jacket","Polymer laminate")))</f>
        <v>Polymer laminate</v>
      </c>
      <c r="T4" s="5" t="str">
        <f aca="false">IF(S4=R4,"Yes","No")</f>
        <v>Yes</v>
      </c>
    </row>
    <row r="5" customFormat="false" ht="15" hidden="false" customHeight="false" outlineLevel="0" collapsed="false">
      <c r="A5" s="15" t="n">
        <v>4</v>
      </c>
      <c r="B5" s="16" t="n">
        <v>3.23093514271716</v>
      </c>
      <c r="C5" s="15" t="n">
        <v>300</v>
      </c>
      <c r="D5" s="15" t="n">
        <v>300</v>
      </c>
      <c r="E5" s="15" t="n">
        <v>25</v>
      </c>
      <c r="F5" s="16" t="n">
        <v>0.831109167616348</v>
      </c>
      <c r="G5" s="17" t="s">
        <v>91</v>
      </c>
      <c r="H5" s="18" t="n">
        <v>0.2</v>
      </c>
      <c r="I5" s="18" t="n">
        <v>1</v>
      </c>
      <c r="J5" s="19" t="n">
        <v>0.93871289230522</v>
      </c>
      <c r="K5" s="19" t="n">
        <v>0.402557975539168</v>
      </c>
      <c r="L5" s="16" t="n">
        <v>12.8211712012586</v>
      </c>
      <c r="M5" s="19" t="n">
        <v>0.550998733117918</v>
      </c>
      <c r="N5" s="19" t="n">
        <v>1.5280016139702</v>
      </c>
      <c r="O5" s="19" t="n">
        <v>0.93871289230522</v>
      </c>
      <c r="P5" s="19" t="n">
        <v>0.557120056171717</v>
      </c>
      <c r="Q5" s="17" t="s">
        <v>30</v>
      </c>
      <c r="R5" s="5" t="str">
        <f aca="false">IF(OR(Q5="Steel plate",Q5="Concrete jacket"),"Steel plate or jacket",Q5)</f>
        <v>Seal cracks</v>
      </c>
      <c r="S5" s="5" t="str">
        <f aca="false">IF(O5&lt;='Tree rules'!$C$4,IF(N5&lt;='Tree rules'!$C$5,IF(P5&lt;='Tree rules'!$C$6,"Monitor","Polymer laminate"),IF(P5&lt;='Tree rules'!$C$7,"Seal cracks","Polymer laminate")),IF(O5&lt;='Tree rules'!$C$8,IF(M5&lt;='Tree rules'!$C$9,"Steel plate or jacket","Polymer laminate"),IF(L5&lt;='Tree rules'!$C$10,"Steel plate or jacket","Polymer laminate")))</f>
        <v>Seal cracks</v>
      </c>
      <c r="T5" s="5" t="str">
        <f aca="false">IF(S5=R5,"Yes","No")</f>
        <v>Yes</v>
      </c>
    </row>
    <row r="6" customFormat="false" ht="15" hidden="false" customHeight="false" outlineLevel="0" collapsed="false">
      <c r="A6" s="15" t="n">
        <v>6</v>
      </c>
      <c r="B6" s="16" t="n">
        <v>3.74802788296647</v>
      </c>
      <c r="C6" s="15" t="n">
        <v>300</v>
      </c>
      <c r="D6" s="15" t="n">
        <v>375</v>
      </c>
      <c r="E6" s="15" t="n">
        <v>30</v>
      </c>
      <c r="F6" s="16" t="n">
        <v>1.0185508096745</v>
      </c>
      <c r="G6" s="17" t="s">
        <v>89</v>
      </c>
      <c r="H6" s="18" t="n">
        <v>0.3</v>
      </c>
      <c r="I6" s="18" t="n">
        <v>1</v>
      </c>
      <c r="J6" s="19" t="n">
        <v>0.893937381390699</v>
      </c>
      <c r="K6" s="19" t="n">
        <v>0.516925021071354</v>
      </c>
      <c r="L6" s="16" t="n">
        <v>11.3921820150956</v>
      </c>
      <c r="M6" s="19" t="n">
        <v>0.920455926120466</v>
      </c>
      <c r="N6" s="19" t="n">
        <v>0.574877006751715</v>
      </c>
      <c r="O6" s="19" t="n">
        <v>0.893937381390699</v>
      </c>
      <c r="P6" s="19" t="n">
        <v>0.413822765420237</v>
      </c>
      <c r="Q6" s="17" t="s">
        <v>29</v>
      </c>
      <c r="R6" s="5" t="str">
        <f aca="false">IF(OR(Q6="Steel plate",Q6="Concrete jacket"),"Steel plate or jacket",Q6)</f>
        <v>Monitor</v>
      </c>
      <c r="S6" s="5" t="str">
        <f aca="false">IF(O6&lt;='Tree rules'!$C$4,IF(N6&lt;='Tree rules'!$C$5,IF(P6&lt;='Tree rules'!$C$6,"Monitor","Polymer laminate"),IF(P6&lt;='Tree rules'!$C$7,"Seal cracks","Polymer laminate")),IF(O6&lt;='Tree rules'!$C$8,IF(M6&lt;='Tree rules'!$C$9,"Steel plate or jacket","Polymer laminate"),IF(L6&lt;='Tree rules'!$C$10,"Steel plate or jacket","Polymer laminate")))</f>
        <v>Monitor</v>
      </c>
      <c r="T6" s="5" t="str">
        <f aca="false">IF(S6=R6,"Yes","No")</f>
        <v>Yes</v>
      </c>
    </row>
    <row r="7" customFormat="false" ht="15" hidden="false" customHeight="false" outlineLevel="0" collapsed="false">
      <c r="A7" s="15" t="n">
        <v>13</v>
      </c>
      <c r="B7" s="16" t="n">
        <v>4.97136155881943</v>
      </c>
      <c r="C7" s="15" t="n">
        <v>230</v>
      </c>
      <c r="D7" s="15" t="n">
        <v>450</v>
      </c>
      <c r="E7" s="15" t="n">
        <v>20</v>
      </c>
      <c r="F7" s="16" t="n">
        <v>0.679557138998441</v>
      </c>
      <c r="G7" s="17" t="s">
        <v>89</v>
      </c>
      <c r="H7" s="18" t="n">
        <v>0.3</v>
      </c>
      <c r="I7" s="18" t="n">
        <v>2</v>
      </c>
      <c r="J7" s="19" t="n">
        <v>0.889505298995263</v>
      </c>
      <c r="K7" s="19" t="n">
        <v>0.523588259552928</v>
      </c>
      <c r="L7" s="16" t="n">
        <v>12.3665710418394</v>
      </c>
      <c r="M7" s="19" t="n">
        <v>0.92821939469266</v>
      </c>
      <c r="N7" s="19" t="n">
        <v>1.16126838967305</v>
      </c>
      <c r="O7" s="19" t="n">
        <v>1.31327606662649</v>
      </c>
      <c r="P7" s="19" t="n">
        <v>0.471414359172492</v>
      </c>
      <c r="Q7" s="17" t="s">
        <v>31</v>
      </c>
      <c r="R7" s="5" t="str">
        <f aca="false">IF(OR(Q7="Steel plate",Q7="Concrete jacket"),"Steel plate or jacket",Q7)</f>
        <v>Polymer laminate</v>
      </c>
      <c r="S7" s="5" t="str">
        <f aca="false">IF(O7&lt;='Tree rules'!$C$4,IF(N7&lt;='Tree rules'!$C$5,IF(P7&lt;='Tree rules'!$C$6,"Monitor","Polymer laminate"),IF(P7&lt;='Tree rules'!$C$7,"Seal cracks","Polymer laminate")),IF(O7&lt;='Tree rules'!$C$8,IF(M7&lt;='Tree rules'!$C$9,"Steel plate or jacket","Polymer laminate"),IF(L7&lt;='Tree rules'!$C$10,"Steel plate or jacket","Polymer laminate")))</f>
        <v>Steel plate or jacket</v>
      </c>
      <c r="T7" s="5" t="str">
        <f aca="false">IF(S7=R7,"Yes","No")</f>
        <v>No</v>
      </c>
    </row>
    <row r="8" customFormat="false" ht="15" hidden="false" customHeight="false" outlineLevel="0" collapsed="false">
      <c r="A8" s="15" t="n">
        <v>16</v>
      </c>
      <c r="B8" s="16" t="n">
        <v>4.39805959689131</v>
      </c>
      <c r="C8" s="15" t="n">
        <v>230</v>
      </c>
      <c r="D8" s="15" t="n">
        <v>425</v>
      </c>
      <c r="E8" s="15" t="n">
        <v>20</v>
      </c>
      <c r="F8" s="16" t="n">
        <v>0.691964884122107</v>
      </c>
      <c r="G8" s="17" t="s">
        <v>91</v>
      </c>
      <c r="H8" s="18" t="n">
        <v>0.2</v>
      </c>
      <c r="I8" s="18" t="n">
        <v>1.5</v>
      </c>
      <c r="J8" s="19" t="n">
        <v>0.991032382911603</v>
      </c>
      <c r="K8" s="19" t="n">
        <v>0.459115095894679</v>
      </c>
      <c r="L8" s="16" t="n">
        <v>11.6043788836182</v>
      </c>
      <c r="M8" s="19" t="n">
        <v>0.894955344166646</v>
      </c>
      <c r="N8" s="19" t="n">
        <v>1.28919752248166</v>
      </c>
      <c r="O8" s="19" t="n">
        <v>1.25904961060981</v>
      </c>
      <c r="P8" s="19" t="n">
        <v>0.446317140905066</v>
      </c>
      <c r="Q8" s="17" t="s">
        <v>31</v>
      </c>
      <c r="R8" s="5" t="str">
        <f aca="false">IF(OR(Q8="Steel plate",Q8="Concrete jacket"),"Steel plate or jacket",Q8)</f>
        <v>Polymer laminate</v>
      </c>
      <c r="S8" s="5" t="str">
        <f aca="false">IF(O8&lt;='Tree rules'!$C$4,IF(N8&lt;='Tree rules'!$C$5,IF(P8&lt;='Tree rules'!$C$6,"Monitor","Polymer laminate"),IF(P8&lt;='Tree rules'!$C$7,"Seal cracks","Polymer laminate")),IF(O8&lt;='Tree rules'!$C$8,IF(M8&lt;='Tree rules'!$C$9,"Steel plate or jacket","Polymer laminate"),IF(L8&lt;='Tree rules'!$C$10,"Steel plate or jacket","Polymer laminate")))</f>
        <v>Polymer laminate</v>
      </c>
      <c r="T8" s="5" t="str">
        <f aca="false">IF(S8=R8,"Yes","No")</f>
        <v>Yes</v>
      </c>
    </row>
    <row r="9" customFormat="false" ht="15" hidden="false" customHeight="false" outlineLevel="0" collapsed="false">
      <c r="A9" s="15" t="n">
        <v>18</v>
      </c>
      <c r="B9" s="16" t="n">
        <v>6.16362701596179</v>
      </c>
      <c r="C9" s="15" t="n">
        <v>300</v>
      </c>
      <c r="D9" s="15" t="n">
        <v>475</v>
      </c>
      <c r="E9" s="15" t="n">
        <v>30</v>
      </c>
      <c r="F9" s="16" t="n">
        <v>0.624901102811956</v>
      </c>
      <c r="G9" s="17" t="s">
        <v>89</v>
      </c>
      <c r="H9" s="18" t="n">
        <v>0.3</v>
      </c>
      <c r="I9" s="18" t="n">
        <v>1</v>
      </c>
      <c r="J9" s="19" t="n">
        <v>0.991431057805661</v>
      </c>
      <c r="K9" s="19" t="n">
        <v>0.420477643609841</v>
      </c>
      <c r="L9" s="16" t="n">
        <v>14.3674289416359</v>
      </c>
      <c r="M9" s="19" t="n">
        <v>0.872616588845849</v>
      </c>
      <c r="N9" s="19" t="n">
        <v>0.658886339785187</v>
      </c>
      <c r="O9" s="19" t="n">
        <v>0.991431057805661</v>
      </c>
      <c r="P9" s="19" t="n">
        <v>0.405855772548253</v>
      </c>
      <c r="Q9" s="17" t="s">
        <v>29</v>
      </c>
      <c r="R9" s="5" t="str">
        <f aca="false">IF(OR(Q9="Steel plate",Q9="Concrete jacket"),"Steel plate or jacket",Q9)</f>
        <v>Monitor</v>
      </c>
      <c r="S9" s="5" t="str">
        <f aca="false">IF(O9&lt;='Tree rules'!$C$4,IF(N9&lt;='Tree rules'!$C$5,IF(P9&lt;='Tree rules'!$C$6,"Monitor","Polymer laminate"),IF(P9&lt;='Tree rules'!$C$7,"Seal cracks","Polymer laminate")),IF(O9&lt;='Tree rules'!$C$8,IF(M9&lt;='Tree rules'!$C$9,"Steel plate or jacket","Polymer laminate"),IF(L9&lt;='Tree rules'!$C$10,"Steel plate or jacket","Polymer laminate")))</f>
        <v>Monitor</v>
      </c>
      <c r="T9" s="5" t="str">
        <f aca="false">IF(S9=R9,"Yes","No")</f>
        <v>Yes</v>
      </c>
    </row>
    <row r="10" customFormat="false" ht="15" hidden="false" customHeight="false" outlineLevel="0" collapsed="false">
      <c r="A10" s="15" t="n">
        <v>19</v>
      </c>
      <c r="B10" s="16" t="n">
        <v>3.79737040302419</v>
      </c>
      <c r="C10" s="15" t="n">
        <v>300</v>
      </c>
      <c r="D10" s="15" t="n">
        <v>350</v>
      </c>
      <c r="E10" s="15" t="n">
        <v>30</v>
      </c>
      <c r="F10" s="16" t="n">
        <v>0.881850569428714</v>
      </c>
      <c r="G10" s="17" t="s">
        <v>89</v>
      </c>
      <c r="H10" s="18" t="n">
        <v>0.3</v>
      </c>
      <c r="I10" s="18" t="n">
        <v>1</v>
      </c>
      <c r="J10" s="19" t="n">
        <v>0.931871994105274</v>
      </c>
      <c r="K10" s="19" t="n">
        <v>0.504639559209406</v>
      </c>
      <c r="L10" s="16" t="n">
        <v>12.491350009948</v>
      </c>
      <c r="M10" s="19" t="n">
        <v>0.940957045342058</v>
      </c>
      <c r="N10" s="19" t="n">
        <v>0.639910822139268</v>
      </c>
      <c r="O10" s="19" t="n">
        <v>0.931871994105274</v>
      </c>
      <c r="P10" s="19" t="n">
        <v>0.397323600543679</v>
      </c>
      <c r="Q10" s="17" t="s">
        <v>29</v>
      </c>
      <c r="R10" s="5" t="str">
        <f aca="false">IF(OR(Q10="Steel plate",Q10="Concrete jacket"),"Steel plate or jacket",Q10)</f>
        <v>Monitor</v>
      </c>
      <c r="S10" s="5" t="str">
        <f aca="false">IF(O10&lt;='Tree rules'!$C$4,IF(N10&lt;='Tree rules'!$C$5,IF(P10&lt;='Tree rules'!$C$6,"Monitor","Polymer laminate"),IF(P10&lt;='Tree rules'!$C$7,"Seal cracks","Polymer laminate")),IF(O10&lt;='Tree rules'!$C$8,IF(M10&lt;='Tree rules'!$C$9,"Steel plate or jacket","Polymer laminate"),IF(L10&lt;='Tree rules'!$C$10,"Steel plate or jacket","Polymer laminate")))</f>
        <v>Monitor</v>
      </c>
      <c r="T10" s="5" t="str">
        <f aca="false">IF(S10=R10,"Yes","No")</f>
        <v>Yes</v>
      </c>
    </row>
    <row r="11" customFormat="false" ht="15" hidden="false" customHeight="false" outlineLevel="0" collapsed="false">
      <c r="A11" s="15" t="n">
        <v>22</v>
      </c>
      <c r="B11" s="16" t="n">
        <v>6.02237816580457</v>
      </c>
      <c r="C11" s="15" t="n">
        <v>300</v>
      </c>
      <c r="D11" s="15" t="n">
        <v>500</v>
      </c>
      <c r="E11" s="15" t="n">
        <v>20</v>
      </c>
      <c r="F11" s="16" t="n">
        <v>0.695042622475618</v>
      </c>
      <c r="G11" s="17" t="s">
        <v>91</v>
      </c>
      <c r="H11" s="18" t="n">
        <v>0.2</v>
      </c>
      <c r="I11" s="18" t="n">
        <v>1</v>
      </c>
      <c r="J11" s="19" t="n">
        <v>0.872189435902416</v>
      </c>
      <c r="K11" s="19" t="n">
        <v>0.564552953585907</v>
      </c>
      <c r="L11" s="16" t="n">
        <v>13.3238454995676</v>
      </c>
      <c r="M11" s="19" t="n">
        <v>0.860283776647032</v>
      </c>
      <c r="N11" s="19" t="n">
        <v>0.966416737502602</v>
      </c>
      <c r="O11" s="19" t="n">
        <v>0.872189435902416</v>
      </c>
      <c r="P11" s="19" t="n">
        <v>0.4719176555022</v>
      </c>
      <c r="Q11" s="17" t="s">
        <v>29</v>
      </c>
      <c r="R11" s="5" t="str">
        <f aca="false">IF(OR(Q11="Steel plate",Q11="Concrete jacket"),"Steel plate or jacket",Q11)</f>
        <v>Monitor</v>
      </c>
      <c r="S11" s="5" t="str">
        <f aca="false">IF(O11&lt;='Tree rules'!$C$4,IF(N11&lt;='Tree rules'!$C$5,IF(P11&lt;='Tree rules'!$C$6,"Monitor","Polymer laminate"),IF(P11&lt;='Tree rules'!$C$7,"Seal cracks","Polymer laminate")),IF(O11&lt;='Tree rules'!$C$8,IF(M11&lt;='Tree rules'!$C$9,"Steel plate or jacket","Polymer laminate"),IF(L11&lt;='Tree rules'!$C$10,"Steel plate or jacket","Polymer laminate")))</f>
        <v>Monitor</v>
      </c>
      <c r="T11" s="5" t="str">
        <f aca="false">IF(S11=R11,"Yes","No")</f>
        <v>Yes</v>
      </c>
    </row>
    <row r="12" customFormat="false" ht="15" hidden="false" customHeight="false" outlineLevel="0" collapsed="false">
      <c r="A12" s="15" t="n">
        <v>23</v>
      </c>
      <c r="B12" s="16" t="n">
        <v>5.80944498012284</v>
      </c>
      <c r="C12" s="15" t="n">
        <v>300</v>
      </c>
      <c r="D12" s="15" t="n">
        <v>575</v>
      </c>
      <c r="E12" s="15" t="n">
        <v>30</v>
      </c>
      <c r="F12" s="16" t="n">
        <v>0.613592315154257</v>
      </c>
      <c r="G12" s="17" t="s">
        <v>90</v>
      </c>
      <c r="H12" s="18" t="n">
        <v>0.1</v>
      </c>
      <c r="I12" s="18" t="n">
        <v>1</v>
      </c>
      <c r="J12" s="19" t="n">
        <v>0.902723667178984</v>
      </c>
      <c r="K12" s="19" t="n">
        <v>0.623225868553742</v>
      </c>
      <c r="L12" s="16" t="n">
        <v>11.3465722268024</v>
      </c>
      <c r="M12" s="19" t="n">
        <v>0.920876751905828</v>
      </c>
      <c r="N12" s="19" t="n">
        <v>2.36471400583505</v>
      </c>
      <c r="O12" s="19" t="n">
        <v>0.902723667178984</v>
      </c>
      <c r="P12" s="19" t="n">
        <v>0.313959904669869</v>
      </c>
      <c r="Q12" s="17" t="s">
        <v>30</v>
      </c>
      <c r="R12" s="5" t="str">
        <f aca="false">IF(OR(Q12="Steel plate",Q12="Concrete jacket"),"Steel plate or jacket",Q12)</f>
        <v>Seal cracks</v>
      </c>
      <c r="S12" s="5" t="str">
        <f aca="false">IF(O12&lt;='Tree rules'!$C$4,IF(N12&lt;='Tree rules'!$C$5,IF(P12&lt;='Tree rules'!$C$6,"Monitor","Polymer laminate"),IF(P12&lt;='Tree rules'!$C$7,"Seal cracks","Polymer laminate")),IF(O12&lt;='Tree rules'!$C$8,IF(M12&lt;='Tree rules'!$C$9,"Steel plate or jacket","Polymer laminate"),IF(L12&lt;='Tree rules'!$C$10,"Steel plate or jacket","Polymer laminate")))</f>
        <v>Seal cracks</v>
      </c>
      <c r="T12" s="5" t="str">
        <f aca="false">IF(S12=R12,"Yes","No")</f>
        <v>Yes</v>
      </c>
    </row>
    <row r="13" customFormat="false" ht="15" hidden="false" customHeight="false" outlineLevel="0" collapsed="false">
      <c r="A13" s="15" t="n">
        <v>24</v>
      </c>
      <c r="B13" s="16" t="n">
        <v>6.49433759947845</v>
      </c>
      <c r="C13" s="15" t="n">
        <v>300</v>
      </c>
      <c r="D13" s="15" t="n">
        <v>550</v>
      </c>
      <c r="E13" s="15" t="n">
        <v>30</v>
      </c>
      <c r="F13" s="16" t="n">
        <v>0.625815269639401</v>
      </c>
      <c r="G13" s="17" t="s">
        <v>91</v>
      </c>
      <c r="H13" s="18" t="n">
        <v>0.2</v>
      </c>
      <c r="I13" s="18" t="n">
        <v>1</v>
      </c>
      <c r="J13" s="19" t="n">
        <v>0.864263354885771</v>
      </c>
      <c r="K13" s="19" t="n">
        <v>0.548395319040742</v>
      </c>
      <c r="L13" s="16" t="n">
        <v>12.9369274890009</v>
      </c>
      <c r="M13" s="19" t="n">
        <v>0.47904578000241</v>
      </c>
      <c r="N13" s="19" t="n">
        <v>1.085386552577</v>
      </c>
      <c r="O13" s="19" t="n">
        <v>0.864263354885771</v>
      </c>
      <c r="P13" s="19" t="n">
        <v>0.633015410841016</v>
      </c>
      <c r="Q13" s="17" t="s">
        <v>30</v>
      </c>
      <c r="R13" s="5" t="str">
        <f aca="false">IF(OR(Q13="Steel plate",Q13="Concrete jacket"),"Steel plate or jacket",Q13)</f>
        <v>Seal cracks</v>
      </c>
      <c r="S13" s="5" t="str">
        <f aca="false">IF(O13&lt;='Tree rules'!$C$4,IF(N13&lt;='Tree rules'!$C$5,IF(P13&lt;='Tree rules'!$C$6,"Monitor","Polymer laminate"),IF(P13&lt;='Tree rules'!$C$7,"Seal cracks","Polymer laminate")),IF(O13&lt;='Tree rules'!$C$8,IF(M13&lt;='Tree rules'!$C$9,"Steel plate or jacket","Polymer laminate"),IF(L13&lt;='Tree rules'!$C$10,"Steel plate or jacket","Polymer laminate")))</f>
        <v>Seal cracks</v>
      </c>
      <c r="T13" s="5" t="str">
        <f aca="false">IF(S13=R13,"Yes","No")</f>
        <v>Yes</v>
      </c>
    </row>
    <row r="14" customFormat="false" ht="15" hidden="false" customHeight="false" outlineLevel="0" collapsed="false">
      <c r="A14" s="15" t="n">
        <v>31</v>
      </c>
      <c r="B14" s="16" t="n">
        <v>6.23549387108029</v>
      </c>
      <c r="C14" s="15" t="n">
        <v>300</v>
      </c>
      <c r="D14" s="15" t="n">
        <v>525</v>
      </c>
      <c r="E14" s="15" t="n">
        <v>20</v>
      </c>
      <c r="F14" s="16" t="n">
        <v>0.55967134260194</v>
      </c>
      <c r="G14" s="17" t="s">
        <v>91</v>
      </c>
      <c r="H14" s="18" t="n">
        <v>0.2</v>
      </c>
      <c r="I14" s="18" t="n">
        <v>1</v>
      </c>
      <c r="J14" s="19" t="n">
        <v>0.888592726287994</v>
      </c>
      <c r="K14" s="19" t="n">
        <v>0.467335059015969</v>
      </c>
      <c r="L14" s="16" t="n">
        <v>13.0177325074745</v>
      </c>
      <c r="M14" s="19" t="n">
        <v>0.681326660394218</v>
      </c>
      <c r="N14" s="19" t="n">
        <v>0.88597827414795</v>
      </c>
      <c r="O14" s="19" t="n">
        <v>0.888592726287994</v>
      </c>
      <c r="P14" s="19" t="n">
        <v>0.463634516966334</v>
      </c>
      <c r="Q14" s="17" t="s">
        <v>29</v>
      </c>
      <c r="R14" s="5" t="str">
        <f aca="false">IF(OR(Q14="Steel plate",Q14="Concrete jacket"),"Steel plate or jacket",Q14)</f>
        <v>Monitor</v>
      </c>
      <c r="S14" s="5" t="str">
        <f aca="false">IF(O14&lt;='Tree rules'!$C$4,IF(N14&lt;='Tree rules'!$C$5,IF(P14&lt;='Tree rules'!$C$6,"Monitor","Polymer laminate"),IF(P14&lt;='Tree rules'!$C$7,"Seal cracks","Polymer laminate")),IF(O14&lt;='Tree rules'!$C$8,IF(M14&lt;='Tree rules'!$C$9,"Steel plate or jacket","Polymer laminate"),IF(L14&lt;='Tree rules'!$C$10,"Steel plate or jacket","Polymer laminate")))</f>
        <v>Monitor</v>
      </c>
      <c r="T14" s="5" t="str">
        <f aca="false">IF(S14=R14,"Yes","No")</f>
        <v>Yes</v>
      </c>
    </row>
    <row r="15" customFormat="false" ht="15" hidden="false" customHeight="false" outlineLevel="0" collapsed="false">
      <c r="A15" s="15" t="n">
        <v>33</v>
      </c>
      <c r="B15" s="16" t="n">
        <v>3.27656284283022</v>
      </c>
      <c r="C15" s="15" t="n">
        <v>230</v>
      </c>
      <c r="D15" s="15" t="n">
        <v>300</v>
      </c>
      <c r="E15" s="15" t="n">
        <v>30</v>
      </c>
      <c r="F15" s="16" t="n">
        <v>0.688332522525665</v>
      </c>
      <c r="G15" s="17" t="s">
        <v>91</v>
      </c>
      <c r="H15" s="18" t="n">
        <v>0.2</v>
      </c>
      <c r="I15" s="18" t="n">
        <v>1.5</v>
      </c>
      <c r="J15" s="19" t="n">
        <v>0.933457332811583</v>
      </c>
      <c r="K15" s="19" t="n">
        <v>0.422118223180253</v>
      </c>
      <c r="L15" s="16" t="n">
        <v>12.89985371193</v>
      </c>
      <c r="M15" s="19" t="n">
        <v>0.965314879566849</v>
      </c>
      <c r="N15" s="19" t="n">
        <v>1.58754490262264</v>
      </c>
      <c r="O15" s="19" t="n">
        <v>1.20317132384687</v>
      </c>
      <c r="P15" s="19" t="n">
        <v>0.318537892659911</v>
      </c>
      <c r="Q15" s="17" t="s">
        <v>31</v>
      </c>
      <c r="R15" s="5" t="str">
        <f aca="false">IF(OR(Q15="Steel plate",Q15="Concrete jacket"),"Steel plate or jacket",Q15)</f>
        <v>Polymer laminate</v>
      </c>
      <c r="S15" s="5" t="str">
        <f aca="false">IF(O15&lt;='Tree rules'!$C$4,IF(N15&lt;='Tree rules'!$C$5,IF(P15&lt;='Tree rules'!$C$6,"Monitor","Polymer laminate"),IF(P15&lt;='Tree rules'!$C$7,"Seal cracks","Polymer laminate")),IF(O15&lt;='Tree rules'!$C$8,IF(M15&lt;='Tree rules'!$C$9,"Steel plate or jacket","Polymer laminate"),IF(L15&lt;='Tree rules'!$C$10,"Steel plate or jacket","Polymer laminate")))</f>
        <v>Polymer laminate</v>
      </c>
      <c r="T15" s="5" t="str">
        <f aca="false">IF(S15=R15,"Yes","No")</f>
        <v>Yes</v>
      </c>
    </row>
    <row r="16" customFormat="false" ht="15" hidden="false" customHeight="false" outlineLevel="0" collapsed="false">
      <c r="A16" s="15" t="n">
        <v>34</v>
      </c>
      <c r="B16" s="16" t="n">
        <v>3.12832891790297</v>
      </c>
      <c r="C16" s="15" t="n">
        <v>230</v>
      </c>
      <c r="D16" s="15" t="n">
        <v>300</v>
      </c>
      <c r="E16" s="15" t="n">
        <v>30</v>
      </c>
      <c r="F16" s="16" t="n">
        <v>1.0324987837885</v>
      </c>
      <c r="G16" s="17" t="s">
        <v>89</v>
      </c>
      <c r="H16" s="18" t="n">
        <v>0.3</v>
      </c>
      <c r="I16" s="18" t="n">
        <v>2</v>
      </c>
      <c r="J16" s="19" t="n">
        <v>0.883795126451746</v>
      </c>
      <c r="K16" s="19" t="n">
        <v>0.547580956786761</v>
      </c>
      <c r="L16" s="16" t="n">
        <v>12.3162555822952</v>
      </c>
      <c r="M16" s="19" t="n">
        <v>0.819797814495163</v>
      </c>
      <c r="N16" s="19" t="n">
        <v>0.949923533578625</v>
      </c>
      <c r="O16" s="19" t="n">
        <v>1.28364087195757</v>
      </c>
      <c r="P16" s="19" t="n">
        <v>0.55230417512301</v>
      </c>
      <c r="Q16" s="17" t="s">
        <v>31</v>
      </c>
      <c r="R16" s="5" t="str">
        <f aca="false">IF(OR(Q16="Steel plate",Q16="Concrete jacket"),"Steel plate or jacket",Q16)</f>
        <v>Polymer laminate</v>
      </c>
      <c r="S16" s="5" t="str">
        <f aca="false">IF(O16&lt;='Tree rules'!$C$4,IF(N16&lt;='Tree rules'!$C$5,IF(P16&lt;='Tree rules'!$C$6,"Monitor","Polymer laminate"),IF(P16&lt;='Tree rules'!$C$7,"Seal cracks","Polymer laminate")),IF(O16&lt;='Tree rules'!$C$8,IF(M16&lt;='Tree rules'!$C$9,"Steel plate or jacket","Polymer laminate"),IF(L16&lt;='Tree rules'!$C$10,"Steel plate or jacket","Polymer laminate")))</f>
        <v>Polymer laminate</v>
      </c>
      <c r="T16" s="5" t="str">
        <f aca="false">IF(S16=R16,"Yes","No")</f>
        <v>Yes</v>
      </c>
    </row>
    <row r="17" customFormat="false" ht="15" hidden="false" customHeight="false" outlineLevel="0" collapsed="false">
      <c r="A17" s="15" t="n">
        <v>35</v>
      </c>
      <c r="B17" s="16" t="n">
        <v>3.89403286673621</v>
      </c>
      <c r="C17" s="15" t="n">
        <v>300</v>
      </c>
      <c r="D17" s="15" t="n">
        <v>350</v>
      </c>
      <c r="E17" s="15" t="n">
        <v>25</v>
      </c>
      <c r="F17" s="16" t="n">
        <v>0.61599855952741</v>
      </c>
      <c r="G17" s="17" t="s">
        <v>89</v>
      </c>
      <c r="H17" s="18" t="n">
        <v>0.3</v>
      </c>
      <c r="I17" s="18" t="n">
        <v>1</v>
      </c>
      <c r="J17" s="19" t="n">
        <v>0.962987085803814</v>
      </c>
      <c r="K17" s="19" t="n">
        <v>0.625874561467864</v>
      </c>
      <c r="L17" s="16" t="n">
        <v>12.7255976037131</v>
      </c>
      <c r="M17" s="19" t="n">
        <v>0.35207861222451</v>
      </c>
      <c r="N17" s="19" t="n">
        <v>0.68456474968701</v>
      </c>
      <c r="O17" s="19" t="n">
        <v>0.962987085803814</v>
      </c>
      <c r="P17" s="19" t="n">
        <v>0.901182338169799</v>
      </c>
      <c r="Q17" s="17" t="s">
        <v>29</v>
      </c>
      <c r="R17" s="5" t="str">
        <f aca="false">IF(OR(Q17="Steel plate",Q17="Concrete jacket"),"Steel plate or jacket",Q17)</f>
        <v>Monitor</v>
      </c>
      <c r="S17" s="5" t="str">
        <f aca="false">IF(O17&lt;='Tree rules'!$C$4,IF(N17&lt;='Tree rules'!$C$5,IF(P17&lt;='Tree rules'!$C$6,"Monitor","Polymer laminate"),IF(P17&lt;='Tree rules'!$C$7,"Seal cracks","Polymer laminate")),IF(O17&lt;='Tree rules'!$C$8,IF(M17&lt;='Tree rules'!$C$9,"Steel plate or jacket","Polymer laminate"),IF(L17&lt;='Tree rules'!$C$10,"Steel plate or jacket","Polymer laminate")))</f>
        <v>Monitor</v>
      </c>
      <c r="T17" s="5" t="str">
        <f aca="false">IF(S17=R17,"Yes","No")</f>
        <v>Yes</v>
      </c>
    </row>
    <row r="18" customFormat="false" ht="15" hidden="false" customHeight="false" outlineLevel="0" collapsed="false">
      <c r="A18" s="15" t="n">
        <v>37</v>
      </c>
      <c r="B18" s="16" t="n">
        <v>3.43931058179708</v>
      </c>
      <c r="C18" s="15" t="n">
        <v>300</v>
      </c>
      <c r="D18" s="15" t="n">
        <v>300</v>
      </c>
      <c r="E18" s="15" t="n">
        <v>30</v>
      </c>
      <c r="F18" s="16" t="n">
        <v>0.841263304726974</v>
      </c>
      <c r="G18" s="17" t="s">
        <v>90</v>
      </c>
      <c r="H18" s="18" t="n">
        <v>0.1</v>
      </c>
      <c r="I18" s="18" t="n">
        <v>1</v>
      </c>
      <c r="J18" s="19" t="n">
        <v>0.867701842243601</v>
      </c>
      <c r="K18" s="19" t="n">
        <v>0.647420725768179</v>
      </c>
      <c r="L18" s="16" t="n">
        <v>14.3904208443393</v>
      </c>
      <c r="M18" s="19" t="n">
        <v>0.481840661128293</v>
      </c>
      <c r="N18" s="19" t="n">
        <v>2.78305456120604</v>
      </c>
      <c r="O18" s="19" t="n">
        <v>0.867701842243601</v>
      </c>
      <c r="P18" s="19" t="n">
        <v>0.65848090302623</v>
      </c>
      <c r="Q18" s="17" t="s">
        <v>30</v>
      </c>
      <c r="R18" s="5" t="str">
        <f aca="false">IF(OR(Q18="Steel plate",Q18="Concrete jacket"),"Steel plate or jacket",Q18)</f>
        <v>Seal cracks</v>
      </c>
      <c r="S18" s="5" t="str">
        <f aca="false">IF(O18&lt;='Tree rules'!$C$4,IF(N18&lt;='Tree rules'!$C$5,IF(P18&lt;='Tree rules'!$C$6,"Monitor","Polymer laminate"),IF(P18&lt;='Tree rules'!$C$7,"Seal cracks","Polymer laminate")),IF(O18&lt;='Tree rules'!$C$8,IF(M18&lt;='Tree rules'!$C$9,"Steel plate or jacket","Polymer laminate"),IF(L18&lt;='Tree rules'!$C$10,"Steel plate or jacket","Polymer laminate")))</f>
        <v>Seal cracks</v>
      </c>
      <c r="T18" s="5" t="str">
        <f aca="false">IF(S18=R18,"Yes","No")</f>
        <v>Yes</v>
      </c>
    </row>
    <row r="19" customFormat="false" ht="15" hidden="false" customHeight="false" outlineLevel="0" collapsed="false">
      <c r="A19" s="15" t="n">
        <v>39</v>
      </c>
      <c r="B19" s="16" t="n">
        <v>3.8908113608929</v>
      </c>
      <c r="C19" s="15" t="n">
        <v>300</v>
      </c>
      <c r="D19" s="15" t="n">
        <v>375</v>
      </c>
      <c r="E19" s="15" t="n">
        <v>25</v>
      </c>
      <c r="F19" s="16" t="n">
        <v>0.671280481536281</v>
      </c>
      <c r="G19" s="17" t="s">
        <v>90</v>
      </c>
      <c r="H19" s="18" t="n">
        <v>0.1</v>
      </c>
      <c r="I19" s="18" t="n">
        <v>1</v>
      </c>
      <c r="J19" s="19" t="n">
        <v>0.901875104179001</v>
      </c>
      <c r="K19" s="19" t="n">
        <v>0.603042557358433</v>
      </c>
      <c r="L19" s="16" t="n">
        <v>12.4705492336311</v>
      </c>
      <c r="M19" s="19" t="n">
        <v>0.490333670679168</v>
      </c>
      <c r="N19" s="19" t="n">
        <v>3.37101328771038</v>
      </c>
      <c r="O19" s="19" t="n">
        <v>0.901875104179001</v>
      </c>
      <c r="P19" s="19" t="n">
        <v>0.561680738693054</v>
      </c>
      <c r="Q19" s="17" t="s">
        <v>30</v>
      </c>
      <c r="R19" s="5" t="str">
        <f aca="false">IF(OR(Q19="Steel plate",Q19="Concrete jacket"),"Steel plate or jacket",Q19)</f>
        <v>Seal cracks</v>
      </c>
      <c r="S19" s="5" t="str">
        <f aca="false">IF(O19&lt;='Tree rules'!$C$4,IF(N19&lt;='Tree rules'!$C$5,IF(P19&lt;='Tree rules'!$C$6,"Monitor","Polymer laminate"),IF(P19&lt;='Tree rules'!$C$7,"Seal cracks","Polymer laminate")),IF(O19&lt;='Tree rules'!$C$8,IF(M19&lt;='Tree rules'!$C$9,"Steel plate or jacket","Polymer laminate"),IF(L19&lt;='Tree rules'!$C$10,"Steel plate or jacket","Polymer laminate")))</f>
        <v>Seal cracks</v>
      </c>
      <c r="T19" s="5" t="str">
        <f aca="false">IF(S19=R19,"Yes","No")</f>
        <v>Yes</v>
      </c>
    </row>
    <row r="20" customFormat="false" ht="15" hidden="false" customHeight="false" outlineLevel="0" collapsed="false">
      <c r="A20" s="15" t="n">
        <v>47</v>
      </c>
      <c r="B20" s="16" t="n">
        <v>7.71252271695635</v>
      </c>
      <c r="C20" s="15" t="n">
        <v>300</v>
      </c>
      <c r="D20" s="15" t="n">
        <v>725</v>
      </c>
      <c r="E20" s="15" t="n">
        <v>30</v>
      </c>
      <c r="F20" s="16" t="n">
        <v>0.6187282429522</v>
      </c>
      <c r="G20" s="17" t="s">
        <v>89</v>
      </c>
      <c r="H20" s="18" t="n">
        <v>0.3</v>
      </c>
      <c r="I20" s="18" t="n">
        <v>2</v>
      </c>
      <c r="J20" s="19" t="n">
        <v>0.861120191453512</v>
      </c>
      <c r="K20" s="19" t="n">
        <v>0.438159267263913</v>
      </c>
      <c r="L20" s="16" t="n">
        <v>11.3922048994924</v>
      </c>
      <c r="M20" s="19" t="n">
        <v>0.900539162654421</v>
      </c>
      <c r="N20" s="19" t="n">
        <v>0.898593089259722</v>
      </c>
      <c r="O20" s="19" t="n">
        <v>1.34493259079359</v>
      </c>
      <c r="P20" s="19" t="n">
        <v>0.393417005035852</v>
      </c>
      <c r="Q20" s="17" t="s">
        <v>31</v>
      </c>
      <c r="R20" s="5" t="str">
        <f aca="false">IF(OR(Q20="Steel plate",Q20="Concrete jacket"),"Steel plate or jacket",Q20)</f>
        <v>Polymer laminate</v>
      </c>
      <c r="S20" s="5" t="str">
        <f aca="false">IF(O20&lt;='Tree rules'!$C$4,IF(N20&lt;='Tree rules'!$C$5,IF(P20&lt;='Tree rules'!$C$6,"Monitor","Polymer laminate"),IF(P20&lt;='Tree rules'!$C$7,"Seal cracks","Polymer laminate")),IF(O20&lt;='Tree rules'!$C$8,IF(M20&lt;='Tree rules'!$C$9,"Steel plate or jacket","Polymer laminate"),IF(L20&lt;='Tree rules'!$C$10,"Steel plate or jacket","Polymer laminate")))</f>
        <v>Steel plate or jacket</v>
      </c>
      <c r="T20" s="5" t="str">
        <f aca="false">IF(S20=R20,"Yes","No")</f>
        <v>No</v>
      </c>
    </row>
    <row r="21" customFormat="false" ht="15" hidden="false" customHeight="false" outlineLevel="0" collapsed="false">
      <c r="A21" s="15" t="n">
        <v>50</v>
      </c>
      <c r="B21" s="16" t="n">
        <v>3.59663436340252</v>
      </c>
      <c r="C21" s="15" t="n">
        <v>230</v>
      </c>
      <c r="D21" s="15" t="n">
        <v>300</v>
      </c>
      <c r="E21" s="15" t="n">
        <v>30</v>
      </c>
      <c r="F21" s="16" t="n">
        <v>0.688332522525665</v>
      </c>
      <c r="G21" s="17" t="s">
        <v>89</v>
      </c>
      <c r="H21" s="18" t="n">
        <v>0.3</v>
      </c>
      <c r="I21" s="18" t="n">
        <v>1</v>
      </c>
      <c r="J21" s="19" t="n">
        <v>0.936956960196558</v>
      </c>
      <c r="K21" s="19" t="n">
        <v>0.458380051631957</v>
      </c>
      <c r="L21" s="16" t="n">
        <v>14.1599778086714</v>
      </c>
      <c r="M21" s="19" t="n">
        <v>0.487781183352474</v>
      </c>
      <c r="N21" s="19" t="n">
        <v>0.88987879517608</v>
      </c>
      <c r="O21" s="19" t="n">
        <v>0.936956960196558</v>
      </c>
      <c r="P21" s="19" t="n">
        <v>0.582103495657809</v>
      </c>
      <c r="Q21" s="17" t="s">
        <v>29</v>
      </c>
      <c r="R21" s="5" t="str">
        <f aca="false">IF(OR(Q21="Steel plate",Q21="Concrete jacket"),"Steel plate or jacket",Q21)</f>
        <v>Monitor</v>
      </c>
      <c r="S21" s="5" t="str">
        <f aca="false">IF(O21&lt;='Tree rules'!$C$4,IF(N21&lt;='Tree rules'!$C$5,IF(P21&lt;='Tree rules'!$C$6,"Monitor","Polymer laminate"),IF(P21&lt;='Tree rules'!$C$7,"Seal cracks","Polymer laminate")),IF(O21&lt;='Tree rules'!$C$8,IF(M21&lt;='Tree rules'!$C$9,"Steel plate or jacket","Polymer laminate"),IF(L21&lt;='Tree rules'!$C$10,"Steel plate or jacket","Polymer laminate")))</f>
        <v>Monitor</v>
      </c>
      <c r="T21" s="5" t="str">
        <f aca="false">IF(S21=R21,"Yes","No")</f>
        <v>Yes</v>
      </c>
    </row>
    <row r="22" customFormat="false" ht="15" hidden="false" customHeight="false" outlineLevel="0" collapsed="false">
      <c r="A22" s="15" t="n">
        <v>52</v>
      </c>
      <c r="B22" s="16" t="n">
        <v>6.56990015693516</v>
      </c>
      <c r="C22" s="15" t="n">
        <v>300</v>
      </c>
      <c r="D22" s="15" t="n">
        <v>650</v>
      </c>
      <c r="E22" s="15" t="n">
        <v>30</v>
      </c>
      <c r="F22" s="16" t="n">
        <v>0.665767979568698</v>
      </c>
      <c r="G22" s="17" t="s">
        <v>91</v>
      </c>
      <c r="H22" s="18" t="n">
        <v>0.2</v>
      </c>
      <c r="I22" s="18" t="n">
        <v>1.5</v>
      </c>
      <c r="J22" s="19" t="n">
        <v>0.865581692259923</v>
      </c>
      <c r="K22" s="19" t="n">
        <v>0.549185154055836</v>
      </c>
      <c r="L22" s="16" t="n">
        <v>10.8773181406211</v>
      </c>
      <c r="M22" s="19" t="n">
        <v>0.948115620972799</v>
      </c>
      <c r="N22" s="19" t="n">
        <v>0.918568696864954</v>
      </c>
      <c r="O22" s="19" t="n">
        <v>1.06069023088405</v>
      </c>
      <c r="P22" s="19" t="n">
        <v>0.354153667946935</v>
      </c>
      <c r="Q22" s="17" t="s">
        <v>31</v>
      </c>
      <c r="R22" s="5" t="str">
        <f aca="false">IF(OR(Q22="Steel plate",Q22="Concrete jacket"),"Steel plate or jacket",Q22)</f>
        <v>Polymer laminate</v>
      </c>
      <c r="S22" s="5" t="str">
        <f aca="false">IF(O22&lt;='Tree rules'!$C$4,IF(N22&lt;='Tree rules'!$C$5,IF(P22&lt;='Tree rules'!$C$6,"Monitor","Polymer laminate"),IF(P22&lt;='Tree rules'!$C$7,"Seal cracks","Polymer laminate")),IF(O22&lt;='Tree rules'!$C$8,IF(M22&lt;='Tree rules'!$C$9,"Steel plate or jacket","Polymer laminate"),IF(L22&lt;='Tree rules'!$C$10,"Steel plate or jacket","Polymer laminate")))</f>
        <v>Polymer laminate</v>
      </c>
      <c r="T22" s="5" t="str">
        <f aca="false">IF(S22=R22,"Yes","No")</f>
        <v>Yes</v>
      </c>
    </row>
    <row r="23" customFormat="false" ht="15" hidden="false" customHeight="false" outlineLevel="0" collapsed="false">
      <c r="A23" s="15" t="n">
        <v>56</v>
      </c>
      <c r="B23" s="16" t="n">
        <v>5.18180898232438</v>
      </c>
      <c r="C23" s="15" t="n">
        <v>300</v>
      </c>
      <c r="D23" s="15" t="n">
        <v>425</v>
      </c>
      <c r="E23" s="15" t="n">
        <v>20</v>
      </c>
      <c r="F23" s="16" t="n">
        <v>0.593686800678386</v>
      </c>
      <c r="G23" s="17" t="s">
        <v>89</v>
      </c>
      <c r="H23" s="18" t="n">
        <v>0.3</v>
      </c>
      <c r="I23" s="18" t="n">
        <v>1</v>
      </c>
      <c r="J23" s="19" t="n">
        <v>0.876913314112639</v>
      </c>
      <c r="K23" s="19" t="n">
        <v>0.440767194281056</v>
      </c>
      <c r="L23" s="16" t="n">
        <v>13.6005485100377</v>
      </c>
      <c r="M23" s="19" t="n">
        <v>0.874914971040551</v>
      </c>
      <c r="N23" s="19" t="n">
        <v>0.497772119665762</v>
      </c>
      <c r="O23" s="19" t="n">
        <v>0.876913314112639</v>
      </c>
      <c r="P23" s="19" t="n">
        <v>0.373891188687904</v>
      </c>
      <c r="Q23" s="17" t="s">
        <v>29</v>
      </c>
      <c r="R23" s="5" t="str">
        <f aca="false">IF(OR(Q23="Steel plate",Q23="Concrete jacket"),"Steel plate or jacket",Q23)</f>
        <v>Monitor</v>
      </c>
      <c r="S23" s="5" t="str">
        <f aca="false">IF(O23&lt;='Tree rules'!$C$4,IF(N23&lt;='Tree rules'!$C$5,IF(P23&lt;='Tree rules'!$C$6,"Monitor","Polymer laminate"),IF(P23&lt;='Tree rules'!$C$7,"Seal cracks","Polymer laminate")),IF(O23&lt;='Tree rules'!$C$8,IF(M23&lt;='Tree rules'!$C$9,"Steel plate or jacket","Polymer laminate"),IF(L23&lt;='Tree rules'!$C$10,"Steel plate or jacket","Polymer laminate")))</f>
        <v>Monitor</v>
      </c>
      <c r="T23" s="5" t="str">
        <f aca="false">IF(S23=R23,"Yes","No")</f>
        <v>Yes</v>
      </c>
    </row>
    <row r="24" customFormat="false" ht="15" hidden="false" customHeight="false" outlineLevel="0" collapsed="false">
      <c r="A24" s="15" t="n">
        <v>61</v>
      </c>
      <c r="B24" s="16" t="n">
        <v>4.12577327770937</v>
      </c>
      <c r="C24" s="15" t="n">
        <v>230</v>
      </c>
      <c r="D24" s="15" t="n">
        <v>325</v>
      </c>
      <c r="E24" s="15" t="n">
        <v>30</v>
      </c>
      <c r="F24" s="16" t="n">
        <v>0.554579938848803</v>
      </c>
      <c r="G24" s="17" t="s">
        <v>90</v>
      </c>
      <c r="H24" s="18" t="n">
        <v>0.1</v>
      </c>
      <c r="I24" s="18" t="n">
        <v>1.5</v>
      </c>
      <c r="J24" s="19" t="n">
        <v>0.870419439531184</v>
      </c>
      <c r="K24" s="19" t="n">
        <v>0.54981869984923</v>
      </c>
      <c r="L24" s="16" t="n">
        <v>15.5104258560503</v>
      </c>
      <c r="M24" s="19" t="n">
        <v>0.943841717937914</v>
      </c>
      <c r="N24" s="19" t="n">
        <v>2.73579109178691</v>
      </c>
      <c r="O24" s="19" t="n">
        <v>1.06634271701351</v>
      </c>
      <c r="P24" s="19" t="n">
        <v>0.295713263312505</v>
      </c>
      <c r="Q24" s="17" t="s">
        <v>31</v>
      </c>
      <c r="R24" s="5" t="str">
        <f aca="false">IF(OR(Q24="Steel plate",Q24="Concrete jacket"),"Steel plate or jacket",Q24)</f>
        <v>Polymer laminate</v>
      </c>
      <c r="S24" s="5" t="str">
        <f aca="false">IF(O24&lt;='Tree rules'!$C$4,IF(N24&lt;='Tree rules'!$C$5,IF(P24&lt;='Tree rules'!$C$6,"Monitor","Polymer laminate"),IF(P24&lt;='Tree rules'!$C$7,"Seal cracks","Polymer laminate")),IF(O24&lt;='Tree rules'!$C$8,IF(M24&lt;='Tree rules'!$C$9,"Steel plate or jacket","Polymer laminate"),IF(L24&lt;='Tree rules'!$C$10,"Steel plate or jacket","Polymer laminate")))</f>
        <v>Polymer laminate</v>
      </c>
      <c r="T24" s="5" t="str">
        <f aca="false">IF(S24=R24,"Yes","No")</f>
        <v>Yes</v>
      </c>
    </row>
    <row r="25" customFormat="false" ht="15" hidden="false" customHeight="false" outlineLevel="0" collapsed="false">
      <c r="A25" s="15" t="n">
        <v>66</v>
      </c>
      <c r="B25" s="16" t="n">
        <v>3.90802118629151</v>
      </c>
      <c r="C25" s="15" t="n">
        <v>300</v>
      </c>
      <c r="D25" s="15" t="n">
        <v>350</v>
      </c>
      <c r="E25" s="15" t="n">
        <v>25</v>
      </c>
      <c r="F25" s="16" t="n">
        <v>0.61599855952741</v>
      </c>
      <c r="G25" s="17" t="s">
        <v>91</v>
      </c>
      <c r="H25" s="18" t="n">
        <v>0.2</v>
      </c>
      <c r="I25" s="18" t="n">
        <v>2</v>
      </c>
      <c r="J25" s="19" t="n">
        <v>0.89774847109806</v>
      </c>
      <c r="K25" s="19" t="n">
        <v>0.40698357317166</v>
      </c>
      <c r="L25" s="16" t="n">
        <v>12.7713110663121</v>
      </c>
      <c r="M25" s="19" t="n">
        <v>0.520905037647509</v>
      </c>
      <c r="N25" s="19" t="n">
        <v>1.49654183071014</v>
      </c>
      <c r="O25" s="19" t="n">
        <v>1.43012806161924</v>
      </c>
      <c r="P25" s="19" t="n">
        <v>0.651552116705934</v>
      </c>
      <c r="Q25" s="17" t="s">
        <v>31</v>
      </c>
      <c r="R25" s="5" t="str">
        <f aca="false">IF(OR(Q25="Steel plate",Q25="Concrete jacket"),"Steel plate or jacket",Q25)</f>
        <v>Polymer laminate</v>
      </c>
      <c r="S25" s="5" t="str">
        <f aca="false">IF(O25&lt;='Tree rules'!$C$4,IF(N25&lt;='Tree rules'!$C$5,IF(P25&lt;='Tree rules'!$C$6,"Monitor","Polymer laminate"),IF(P25&lt;='Tree rules'!$C$7,"Seal cracks","Polymer laminate")),IF(O25&lt;='Tree rules'!$C$8,IF(M25&lt;='Tree rules'!$C$9,"Steel plate or jacket","Polymer laminate"),IF(L25&lt;='Tree rules'!$C$10,"Steel plate or jacket","Polymer laminate")))</f>
        <v>Steel plate or jacket</v>
      </c>
      <c r="T25" s="5" t="str">
        <f aca="false">IF(S25=R25,"Yes","No")</f>
        <v>No</v>
      </c>
    </row>
    <row r="26" customFormat="false" ht="15" hidden="false" customHeight="false" outlineLevel="0" collapsed="false">
      <c r="A26" s="15" t="n">
        <v>76</v>
      </c>
      <c r="B26" s="16" t="n">
        <v>4.24365760419942</v>
      </c>
      <c r="C26" s="15" t="n">
        <v>300</v>
      </c>
      <c r="D26" s="15" t="n">
        <v>425</v>
      </c>
      <c r="E26" s="15" t="n">
        <v>30</v>
      </c>
      <c r="F26" s="16" t="n">
        <v>0.707341881547042</v>
      </c>
      <c r="G26" s="17" t="s">
        <v>89</v>
      </c>
      <c r="H26" s="18" t="n">
        <v>0.3</v>
      </c>
      <c r="I26" s="18" t="n">
        <v>1</v>
      </c>
      <c r="J26" s="19" t="n">
        <v>0.975800405435786</v>
      </c>
      <c r="K26" s="19" t="n">
        <v>0.618673776417753</v>
      </c>
      <c r="L26" s="16" t="n">
        <v>11.1969857630592</v>
      </c>
      <c r="M26" s="19" t="n">
        <v>0.443022730167943</v>
      </c>
      <c r="N26" s="19" t="n">
        <v>0.726780045152037</v>
      </c>
      <c r="O26" s="19" t="n">
        <v>0.975800405435786</v>
      </c>
      <c r="P26" s="19" t="n">
        <v>0.719670848169515</v>
      </c>
      <c r="Q26" s="17" t="s">
        <v>29</v>
      </c>
      <c r="R26" s="5" t="str">
        <f aca="false">IF(OR(Q26="Steel plate",Q26="Concrete jacket"),"Steel plate or jacket",Q26)</f>
        <v>Monitor</v>
      </c>
      <c r="S26" s="5" t="str">
        <f aca="false">IF(O26&lt;='Tree rules'!$C$4,IF(N26&lt;='Tree rules'!$C$5,IF(P26&lt;='Tree rules'!$C$6,"Monitor","Polymer laminate"),IF(P26&lt;='Tree rules'!$C$7,"Seal cracks","Polymer laminate")),IF(O26&lt;='Tree rules'!$C$8,IF(M26&lt;='Tree rules'!$C$9,"Steel plate or jacket","Polymer laminate"),IF(L26&lt;='Tree rules'!$C$10,"Steel plate or jacket","Polymer laminate")))</f>
        <v>Monitor</v>
      </c>
      <c r="T26" s="5" t="str">
        <f aca="false">IF(S26=R26,"Yes","No")</f>
        <v>Yes</v>
      </c>
    </row>
    <row r="27" customFormat="false" ht="15" hidden="false" customHeight="false" outlineLevel="0" collapsed="false">
      <c r="A27" s="15" t="n">
        <v>83</v>
      </c>
      <c r="B27" s="16" t="n">
        <v>4.80348050896025</v>
      </c>
      <c r="C27" s="15" t="n">
        <v>300</v>
      </c>
      <c r="D27" s="15" t="n">
        <v>425</v>
      </c>
      <c r="E27" s="15" t="n">
        <v>25</v>
      </c>
      <c r="F27" s="16" t="n">
        <v>0.833313701217452</v>
      </c>
      <c r="G27" s="17" t="s">
        <v>91</v>
      </c>
      <c r="H27" s="18" t="n">
        <v>0.2</v>
      </c>
      <c r="I27" s="18" t="n">
        <v>1</v>
      </c>
      <c r="J27" s="19" t="n">
        <v>0.921148889061758</v>
      </c>
      <c r="K27" s="19" t="n">
        <v>0.401135402984821</v>
      </c>
      <c r="L27" s="16" t="n">
        <v>12.7413276099741</v>
      </c>
      <c r="M27" s="19" t="n">
        <v>0.767409965826128</v>
      </c>
      <c r="N27" s="19" t="n">
        <v>1.09011467424333</v>
      </c>
      <c r="O27" s="19" t="n">
        <v>0.921148889061758</v>
      </c>
      <c r="P27" s="19" t="n">
        <v>0.471960106120644</v>
      </c>
      <c r="Q27" s="17" t="s">
        <v>30</v>
      </c>
      <c r="R27" s="5" t="str">
        <f aca="false">IF(OR(Q27="Steel plate",Q27="Concrete jacket"),"Steel plate or jacket",Q27)</f>
        <v>Seal cracks</v>
      </c>
      <c r="S27" s="5" t="str">
        <f aca="false">IF(O27&lt;='Tree rules'!$C$4,IF(N27&lt;='Tree rules'!$C$5,IF(P27&lt;='Tree rules'!$C$6,"Monitor","Polymer laminate"),IF(P27&lt;='Tree rules'!$C$7,"Seal cracks","Polymer laminate")),IF(O27&lt;='Tree rules'!$C$8,IF(M27&lt;='Tree rules'!$C$9,"Steel plate or jacket","Polymer laminate"),IF(L27&lt;='Tree rules'!$C$10,"Steel plate or jacket","Polymer laminate")))</f>
        <v>Seal cracks</v>
      </c>
      <c r="T27" s="5" t="str">
        <f aca="false">IF(S27=R27,"Yes","No")</f>
        <v>Yes</v>
      </c>
    </row>
    <row r="28" customFormat="false" ht="15" hidden="false" customHeight="false" outlineLevel="0" collapsed="false">
      <c r="A28" s="15" t="n">
        <v>84</v>
      </c>
      <c r="B28" s="16" t="n">
        <v>6.60543212534052</v>
      </c>
      <c r="C28" s="15" t="n">
        <v>230</v>
      </c>
      <c r="D28" s="15" t="n">
        <v>525</v>
      </c>
      <c r="E28" s="15" t="n">
        <v>30</v>
      </c>
      <c r="F28" s="16" t="n">
        <v>0.59130296510254</v>
      </c>
      <c r="G28" s="17" t="s">
        <v>90</v>
      </c>
      <c r="H28" s="18" t="n">
        <v>0.1</v>
      </c>
      <c r="I28" s="18" t="n">
        <v>2</v>
      </c>
      <c r="J28" s="19" t="n">
        <v>0.927215449064406</v>
      </c>
      <c r="K28" s="19" t="n">
        <v>0.549359883702788</v>
      </c>
      <c r="L28" s="16" t="n">
        <v>14.2974721327717</v>
      </c>
      <c r="M28" s="19" t="n">
        <v>0.445009704632864</v>
      </c>
      <c r="N28" s="19" t="n">
        <v>4.34044438450055</v>
      </c>
      <c r="O28" s="19" t="n">
        <v>1.34505592686336</v>
      </c>
      <c r="P28" s="19" t="n">
        <v>0.835322306504827</v>
      </c>
      <c r="Q28" s="17" t="s">
        <v>31</v>
      </c>
      <c r="R28" s="5" t="str">
        <f aca="false">IF(OR(Q28="Steel plate",Q28="Concrete jacket"),"Steel plate or jacket",Q28)</f>
        <v>Polymer laminate</v>
      </c>
      <c r="S28" s="5" t="str">
        <f aca="false">IF(O28&lt;='Tree rules'!$C$4,IF(N28&lt;='Tree rules'!$C$5,IF(P28&lt;='Tree rules'!$C$6,"Monitor","Polymer laminate"),IF(P28&lt;='Tree rules'!$C$7,"Seal cracks","Polymer laminate")),IF(O28&lt;='Tree rules'!$C$8,IF(M28&lt;='Tree rules'!$C$9,"Steel plate or jacket","Polymer laminate"),IF(L28&lt;='Tree rules'!$C$10,"Steel plate or jacket","Polymer laminate")))</f>
        <v>Polymer laminate</v>
      </c>
      <c r="T28" s="5" t="str">
        <f aca="false">IF(S28=R28,"Yes","No")</f>
        <v>Yes</v>
      </c>
    </row>
    <row r="29" customFormat="false" ht="15" hidden="false" customHeight="false" outlineLevel="0" collapsed="false">
      <c r="A29" s="15" t="n">
        <v>85</v>
      </c>
      <c r="B29" s="16" t="n">
        <v>6.27805775876641</v>
      </c>
      <c r="C29" s="15" t="n">
        <v>300</v>
      </c>
      <c r="D29" s="15" t="n">
        <v>575</v>
      </c>
      <c r="E29" s="15" t="n">
        <v>20</v>
      </c>
      <c r="F29" s="16" t="n">
        <v>0.760158524876169</v>
      </c>
      <c r="G29" s="17" t="s">
        <v>91</v>
      </c>
      <c r="H29" s="18" t="n">
        <v>0.2</v>
      </c>
      <c r="I29" s="18" t="n">
        <v>1</v>
      </c>
      <c r="J29" s="19" t="n">
        <v>0.885500340331437</v>
      </c>
      <c r="K29" s="19" t="n">
        <v>0.411525156632205</v>
      </c>
      <c r="L29" s="16" t="n">
        <v>11.8677840430367</v>
      </c>
      <c r="M29" s="19" t="n">
        <v>0.667664046291111</v>
      </c>
      <c r="N29" s="19" t="n">
        <v>0.783239586894629</v>
      </c>
      <c r="O29" s="19" t="n">
        <v>0.885500340331437</v>
      </c>
      <c r="P29" s="19" t="n">
        <v>0.524895925458239</v>
      </c>
      <c r="Q29" s="17" t="s">
        <v>29</v>
      </c>
      <c r="R29" s="5" t="str">
        <f aca="false">IF(OR(Q29="Steel plate",Q29="Concrete jacket"),"Steel plate or jacket",Q29)</f>
        <v>Monitor</v>
      </c>
      <c r="S29" s="5" t="str">
        <f aca="false">IF(O29&lt;='Tree rules'!$C$4,IF(N29&lt;='Tree rules'!$C$5,IF(P29&lt;='Tree rules'!$C$6,"Monitor","Polymer laminate"),IF(P29&lt;='Tree rules'!$C$7,"Seal cracks","Polymer laminate")),IF(O29&lt;='Tree rules'!$C$8,IF(M29&lt;='Tree rules'!$C$9,"Steel plate or jacket","Polymer laminate"),IF(L29&lt;='Tree rules'!$C$10,"Steel plate or jacket","Polymer laminate")))</f>
        <v>Monitor</v>
      </c>
      <c r="T29" s="5" t="str">
        <f aca="false">IF(S29=R29,"Yes","No")</f>
        <v>Yes</v>
      </c>
    </row>
    <row r="30" customFormat="false" ht="15" hidden="false" customHeight="false" outlineLevel="0" collapsed="false">
      <c r="A30" s="15" t="n">
        <v>88</v>
      </c>
      <c r="B30" s="16" t="n">
        <v>3.19869628901845</v>
      </c>
      <c r="C30" s="15" t="n">
        <v>300</v>
      </c>
      <c r="D30" s="15" t="n">
        <v>300</v>
      </c>
      <c r="E30" s="15" t="n">
        <v>25</v>
      </c>
      <c r="F30" s="16" t="n">
        <v>0.625711399885104</v>
      </c>
      <c r="G30" s="17" t="s">
        <v>90</v>
      </c>
      <c r="H30" s="18" t="n">
        <v>0.1</v>
      </c>
      <c r="I30" s="18" t="n">
        <v>1.5</v>
      </c>
      <c r="J30" s="19" t="n">
        <v>0.966331986129856</v>
      </c>
      <c r="K30" s="19" t="n">
        <v>0.646724499365919</v>
      </c>
      <c r="L30" s="16" t="n">
        <v>13.2725987096201</v>
      </c>
      <c r="M30" s="19" t="n">
        <v>0.242254785926557</v>
      </c>
      <c r="N30" s="19" t="n">
        <v>3.57010042355874</v>
      </c>
      <c r="O30" s="19" t="n">
        <v>1.13702269421923</v>
      </c>
      <c r="P30" s="19" t="n">
        <v>1.18164929132242</v>
      </c>
      <c r="Q30" s="17" t="s">
        <v>31</v>
      </c>
      <c r="R30" s="5" t="str">
        <f aca="false">IF(OR(Q30="Steel plate",Q30="Concrete jacket"),"Steel plate or jacket",Q30)</f>
        <v>Polymer laminate</v>
      </c>
      <c r="S30" s="5" t="str">
        <f aca="false">IF(O30&lt;='Tree rules'!$C$4,IF(N30&lt;='Tree rules'!$C$5,IF(P30&lt;='Tree rules'!$C$6,"Monitor","Polymer laminate"),IF(P30&lt;='Tree rules'!$C$7,"Seal cracks","Polymer laminate")),IF(O30&lt;='Tree rules'!$C$8,IF(M30&lt;='Tree rules'!$C$9,"Steel plate or jacket","Polymer laminate"),IF(L30&lt;='Tree rules'!$C$10,"Steel plate or jacket","Polymer laminate")))</f>
        <v>Steel plate or jacket</v>
      </c>
      <c r="T30" s="5" t="str">
        <f aca="false">IF(S30=R30,"Yes","No")</f>
        <v>No</v>
      </c>
    </row>
    <row r="31" customFormat="false" ht="15" hidden="false" customHeight="false" outlineLevel="0" collapsed="false">
      <c r="A31" s="15" t="n">
        <v>89</v>
      </c>
      <c r="B31" s="16" t="n">
        <v>6.44429899289438</v>
      </c>
      <c r="C31" s="15" t="n">
        <v>230</v>
      </c>
      <c r="D31" s="15" t="n">
        <v>625</v>
      </c>
      <c r="E31" s="15" t="n">
        <v>20</v>
      </c>
      <c r="F31" s="16" t="n">
        <v>0.710178431223674</v>
      </c>
      <c r="G31" s="17" t="s">
        <v>89</v>
      </c>
      <c r="H31" s="18" t="n">
        <v>0.3</v>
      </c>
      <c r="I31" s="18" t="n">
        <v>1.5</v>
      </c>
      <c r="J31" s="19" t="n">
        <v>0.951754511618845</v>
      </c>
      <c r="K31" s="19" t="n">
        <v>0.535414954113481</v>
      </c>
      <c r="L31" s="16" t="n">
        <v>11.1686291038031</v>
      </c>
      <c r="M31" s="19" t="n">
        <v>0.934772471071107</v>
      </c>
      <c r="N31" s="19" t="n">
        <v>0.752005561993728</v>
      </c>
      <c r="O31" s="19" t="n">
        <v>1.17283996834542</v>
      </c>
      <c r="P31" s="19" t="n">
        <v>0.46111886195247</v>
      </c>
      <c r="Q31" s="17" t="s">
        <v>31</v>
      </c>
      <c r="R31" s="5" t="str">
        <f aca="false">IF(OR(Q31="Steel plate",Q31="Concrete jacket"),"Steel plate or jacket",Q31)</f>
        <v>Polymer laminate</v>
      </c>
      <c r="S31" s="5" t="str">
        <f aca="false">IF(O31&lt;='Tree rules'!$C$4,IF(N31&lt;='Tree rules'!$C$5,IF(P31&lt;='Tree rules'!$C$6,"Monitor","Polymer laminate"),IF(P31&lt;='Tree rules'!$C$7,"Seal cracks","Polymer laminate")),IF(O31&lt;='Tree rules'!$C$8,IF(M31&lt;='Tree rules'!$C$9,"Steel plate or jacket","Polymer laminate"),IF(L31&lt;='Tree rules'!$C$10,"Steel plate or jacket","Polymer laminate")))</f>
        <v>Polymer laminate</v>
      </c>
      <c r="T31" s="5" t="str">
        <f aca="false">IF(S31=R31,"Yes","No")</f>
        <v>Yes</v>
      </c>
    </row>
    <row r="32" customFormat="false" ht="15" hidden="false" customHeight="false" outlineLevel="0" collapsed="false">
      <c r="A32" s="15" t="n">
        <v>90</v>
      </c>
      <c r="B32" s="16" t="n">
        <v>3.54465596295365</v>
      </c>
      <c r="C32" s="15" t="n">
        <v>300</v>
      </c>
      <c r="D32" s="15" t="n">
        <v>325</v>
      </c>
      <c r="E32" s="15" t="n">
        <v>30</v>
      </c>
      <c r="F32" s="16" t="n">
        <v>1.01546429206943</v>
      </c>
      <c r="G32" s="17" t="s">
        <v>90</v>
      </c>
      <c r="H32" s="18" t="n">
        <v>0.1</v>
      </c>
      <c r="I32" s="18" t="n">
        <v>2</v>
      </c>
      <c r="J32" s="19" t="n">
        <v>0.916693179858414</v>
      </c>
      <c r="K32" s="19" t="n">
        <v>0.425281574184657</v>
      </c>
      <c r="L32" s="16" t="n">
        <v>13.4267271324002</v>
      </c>
      <c r="M32" s="19" t="n">
        <v>0.53242391721087</v>
      </c>
      <c r="N32" s="19" t="n">
        <v>4.35903262952526</v>
      </c>
      <c r="O32" s="19" t="n">
        <v>1.4435336411423</v>
      </c>
      <c r="P32" s="19" t="n">
        <v>0.79787227584015</v>
      </c>
      <c r="Q32" s="17" t="s">
        <v>31</v>
      </c>
      <c r="R32" s="5" t="str">
        <f aca="false">IF(OR(Q32="Steel plate",Q32="Concrete jacket"),"Steel plate or jacket",Q32)</f>
        <v>Polymer laminate</v>
      </c>
      <c r="S32" s="5" t="str">
        <f aca="false">IF(O32&lt;='Tree rules'!$C$4,IF(N32&lt;='Tree rules'!$C$5,IF(P32&lt;='Tree rules'!$C$6,"Monitor","Polymer laminate"),IF(P32&lt;='Tree rules'!$C$7,"Seal cracks","Polymer laminate")),IF(O32&lt;='Tree rules'!$C$8,IF(M32&lt;='Tree rules'!$C$9,"Steel plate or jacket","Polymer laminate"),IF(L32&lt;='Tree rules'!$C$10,"Steel plate or jacket","Polymer laminate")))</f>
        <v>Polymer laminate</v>
      </c>
      <c r="T32" s="5" t="str">
        <f aca="false">IF(S32=R32,"Yes","No")</f>
        <v>Yes</v>
      </c>
    </row>
    <row r="33" customFormat="false" ht="15" hidden="false" customHeight="false" outlineLevel="0" collapsed="false">
      <c r="A33" s="15" t="n">
        <v>94</v>
      </c>
      <c r="B33" s="16" t="n">
        <v>6.53907705266812</v>
      </c>
      <c r="C33" s="15" t="n">
        <v>300</v>
      </c>
      <c r="D33" s="15" t="n">
        <v>525</v>
      </c>
      <c r="E33" s="15" t="n">
        <v>25</v>
      </c>
      <c r="F33" s="16" t="n">
        <v>0.55967134260194</v>
      </c>
      <c r="G33" s="17" t="s">
        <v>89</v>
      </c>
      <c r="H33" s="18" t="n">
        <v>0.3</v>
      </c>
      <c r="I33" s="18" t="n">
        <v>1</v>
      </c>
      <c r="J33" s="19" t="n">
        <v>0.886928260265965</v>
      </c>
      <c r="K33" s="19" t="n">
        <v>0.402094335400366</v>
      </c>
      <c r="L33" s="16" t="n">
        <v>13.651517855257</v>
      </c>
      <c r="M33" s="19" t="n">
        <v>0.718947833255381</v>
      </c>
      <c r="N33" s="19" t="n">
        <v>0.5892277591712</v>
      </c>
      <c r="O33" s="19" t="n">
        <v>0.886928260265965</v>
      </c>
      <c r="P33" s="19" t="n">
        <v>0.407545956732853</v>
      </c>
      <c r="Q33" s="17" t="s">
        <v>29</v>
      </c>
      <c r="R33" s="5" t="str">
        <f aca="false">IF(OR(Q33="Steel plate",Q33="Concrete jacket"),"Steel plate or jacket",Q33)</f>
        <v>Monitor</v>
      </c>
      <c r="S33" s="5" t="str">
        <f aca="false">IF(O33&lt;='Tree rules'!$C$4,IF(N33&lt;='Tree rules'!$C$5,IF(P33&lt;='Tree rules'!$C$6,"Monitor","Polymer laminate"),IF(P33&lt;='Tree rules'!$C$7,"Seal cracks","Polymer laminate")),IF(O33&lt;='Tree rules'!$C$8,IF(M33&lt;='Tree rules'!$C$9,"Steel plate or jacket","Polymer laminate"),IF(L33&lt;='Tree rules'!$C$10,"Steel plate or jacket","Polymer laminate")))</f>
        <v>Monitor</v>
      </c>
      <c r="T33" s="5" t="str">
        <f aca="false">IF(S33=R33,"Yes","No")</f>
        <v>Yes</v>
      </c>
    </row>
    <row r="34" customFormat="false" ht="15" hidden="false" customHeight="false" outlineLevel="0" collapsed="false">
      <c r="A34" s="15" t="n">
        <v>99</v>
      </c>
      <c r="B34" s="16" t="n">
        <v>3.55495974573213</v>
      </c>
      <c r="C34" s="15" t="n">
        <v>230</v>
      </c>
      <c r="D34" s="15" t="n">
        <v>300</v>
      </c>
      <c r="E34" s="15" t="n">
        <v>25</v>
      </c>
      <c r="F34" s="16" t="n">
        <v>0.688332522525665</v>
      </c>
      <c r="G34" s="17" t="s">
        <v>91</v>
      </c>
      <c r="H34" s="18" t="n">
        <v>0.2</v>
      </c>
      <c r="I34" s="18" t="n">
        <v>1.5</v>
      </c>
      <c r="J34" s="19" t="n">
        <v>0.873448066281194</v>
      </c>
      <c r="K34" s="19" t="n">
        <v>0.429087426063088</v>
      </c>
      <c r="L34" s="16" t="n">
        <v>13.9959045107564</v>
      </c>
      <c r="M34" s="19" t="n">
        <v>0.950870097135831</v>
      </c>
      <c r="N34" s="19" t="n">
        <v>1.45434756915841</v>
      </c>
      <c r="O34" s="19" t="n">
        <v>1.1227793081416</v>
      </c>
      <c r="P34" s="19" t="n">
        <v>0.35214988437203</v>
      </c>
      <c r="Q34" s="17" t="s">
        <v>31</v>
      </c>
      <c r="R34" s="5" t="str">
        <f aca="false">IF(OR(Q34="Steel plate",Q34="Concrete jacket"),"Steel plate or jacket",Q34)</f>
        <v>Polymer laminate</v>
      </c>
      <c r="S34" s="5" t="str">
        <f aca="false">IF(O34&lt;='Tree rules'!$C$4,IF(N34&lt;='Tree rules'!$C$5,IF(P34&lt;='Tree rules'!$C$6,"Monitor","Polymer laminate"),IF(P34&lt;='Tree rules'!$C$7,"Seal cracks","Polymer laminate")),IF(O34&lt;='Tree rules'!$C$8,IF(M34&lt;='Tree rules'!$C$9,"Steel plate or jacket","Polymer laminate"),IF(L34&lt;='Tree rules'!$C$10,"Steel plate or jacket","Polymer laminate")))</f>
        <v>Polymer laminate</v>
      </c>
      <c r="T34" s="5" t="str">
        <f aca="false">IF(S34=R34,"Yes","No")</f>
        <v>Yes</v>
      </c>
    </row>
    <row r="35" customFormat="false" ht="15" hidden="false" customHeight="false" outlineLevel="0" collapsed="false">
      <c r="A35" s="15" t="n">
        <v>101</v>
      </c>
      <c r="B35" s="16" t="n">
        <v>3.89584848072955</v>
      </c>
      <c r="C35" s="15" t="n">
        <v>300</v>
      </c>
      <c r="D35" s="15" t="n">
        <v>375</v>
      </c>
      <c r="E35" s="15" t="n">
        <v>25</v>
      </c>
      <c r="F35" s="16" t="n">
        <v>0.683367586279351</v>
      </c>
      <c r="G35" s="17" t="s">
        <v>91</v>
      </c>
      <c r="H35" s="18" t="n">
        <v>0.2</v>
      </c>
      <c r="I35" s="18" t="n">
        <v>2</v>
      </c>
      <c r="J35" s="19" t="n">
        <v>0.952119402261848</v>
      </c>
      <c r="K35" s="19" t="n">
        <v>0.56334650720133</v>
      </c>
      <c r="L35" s="16" t="n">
        <v>11.7699349870983</v>
      </c>
      <c r="M35" s="19" t="n">
        <v>0.505860724301972</v>
      </c>
      <c r="N35" s="19" t="n">
        <v>1.37182207912999</v>
      </c>
      <c r="O35" s="19" t="n">
        <v>1.36786566482087</v>
      </c>
      <c r="P35" s="19" t="n">
        <v>0.761453562899943</v>
      </c>
      <c r="Q35" s="17" t="s">
        <v>31</v>
      </c>
      <c r="R35" s="5" t="str">
        <f aca="false">IF(OR(Q35="Steel plate",Q35="Concrete jacket"),"Steel plate or jacket",Q35)</f>
        <v>Polymer laminate</v>
      </c>
      <c r="S35" s="5" t="str">
        <f aca="false">IF(O35&lt;='Tree rules'!$C$4,IF(N35&lt;='Tree rules'!$C$5,IF(P35&lt;='Tree rules'!$C$6,"Monitor","Polymer laminate"),IF(P35&lt;='Tree rules'!$C$7,"Seal cracks","Polymer laminate")),IF(O35&lt;='Tree rules'!$C$8,IF(M35&lt;='Tree rules'!$C$9,"Steel plate or jacket","Polymer laminate"),IF(L35&lt;='Tree rules'!$C$10,"Steel plate or jacket","Polymer laminate")))</f>
        <v>Steel plate or jacket</v>
      </c>
      <c r="T35" s="5" t="str">
        <f aca="false">IF(S35=R35,"Yes","No")</f>
        <v>No</v>
      </c>
    </row>
    <row r="36" customFormat="false" ht="15" hidden="false" customHeight="false" outlineLevel="0" collapsed="false">
      <c r="A36" s="15" t="n">
        <v>102</v>
      </c>
      <c r="B36" s="16" t="n">
        <v>5.9240750064171</v>
      </c>
      <c r="C36" s="15" t="n">
        <v>230</v>
      </c>
      <c r="D36" s="15" t="n">
        <v>550</v>
      </c>
      <c r="E36" s="15" t="n">
        <v>25</v>
      </c>
      <c r="F36" s="16" t="n">
        <v>0.520346609290235</v>
      </c>
      <c r="G36" s="17" t="s">
        <v>89</v>
      </c>
      <c r="H36" s="18" t="n">
        <v>0.3</v>
      </c>
      <c r="I36" s="18" t="n">
        <v>2</v>
      </c>
      <c r="J36" s="19" t="n">
        <v>0.934929360050391</v>
      </c>
      <c r="K36" s="19" t="n">
        <v>0.614494806376607</v>
      </c>
      <c r="L36" s="16" t="n">
        <v>11.7541170762244</v>
      </c>
      <c r="M36" s="19" t="n">
        <v>0.746868469204936</v>
      </c>
      <c r="N36" s="19" t="n">
        <v>0.889726487521364</v>
      </c>
      <c r="O36" s="19" t="n">
        <v>1.29534948402081</v>
      </c>
      <c r="P36" s="19" t="n">
        <v>0.466446402317244</v>
      </c>
      <c r="Q36" s="17" t="s">
        <v>31</v>
      </c>
      <c r="R36" s="5" t="str">
        <f aca="false">IF(OR(Q36="Steel plate",Q36="Concrete jacket"),"Steel plate or jacket",Q36)</f>
        <v>Polymer laminate</v>
      </c>
      <c r="S36" s="5" t="str">
        <f aca="false">IF(O36&lt;='Tree rules'!$C$4,IF(N36&lt;='Tree rules'!$C$5,IF(P36&lt;='Tree rules'!$C$6,"Monitor","Polymer laminate"),IF(P36&lt;='Tree rules'!$C$7,"Seal cracks","Polymer laminate")),IF(O36&lt;='Tree rules'!$C$8,IF(M36&lt;='Tree rules'!$C$9,"Steel plate or jacket","Polymer laminate"),IF(L36&lt;='Tree rules'!$C$10,"Steel plate or jacket","Polymer laminate")))</f>
        <v>Steel plate or jacket</v>
      </c>
      <c r="T36" s="5" t="str">
        <f aca="false">IF(S36=R36,"Yes","No")</f>
        <v>No</v>
      </c>
    </row>
    <row r="37" customFormat="false" ht="15" hidden="false" customHeight="false" outlineLevel="0" collapsed="false">
      <c r="A37" s="15" t="n">
        <v>103</v>
      </c>
      <c r="B37" s="16" t="n">
        <v>3.53701658566395</v>
      </c>
      <c r="C37" s="15" t="n">
        <v>230</v>
      </c>
      <c r="D37" s="15" t="n">
        <v>300</v>
      </c>
      <c r="E37" s="15" t="n">
        <v>30</v>
      </c>
      <c r="F37" s="16" t="n">
        <v>0.768324290280112</v>
      </c>
      <c r="G37" s="17" t="s">
        <v>89</v>
      </c>
      <c r="H37" s="18" t="n">
        <v>0.3</v>
      </c>
      <c r="I37" s="18" t="n">
        <v>1.5</v>
      </c>
      <c r="J37" s="19" t="n">
        <v>0.954924009309126</v>
      </c>
      <c r="K37" s="19" t="n">
        <v>0.572663590396874</v>
      </c>
      <c r="L37" s="16" t="n">
        <v>13.8164710377498</v>
      </c>
      <c r="M37" s="19" t="n">
        <v>0.785916168076786</v>
      </c>
      <c r="N37" s="19" t="n">
        <v>0.774813107199871</v>
      </c>
      <c r="O37" s="19" t="n">
        <v>1.15896090810012</v>
      </c>
      <c r="P37" s="19" t="n">
        <v>0.506562557784904</v>
      </c>
      <c r="Q37" s="17" t="s">
        <v>31</v>
      </c>
      <c r="R37" s="5" t="str">
        <f aca="false">IF(OR(Q37="Steel plate",Q37="Concrete jacket"),"Steel plate or jacket",Q37)</f>
        <v>Polymer laminate</v>
      </c>
      <c r="S37" s="5" t="str">
        <f aca="false">IF(O37&lt;='Tree rules'!$C$4,IF(N37&lt;='Tree rules'!$C$5,IF(P37&lt;='Tree rules'!$C$6,"Monitor","Polymer laminate"),IF(P37&lt;='Tree rules'!$C$7,"Seal cracks","Polymer laminate")),IF(O37&lt;='Tree rules'!$C$8,IF(M37&lt;='Tree rules'!$C$9,"Steel plate or jacket","Polymer laminate"),IF(L37&lt;='Tree rules'!$C$10,"Steel plate or jacket","Polymer laminate")))</f>
        <v>Polymer laminate</v>
      </c>
      <c r="T37" s="5" t="str">
        <f aca="false">IF(S37=R37,"Yes","No")</f>
        <v>Yes</v>
      </c>
    </row>
    <row r="38" customFormat="false" ht="15" hidden="false" customHeight="false" outlineLevel="0" collapsed="false">
      <c r="A38" s="15" t="n">
        <v>106</v>
      </c>
      <c r="B38" s="16" t="n">
        <v>7.09708206409413</v>
      </c>
      <c r="C38" s="15" t="n">
        <v>300</v>
      </c>
      <c r="D38" s="15" t="n">
        <v>625</v>
      </c>
      <c r="E38" s="15" t="n">
        <v>25</v>
      </c>
      <c r="F38" s="16" t="n">
        <v>0.578762031749415</v>
      </c>
      <c r="G38" s="17" t="s">
        <v>91</v>
      </c>
      <c r="H38" s="18" t="n">
        <v>0.2</v>
      </c>
      <c r="I38" s="18" t="n">
        <v>2</v>
      </c>
      <c r="J38" s="19" t="n">
        <v>0.906842104981683</v>
      </c>
      <c r="K38" s="19" t="n">
        <v>0.462249628212796</v>
      </c>
      <c r="L38" s="16" t="n">
        <v>12.2574819759829</v>
      </c>
      <c r="M38" s="19" t="n">
        <v>0.865990640831621</v>
      </c>
      <c r="N38" s="19" t="n">
        <v>1.30308951442678</v>
      </c>
      <c r="O38" s="19" t="n">
        <v>1.39449678408787</v>
      </c>
      <c r="P38" s="19" t="n">
        <v>0.453320210943563</v>
      </c>
      <c r="Q38" s="17" t="s">
        <v>31</v>
      </c>
      <c r="R38" s="5" t="str">
        <f aca="false">IF(OR(Q38="Steel plate",Q38="Concrete jacket"),"Steel plate or jacket",Q38)</f>
        <v>Polymer laminate</v>
      </c>
      <c r="S38" s="5" t="str">
        <f aca="false">IF(O38&lt;='Tree rules'!$C$4,IF(N38&lt;='Tree rules'!$C$5,IF(P38&lt;='Tree rules'!$C$6,"Monitor","Polymer laminate"),IF(P38&lt;='Tree rules'!$C$7,"Seal cracks","Polymer laminate")),IF(O38&lt;='Tree rules'!$C$8,IF(M38&lt;='Tree rules'!$C$9,"Steel plate or jacket","Polymer laminate"),IF(L38&lt;='Tree rules'!$C$10,"Steel plate or jacket","Polymer laminate")))</f>
        <v>Steel plate or jacket</v>
      </c>
      <c r="T38" s="5" t="str">
        <f aca="false">IF(S38=R38,"Yes","No")</f>
        <v>No</v>
      </c>
    </row>
    <row r="39" customFormat="false" ht="15" hidden="false" customHeight="false" outlineLevel="0" collapsed="false">
      <c r="A39" s="15" t="n">
        <v>107</v>
      </c>
      <c r="B39" s="16" t="n">
        <v>5.94070642397051</v>
      </c>
      <c r="C39" s="15" t="n">
        <v>230</v>
      </c>
      <c r="D39" s="15" t="n">
        <v>500</v>
      </c>
      <c r="E39" s="15" t="n">
        <v>30</v>
      </c>
      <c r="F39" s="16" t="n">
        <v>0.770204672782022</v>
      </c>
      <c r="G39" s="17" t="s">
        <v>91</v>
      </c>
      <c r="H39" s="18" t="n">
        <v>0.2</v>
      </c>
      <c r="I39" s="18" t="n">
        <v>1.5</v>
      </c>
      <c r="J39" s="19" t="n">
        <v>0.864399934103581</v>
      </c>
      <c r="K39" s="19" t="n">
        <v>0.646001865519643</v>
      </c>
      <c r="L39" s="16" t="n">
        <v>13.0852564404637</v>
      </c>
      <c r="M39" s="19" t="n">
        <v>0.897206944746806</v>
      </c>
      <c r="N39" s="19" t="n">
        <v>0.939429995605529</v>
      </c>
      <c r="O39" s="19" t="n">
        <v>1.01739791616239</v>
      </c>
      <c r="P39" s="19" t="n">
        <v>0.489454311434863</v>
      </c>
      <c r="Q39" s="17" t="s">
        <v>31</v>
      </c>
      <c r="R39" s="5" t="str">
        <f aca="false">IF(OR(Q39="Steel plate",Q39="Concrete jacket"),"Steel plate or jacket",Q39)</f>
        <v>Polymer laminate</v>
      </c>
      <c r="S39" s="5" t="str">
        <f aca="false">IF(O39&lt;='Tree rules'!$C$4,IF(N39&lt;='Tree rules'!$C$5,IF(P39&lt;='Tree rules'!$C$6,"Monitor","Polymer laminate"),IF(P39&lt;='Tree rules'!$C$7,"Seal cracks","Polymer laminate")),IF(O39&lt;='Tree rules'!$C$8,IF(M39&lt;='Tree rules'!$C$9,"Steel plate or jacket","Polymer laminate"),IF(L39&lt;='Tree rules'!$C$10,"Steel plate or jacket","Polymer laminate")))</f>
        <v>Polymer laminate</v>
      </c>
      <c r="T39" s="5" t="str">
        <f aca="false">IF(S39=R39,"Yes","No")</f>
        <v>Yes</v>
      </c>
    </row>
    <row r="40" customFormat="false" ht="15" hidden="false" customHeight="false" outlineLevel="0" collapsed="false">
      <c r="A40" s="15" t="n">
        <v>108</v>
      </c>
      <c r="B40" s="16" t="n">
        <v>6.96921555042961</v>
      </c>
      <c r="C40" s="15" t="n">
        <v>300</v>
      </c>
      <c r="D40" s="15" t="n">
        <v>650</v>
      </c>
      <c r="E40" s="15" t="n">
        <v>20</v>
      </c>
      <c r="F40" s="16" t="n">
        <v>0.554806649640582</v>
      </c>
      <c r="G40" s="17" t="s">
        <v>89</v>
      </c>
      <c r="H40" s="18" t="n">
        <v>0.3</v>
      </c>
      <c r="I40" s="18" t="n">
        <v>1</v>
      </c>
      <c r="J40" s="19" t="n">
        <v>0.899104223935496</v>
      </c>
      <c r="K40" s="19" t="n">
        <v>0.485312971276452</v>
      </c>
      <c r="L40" s="16" t="n">
        <v>11.5384363417709</v>
      </c>
      <c r="M40" s="19" t="n">
        <v>0.33110106439301</v>
      </c>
      <c r="N40" s="19" t="n">
        <v>0.603701734649569</v>
      </c>
      <c r="O40" s="19" t="n">
        <v>0.899104223935496</v>
      </c>
      <c r="P40" s="19" t="n">
        <v>0.856077814744871</v>
      </c>
      <c r="Q40" s="17" t="s">
        <v>29</v>
      </c>
      <c r="R40" s="5" t="str">
        <f aca="false">IF(OR(Q40="Steel plate",Q40="Concrete jacket"),"Steel plate or jacket",Q40)</f>
        <v>Monitor</v>
      </c>
      <c r="S40" s="5" t="str">
        <f aca="false">IF(O40&lt;='Tree rules'!$C$4,IF(N40&lt;='Tree rules'!$C$5,IF(P40&lt;='Tree rules'!$C$6,"Monitor","Polymer laminate"),IF(P40&lt;='Tree rules'!$C$7,"Seal cracks","Polymer laminate")),IF(O40&lt;='Tree rules'!$C$8,IF(M40&lt;='Tree rules'!$C$9,"Steel plate or jacket","Polymer laminate"),IF(L40&lt;='Tree rules'!$C$10,"Steel plate or jacket","Polymer laminate")))</f>
        <v>Monitor</v>
      </c>
      <c r="T40" s="5" t="str">
        <f aca="false">IF(S40=R40,"Yes","No")</f>
        <v>Yes</v>
      </c>
    </row>
    <row r="41" customFormat="false" ht="15" hidden="false" customHeight="false" outlineLevel="0" collapsed="false">
      <c r="A41" s="15" t="n">
        <v>109</v>
      </c>
      <c r="B41" s="16" t="n">
        <v>6.37485696589702</v>
      </c>
      <c r="C41" s="15" t="n">
        <v>300</v>
      </c>
      <c r="D41" s="15" t="n">
        <v>550</v>
      </c>
      <c r="E41" s="15" t="n">
        <v>25</v>
      </c>
      <c r="F41" s="16" t="n">
        <v>0.664887334093078</v>
      </c>
      <c r="G41" s="17" t="s">
        <v>89</v>
      </c>
      <c r="H41" s="18" t="n">
        <v>0.3</v>
      </c>
      <c r="I41" s="18" t="n">
        <v>2</v>
      </c>
      <c r="J41" s="19" t="n">
        <v>0.912704807690369</v>
      </c>
      <c r="K41" s="19" t="n">
        <v>0.439110910513019</v>
      </c>
      <c r="L41" s="16" t="n">
        <v>12.6485257259862</v>
      </c>
      <c r="M41" s="19" t="n">
        <v>0.479978224422894</v>
      </c>
      <c r="N41" s="19" t="n">
        <v>0.961219419172802</v>
      </c>
      <c r="O41" s="19" t="n">
        <v>1.42463097624621</v>
      </c>
      <c r="P41" s="19" t="n">
        <v>0.872083597033548</v>
      </c>
      <c r="Q41" s="17" t="s">
        <v>92</v>
      </c>
      <c r="R41" s="5" t="str">
        <f aca="false">IF(OR(Q41="Steel plate",Q41="Concrete jacket"),"Steel plate or jacket",Q41)</f>
        <v>Steel plate or jacket</v>
      </c>
      <c r="S41" s="5" t="str">
        <f aca="false">IF(O41&lt;='Tree rules'!$C$4,IF(N41&lt;='Tree rules'!$C$5,IF(P41&lt;='Tree rules'!$C$6,"Monitor","Polymer laminate"),IF(P41&lt;='Tree rules'!$C$7,"Seal cracks","Polymer laminate")),IF(O41&lt;='Tree rules'!$C$8,IF(M41&lt;='Tree rules'!$C$9,"Steel plate or jacket","Polymer laminate"),IF(L41&lt;='Tree rules'!$C$10,"Steel plate or jacket","Polymer laminate")))</f>
        <v>Steel plate or jacket</v>
      </c>
      <c r="T41" s="5" t="str">
        <f aca="false">IF(S41=R41,"Yes","No")</f>
        <v>Yes</v>
      </c>
    </row>
    <row r="42" customFormat="false" ht="15" hidden="false" customHeight="false" outlineLevel="0" collapsed="false">
      <c r="A42" s="15" t="n">
        <v>112</v>
      </c>
      <c r="B42" s="16" t="n">
        <v>7.41632569171698</v>
      </c>
      <c r="C42" s="15" t="n">
        <v>300</v>
      </c>
      <c r="D42" s="15" t="n">
        <v>650</v>
      </c>
      <c r="E42" s="15" t="n">
        <v>25</v>
      </c>
      <c r="F42" s="16" t="n">
        <v>0.665767979568698</v>
      </c>
      <c r="G42" s="17" t="s">
        <v>89</v>
      </c>
      <c r="H42" s="18" t="n">
        <v>0.3</v>
      </c>
      <c r="I42" s="18" t="n">
        <v>1</v>
      </c>
      <c r="J42" s="19" t="n">
        <v>0.883493105611232</v>
      </c>
      <c r="K42" s="19" t="n">
        <v>0.618311971950492</v>
      </c>
      <c r="L42" s="16" t="n">
        <v>12.2786849200612</v>
      </c>
      <c r="M42" s="19" t="n">
        <v>0.373820706099661</v>
      </c>
      <c r="N42" s="19" t="n">
        <v>0.566970100619519</v>
      </c>
      <c r="O42" s="19" t="n">
        <v>0.883493105611232</v>
      </c>
      <c r="P42" s="19" t="n">
        <v>0.954377816883764</v>
      </c>
      <c r="Q42" s="17" t="s">
        <v>31</v>
      </c>
      <c r="R42" s="5" t="str">
        <f aca="false">IF(OR(Q42="Steel plate",Q42="Concrete jacket"),"Steel plate or jacket",Q42)</f>
        <v>Polymer laminate</v>
      </c>
      <c r="S42" s="5" t="str">
        <f aca="false">IF(O42&lt;='Tree rules'!$C$4,IF(N42&lt;='Tree rules'!$C$5,IF(P42&lt;='Tree rules'!$C$6,"Monitor","Polymer laminate"),IF(P42&lt;='Tree rules'!$C$7,"Seal cracks","Polymer laminate")),IF(O42&lt;='Tree rules'!$C$8,IF(M42&lt;='Tree rules'!$C$9,"Steel plate or jacket","Polymer laminate"),IF(L42&lt;='Tree rules'!$C$10,"Steel plate or jacket","Polymer laminate")))</f>
        <v>Monitor</v>
      </c>
      <c r="T42" s="5" t="str">
        <f aca="false">IF(S42=R42,"Yes","No")</f>
        <v>No</v>
      </c>
    </row>
    <row r="43" customFormat="false" ht="15" hidden="false" customHeight="false" outlineLevel="0" collapsed="false">
      <c r="A43" s="15" t="n">
        <v>113</v>
      </c>
      <c r="B43" s="16" t="n">
        <v>7.83937226458417</v>
      </c>
      <c r="C43" s="15" t="n">
        <v>300</v>
      </c>
      <c r="D43" s="15" t="n">
        <v>675</v>
      </c>
      <c r="E43" s="15" t="n">
        <v>30</v>
      </c>
      <c r="F43" s="16" t="n">
        <v>0.545770710721354</v>
      </c>
      <c r="G43" s="17" t="s">
        <v>90</v>
      </c>
      <c r="H43" s="18" t="n">
        <v>0.1</v>
      </c>
      <c r="I43" s="18" t="n">
        <v>1.5</v>
      </c>
      <c r="J43" s="19" t="n">
        <v>0.989171655394064</v>
      </c>
      <c r="K43" s="19" t="n">
        <v>0.464796697822854</v>
      </c>
      <c r="L43" s="16" t="n">
        <v>12.7677072713097</v>
      </c>
      <c r="M43" s="19" t="n">
        <v>0.397827424822979</v>
      </c>
      <c r="N43" s="19" t="n">
        <v>3.34441742566444</v>
      </c>
      <c r="O43" s="19" t="n">
        <v>1.25387562358753</v>
      </c>
      <c r="P43" s="19" t="n">
        <v>0.792736828054451</v>
      </c>
      <c r="Q43" s="17" t="s">
        <v>31</v>
      </c>
      <c r="R43" s="5" t="str">
        <f aca="false">IF(OR(Q43="Steel plate",Q43="Concrete jacket"),"Steel plate or jacket",Q43)</f>
        <v>Polymer laminate</v>
      </c>
      <c r="S43" s="5" t="str">
        <f aca="false">IF(O43&lt;='Tree rules'!$C$4,IF(N43&lt;='Tree rules'!$C$5,IF(P43&lt;='Tree rules'!$C$6,"Monitor","Polymer laminate"),IF(P43&lt;='Tree rules'!$C$7,"Seal cracks","Polymer laminate")),IF(O43&lt;='Tree rules'!$C$8,IF(M43&lt;='Tree rules'!$C$9,"Steel plate or jacket","Polymer laminate"),IF(L43&lt;='Tree rules'!$C$10,"Steel plate or jacket","Polymer laminate")))</f>
        <v>Polymer laminate</v>
      </c>
      <c r="T43" s="5" t="str">
        <f aca="false">IF(S43=R43,"Yes","No")</f>
        <v>Yes</v>
      </c>
    </row>
    <row r="44" customFormat="false" ht="15" hidden="false" customHeight="false" outlineLevel="0" collapsed="false">
      <c r="A44" s="15" t="n">
        <v>114</v>
      </c>
      <c r="B44" s="16" t="n">
        <v>4.4412272812347</v>
      </c>
      <c r="C44" s="15" t="n">
        <v>300</v>
      </c>
      <c r="D44" s="15" t="n">
        <v>400</v>
      </c>
      <c r="E44" s="15" t="n">
        <v>30</v>
      </c>
      <c r="F44" s="16" t="n">
        <v>0.55277290092489</v>
      </c>
      <c r="G44" s="17" t="s">
        <v>90</v>
      </c>
      <c r="H44" s="18" t="n">
        <v>0.1</v>
      </c>
      <c r="I44" s="18" t="n">
        <v>1</v>
      </c>
      <c r="J44" s="19" t="n">
        <v>0.903975813049828</v>
      </c>
      <c r="K44" s="19" t="n">
        <v>0.637822551402469</v>
      </c>
      <c r="L44" s="16" t="n">
        <v>13.0241269244419</v>
      </c>
      <c r="M44" s="19" t="n">
        <v>0.92532535986203</v>
      </c>
      <c r="N44" s="19" t="n">
        <v>2.12509269214652</v>
      </c>
      <c r="O44" s="19" t="n">
        <v>0.903975813049828</v>
      </c>
      <c r="P44" s="19" t="n">
        <v>0.290801351789645</v>
      </c>
      <c r="Q44" s="17" t="s">
        <v>30</v>
      </c>
      <c r="R44" s="5" t="str">
        <f aca="false">IF(OR(Q44="Steel plate",Q44="Concrete jacket"),"Steel plate or jacket",Q44)</f>
        <v>Seal cracks</v>
      </c>
      <c r="S44" s="5" t="str">
        <f aca="false">IF(O44&lt;='Tree rules'!$C$4,IF(N44&lt;='Tree rules'!$C$5,IF(P44&lt;='Tree rules'!$C$6,"Monitor","Polymer laminate"),IF(P44&lt;='Tree rules'!$C$7,"Seal cracks","Polymer laminate")),IF(O44&lt;='Tree rules'!$C$8,IF(M44&lt;='Tree rules'!$C$9,"Steel plate or jacket","Polymer laminate"),IF(L44&lt;='Tree rules'!$C$10,"Steel plate or jacket","Polymer laminate")))</f>
        <v>Seal cracks</v>
      </c>
      <c r="T44" s="5" t="str">
        <f aca="false">IF(S44=R44,"Yes","No")</f>
        <v>Yes</v>
      </c>
    </row>
    <row r="45" customFormat="false" ht="15" hidden="false" customHeight="false" outlineLevel="0" collapsed="false">
      <c r="A45" s="15" t="n">
        <v>117</v>
      </c>
      <c r="B45" s="16" t="n">
        <v>4.83311590502212</v>
      </c>
      <c r="C45" s="15" t="n">
        <v>300</v>
      </c>
      <c r="D45" s="15" t="n">
        <v>475</v>
      </c>
      <c r="E45" s="15" t="n">
        <v>25</v>
      </c>
      <c r="F45" s="16" t="n">
        <v>0.762522488735387</v>
      </c>
      <c r="G45" s="17" t="s">
        <v>90</v>
      </c>
      <c r="H45" s="18" t="n">
        <v>0.1</v>
      </c>
      <c r="I45" s="18" t="n">
        <v>1.5</v>
      </c>
      <c r="J45" s="19" t="n">
        <v>0.980688401067058</v>
      </c>
      <c r="K45" s="19" t="n">
        <v>0.478627427745979</v>
      </c>
      <c r="L45" s="16" t="n">
        <v>11.7308638471411</v>
      </c>
      <c r="M45" s="19" t="n">
        <v>0.918989103628343</v>
      </c>
      <c r="N45" s="19" t="n">
        <v>3.49466262680655</v>
      </c>
      <c r="O45" s="19" t="n">
        <v>1.23634041818907</v>
      </c>
      <c r="P45" s="19" t="n">
        <v>0.415792464040245</v>
      </c>
      <c r="Q45" s="17" t="s">
        <v>31</v>
      </c>
      <c r="R45" s="5" t="str">
        <f aca="false">IF(OR(Q45="Steel plate",Q45="Concrete jacket"),"Steel plate or jacket",Q45)</f>
        <v>Polymer laminate</v>
      </c>
      <c r="S45" s="5" t="str">
        <f aca="false">IF(O45&lt;='Tree rules'!$C$4,IF(N45&lt;='Tree rules'!$C$5,IF(P45&lt;='Tree rules'!$C$6,"Monitor","Polymer laminate"),IF(P45&lt;='Tree rules'!$C$7,"Seal cracks","Polymer laminate")),IF(O45&lt;='Tree rules'!$C$8,IF(M45&lt;='Tree rules'!$C$9,"Steel plate or jacket","Polymer laminate"),IF(L45&lt;='Tree rules'!$C$10,"Steel plate or jacket","Polymer laminate")))</f>
        <v>Polymer laminate</v>
      </c>
      <c r="T45" s="5" t="str">
        <f aca="false">IF(S45=R45,"Yes","No")</f>
        <v>Yes</v>
      </c>
    </row>
    <row r="46" customFormat="false" ht="15" hidden="false" customHeight="false" outlineLevel="0" collapsed="false">
      <c r="A46" s="15" t="n">
        <v>121</v>
      </c>
      <c r="B46" s="16" t="n">
        <v>3.52784467357524</v>
      </c>
      <c r="C46" s="15" t="n">
        <v>230</v>
      </c>
      <c r="D46" s="15" t="n">
        <v>300</v>
      </c>
      <c r="E46" s="15" t="n">
        <v>30</v>
      </c>
      <c r="F46" s="16" t="n">
        <v>0.576243217710084</v>
      </c>
      <c r="G46" s="17" t="s">
        <v>89</v>
      </c>
      <c r="H46" s="18" t="n">
        <v>0.3</v>
      </c>
      <c r="I46" s="18" t="n">
        <v>2</v>
      </c>
      <c r="J46" s="19" t="n">
        <v>0.87910537541837</v>
      </c>
      <c r="K46" s="19" t="n">
        <v>0.428430774250678</v>
      </c>
      <c r="L46" s="16" t="n">
        <v>13.7806432561533</v>
      </c>
      <c r="M46" s="19" t="n">
        <v>0.405544527072724</v>
      </c>
      <c r="N46" s="19" t="n">
        <v>1.07249188441621</v>
      </c>
      <c r="O46" s="19" t="n">
        <v>1.38157495419831</v>
      </c>
      <c r="P46" s="19" t="n">
        <v>0.709591678712006</v>
      </c>
      <c r="Q46" s="17" t="s">
        <v>31</v>
      </c>
      <c r="R46" s="5" t="str">
        <f aca="false">IF(OR(Q46="Steel plate",Q46="Concrete jacket"),"Steel plate or jacket",Q46)</f>
        <v>Polymer laminate</v>
      </c>
      <c r="S46" s="5" t="str">
        <f aca="false">IF(O46&lt;='Tree rules'!$C$4,IF(N46&lt;='Tree rules'!$C$5,IF(P46&lt;='Tree rules'!$C$6,"Monitor","Polymer laminate"),IF(P46&lt;='Tree rules'!$C$7,"Seal cracks","Polymer laminate")),IF(O46&lt;='Tree rules'!$C$8,IF(M46&lt;='Tree rules'!$C$9,"Steel plate or jacket","Polymer laminate"),IF(L46&lt;='Tree rules'!$C$10,"Steel plate or jacket","Polymer laminate")))</f>
        <v>Polymer laminate</v>
      </c>
      <c r="T46" s="5" t="str">
        <f aca="false">IF(S46=R46,"Yes","No")</f>
        <v>Yes</v>
      </c>
    </row>
    <row r="47" customFormat="false" ht="15" hidden="false" customHeight="false" outlineLevel="0" collapsed="false">
      <c r="A47" s="15" t="n">
        <v>122</v>
      </c>
      <c r="B47" s="16" t="n">
        <v>4.9833636240671</v>
      </c>
      <c r="C47" s="15" t="n">
        <v>230</v>
      </c>
      <c r="D47" s="15" t="n">
        <v>450</v>
      </c>
      <c r="E47" s="15" t="n">
        <v>30</v>
      </c>
      <c r="F47" s="16" t="n">
        <v>0.649145274956135</v>
      </c>
      <c r="G47" s="17" t="s">
        <v>89</v>
      </c>
      <c r="H47" s="18" t="n">
        <v>0.3</v>
      </c>
      <c r="I47" s="18" t="n">
        <v>1</v>
      </c>
      <c r="J47" s="19" t="n">
        <v>0.927304372264938</v>
      </c>
      <c r="K47" s="19" t="n">
        <v>0.617926234856915</v>
      </c>
      <c r="L47" s="16" t="n">
        <v>12.3350584754136</v>
      </c>
      <c r="M47" s="19" t="n">
        <v>0.296613169512939</v>
      </c>
      <c r="N47" s="19" t="n">
        <v>0.709410470343228</v>
      </c>
      <c r="O47" s="19" t="n">
        <v>0.927304372264938</v>
      </c>
      <c r="P47" s="19" t="n">
        <v>1.04186700905176</v>
      </c>
      <c r="Q47" s="17" t="s">
        <v>31</v>
      </c>
      <c r="R47" s="5" t="str">
        <f aca="false">IF(OR(Q47="Steel plate",Q47="Concrete jacket"),"Steel plate or jacket",Q47)</f>
        <v>Polymer laminate</v>
      </c>
      <c r="S47" s="5" t="str">
        <f aca="false">IF(O47&lt;='Tree rules'!$C$4,IF(N47&lt;='Tree rules'!$C$5,IF(P47&lt;='Tree rules'!$C$6,"Monitor","Polymer laminate"),IF(P47&lt;='Tree rules'!$C$7,"Seal cracks","Polymer laminate")),IF(O47&lt;='Tree rules'!$C$8,IF(M47&lt;='Tree rules'!$C$9,"Steel plate or jacket","Polymer laminate"),IF(L47&lt;='Tree rules'!$C$10,"Steel plate or jacket","Polymer laminate")))</f>
        <v>Polymer laminate</v>
      </c>
      <c r="T47" s="5" t="str">
        <f aca="false">IF(S47=R47,"Yes","No")</f>
        <v>Yes</v>
      </c>
    </row>
    <row r="48" customFormat="false" ht="15" hidden="false" customHeight="false" outlineLevel="0" collapsed="false">
      <c r="A48" s="15" t="n">
        <v>128</v>
      </c>
      <c r="B48" s="16" t="n">
        <v>4.538612211332</v>
      </c>
      <c r="C48" s="15" t="n">
        <v>300</v>
      </c>
      <c r="D48" s="15" t="n">
        <v>425</v>
      </c>
      <c r="E48" s="15" t="n">
        <v>30</v>
      </c>
      <c r="F48" s="16" t="n">
        <v>0.593686800678386</v>
      </c>
      <c r="G48" s="17" t="s">
        <v>89</v>
      </c>
      <c r="H48" s="18" t="n">
        <v>0.3</v>
      </c>
      <c r="I48" s="18" t="n">
        <v>1</v>
      </c>
      <c r="J48" s="19" t="n">
        <v>0.918326118173181</v>
      </c>
      <c r="K48" s="19" t="n">
        <v>0.595508146761106</v>
      </c>
      <c r="L48" s="16" t="n">
        <v>11.9123680087454</v>
      </c>
      <c r="M48" s="19" t="n">
        <v>0.623228981332501</v>
      </c>
      <c r="N48" s="19" t="n">
        <v>0.575045951048318</v>
      </c>
      <c r="O48" s="19" t="n">
        <v>0.918326118173181</v>
      </c>
      <c r="P48" s="19" t="n">
        <v>0.453593100143248</v>
      </c>
      <c r="Q48" s="17" t="s">
        <v>29</v>
      </c>
      <c r="R48" s="5" t="str">
        <f aca="false">IF(OR(Q48="Steel plate",Q48="Concrete jacket"),"Steel plate or jacket",Q48)</f>
        <v>Monitor</v>
      </c>
      <c r="S48" s="5" t="str">
        <f aca="false">IF(O48&lt;='Tree rules'!$C$4,IF(N48&lt;='Tree rules'!$C$5,IF(P48&lt;='Tree rules'!$C$6,"Monitor","Polymer laminate"),IF(P48&lt;='Tree rules'!$C$7,"Seal cracks","Polymer laminate")),IF(O48&lt;='Tree rules'!$C$8,IF(M48&lt;='Tree rules'!$C$9,"Steel plate or jacket","Polymer laminate"),IF(L48&lt;='Tree rules'!$C$10,"Steel plate or jacket","Polymer laminate")))</f>
        <v>Monitor</v>
      </c>
      <c r="T48" s="5" t="str">
        <f aca="false">IF(S48=R48,"Yes","No")</f>
        <v>Yes</v>
      </c>
    </row>
    <row r="49" customFormat="false" ht="15" hidden="false" customHeight="false" outlineLevel="0" collapsed="false">
      <c r="A49" s="15" t="n">
        <v>131</v>
      </c>
      <c r="B49" s="16" t="n">
        <v>6.82782195215415</v>
      </c>
      <c r="C49" s="15" t="n">
        <v>300</v>
      </c>
      <c r="D49" s="15" t="n">
        <v>650</v>
      </c>
      <c r="E49" s="15" t="n">
        <v>20</v>
      </c>
      <c r="F49" s="16" t="n">
        <v>0.695812326376477</v>
      </c>
      <c r="G49" s="17" t="s">
        <v>89</v>
      </c>
      <c r="H49" s="18" t="n">
        <v>0.3</v>
      </c>
      <c r="I49" s="18" t="n">
        <v>1</v>
      </c>
      <c r="J49" s="19" t="n">
        <v>0.938079127847432</v>
      </c>
      <c r="K49" s="19" t="n">
        <v>0.557886561308875</v>
      </c>
      <c r="L49" s="16" t="n">
        <v>11.3418969304886</v>
      </c>
      <c r="M49" s="19" t="n">
        <v>0.387654101001804</v>
      </c>
      <c r="N49" s="19" t="n">
        <v>0.661365165564453</v>
      </c>
      <c r="O49" s="19" t="n">
        <v>0.938079127847432</v>
      </c>
      <c r="P49" s="19" t="n">
        <v>0.941287064521885</v>
      </c>
      <c r="Q49" s="17" t="s">
        <v>29</v>
      </c>
      <c r="R49" s="5" t="str">
        <f aca="false">IF(OR(Q49="Steel plate",Q49="Concrete jacket"),"Steel plate or jacket",Q49)</f>
        <v>Monitor</v>
      </c>
      <c r="S49" s="5" t="str">
        <f aca="false">IF(O49&lt;='Tree rules'!$C$4,IF(N49&lt;='Tree rules'!$C$5,IF(P49&lt;='Tree rules'!$C$6,"Monitor","Polymer laminate"),IF(P49&lt;='Tree rules'!$C$7,"Seal cracks","Polymer laminate")),IF(O49&lt;='Tree rules'!$C$8,IF(M49&lt;='Tree rules'!$C$9,"Steel plate or jacket","Polymer laminate"),IF(L49&lt;='Tree rules'!$C$10,"Steel plate or jacket","Polymer laminate")))</f>
        <v>Monitor</v>
      </c>
      <c r="T49" s="5" t="str">
        <f aca="false">IF(S49=R49,"Yes","No")</f>
        <v>Yes</v>
      </c>
    </row>
    <row r="50" customFormat="false" ht="15" hidden="false" customHeight="false" outlineLevel="0" collapsed="false">
      <c r="A50" s="15" t="n">
        <v>132</v>
      </c>
      <c r="B50" s="16" t="n">
        <v>3.62410384775349</v>
      </c>
      <c r="C50" s="15" t="n">
        <v>230</v>
      </c>
      <c r="D50" s="15" t="n">
        <v>325</v>
      </c>
      <c r="E50" s="15" t="n">
        <v>25</v>
      </c>
      <c r="F50" s="16" t="n">
        <v>0.699968036696473</v>
      </c>
      <c r="G50" s="17" t="s">
        <v>89</v>
      </c>
      <c r="H50" s="18" t="n">
        <v>0.3</v>
      </c>
      <c r="I50" s="18" t="n">
        <v>1</v>
      </c>
      <c r="J50" s="19" t="n">
        <v>0.958492843161477</v>
      </c>
      <c r="K50" s="19" t="n">
        <v>0.42933463065229</v>
      </c>
      <c r="L50" s="16" t="n">
        <v>12.8971667179839</v>
      </c>
      <c r="M50" s="19" t="n">
        <v>0.953923029421843</v>
      </c>
      <c r="N50" s="19" t="n">
        <v>0.586340352573396</v>
      </c>
      <c r="O50" s="19" t="n">
        <v>0.958492843161477</v>
      </c>
      <c r="P50" s="19" t="n">
        <v>0.331002944586296</v>
      </c>
      <c r="Q50" s="17" t="s">
        <v>29</v>
      </c>
      <c r="R50" s="5" t="str">
        <f aca="false">IF(OR(Q50="Steel plate",Q50="Concrete jacket"),"Steel plate or jacket",Q50)</f>
        <v>Monitor</v>
      </c>
      <c r="S50" s="5" t="str">
        <f aca="false">IF(O50&lt;='Tree rules'!$C$4,IF(N50&lt;='Tree rules'!$C$5,IF(P50&lt;='Tree rules'!$C$6,"Monitor","Polymer laminate"),IF(P50&lt;='Tree rules'!$C$7,"Seal cracks","Polymer laminate")),IF(O50&lt;='Tree rules'!$C$8,IF(M50&lt;='Tree rules'!$C$9,"Steel plate or jacket","Polymer laminate"),IF(L50&lt;='Tree rules'!$C$10,"Steel plate or jacket","Polymer laminate")))</f>
        <v>Monitor</v>
      </c>
      <c r="T50" s="5" t="str">
        <f aca="false">IF(S50=R50,"Yes","No")</f>
        <v>Yes</v>
      </c>
    </row>
    <row r="51" customFormat="false" ht="15" hidden="false" customHeight="false" outlineLevel="0" collapsed="false">
      <c r="A51" s="15" t="n">
        <v>133</v>
      </c>
      <c r="B51" s="16" t="n">
        <v>6.20066454724048</v>
      </c>
      <c r="C51" s="15" t="n">
        <v>300</v>
      </c>
      <c r="D51" s="15" t="n">
        <v>600</v>
      </c>
      <c r="E51" s="15" t="n">
        <v>30</v>
      </c>
      <c r="F51" s="16" t="n">
        <v>0.758838805214926</v>
      </c>
      <c r="G51" s="17" t="s">
        <v>89</v>
      </c>
      <c r="H51" s="18" t="n">
        <v>0.3</v>
      </c>
      <c r="I51" s="18" t="n">
        <v>1.5</v>
      </c>
      <c r="J51" s="19" t="n">
        <v>0.978429195655805</v>
      </c>
      <c r="K51" s="19" t="n">
        <v>0.462247944909928</v>
      </c>
      <c r="L51" s="16" t="n">
        <v>11.2330879478994</v>
      </c>
      <c r="M51" s="19" t="n">
        <v>0.949409438060031</v>
      </c>
      <c r="N51" s="19" t="n">
        <v>0.834220514816957</v>
      </c>
      <c r="O51" s="19" t="n">
        <v>1.24150535101782</v>
      </c>
      <c r="P51" s="19" t="n">
        <v>0.421579066728084</v>
      </c>
      <c r="Q51" s="17" t="s">
        <v>31</v>
      </c>
      <c r="R51" s="5" t="str">
        <f aca="false">IF(OR(Q51="Steel plate",Q51="Concrete jacket"),"Steel plate or jacket",Q51)</f>
        <v>Polymer laminate</v>
      </c>
      <c r="S51" s="5" t="str">
        <f aca="false">IF(O51&lt;='Tree rules'!$C$4,IF(N51&lt;='Tree rules'!$C$5,IF(P51&lt;='Tree rules'!$C$6,"Monitor","Polymer laminate"),IF(P51&lt;='Tree rules'!$C$7,"Seal cracks","Polymer laminate")),IF(O51&lt;='Tree rules'!$C$8,IF(M51&lt;='Tree rules'!$C$9,"Steel plate or jacket","Polymer laminate"),IF(L51&lt;='Tree rules'!$C$10,"Steel plate or jacket","Polymer laminate")))</f>
        <v>Polymer laminate</v>
      </c>
      <c r="T51" s="5" t="str">
        <f aca="false">IF(S51=R51,"Yes","No")</f>
        <v>Yes</v>
      </c>
    </row>
    <row r="52" customFormat="false" ht="15" hidden="false" customHeight="false" outlineLevel="0" collapsed="false">
      <c r="A52" s="15" t="n">
        <v>135</v>
      </c>
      <c r="B52" s="16" t="n">
        <v>6.63743341913563</v>
      </c>
      <c r="C52" s="15" t="n">
        <v>230</v>
      </c>
      <c r="D52" s="15" t="n">
        <v>575</v>
      </c>
      <c r="E52" s="15" t="n">
        <v>25</v>
      </c>
      <c r="F52" s="16" t="n">
        <v>0.661007412935799</v>
      </c>
      <c r="G52" s="17" t="s">
        <v>91</v>
      </c>
      <c r="H52" s="18" t="n">
        <v>0.2</v>
      </c>
      <c r="I52" s="18" t="n">
        <v>1.5</v>
      </c>
      <c r="J52" s="19" t="n">
        <v>0.952100993128434</v>
      </c>
      <c r="K52" s="19" t="n">
        <v>0.487672147125809</v>
      </c>
      <c r="L52" s="16" t="n">
        <v>12.5471331174587</v>
      </c>
      <c r="M52" s="19" t="n">
        <v>0.47426531635593</v>
      </c>
      <c r="N52" s="19" t="n">
        <v>1.17743122933421</v>
      </c>
      <c r="O52" s="19" t="n">
        <v>1.19599492189287</v>
      </c>
      <c r="P52" s="19" t="n">
        <v>0.828492733768067</v>
      </c>
      <c r="Q52" s="17" t="s">
        <v>31</v>
      </c>
      <c r="R52" s="5" t="str">
        <f aca="false">IF(OR(Q52="Steel plate",Q52="Concrete jacket"),"Steel plate or jacket",Q52)</f>
        <v>Polymer laminate</v>
      </c>
      <c r="S52" s="5" t="str">
        <f aca="false">IF(O52&lt;='Tree rules'!$C$4,IF(N52&lt;='Tree rules'!$C$5,IF(P52&lt;='Tree rules'!$C$6,"Monitor","Polymer laminate"),IF(P52&lt;='Tree rules'!$C$7,"Seal cracks","Polymer laminate")),IF(O52&lt;='Tree rules'!$C$8,IF(M52&lt;='Tree rules'!$C$9,"Steel plate or jacket","Polymer laminate"),IF(L52&lt;='Tree rules'!$C$10,"Steel plate or jacket","Polymer laminate")))</f>
        <v>Polymer laminate</v>
      </c>
      <c r="T52" s="5" t="str">
        <f aca="false">IF(S52=R52,"Yes","No")</f>
        <v>Yes</v>
      </c>
    </row>
    <row r="53" customFormat="false" ht="15" hidden="false" customHeight="false" outlineLevel="0" collapsed="false">
      <c r="A53" s="15" t="n">
        <v>136</v>
      </c>
      <c r="B53" s="16" t="n">
        <v>4.08323396331112</v>
      </c>
      <c r="C53" s="15" t="n">
        <v>300</v>
      </c>
      <c r="D53" s="15" t="n">
        <v>375</v>
      </c>
      <c r="E53" s="15" t="n">
        <v>25</v>
      </c>
      <c r="F53" s="16" t="n">
        <v>0.640487798897002</v>
      </c>
      <c r="G53" s="17" t="s">
        <v>89</v>
      </c>
      <c r="H53" s="18" t="n">
        <v>0.3</v>
      </c>
      <c r="I53" s="18" t="n">
        <v>1.5</v>
      </c>
      <c r="J53" s="19" t="n">
        <v>0.850027662462011</v>
      </c>
      <c r="K53" s="19" t="n">
        <v>0.479653499711604</v>
      </c>
      <c r="L53" s="16" t="n">
        <v>12.486954016242</v>
      </c>
      <c r="M53" s="19" t="n">
        <v>0.428614317096921</v>
      </c>
      <c r="N53" s="19" t="n">
        <v>1.24450338013589</v>
      </c>
      <c r="O53" s="19" t="n">
        <v>1.07118212211723</v>
      </c>
      <c r="P53" s="19" t="n">
        <v>0.681111623841629</v>
      </c>
      <c r="Q53" s="17" t="s">
        <v>31</v>
      </c>
      <c r="R53" s="5" t="str">
        <f aca="false">IF(OR(Q53="Steel plate",Q53="Concrete jacket"),"Steel plate or jacket",Q53)</f>
        <v>Polymer laminate</v>
      </c>
      <c r="S53" s="5" t="str">
        <f aca="false">IF(O53&lt;='Tree rules'!$C$4,IF(N53&lt;='Tree rules'!$C$5,IF(P53&lt;='Tree rules'!$C$6,"Monitor","Polymer laminate"),IF(P53&lt;='Tree rules'!$C$7,"Seal cracks","Polymer laminate")),IF(O53&lt;='Tree rules'!$C$8,IF(M53&lt;='Tree rules'!$C$9,"Steel plate or jacket","Polymer laminate"),IF(L53&lt;='Tree rules'!$C$10,"Steel plate or jacket","Polymer laminate")))</f>
        <v>Polymer laminate</v>
      </c>
      <c r="T53" s="5" t="str">
        <f aca="false">IF(S53=R53,"Yes","No")</f>
        <v>Yes</v>
      </c>
    </row>
    <row r="54" customFormat="false" ht="15" hidden="false" customHeight="false" outlineLevel="0" collapsed="false">
      <c r="A54" s="15" t="n">
        <v>137</v>
      </c>
      <c r="B54" s="16" t="n">
        <v>7.14877695035271</v>
      </c>
      <c r="C54" s="15" t="n">
        <v>230</v>
      </c>
      <c r="D54" s="15" t="n">
        <v>600</v>
      </c>
      <c r="E54" s="15" t="n">
        <v>20</v>
      </c>
      <c r="F54" s="16" t="n">
        <v>0.508718752099392</v>
      </c>
      <c r="G54" s="17" t="s">
        <v>90</v>
      </c>
      <c r="H54" s="18" t="n">
        <v>0.1</v>
      </c>
      <c r="I54" s="18" t="n">
        <v>1</v>
      </c>
      <c r="J54" s="19" t="n">
        <v>0.873155548303918</v>
      </c>
      <c r="K54" s="19" t="n">
        <v>0.489309547348797</v>
      </c>
      <c r="L54" s="16" t="n">
        <v>13.3124337995395</v>
      </c>
      <c r="M54" s="19" t="n">
        <v>0.641305815443455</v>
      </c>
      <c r="N54" s="19" t="n">
        <v>2.50733343558034</v>
      </c>
      <c r="O54" s="19" t="n">
        <v>0.873155548303918</v>
      </c>
      <c r="P54" s="19" t="n">
        <v>0.439011408703117</v>
      </c>
      <c r="Q54" s="17" t="s">
        <v>30</v>
      </c>
      <c r="R54" s="5" t="str">
        <f aca="false">IF(OR(Q54="Steel plate",Q54="Concrete jacket"),"Steel plate or jacket",Q54)</f>
        <v>Seal cracks</v>
      </c>
      <c r="S54" s="5" t="str">
        <f aca="false">IF(O54&lt;='Tree rules'!$C$4,IF(N54&lt;='Tree rules'!$C$5,IF(P54&lt;='Tree rules'!$C$6,"Monitor","Polymer laminate"),IF(P54&lt;='Tree rules'!$C$7,"Seal cracks","Polymer laminate")),IF(O54&lt;='Tree rules'!$C$8,IF(M54&lt;='Tree rules'!$C$9,"Steel plate or jacket","Polymer laminate"),IF(L54&lt;='Tree rules'!$C$10,"Steel plate or jacket","Polymer laminate")))</f>
        <v>Seal cracks</v>
      </c>
      <c r="T54" s="5" t="str">
        <f aca="false">IF(S54=R54,"Yes","No")</f>
        <v>Yes</v>
      </c>
    </row>
    <row r="55" customFormat="false" ht="15" hidden="false" customHeight="false" outlineLevel="0" collapsed="false">
      <c r="A55" s="15" t="n">
        <v>138</v>
      </c>
      <c r="B55" s="16" t="n">
        <v>3.70395914705731</v>
      </c>
      <c r="C55" s="15" t="n">
        <v>230</v>
      </c>
      <c r="D55" s="15" t="n">
        <v>300</v>
      </c>
      <c r="E55" s="15" t="n">
        <v>20</v>
      </c>
      <c r="F55" s="16" t="n">
        <v>0.688332522525665</v>
      </c>
      <c r="G55" s="17" t="s">
        <v>89</v>
      </c>
      <c r="H55" s="18" t="n">
        <v>0.3</v>
      </c>
      <c r="I55" s="18" t="n">
        <v>1</v>
      </c>
      <c r="J55" s="19" t="n">
        <v>0.938909826913167</v>
      </c>
      <c r="K55" s="19" t="n">
        <v>0.460688336485784</v>
      </c>
      <c r="L55" s="16" t="n">
        <v>14.5825163269973</v>
      </c>
      <c r="M55" s="19" t="n">
        <v>0.600987002765197</v>
      </c>
      <c r="N55" s="19" t="n">
        <v>0.850868651005504</v>
      </c>
      <c r="O55" s="19" t="n">
        <v>0.938909826913167</v>
      </c>
      <c r="P55" s="19" t="n">
        <v>0.570884888856652</v>
      </c>
      <c r="Q55" s="17" t="s">
        <v>29</v>
      </c>
      <c r="R55" s="5" t="str">
        <f aca="false">IF(OR(Q55="Steel plate",Q55="Concrete jacket"),"Steel plate or jacket",Q55)</f>
        <v>Monitor</v>
      </c>
      <c r="S55" s="5" t="str">
        <f aca="false">IF(O55&lt;='Tree rules'!$C$4,IF(N55&lt;='Tree rules'!$C$5,IF(P55&lt;='Tree rules'!$C$6,"Monitor","Polymer laminate"),IF(P55&lt;='Tree rules'!$C$7,"Seal cracks","Polymer laminate")),IF(O55&lt;='Tree rules'!$C$8,IF(M55&lt;='Tree rules'!$C$9,"Steel plate or jacket","Polymer laminate"),IF(L55&lt;='Tree rules'!$C$10,"Steel plate or jacket","Polymer laminate")))</f>
        <v>Monitor</v>
      </c>
      <c r="T55" s="5" t="str">
        <f aca="false">IF(S55=R55,"Yes","No")</f>
        <v>Yes</v>
      </c>
    </row>
    <row r="56" customFormat="false" ht="15" hidden="false" customHeight="false" outlineLevel="0" collapsed="false">
      <c r="A56" s="15" t="n">
        <v>142</v>
      </c>
      <c r="B56" s="16" t="n">
        <v>7.16222098869457</v>
      </c>
      <c r="C56" s="15" t="n">
        <v>300</v>
      </c>
      <c r="D56" s="15" t="n">
        <v>700</v>
      </c>
      <c r="E56" s="15" t="n">
        <v>25</v>
      </c>
      <c r="F56" s="16" t="n">
        <v>0.614868286941122</v>
      </c>
      <c r="G56" s="17" t="s">
        <v>89</v>
      </c>
      <c r="H56" s="18" t="n">
        <v>0.3</v>
      </c>
      <c r="I56" s="18" t="n">
        <v>1</v>
      </c>
      <c r="J56" s="19" t="n">
        <v>0.92660884518861</v>
      </c>
      <c r="K56" s="19" t="n">
        <v>0.460849346614074</v>
      </c>
      <c r="L56" s="16" t="n">
        <v>10.9514082395941</v>
      </c>
      <c r="M56" s="19" t="n">
        <v>0.669477994847025</v>
      </c>
      <c r="N56" s="19" t="n">
        <v>0.548985862631602</v>
      </c>
      <c r="O56" s="19" t="n">
        <v>0.92660884518861</v>
      </c>
      <c r="P56" s="19" t="n">
        <v>0.43780365047763</v>
      </c>
      <c r="Q56" s="17" t="s">
        <v>29</v>
      </c>
      <c r="R56" s="5" t="str">
        <f aca="false">IF(OR(Q56="Steel plate",Q56="Concrete jacket"),"Steel plate or jacket",Q56)</f>
        <v>Monitor</v>
      </c>
      <c r="S56" s="5" t="str">
        <f aca="false">IF(O56&lt;='Tree rules'!$C$4,IF(N56&lt;='Tree rules'!$C$5,IF(P56&lt;='Tree rules'!$C$6,"Monitor","Polymer laminate"),IF(P56&lt;='Tree rules'!$C$7,"Seal cracks","Polymer laminate")),IF(O56&lt;='Tree rules'!$C$8,IF(M56&lt;='Tree rules'!$C$9,"Steel plate or jacket","Polymer laminate"),IF(L56&lt;='Tree rules'!$C$10,"Steel plate or jacket","Polymer laminate")))</f>
        <v>Monitor</v>
      </c>
      <c r="T56" s="5" t="str">
        <f aca="false">IF(S56=R56,"Yes","No")</f>
        <v>Yes</v>
      </c>
    </row>
    <row r="57" customFormat="false" ht="15" hidden="false" customHeight="false" outlineLevel="0" collapsed="false">
      <c r="A57" s="15" t="n">
        <v>149</v>
      </c>
      <c r="B57" s="16" t="n">
        <v>3.04671987376878</v>
      </c>
      <c r="C57" s="15" t="n">
        <v>300</v>
      </c>
      <c r="D57" s="15" t="n">
        <v>300</v>
      </c>
      <c r="E57" s="15" t="n">
        <v>30</v>
      </c>
      <c r="F57" s="16" t="n">
        <v>0.831109167616348</v>
      </c>
      <c r="G57" s="17" t="s">
        <v>89</v>
      </c>
      <c r="H57" s="18" t="n">
        <v>0.3</v>
      </c>
      <c r="I57" s="18" t="n">
        <v>2</v>
      </c>
      <c r="J57" s="19" t="n">
        <v>0.887353992693537</v>
      </c>
      <c r="K57" s="19" t="n">
        <v>0.473574158760523</v>
      </c>
      <c r="L57" s="16" t="n">
        <v>12.0901582292412</v>
      </c>
      <c r="M57" s="19" t="n">
        <v>0.476161757134261</v>
      </c>
      <c r="N57" s="19" t="n">
        <v>1.53412027623853</v>
      </c>
      <c r="O57" s="19" t="n">
        <v>1.35448006477444</v>
      </c>
      <c r="P57" s="19" t="n">
        <v>0.728473099794347</v>
      </c>
      <c r="Q57" s="17" t="s">
        <v>31</v>
      </c>
      <c r="R57" s="5" t="str">
        <f aca="false">IF(OR(Q57="Steel plate",Q57="Concrete jacket"),"Steel plate or jacket",Q57)</f>
        <v>Polymer laminate</v>
      </c>
      <c r="S57" s="5" t="str">
        <f aca="false">IF(O57&lt;='Tree rules'!$C$4,IF(N57&lt;='Tree rules'!$C$5,IF(P57&lt;='Tree rules'!$C$6,"Monitor","Polymer laminate"),IF(P57&lt;='Tree rules'!$C$7,"Seal cracks","Polymer laminate")),IF(O57&lt;='Tree rules'!$C$8,IF(M57&lt;='Tree rules'!$C$9,"Steel plate or jacket","Polymer laminate"),IF(L57&lt;='Tree rules'!$C$10,"Steel plate or jacket","Polymer laminate")))</f>
        <v>Steel plate or jacket</v>
      </c>
      <c r="T57" s="5" t="str">
        <f aca="false">IF(S57=R57,"Yes","No")</f>
        <v>No</v>
      </c>
    </row>
    <row r="58" customFormat="false" ht="15" hidden="false" customHeight="false" outlineLevel="0" collapsed="false">
      <c r="A58" s="15" t="n">
        <v>151</v>
      </c>
      <c r="B58" s="16" t="n">
        <v>6.57693945262483</v>
      </c>
      <c r="C58" s="15" t="n">
        <v>300</v>
      </c>
      <c r="D58" s="15" t="n">
        <v>625</v>
      </c>
      <c r="E58" s="15" t="n">
        <v>25</v>
      </c>
      <c r="F58" s="16" t="n">
        <v>0.694514438099298</v>
      </c>
      <c r="G58" s="17" t="s">
        <v>91</v>
      </c>
      <c r="H58" s="18" t="n">
        <v>0.2</v>
      </c>
      <c r="I58" s="18" t="n">
        <v>1</v>
      </c>
      <c r="J58" s="19" t="n">
        <v>0.892020832431522</v>
      </c>
      <c r="K58" s="19" t="n">
        <v>0.634015191162149</v>
      </c>
      <c r="L58" s="16" t="n">
        <v>11.3591354967614</v>
      </c>
      <c r="M58" s="19" t="n">
        <v>0.303132556508051</v>
      </c>
      <c r="N58" s="19" t="n">
        <v>0.875157108200702</v>
      </c>
      <c r="O58" s="19" t="n">
        <v>0.892020832431521</v>
      </c>
      <c r="P58" s="19" t="n">
        <v>1.1278493872058</v>
      </c>
      <c r="Q58" s="17" t="s">
        <v>31</v>
      </c>
      <c r="R58" s="5" t="str">
        <f aca="false">IF(OR(Q58="Steel plate",Q58="Concrete jacket"),"Steel plate or jacket",Q58)</f>
        <v>Polymer laminate</v>
      </c>
      <c r="S58" s="5" t="str">
        <f aca="false">IF(O58&lt;='Tree rules'!$C$4,IF(N58&lt;='Tree rules'!$C$5,IF(P58&lt;='Tree rules'!$C$6,"Monitor","Polymer laminate"),IF(P58&lt;='Tree rules'!$C$7,"Seal cracks","Polymer laminate")),IF(O58&lt;='Tree rules'!$C$8,IF(M58&lt;='Tree rules'!$C$9,"Steel plate or jacket","Polymer laminate"),IF(L58&lt;='Tree rules'!$C$10,"Steel plate or jacket","Polymer laminate")))</f>
        <v>Polymer laminate</v>
      </c>
      <c r="T58" s="5" t="str">
        <f aca="false">IF(S58=R58,"Yes","No")</f>
        <v>Yes</v>
      </c>
    </row>
    <row r="59" customFormat="false" ht="15" hidden="false" customHeight="false" outlineLevel="0" collapsed="false">
      <c r="A59" s="15" t="n">
        <v>152</v>
      </c>
      <c r="B59" s="16" t="n">
        <v>4.00500235927839</v>
      </c>
      <c r="C59" s="15" t="n">
        <v>300</v>
      </c>
      <c r="D59" s="15" t="n">
        <v>375</v>
      </c>
      <c r="E59" s="15" t="n">
        <v>30</v>
      </c>
      <c r="F59" s="16" t="n">
        <v>0.640324617292187</v>
      </c>
      <c r="G59" s="17" t="s">
        <v>90</v>
      </c>
      <c r="H59" s="18" t="n">
        <v>0.1</v>
      </c>
      <c r="I59" s="18" t="n">
        <v>1</v>
      </c>
      <c r="J59" s="19" t="n">
        <v>0.895145912760487</v>
      </c>
      <c r="K59" s="19" t="n">
        <v>0.53479289047382</v>
      </c>
      <c r="L59" s="16" t="n">
        <v>12.7547845836891</v>
      </c>
      <c r="M59" s="19" t="n">
        <v>0.441566243793662</v>
      </c>
      <c r="N59" s="19" t="n">
        <v>2.78957515112099</v>
      </c>
      <c r="O59" s="19" t="n">
        <v>0.895145912760488</v>
      </c>
      <c r="P59" s="19" t="n">
        <v>0.547489106564836</v>
      </c>
      <c r="Q59" s="17" t="s">
        <v>30</v>
      </c>
      <c r="R59" s="5" t="str">
        <f aca="false">IF(OR(Q59="Steel plate",Q59="Concrete jacket"),"Steel plate or jacket",Q59)</f>
        <v>Seal cracks</v>
      </c>
      <c r="S59" s="5" t="str">
        <f aca="false">IF(O59&lt;='Tree rules'!$C$4,IF(N59&lt;='Tree rules'!$C$5,IF(P59&lt;='Tree rules'!$C$6,"Monitor","Polymer laminate"),IF(P59&lt;='Tree rules'!$C$7,"Seal cracks","Polymer laminate")),IF(O59&lt;='Tree rules'!$C$8,IF(M59&lt;='Tree rules'!$C$9,"Steel plate or jacket","Polymer laminate"),IF(L59&lt;='Tree rules'!$C$10,"Steel plate or jacket","Polymer laminate")))</f>
        <v>Seal cracks</v>
      </c>
      <c r="T59" s="5" t="str">
        <f aca="false">IF(S59=R59,"Yes","No")</f>
        <v>Yes</v>
      </c>
    </row>
    <row r="60" customFormat="false" ht="15" hidden="false" customHeight="false" outlineLevel="0" collapsed="false">
      <c r="A60" s="15" t="n">
        <v>159</v>
      </c>
      <c r="B60" s="16" t="n">
        <v>5.46233070594918</v>
      </c>
      <c r="C60" s="15" t="n">
        <v>300</v>
      </c>
      <c r="D60" s="15" t="n">
        <v>525</v>
      </c>
      <c r="E60" s="15" t="n">
        <v>25</v>
      </c>
      <c r="F60" s="16" t="n">
        <v>0.679998409867921</v>
      </c>
      <c r="G60" s="17" t="s">
        <v>90</v>
      </c>
      <c r="H60" s="18" t="n">
        <v>0.1</v>
      </c>
      <c r="I60" s="18" t="n">
        <v>2</v>
      </c>
      <c r="J60" s="19" t="n">
        <v>0.855937268077836</v>
      </c>
      <c r="K60" s="19" t="n">
        <v>0.649254089505185</v>
      </c>
      <c r="L60" s="16" t="n">
        <v>11.8232266362536</v>
      </c>
      <c r="M60" s="19" t="n">
        <v>0.634257133143647</v>
      </c>
      <c r="N60" s="19" t="n">
        <v>3.37618745910566</v>
      </c>
      <c r="O60" s="19" t="n">
        <v>1.15615376449624</v>
      </c>
      <c r="P60" s="19" t="n">
        <v>0.569963758187606</v>
      </c>
      <c r="Q60" s="17" t="s">
        <v>31</v>
      </c>
      <c r="R60" s="5" t="str">
        <f aca="false">IF(OR(Q60="Steel plate",Q60="Concrete jacket"),"Steel plate or jacket",Q60)</f>
        <v>Polymer laminate</v>
      </c>
      <c r="S60" s="5" t="str">
        <f aca="false">IF(O60&lt;='Tree rules'!$C$4,IF(N60&lt;='Tree rules'!$C$5,IF(P60&lt;='Tree rules'!$C$6,"Monitor","Polymer laminate"),IF(P60&lt;='Tree rules'!$C$7,"Seal cracks","Polymer laminate")),IF(O60&lt;='Tree rules'!$C$8,IF(M60&lt;='Tree rules'!$C$9,"Steel plate or jacket","Polymer laminate"),IF(L60&lt;='Tree rules'!$C$10,"Steel plate or jacket","Polymer laminate")))</f>
        <v>Polymer laminate</v>
      </c>
      <c r="T60" s="5" t="str">
        <f aca="false">IF(S60=R60,"Yes","No")</f>
        <v>Yes</v>
      </c>
    </row>
    <row r="61" customFormat="false" ht="15" hidden="false" customHeight="false" outlineLevel="0" collapsed="false">
      <c r="A61" s="15" t="n">
        <v>164</v>
      </c>
      <c r="B61" s="16" t="n">
        <v>3.15166300753575</v>
      </c>
      <c r="C61" s="15" t="n">
        <v>300</v>
      </c>
      <c r="D61" s="15" t="n">
        <v>300</v>
      </c>
      <c r="E61" s="15" t="n">
        <v>30</v>
      </c>
      <c r="F61" s="16" t="n">
        <v>0.883711013668015</v>
      </c>
      <c r="G61" s="17" t="s">
        <v>90</v>
      </c>
      <c r="H61" s="18" t="n">
        <v>0.1</v>
      </c>
      <c r="I61" s="18" t="n">
        <v>1.5</v>
      </c>
      <c r="J61" s="19" t="n">
        <v>0.892499731052573</v>
      </c>
      <c r="K61" s="19" t="n">
        <v>0.555500423871987</v>
      </c>
      <c r="L61" s="16" t="n">
        <v>13.2981561499399</v>
      </c>
      <c r="M61" s="19" t="n">
        <v>0.443075741835417</v>
      </c>
      <c r="N61" s="19" t="n">
        <v>4.21998266942596</v>
      </c>
      <c r="O61" s="19" t="n">
        <v>1.09085760712619</v>
      </c>
      <c r="P61" s="19" t="n">
        <v>0.710898214102114</v>
      </c>
      <c r="Q61" s="17" t="s">
        <v>31</v>
      </c>
      <c r="R61" s="5" t="str">
        <f aca="false">IF(OR(Q61="Steel plate",Q61="Concrete jacket"),"Steel plate or jacket",Q61)</f>
        <v>Polymer laminate</v>
      </c>
      <c r="S61" s="5" t="str">
        <f aca="false">IF(O61&lt;='Tree rules'!$C$4,IF(N61&lt;='Tree rules'!$C$5,IF(P61&lt;='Tree rules'!$C$6,"Monitor","Polymer laminate"),IF(P61&lt;='Tree rules'!$C$7,"Seal cracks","Polymer laminate")),IF(O61&lt;='Tree rules'!$C$8,IF(M61&lt;='Tree rules'!$C$9,"Steel plate or jacket","Polymer laminate"),IF(L61&lt;='Tree rules'!$C$10,"Steel plate or jacket","Polymer laminate")))</f>
        <v>Polymer laminate</v>
      </c>
      <c r="T61" s="5" t="str">
        <f aca="false">IF(S61=R61,"Yes","No")</f>
        <v>Yes</v>
      </c>
    </row>
    <row r="62" customFormat="false" ht="15" hidden="false" customHeight="false" outlineLevel="0" collapsed="false">
      <c r="A62" s="15" t="n">
        <v>168</v>
      </c>
      <c r="B62" s="16" t="n">
        <v>7.10275976452655</v>
      </c>
      <c r="C62" s="15" t="n">
        <v>300</v>
      </c>
      <c r="D62" s="15" t="n">
        <v>675</v>
      </c>
      <c r="E62" s="15" t="n">
        <v>25</v>
      </c>
      <c r="F62" s="16" t="n">
        <v>0.668068613203571</v>
      </c>
      <c r="G62" s="17" t="s">
        <v>89</v>
      </c>
      <c r="H62" s="18" t="n">
        <v>0.3</v>
      </c>
      <c r="I62" s="18" t="n">
        <v>1.5</v>
      </c>
      <c r="J62" s="19" t="n">
        <v>0.908480374368094</v>
      </c>
      <c r="K62" s="19" t="n">
        <v>0.570619330890746</v>
      </c>
      <c r="L62" s="16" t="n">
        <v>11.3281654936628</v>
      </c>
      <c r="M62" s="19" t="n">
        <v>0.532663024812286</v>
      </c>
      <c r="N62" s="19" t="n">
        <v>0.772984538934796</v>
      </c>
      <c r="O62" s="19" t="n">
        <v>1.10352232987749</v>
      </c>
      <c r="P62" s="19" t="n">
        <v>0.692496783801519</v>
      </c>
      <c r="Q62" s="17" t="s">
        <v>31</v>
      </c>
      <c r="R62" s="5" t="str">
        <f aca="false">IF(OR(Q62="Steel plate",Q62="Concrete jacket"),"Steel plate or jacket",Q62)</f>
        <v>Polymer laminate</v>
      </c>
      <c r="S62" s="5" t="str">
        <f aca="false">IF(O62&lt;='Tree rules'!$C$4,IF(N62&lt;='Tree rules'!$C$5,IF(P62&lt;='Tree rules'!$C$6,"Monitor","Polymer laminate"),IF(P62&lt;='Tree rules'!$C$7,"Seal cracks","Polymer laminate")),IF(O62&lt;='Tree rules'!$C$8,IF(M62&lt;='Tree rules'!$C$9,"Steel plate or jacket","Polymer laminate"),IF(L62&lt;='Tree rules'!$C$10,"Steel plate or jacket","Polymer laminate")))</f>
        <v>Polymer laminate</v>
      </c>
      <c r="T62" s="5" t="str">
        <f aca="false">IF(S62=R62,"Yes","No")</f>
        <v>Yes</v>
      </c>
    </row>
    <row r="63" customFormat="false" ht="15" hidden="false" customHeight="false" outlineLevel="0" collapsed="false">
      <c r="A63" s="15" t="n">
        <v>171</v>
      </c>
      <c r="B63" s="16" t="n">
        <v>5.3195840517091</v>
      </c>
      <c r="C63" s="15" t="n">
        <v>300</v>
      </c>
      <c r="D63" s="15" t="n">
        <v>525</v>
      </c>
      <c r="E63" s="15" t="n">
        <v>25</v>
      </c>
      <c r="F63" s="16" t="n">
        <v>0.839507013902909</v>
      </c>
      <c r="G63" s="17" t="s">
        <v>89</v>
      </c>
      <c r="H63" s="18" t="n">
        <v>0.3</v>
      </c>
      <c r="I63" s="18" t="n">
        <v>2</v>
      </c>
      <c r="J63" s="19" t="n">
        <v>0.853763711769263</v>
      </c>
      <c r="K63" s="19" t="n">
        <v>0.468769691518503</v>
      </c>
      <c r="L63" s="16" t="n">
        <v>11.1056034482445</v>
      </c>
      <c r="M63" s="19" t="n">
        <v>0.92044190889321</v>
      </c>
      <c r="N63" s="19" t="n">
        <v>0.78713843386074</v>
      </c>
      <c r="O63" s="19" t="n">
        <v>1.30730887174276</v>
      </c>
      <c r="P63" s="19" t="n">
        <v>0.472087949662497</v>
      </c>
      <c r="Q63" s="17" t="s">
        <v>31</v>
      </c>
      <c r="R63" s="5" t="str">
        <f aca="false">IF(OR(Q63="Steel plate",Q63="Concrete jacket"),"Steel plate or jacket",Q63)</f>
        <v>Polymer laminate</v>
      </c>
      <c r="S63" s="5" t="str">
        <f aca="false">IF(O63&lt;='Tree rules'!$C$4,IF(N63&lt;='Tree rules'!$C$5,IF(P63&lt;='Tree rules'!$C$6,"Monitor","Polymer laminate"),IF(P63&lt;='Tree rules'!$C$7,"Seal cracks","Polymer laminate")),IF(O63&lt;='Tree rules'!$C$8,IF(M63&lt;='Tree rules'!$C$9,"Steel plate or jacket","Polymer laminate"),IF(L63&lt;='Tree rules'!$C$10,"Steel plate or jacket","Polymer laminate")))</f>
        <v>Steel plate or jacket</v>
      </c>
      <c r="T63" s="5" t="str">
        <f aca="false">IF(S63=R63,"Yes","No")</f>
        <v>No</v>
      </c>
    </row>
    <row r="64" customFormat="false" ht="15" hidden="false" customHeight="false" outlineLevel="0" collapsed="false">
      <c r="A64" s="15" t="n">
        <v>174</v>
      </c>
      <c r="B64" s="16" t="n">
        <v>4.51410068192789</v>
      </c>
      <c r="C64" s="15" t="n">
        <v>300</v>
      </c>
      <c r="D64" s="15" t="n">
        <v>450</v>
      </c>
      <c r="E64" s="15" t="n">
        <v>30</v>
      </c>
      <c r="F64" s="16" t="n">
        <v>0.995356088266073</v>
      </c>
      <c r="G64" s="17" t="s">
        <v>91</v>
      </c>
      <c r="H64" s="18" t="n">
        <v>0.2</v>
      </c>
      <c r="I64" s="18" t="n">
        <v>1.5</v>
      </c>
      <c r="J64" s="19" t="n">
        <v>0.882504771332592</v>
      </c>
      <c r="K64" s="19" t="n">
        <v>0.615926241648435</v>
      </c>
      <c r="L64" s="16" t="n">
        <v>11.1735165394255</v>
      </c>
      <c r="M64" s="19" t="n">
        <v>0.845767160388678</v>
      </c>
      <c r="N64" s="19" t="n">
        <v>0.979804985241936</v>
      </c>
      <c r="O64" s="19" t="n">
        <v>1.05197823347704</v>
      </c>
      <c r="P64" s="19" t="n">
        <v>0.52478265206618</v>
      </c>
      <c r="Q64" s="17" t="s">
        <v>31</v>
      </c>
      <c r="R64" s="5" t="str">
        <f aca="false">IF(OR(Q64="Steel plate",Q64="Concrete jacket"),"Steel plate or jacket",Q64)</f>
        <v>Polymer laminate</v>
      </c>
      <c r="S64" s="5" t="str">
        <f aca="false">IF(O64&lt;='Tree rules'!$C$4,IF(N64&lt;='Tree rules'!$C$5,IF(P64&lt;='Tree rules'!$C$6,"Monitor","Polymer laminate"),IF(P64&lt;='Tree rules'!$C$7,"Seal cracks","Polymer laminate")),IF(O64&lt;='Tree rules'!$C$8,IF(M64&lt;='Tree rules'!$C$9,"Steel plate or jacket","Polymer laminate"),IF(L64&lt;='Tree rules'!$C$10,"Steel plate or jacket","Polymer laminate")))</f>
        <v>Polymer laminate</v>
      </c>
      <c r="T64" s="5" t="str">
        <f aca="false">IF(S64=R64,"Yes","No")</f>
        <v>Yes</v>
      </c>
    </row>
    <row r="65" customFormat="false" ht="15" hidden="false" customHeight="false" outlineLevel="0" collapsed="false">
      <c r="A65" s="15" t="n">
        <v>187</v>
      </c>
      <c r="B65" s="16" t="n">
        <v>7.34446411972919</v>
      </c>
      <c r="C65" s="15" t="n">
        <v>300</v>
      </c>
      <c r="D65" s="15" t="n">
        <v>625</v>
      </c>
      <c r="E65" s="15" t="n">
        <v>20</v>
      </c>
      <c r="F65" s="16" t="n">
        <v>0.578762031749415</v>
      </c>
      <c r="G65" s="17" t="s">
        <v>89</v>
      </c>
      <c r="H65" s="18" t="n">
        <v>0.3</v>
      </c>
      <c r="I65" s="18" t="n">
        <v>1.5</v>
      </c>
      <c r="J65" s="19" t="n">
        <v>0.926679390464363</v>
      </c>
      <c r="K65" s="19" t="n">
        <v>0.457121316531039</v>
      </c>
      <c r="L65" s="16" t="n">
        <v>12.6847394123129</v>
      </c>
      <c r="M65" s="19" t="n">
        <v>0.931673394376893</v>
      </c>
      <c r="N65" s="19" t="n">
        <v>0.695516165065311</v>
      </c>
      <c r="O65" s="19" t="n">
        <v>1.17821663421092</v>
      </c>
      <c r="P65" s="19" t="n">
        <v>0.428367141165429</v>
      </c>
      <c r="Q65" s="17" t="s">
        <v>31</v>
      </c>
      <c r="R65" s="5" t="str">
        <f aca="false">IF(OR(Q65="Steel plate",Q65="Concrete jacket"),"Steel plate or jacket",Q65)</f>
        <v>Polymer laminate</v>
      </c>
      <c r="S65" s="5" t="str">
        <f aca="false">IF(O65&lt;='Tree rules'!$C$4,IF(N65&lt;='Tree rules'!$C$5,IF(P65&lt;='Tree rules'!$C$6,"Monitor","Polymer laminate"),IF(P65&lt;='Tree rules'!$C$7,"Seal cracks","Polymer laminate")),IF(O65&lt;='Tree rules'!$C$8,IF(M65&lt;='Tree rules'!$C$9,"Steel plate or jacket","Polymer laminate"),IF(L65&lt;='Tree rules'!$C$10,"Steel plate or jacket","Polymer laminate")))</f>
        <v>Polymer laminate</v>
      </c>
      <c r="T65" s="5" t="str">
        <f aca="false">IF(S65=R65,"Yes","No")</f>
        <v>Yes</v>
      </c>
    </row>
    <row r="66" customFormat="false" ht="15" hidden="false" customHeight="false" outlineLevel="0" collapsed="false">
      <c r="A66" s="15" t="n">
        <v>188</v>
      </c>
      <c r="B66" s="16" t="n">
        <v>5.89733639513801</v>
      </c>
      <c r="C66" s="15" t="n">
        <v>300</v>
      </c>
      <c r="D66" s="15" t="n">
        <v>550</v>
      </c>
      <c r="E66" s="15" t="n">
        <v>30</v>
      </c>
      <c r="F66" s="16" t="n">
        <v>0.664887334093078</v>
      </c>
      <c r="G66" s="17" t="s">
        <v>91</v>
      </c>
      <c r="H66" s="18" t="n">
        <v>0.2</v>
      </c>
      <c r="I66" s="18" t="n">
        <v>1.5</v>
      </c>
      <c r="J66" s="19" t="n">
        <v>0.968372825464342</v>
      </c>
      <c r="K66" s="19" t="n">
        <v>0.597206635599909</v>
      </c>
      <c r="L66" s="16" t="n">
        <v>11.7010642760675</v>
      </c>
      <c r="M66" s="19" t="n">
        <v>0.73111090399674</v>
      </c>
      <c r="N66" s="19" t="n">
        <v>1.1276003676826</v>
      </c>
      <c r="O66" s="19" t="n">
        <v>1.16339989964554</v>
      </c>
      <c r="P66" s="19" t="n">
        <v>0.520778563557576</v>
      </c>
      <c r="Q66" s="17" t="s">
        <v>31</v>
      </c>
      <c r="R66" s="5" t="str">
        <f aca="false">IF(OR(Q66="Steel plate",Q66="Concrete jacket"),"Steel plate or jacket",Q66)</f>
        <v>Polymer laminate</v>
      </c>
      <c r="S66" s="5" t="str">
        <f aca="false">IF(O66&lt;='Tree rules'!$C$4,IF(N66&lt;='Tree rules'!$C$5,IF(P66&lt;='Tree rules'!$C$6,"Monitor","Polymer laminate"),IF(P66&lt;='Tree rules'!$C$7,"Seal cracks","Polymer laminate")),IF(O66&lt;='Tree rules'!$C$8,IF(M66&lt;='Tree rules'!$C$9,"Steel plate or jacket","Polymer laminate"),IF(L66&lt;='Tree rules'!$C$10,"Steel plate or jacket","Polymer laminate")))</f>
        <v>Polymer laminate</v>
      </c>
      <c r="T66" s="5" t="str">
        <f aca="false">IF(S66=R66,"Yes","No")</f>
        <v>Yes</v>
      </c>
    </row>
    <row r="67" customFormat="false" ht="15" hidden="false" customHeight="false" outlineLevel="0" collapsed="false">
      <c r="A67" s="15" t="n">
        <v>197</v>
      </c>
      <c r="B67" s="16" t="n">
        <v>6.77824347298013</v>
      </c>
      <c r="C67" s="15" t="n">
        <v>230</v>
      </c>
      <c r="D67" s="15" t="n">
        <v>650</v>
      </c>
      <c r="E67" s="15" t="n">
        <v>25</v>
      </c>
      <c r="F67" s="16" t="n">
        <v>0.680685971455249</v>
      </c>
      <c r="G67" s="17" t="s">
        <v>89</v>
      </c>
      <c r="H67" s="18" t="n">
        <v>0.3</v>
      </c>
      <c r="I67" s="18" t="n">
        <v>1</v>
      </c>
      <c r="J67" s="19" t="n">
        <v>0.920187338536401</v>
      </c>
      <c r="K67" s="19" t="n">
        <v>0.471522175818164</v>
      </c>
      <c r="L67" s="16" t="n">
        <v>11.2595406527909</v>
      </c>
      <c r="M67" s="19" t="n">
        <v>0.541864514654811</v>
      </c>
      <c r="N67" s="19" t="n">
        <v>0.639872093617175</v>
      </c>
      <c r="O67" s="19" t="n">
        <v>0.920187338536401</v>
      </c>
      <c r="P67" s="19" t="n">
        <v>0.577617530334425</v>
      </c>
      <c r="Q67" s="17" t="s">
        <v>29</v>
      </c>
      <c r="R67" s="5" t="str">
        <f aca="false">IF(OR(Q67="Steel plate",Q67="Concrete jacket"),"Steel plate or jacket",Q67)</f>
        <v>Monitor</v>
      </c>
      <c r="S67" s="5" t="str">
        <f aca="false">IF(O67&lt;='Tree rules'!$C$4,IF(N67&lt;='Tree rules'!$C$5,IF(P67&lt;='Tree rules'!$C$6,"Monitor","Polymer laminate"),IF(P67&lt;='Tree rules'!$C$7,"Seal cracks","Polymer laminate")),IF(O67&lt;='Tree rules'!$C$8,IF(M67&lt;='Tree rules'!$C$9,"Steel plate or jacket","Polymer laminate"),IF(L67&lt;='Tree rules'!$C$10,"Steel plate or jacket","Polymer laminate")))</f>
        <v>Monitor</v>
      </c>
      <c r="T67" s="5" t="str">
        <f aca="false">IF(S67=R67,"Yes","No")</f>
        <v>Yes</v>
      </c>
    </row>
    <row r="68" customFormat="false" ht="15" hidden="false" customHeight="false" outlineLevel="0" collapsed="false">
      <c r="A68" s="15" t="n">
        <v>199</v>
      </c>
      <c r="B68" s="16" t="n">
        <v>4.29112476089171</v>
      </c>
      <c r="C68" s="15" t="n">
        <v>300</v>
      </c>
      <c r="D68" s="15" t="n">
        <v>425</v>
      </c>
      <c r="E68" s="15" t="n">
        <v>30</v>
      </c>
      <c r="F68" s="16" t="n">
        <v>0.833313701217452</v>
      </c>
      <c r="G68" s="17" t="s">
        <v>89</v>
      </c>
      <c r="H68" s="18" t="n">
        <v>0.3</v>
      </c>
      <c r="I68" s="18" t="n">
        <v>1</v>
      </c>
      <c r="J68" s="19" t="n">
        <v>0.921513727256673</v>
      </c>
      <c r="K68" s="19" t="n">
        <v>0.517485857831691</v>
      </c>
      <c r="L68" s="16" t="n">
        <v>11.3822937954687</v>
      </c>
      <c r="M68" s="19" t="n">
        <v>0.813399626829308</v>
      </c>
      <c r="N68" s="19" t="n">
        <v>0.731574854129569</v>
      </c>
      <c r="O68" s="19" t="n">
        <v>0.921513727256673</v>
      </c>
      <c r="P68" s="19" t="n">
        <v>0.417557399460098</v>
      </c>
      <c r="Q68" s="17" t="s">
        <v>29</v>
      </c>
      <c r="R68" s="5" t="str">
        <f aca="false">IF(OR(Q68="Steel plate",Q68="Concrete jacket"),"Steel plate or jacket",Q68)</f>
        <v>Monitor</v>
      </c>
      <c r="S68" s="5" t="str">
        <f aca="false">IF(O68&lt;='Tree rules'!$C$4,IF(N68&lt;='Tree rules'!$C$5,IF(P68&lt;='Tree rules'!$C$6,"Monitor","Polymer laminate"),IF(P68&lt;='Tree rules'!$C$7,"Seal cracks","Polymer laminate")),IF(O68&lt;='Tree rules'!$C$8,IF(M68&lt;='Tree rules'!$C$9,"Steel plate or jacket","Polymer laminate"),IF(L68&lt;='Tree rules'!$C$10,"Steel plate or jacket","Polymer laminate")))</f>
        <v>Monitor</v>
      </c>
      <c r="T68" s="5" t="str">
        <f aca="false">IF(S68=R68,"Yes","No")</f>
        <v>Yes</v>
      </c>
    </row>
    <row r="69" customFormat="false" ht="15" hidden="false" customHeight="false" outlineLevel="0" collapsed="false">
      <c r="A69" s="15" t="n">
        <v>200</v>
      </c>
      <c r="B69" s="16" t="n">
        <v>5.92549456893386</v>
      </c>
      <c r="C69" s="15" t="n">
        <v>300</v>
      </c>
      <c r="D69" s="15" t="n">
        <v>500</v>
      </c>
      <c r="E69" s="15" t="n">
        <v>25</v>
      </c>
      <c r="F69" s="16" t="n">
        <v>0.885735373699325</v>
      </c>
      <c r="G69" s="17" t="s">
        <v>91</v>
      </c>
      <c r="H69" s="18" t="n">
        <v>0.2</v>
      </c>
      <c r="I69" s="18" t="n">
        <v>1</v>
      </c>
      <c r="J69" s="19" t="n">
        <v>0.851395576211765</v>
      </c>
      <c r="K69" s="19" t="n">
        <v>0.444519585080576</v>
      </c>
      <c r="L69" s="16" t="n">
        <v>13.0517501518367</v>
      </c>
      <c r="M69" s="19" t="n">
        <v>0.915605028464464</v>
      </c>
      <c r="N69" s="19" t="n">
        <v>0.738842458338408</v>
      </c>
      <c r="O69" s="19" t="n">
        <v>0.851395576211765</v>
      </c>
      <c r="P69" s="19" t="n">
        <v>0.444788705859737</v>
      </c>
      <c r="Q69" s="17" t="s">
        <v>29</v>
      </c>
      <c r="R69" s="5" t="str">
        <f aca="false">IF(OR(Q69="Steel plate",Q69="Concrete jacket"),"Steel plate or jacket",Q69)</f>
        <v>Monitor</v>
      </c>
      <c r="S69" s="5" t="str">
        <f aca="false">IF(O69&lt;='Tree rules'!$C$4,IF(N69&lt;='Tree rules'!$C$5,IF(P69&lt;='Tree rules'!$C$6,"Monitor","Polymer laminate"),IF(P69&lt;='Tree rules'!$C$7,"Seal cracks","Polymer laminate")),IF(O69&lt;='Tree rules'!$C$8,IF(M69&lt;='Tree rules'!$C$9,"Steel plate or jacket","Polymer laminate"),IF(L69&lt;='Tree rules'!$C$10,"Steel plate or jacket","Polymer laminate")))</f>
        <v>Monitor</v>
      </c>
      <c r="T69" s="5" t="str">
        <f aca="false">IF(S69=R69,"Yes","No")</f>
        <v>Yes</v>
      </c>
    </row>
    <row r="70" customFormat="false" ht="15" hidden="false" customHeight="false" outlineLevel="0" collapsed="false">
      <c r="A70" s="15" t="n">
        <v>206</v>
      </c>
      <c r="B70" s="16" t="n">
        <v>6.16191034037071</v>
      </c>
      <c r="C70" s="15" t="n">
        <v>230</v>
      </c>
      <c r="D70" s="15" t="n">
        <v>550</v>
      </c>
      <c r="E70" s="15" t="n">
        <v>30</v>
      </c>
      <c r="F70" s="16" t="n">
        <v>0.693795479053647</v>
      </c>
      <c r="G70" s="17" t="s">
        <v>89</v>
      </c>
      <c r="H70" s="18" t="n">
        <v>0.3</v>
      </c>
      <c r="I70" s="18" t="n">
        <v>1</v>
      </c>
      <c r="J70" s="19" t="n">
        <v>0.85788539602544</v>
      </c>
      <c r="K70" s="19" t="n">
        <v>0.453802716105198</v>
      </c>
      <c r="L70" s="16" t="n">
        <v>12.2260125801006</v>
      </c>
      <c r="M70" s="19" t="n">
        <v>0.486655261281229</v>
      </c>
      <c r="N70" s="19" t="n">
        <v>0.561319951739802</v>
      </c>
      <c r="O70" s="19" t="n">
        <v>0.85788539602544</v>
      </c>
      <c r="P70" s="19" t="n">
        <v>0.594303693657461</v>
      </c>
      <c r="Q70" s="17" t="s">
        <v>29</v>
      </c>
      <c r="R70" s="5" t="str">
        <f aca="false">IF(OR(Q70="Steel plate",Q70="Concrete jacket"),"Steel plate or jacket",Q70)</f>
        <v>Monitor</v>
      </c>
      <c r="S70" s="5" t="str">
        <f aca="false">IF(O70&lt;='Tree rules'!$C$4,IF(N70&lt;='Tree rules'!$C$5,IF(P70&lt;='Tree rules'!$C$6,"Monitor","Polymer laminate"),IF(P70&lt;='Tree rules'!$C$7,"Seal cracks","Polymer laminate")),IF(O70&lt;='Tree rules'!$C$8,IF(M70&lt;='Tree rules'!$C$9,"Steel plate or jacket","Polymer laminate"),IF(L70&lt;='Tree rules'!$C$10,"Steel plate or jacket","Polymer laminate")))</f>
        <v>Monitor</v>
      </c>
      <c r="T70" s="5" t="str">
        <f aca="false">IF(S70=R70,"Yes","No")</f>
        <v>Yes</v>
      </c>
    </row>
    <row r="71" customFormat="false" ht="15" hidden="false" customHeight="false" outlineLevel="0" collapsed="false">
      <c r="A71" s="15" t="n">
        <v>208</v>
      </c>
      <c r="B71" s="16" t="n">
        <v>5.38599402461115</v>
      </c>
      <c r="C71" s="15" t="n">
        <v>300</v>
      </c>
      <c r="D71" s="15" t="n">
        <v>475</v>
      </c>
      <c r="E71" s="15" t="n">
        <v>30</v>
      </c>
      <c r="F71" s="16" t="n">
        <v>0.781126378514945</v>
      </c>
      <c r="G71" s="17" t="s">
        <v>91</v>
      </c>
      <c r="H71" s="18" t="n">
        <v>0.2</v>
      </c>
      <c r="I71" s="18" t="n">
        <v>2</v>
      </c>
      <c r="J71" s="19" t="n">
        <v>0.934774946810199</v>
      </c>
      <c r="K71" s="19" t="n">
        <v>0.448537328481374</v>
      </c>
      <c r="L71" s="16" t="n">
        <v>12.5547646261332</v>
      </c>
      <c r="M71" s="19" t="n">
        <v>0.522152878043122</v>
      </c>
      <c r="N71" s="19" t="n">
        <v>1.49487947874993</v>
      </c>
      <c r="O71" s="19" t="n">
        <v>1.45026843624683</v>
      </c>
      <c r="P71" s="19" t="n">
        <v>0.845479907769112</v>
      </c>
      <c r="Q71" s="17" t="s">
        <v>31</v>
      </c>
      <c r="R71" s="5" t="str">
        <f aca="false">IF(OR(Q71="Steel plate",Q71="Concrete jacket"),"Steel plate or jacket",Q71)</f>
        <v>Polymer laminate</v>
      </c>
      <c r="S71" s="5" t="str">
        <f aca="false">IF(O71&lt;='Tree rules'!$C$4,IF(N71&lt;='Tree rules'!$C$5,IF(P71&lt;='Tree rules'!$C$6,"Monitor","Polymer laminate"),IF(P71&lt;='Tree rules'!$C$7,"Seal cracks","Polymer laminate")),IF(O71&lt;='Tree rules'!$C$8,IF(M71&lt;='Tree rules'!$C$9,"Steel plate or jacket","Polymer laminate"),IF(L71&lt;='Tree rules'!$C$10,"Steel plate or jacket","Polymer laminate")))</f>
        <v>Steel plate or jacket</v>
      </c>
      <c r="T71" s="5" t="str">
        <f aca="false">IF(S71=R71,"Yes","No")</f>
        <v>No</v>
      </c>
    </row>
    <row r="72" customFormat="false" ht="15" hidden="false" customHeight="false" outlineLevel="0" collapsed="false">
      <c r="A72" s="15" t="n">
        <v>221</v>
      </c>
      <c r="B72" s="16" t="n">
        <v>4.45562068578611</v>
      </c>
      <c r="C72" s="15" t="n">
        <v>230</v>
      </c>
      <c r="D72" s="15" t="n">
        <v>425</v>
      </c>
      <c r="E72" s="15" t="n">
        <v>30</v>
      </c>
      <c r="F72" s="16" t="n">
        <v>0.72047992055571</v>
      </c>
      <c r="G72" s="17" t="s">
        <v>90</v>
      </c>
      <c r="H72" s="18" t="n">
        <v>0.1</v>
      </c>
      <c r="I72" s="18" t="n">
        <v>1</v>
      </c>
      <c r="J72" s="19" t="n">
        <v>0.917962350962632</v>
      </c>
      <c r="K72" s="19" t="n">
        <v>0.647595351433677</v>
      </c>
      <c r="L72" s="16" t="n">
        <v>12.2407161697421</v>
      </c>
      <c r="M72" s="19" t="n">
        <v>0.514492450087184</v>
      </c>
      <c r="N72" s="19" t="n">
        <v>2.5662008506951</v>
      </c>
      <c r="O72" s="19" t="n">
        <v>0.917962350962632</v>
      </c>
      <c r="P72" s="19" t="n">
        <v>0.595725530837448</v>
      </c>
      <c r="Q72" s="17" t="s">
        <v>30</v>
      </c>
      <c r="R72" s="5" t="str">
        <f aca="false">IF(OR(Q72="Steel plate",Q72="Concrete jacket"),"Steel plate or jacket",Q72)</f>
        <v>Seal cracks</v>
      </c>
      <c r="S72" s="5" t="str">
        <f aca="false">IF(O72&lt;='Tree rules'!$C$4,IF(N72&lt;='Tree rules'!$C$5,IF(P72&lt;='Tree rules'!$C$6,"Monitor","Polymer laminate"),IF(P72&lt;='Tree rules'!$C$7,"Seal cracks","Polymer laminate")),IF(O72&lt;='Tree rules'!$C$8,IF(M72&lt;='Tree rules'!$C$9,"Steel plate or jacket","Polymer laminate"),IF(L72&lt;='Tree rules'!$C$10,"Steel plate or jacket","Polymer laminate")))</f>
        <v>Seal cracks</v>
      </c>
      <c r="T72" s="5" t="str">
        <f aca="false">IF(S72=R72,"Yes","No")</f>
        <v>Yes</v>
      </c>
    </row>
    <row r="73" customFormat="false" ht="15" hidden="false" customHeight="false" outlineLevel="0" collapsed="false">
      <c r="A73" s="15" t="n">
        <v>223</v>
      </c>
      <c r="B73" s="16" t="n">
        <v>3.75937887307638</v>
      </c>
      <c r="C73" s="15" t="n">
        <v>300</v>
      </c>
      <c r="D73" s="15" t="n">
        <v>300</v>
      </c>
      <c r="E73" s="15" t="n">
        <v>30</v>
      </c>
      <c r="F73" s="16" t="n">
        <v>0.736310778185108</v>
      </c>
      <c r="G73" s="17" t="s">
        <v>91</v>
      </c>
      <c r="H73" s="18" t="n">
        <v>0.2</v>
      </c>
      <c r="I73" s="18" t="n">
        <v>1</v>
      </c>
      <c r="J73" s="19" t="n">
        <v>0.939419926539797</v>
      </c>
      <c r="K73" s="19" t="n">
        <v>0.603227234474088</v>
      </c>
      <c r="L73" s="16" t="n">
        <v>14.6850737229546</v>
      </c>
      <c r="M73" s="19" t="n">
        <v>0.732481971994978</v>
      </c>
      <c r="N73" s="19" t="n">
        <v>0.944689425396516</v>
      </c>
      <c r="O73" s="19" t="n">
        <v>0.939419926539797</v>
      </c>
      <c r="P73" s="19" t="n">
        <v>0.514219195232386</v>
      </c>
      <c r="Q73" s="17" t="s">
        <v>29</v>
      </c>
      <c r="R73" s="5" t="str">
        <f aca="false">IF(OR(Q73="Steel plate",Q73="Concrete jacket"),"Steel plate or jacket",Q73)</f>
        <v>Monitor</v>
      </c>
      <c r="S73" s="5" t="str">
        <f aca="false">IF(O73&lt;='Tree rules'!$C$4,IF(N73&lt;='Tree rules'!$C$5,IF(P73&lt;='Tree rules'!$C$6,"Monitor","Polymer laminate"),IF(P73&lt;='Tree rules'!$C$7,"Seal cracks","Polymer laminate")),IF(O73&lt;='Tree rules'!$C$8,IF(M73&lt;='Tree rules'!$C$9,"Steel plate or jacket","Polymer laminate"),IF(L73&lt;='Tree rules'!$C$10,"Steel plate or jacket","Polymer laminate")))</f>
        <v>Monitor</v>
      </c>
      <c r="T73" s="5" t="str">
        <f aca="false">IF(S73=R73,"Yes","No")</f>
        <v>Yes</v>
      </c>
    </row>
    <row r="74" customFormat="false" ht="15" hidden="false" customHeight="false" outlineLevel="0" collapsed="false">
      <c r="A74" s="15" t="n">
        <v>224</v>
      </c>
      <c r="B74" s="16" t="n">
        <v>5.68259274044166</v>
      </c>
      <c r="C74" s="15" t="n">
        <v>300</v>
      </c>
      <c r="D74" s="15" t="n">
        <v>525</v>
      </c>
      <c r="E74" s="15" t="n">
        <v>20</v>
      </c>
      <c r="F74" s="16" t="n">
        <v>0.699589178252424</v>
      </c>
      <c r="G74" s="17" t="s">
        <v>91</v>
      </c>
      <c r="H74" s="18" t="n">
        <v>0.2</v>
      </c>
      <c r="I74" s="18" t="n">
        <v>1</v>
      </c>
      <c r="J74" s="19" t="n">
        <v>0.987283774098555</v>
      </c>
      <c r="K74" s="19" t="n">
        <v>0.425006234073222</v>
      </c>
      <c r="L74" s="16" t="n">
        <v>11.8634503975818</v>
      </c>
      <c r="M74" s="19" t="n">
        <v>0.559043035319048</v>
      </c>
      <c r="N74" s="19" t="n">
        <v>0.954258780176648</v>
      </c>
      <c r="O74" s="19" t="n">
        <v>0.987283774098555</v>
      </c>
      <c r="P74" s="19" t="n">
        <v>0.636149448551909</v>
      </c>
      <c r="Q74" s="17" t="s">
        <v>29</v>
      </c>
      <c r="R74" s="5" t="str">
        <f aca="false">IF(OR(Q74="Steel plate",Q74="Concrete jacket"),"Steel plate or jacket",Q74)</f>
        <v>Monitor</v>
      </c>
      <c r="S74" s="5" t="str">
        <f aca="false">IF(O74&lt;='Tree rules'!$C$4,IF(N74&lt;='Tree rules'!$C$5,IF(P74&lt;='Tree rules'!$C$6,"Monitor","Polymer laminate"),IF(P74&lt;='Tree rules'!$C$7,"Seal cracks","Polymer laminate")),IF(O74&lt;='Tree rules'!$C$8,IF(M74&lt;='Tree rules'!$C$9,"Steel plate or jacket","Polymer laminate"),IF(L74&lt;='Tree rules'!$C$10,"Steel plate or jacket","Polymer laminate")))</f>
        <v>Monitor</v>
      </c>
      <c r="T74" s="5" t="str">
        <f aca="false">IF(S74=R74,"Yes","No")</f>
        <v>Yes</v>
      </c>
    </row>
    <row r="75" customFormat="false" ht="15" hidden="false" customHeight="false" outlineLevel="0" collapsed="false">
      <c r="A75" s="15" t="n">
        <v>225</v>
      </c>
      <c r="B75" s="16" t="n">
        <v>6.25348470237254</v>
      </c>
      <c r="C75" s="15" t="n">
        <v>230</v>
      </c>
      <c r="D75" s="15" t="n">
        <v>575</v>
      </c>
      <c r="E75" s="15" t="n">
        <v>25</v>
      </c>
      <c r="F75" s="16" t="n">
        <v>0.777557789024782</v>
      </c>
      <c r="G75" s="17" t="s">
        <v>91</v>
      </c>
      <c r="H75" s="18" t="n">
        <v>0.2</v>
      </c>
      <c r="I75" s="18" t="n">
        <v>1</v>
      </c>
      <c r="J75" s="19" t="n">
        <v>0.894387607957788</v>
      </c>
      <c r="K75" s="19" t="n">
        <v>0.443578596169788</v>
      </c>
      <c r="L75" s="16" t="n">
        <v>11.8661948811623</v>
      </c>
      <c r="M75" s="19" t="n">
        <v>0.81408261732049</v>
      </c>
      <c r="N75" s="19" t="n">
        <v>0.883428301574501</v>
      </c>
      <c r="O75" s="19" t="n">
        <v>0.894387607957788</v>
      </c>
      <c r="P75" s="19" t="n">
        <v>0.433686645871304</v>
      </c>
      <c r="Q75" s="17" t="s">
        <v>29</v>
      </c>
      <c r="R75" s="5" t="str">
        <f aca="false">IF(OR(Q75="Steel plate",Q75="Concrete jacket"),"Steel plate or jacket",Q75)</f>
        <v>Monitor</v>
      </c>
      <c r="S75" s="5" t="str">
        <f aca="false">IF(O75&lt;='Tree rules'!$C$4,IF(N75&lt;='Tree rules'!$C$5,IF(P75&lt;='Tree rules'!$C$6,"Monitor","Polymer laminate"),IF(P75&lt;='Tree rules'!$C$7,"Seal cracks","Polymer laminate")),IF(O75&lt;='Tree rules'!$C$8,IF(M75&lt;='Tree rules'!$C$9,"Steel plate or jacket","Polymer laminate"),IF(L75&lt;='Tree rules'!$C$10,"Steel plate or jacket","Polymer laminate")))</f>
        <v>Monitor</v>
      </c>
      <c r="T75" s="5" t="str">
        <f aca="false">IF(S75=R75,"Yes","No")</f>
        <v>Yes</v>
      </c>
    </row>
    <row r="76" customFormat="false" ht="15" hidden="false" customHeight="false" outlineLevel="0" collapsed="false">
      <c r="A76" s="15" t="n">
        <v>227</v>
      </c>
      <c r="B76" s="16" t="n">
        <v>3.64427448227078</v>
      </c>
      <c r="C76" s="15" t="n">
        <v>300</v>
      </c>
      <c r="D76" s="15" t="n">
        <v>300</v>
      </c>
      <c r="E76" s="15" t="n">
        <v>20</v>
      </c>
      <c r="F76" s="16" t="n">
        <v>0.625711399885104</v>
      </c>
      <c r="G76" s="17" t="s">
        <v>90</v>
      </c>
      <c r="H76" s="18" t="n">
        <v>0.1</v>
      </c>
      <c r="I76" s="18" t="n">
        <v>1</v>
      </c>
      <c r="J76" s="19" t="n">
        <v>0.963365610248739</v>
      </c>
      <c r="K76" s="19" t="n">
        <v>0.408172073154996</v>
      </c>
      <c r="L76" s="16" t="n">
        <v>15.1214708807916</v>
      </c>
      <c r="M76" s="19" t="n">
        <v>0.293561813465753</v>
      </c>
      <c r="N76" s="19" t="n">
        <v>2.93334694578306</v>
      </c>
      <c r="O76" s="19" t="n">
        <v>0.963365610248739</v>
      </c>
      <c r="P76" s="19" t="n">
        <v>0.908352708654231</v>
      </c>
      <c r="Q76" s="17" t="s">
        <v>30</v>
      </c>
      <c r="R76" s="5" t="str">
        <f aca="false">IF(OR(Q76="Steel plate",Q76="Concrete jacket"),"Steel plate or jacket",Q76)</f>
        <v>Seal cracks</v>
      </c>
      <c r="S76" s="5" t="str">
        <f aca="false">IF(O76&lt;='Tree rules'!$C$4,IF(N76&lt;='Tree rules'!$C$5,IF(P76&lt;='Tree rules'!$C$6,"Monitor","Polymer laminate"),IF(P76&lt;='Tree rules'!$C$7,"Seal cracks","Polymer laminate")),IF(O76&lt;='Tree rules'!$C$8,IF(M76&lt;='Tree rules'!$C$9,"Steel plate or jacket","Polymer laminate"),IF(L76&lt;='Tree rules'!$C$10,"Steel plate or jacket","Polymer laminate")))</f>
        <v>Seal cracks</v>
      </c>
      <c r="T76" s="5" t="str">
        <f aca="false">IF(S76=R76,"Yes","No")</f>
        <v>Yes</v>
      </c>
    </row>
    <row r="77" customFormat="false" ht="15" hidden="false" customHeight="false" outlineLevel="0" collapsed="false">
      <c r="A77" s="15" t="n">
        <v>228</v>
      </c>
      <c r="B77" s="16" t="n">
        <v>6.59483722260537</v>
      </c>
      <c r="C77" s="15" t="n">
        <v>300</v>
      </c>
      <c r="D77" s="15" t="n">
        <v>600</v>
      </c>
      <c r="E77" s="15" t="n">
        <v>30</v>
      </c>
      <c r="F77" s="16" t="n">
        <v>0.725855342345656</v>
      </c>
      <c r="G77" s="17" t="s">
        <v>89</v>
      </c>
      <c r="H77" s="18" t="n">
        <v>0.3</v>
      </c>
      <c r="I77" s="18" t="n">
        <v>1</v>
      </c>
      <c r="J77" s="19" t="n">
        <v>0.90265539974824</v>
      </c>
      <c r="K77" s="19" t="n">
        <v>0.530514098144658</v>
      </c>
      <c r="L77" s="16" t="n">
        <v>11.9040383079519</v>
      </c>
      <c r="M77" s="19" t="n">
        <v>0.550663338875739</v>
      </c>
      <c r="N77" s="19" t="n">
        <v>0.566888405700043</v>
      </c>
      <c r="O77" s="19" t="n">
        <v>0.90265539974824</v>
      </c>
      <c r="P77" s="19" t="n">
        <v>0.611845409938895</v>
      </c>
      <c r="Q77" s="17" t="s">
        <v>29</v>
      </c>
      <c r="R77" s="5" t="str">
        <f aca="false">IF(OR(Q77="Steel plate",Q77="Concrete jacket"),"Steel plate or jacket",Q77)</f>
        <v>Monitor</v>
      </c>
      <c r="S77" s="5" t="str">
        <f aca="false">IF(O77&lt;='Tree rules'!$C$4,IF(N77&lt;='Tree rules'!$C$5,IF(P77&lt;='Tree rules'!$C$6,"Monitor","Polymer laminate"),IF(P77&lt;='Tree rules'!$C$7,"Seal cracks","Polymer laminate")),IF(O77&lt;='Tree rules'!$C$8,IF(M77&lt;='Tree rules'!$C$9,"Steel plate or jacket","Polymer laminate"),IF(L77&lt;='Tree rules'!$C$10,"Steel plate or jacket","Polymer laminate")))</f>
        <v>Monitor</v>
      </c>
      <c r="T77" s="5" t="str">
        <f aca="false">IF(S77=R77,"Yes","No")</f>
        <v>Yes</v>
      </c>
    </row>
    <row r="78" customFormat="false" ht="15" hidden="false" customHeight="false" outlineLevel="0" collapsed="false">
      <c r="A78" s="15" t="n">
        <v>238</v>
      </c>
      <c r="B78" s="16" t="n">
        <v>3.95280051062855</v>
      </c>
      <c r="C78" s="15" t="n">
        <v>230</v>
      </c>
      <c r="D78" s="15" t="n">
        <v>350</v>
      </c>
      <c r="E78" s="15" t="n">
        <v>20</v>
      </c>
      <c r="F78" s="16" t="n">
        <v>0.64278110559382</v>
      </c>
      <c r="G78" s="17" t="s">
        <v>89</v>
      </c>
      <c r="H78" s="18" t="n">
        <v>0.3</v>
      </c>
      <c r="I78" s="18" t="n">
        <v>1</v>
      </c>
      <c r="J78" s="19" t="n">
        <v>0.865369676851422</v>
      </c>
      <c r="K78" s="19" t="n">
        <v>0.605269108076664</v>
      </c>
      <c r="L78" s="16" t="n">
        <v>12.9176487275443</v>
      </c>
      <c r="M78" s="19" t="n">
        <v>0.591669040079668</v>
      </c>
      <c r="N78" s="19" t="n">
        <v>0.561465187764497</v>
      </c>
      <c r="O78" s="19" t="n">
        <v>0.865369676851422</v>
      </c>
      <c r="P78" s="19" t="n">
        <v>0.555995231390847</v>
      </c>
      <c r="Q78" s="17" t="s">
        <v>29</v>
      </c>
      <c r="R78" s="5" t="str">
        <f aca="false">IF(OR(Q78="Steel plate",Q78="Concrete jacket"),"Steel plate or jacket",Q78)</f>
        <v>Monitor</v>
      </c>
      <c r="S78" s="5" t="str">
        <f aca="false">IF(O78&lt;='Tree rules'!$C$4,IF(N78&lt;='Tree rules'!$C$5,IF(P78&lt;='Tree rules'!$C$6,"Monitor","Polymer laminate"),IF(P78&lt;='Tree rules'!$C$7,"Seal cracks","Polymer laminate")),IF(O78&lt;='Tree rules'!$C$8,IF(M78&lt;='Tree rules'!$C$9,"Steel plate or jacket","Polymer laminate"),IF(L78&lt;='Tree rules'!$C$10,"Steel plate or jacket","Polymer laminate")))</f>
        <v>Monitor</v>
      </c>
      <c r="T78" s="5" t="str">
        <f aca="false">IF(S78=R78,"Yes","No")</f>
        <v>Yes</v>
      </c>
    </row>
    <row r="79" customFormat="false" ht="15" hidden="false" customHeight="false" outlineLevel="0" collapsed="false">
      <c r="A79" s="15" t="n">
        <v>239</v>
      </c>
      <c r="B79" s="16" t="n">
        <v>4.29818621248542</v>
      </c>
      <c r="C79" s="15" t="n">
        <v>300</v>
      </c>
      <c r="D79" s="15" t="n">
        <v>350</v>
      </c>
      <c r="E79" s="15" t="n">
        <v>30</v>
      </c>
      <c r="F79" s="16" t="n">
        <v>0.693508312050727</v>
      </c>
      <c r="G79" s="17" t="s">
        <v>89</v>
      </c>
      <c r="H79" s="18" t="n">
        <v>0.3</v>
      </c>
      <c r="I79" s="18" t="n">
        <v>1</v>
      </c>
      <c r="J79" s="19" t="n">
        <v>0.932004269940507</v>
      </c>
      <c r="K79" s="19" t="n">
        <v>0.496709303541251</v>
      </c>
      <c r="L79" s="16" t="n">
        <v>14.2324046771041</v>
      </c>
      <c r="M79" s="19" t="n">
        <v>0.687384122909258</v>
      </c>
      <c r="N79" s="19" t="n">
        <v>1.01212725199172</v>
      </c>
      <c r="O79" s="19" t="n">
        <v>0.932004269940507</v>
      </c>
      <c r="P79" s="19" t="n">
        <v>0.477247819544596</v>
      </c>
      <c r="Q79" s="17" t="s">
        <v>30</v>
      </c>
      <c r="R79" s="5" t="str">
        <f aca="false">IF(OR(Q79="Steel plate",Q79="Concrete jacket"),"Steel plate or jacket",Q79)</f>
        <v>Seal cracks</v>
      </c>
      <c r="S79" s="5" t="str">
        <f aca="false">IF(O79&lt;='Tree rules'!$C$4,IF(N79&lt;='Tree rules'!$C$5,IF(P79&lt;='Tree rules'!$C$6,"Monitor","Polymer laminate"),IF(P79&lt;='Tree rules'!$C$7,"Seal cracks","Polymer laminate")),IF(O79&lt;='Tree rules'!$C$8,IF(M79&lt;='Tree rules'!$C$9,"Steel plate or jacket","Polymer laminate"),IF(L79&lt;='Tree rules'!$C$10,"Steel plate or jacket","Polymer laminate")))</f>
        <v>Seal cracks</v>
      </c>
      <c r="T79" s="5" t="str">
        <f aca="false">IF(S79=R79,"Yes","No")</f>
        <v>Yes</v>
      </c>
    </row>
    <row r="80" customFormat="false" ht="15" hidden="false" customHeight="false" outlineLevel="0" collapsed="false">
      <c r="A80" s="15" t="n">
        <v>243</v>
      </c>
      <c r="B80" s="16" t="n">
        <v>5.26708807128934</v>
      </c>
      <c r="C80" s="15" t="n">
        <v>300</v>
      </c>
      <c r="D80" s="15" t="n">
        <v>475</v>
      </c>
      <c r="E80" s="15" t="n">
        <v>30</v>
      </c>
      <c r="F80" s="16" t="n">
        <v>0.781126378514945</v>
      </c>
      <c r="G80" s="17" t="s">
        <v>91</v>
      </c>
      <c r="H80" s="18" t="n">
        <v>0.2</v>
      </c>
      <c r="I80" s="18" t="n">
        <v>1</v>
      </c>
      <c r="J80" s="19" t="n">
        <v>0.960794690434042</v>
      </c>
      <c r="K80" s="19" t="n">
        <v>0.434743254785861</v>
      </c>
      <c r="L80" s="16" t="n">
        <v>12.27759457177</v>
      </c>
      <c r="M80" s="19" t="n">
        <v>0.86978701849439</v>
      </c>
      <c r="N80" s="19" t="n">
        <v>0.907954278755968</v>
      </c>
      <c r="O80" s="19" t="n">
        <v>0.960794690434042</v>
      </c>
      <c r="P80" s="19" t="n">
        <v>0.411303353037396</v>
      </c>
      <c r="Q80" s="17" t="s">
        <v>29</v>
      </c>
      <c r="R80" s="5" t="str">
        <f aca="false">IF(OR(Q80="Steel plate",Q80="Concrete jacket"),"Steel plate or jacket",Q80)</f>
        <v>Monitor</v>
      </c>
      <c r="S80" s="5" t="str">
        <f aca="false">IF(O80&lt;='Tree rules'!$C$4,IF(N80&lt;='Tree rules'!$C$5,IF(P80&lt;='Tree rules'!$C$6,"Monitor","Polymer laminate"),IF(P80&lt;='Tree rules'!$C$7,"Seal cracks","Polymer laminate")),IF(O80&lt;='Tree rules'!$C$8,IF(M80&lt;='Tree rules'!$C$9,"Steel plate or jacket","Polymer laminate"),IF(L80&lt;='Tree rules'!$C$10,"Steel plate or jacket","Polymer laminate")))</f>
        <v>Monitor</v>
      </c>
      <c r="T80" s="5" t="str">
        <f aca="false">IF(S80=R80,"Yes","No")</f>
        <v>Yes</v>
      </c>
    </row>
    <row r="81" customFormat="false" ht="15" hidden="false" customHeight="false" outlineLevel="0" collapsed="false">
      <c r="A81" s="15" t="n">
        <v>254</v>
      </c>
      <c r="B81" s="16" t="n">
        <v>5.43800270320683</v>
      </c>
      <c r="C81" s="15" t="n">
        <v>300</v>
      </c>
      <c r="D81" s="15" t="n">
        <v>425</v>
      </c>
      <c r="E81" s="15" t="n">
        <v>25</v>
      </c>
      <c r="F81" s="16" t="n">
        <v>0.530506411160282</v>
      </c>
      <c r="G81" s="17" t="s">
        <v>91</v>
      </c>
      <c r="H81" s="18" t="n">
        <v>0.2</v>
      </c>
      <c r="I81" s="18" t="n">
        <v>1.5</v>
      </c>
      <c r="J81" s="19" t="n">
        <v>0.944471682381035</v>
      </c>
      <c r="K81" s="19" t="n">
        <v>0.619691153915928</v>
      </c>
      <c r="L81" s="16" t="n">
        <v>14.348292092894</v>
      </c>
      <c r="M81" s="19" t="n">
        <v>0.50119511264253</v>
      </c>
      <c r="N81" s="19" t="n">
        <v>1.41925220455645</v>
      </c>
      <c r="O81" s="19" t="n">
        <v>1.12406715022374</v>
      </c>
      <c r="P81" s="19" t="n">
        <v>0.725628755683894</v>
      </c>
      <c r="Q81" s="17" t="s">
        <v>31</v>
      </c>
      <c r="R81" s="5" t="str">
        <f aca="false">IF(OR(Q81="Steel plate",Q81="Concrete jacket"),"Steel plate or jacket",Q81)</f>
        <v>Polymer laminate</v>
      </c>
      <c r="S81" s="5" t="str">
        <f aca="false">IF(O81&lt;='Tree rules'!$C$4,IF(N81&lt;='Tree rules'!$C$5,IF(P81&lt;='Tree rules'!$C$6,"Monitor","Polymer laminate"),IF(P81&lt;='Tree rules'!$C$7,"Seal cracks","Polymer laminate")),IF(O81&lt;='Tree rules'!$C$8,IF(M81&lt;='Tree rules'!$C$9,"Steel plate or jacket","Polymer laminate"),IF(L81&lt;='Tree rules'!$C$10,"Steel plate or jacket","Polymer laminate")))</f>
        <v>Polymer laminate</v>
      </c>
      <c r="T81" s="5" t="str">
        <f aca="false">IF(S81=R81,"Yes","No")</f>
        <v>Yes</v>
      </c>
    </row>
    <row r="82" customFormat="false" ht="15" hidden="false" customHeight="false" outlineLevel="0" collapsed="false">
      <c r="A82" s="15" t="n">
        <v>256</v>
      </c>
      <c r="B82" s="16" t="n">
        <v>3.46992086795451</v>
      </c>
      <c r="C82" s="15" t="n">
        <v>300</v>
      </c>
      <c r="D82" s="15" t="n">
        <v>325</v>
      </c>
      <c r="E82" s="15" t="n">
        <v>30</v>
      </c>
      <c r="F82" s="16" t="n">
        <v>0.72065207824282</v>
      </c>
      <c r="G82" s="17" t="s">
        <v>89</v>
      </c>
      <c r="H82" s="18" t="n">
        <v>0.3</v>
      </c>
      <c r="I82" s="18" t="n">
        <v>1</v>
      </c>
      <c r="J82" s="19" t="n">
        <v>0.908827000070714</v>
      </c>
      <c r="K82" s="19" t="n">
        <v>0.450634505186384</v>
      </c>
      <c r="L82" s="16" t="n">
        <v>12.4369923582599</v>
      </c>
      <c r="M82" s="19" t="n">
        <v>0.631178444322603</v>
      </c>
      <c r="N82" s="19" t="n">
        <v>0.749387560937687</v>
      </c>
      <c r="O82" s="19" t="n">
        <v>0.908827000070714</v>
      </c>
      <c r="P82" s="19" t="n">
        <v>0.43012843348202</v>
      </c>
      <c r="Q82" s="17" t="s">
        <v>29</v>
      </c>
      <c r="R82" s="5" t="str">
        <f aca="false">IF(OR(Q82="Steel plate",Q82="Concrete jacket"),"Steel plate or jacket",Q82)</f>
        <v>Monitor</v>
      </c>
      <c r="S82" s="5" t="str">
        <f aca="false">IF(O82&lt;='Tree rules'!$C$4,IF(N82&lt;='Tree rules'!$C$5,IF(P82&lt;='Tree rules'!$C$6,"Monitor","Polymer laminate"),IF(P82&lt;='Tree rules'!$C$7,"Seal cracks","Polymer laminate")),IF(O82&lt;='Tree rules'!$C$8,IF(M82&lt;='Tree rules'!$C$9,"Steel plate or jacket","Polymer laminate"),IF(L82&lt;='Tree rules'!$C$10,"Steel plate or jacket","Polymer laminate")))</f>
        <v>Monitor</v>
      </c>
      <c r="T82" s="5" t="str">
        <f aca="false">IF(S82=R82,"Yes","No")</f>
        <v>Yes</v>
      </c>
    </row>
    <row r="83" customFormat="false" ht="15" hidden="false" customHeight="false" outlineLevel="0" collapsed="false">
      <c r="A83" s="15" t="n">
        <v>258</v>
      </c>
      <c r="B83" s="16" t="n">
        <v>6.18378091343392</v>
      </c>
      <c r="C83" s="15" t="n">
        <v>230</v>
      </c>
      <c r="D83" s="15" t="n">
        <v>525</v>
      </c>
      <c r="E83" s="15" t="n">
        <v>30</v>
      </c>
      <c r="F83" s="16" t="n">
        <v>0.57270853223768</v>
      </c>
      <c r="G83" s="17" t="s">
        <v>91</v>
      </c>
      <c r="H83" s="18" t="n">
        <v>0.2</v>
      </c>
      <c r="I83" s="18" t="n">
        <v>1</v>
      </c>
      <c r="J83" s="19" t="n">
        <v>0.971120476406697</v>
      </c>
      <c r="K83" s="19" t="n">
        <v>0.524879708732344</v>
      </c>
      <c r="L83" s="16" t="n">
        <v>12.963901286025</v>
      </c>
      <c r="M83" s="19" t="n">
        <v>0.396646603681769</v>
      </c>
      <c r="N83" s="19" t="n">
        <v>1.43017392388968</v>
      </c>
      <c r="O83" s="19" t="n">
        <v>0.971120476406697</v>
      </c>
      <c r="P83" s="19" t="n">
        <v>0.751829831499413</v>
      </c>
      <c r="Q83" s="17" t="s">
        <v>30</v>
      </c>
      <c r="R83" s="5" t="str">
        <f aca="false">IF(OR(Q83="Steel plate",Q83="Concrete jacket"),"Steel plate or jacket",Q83)</f>
        <v>Seal cracks</v>
      </c>
      <c r="S83" s="5" t="str">
        <f aca="false">IF(O83&lt;='Tree rules'!$C$4,IF(N83&lt;='Tree rules'!$C$5,IF(P83&lt;='Tree rules'!$C$6,"Monitor","Polymer laminate"),IF(P83&lt;='Tree rules'!$C$7,"Seal cracks","Polymer laminate")),IF(O83&lt;='Tree rules'!$C$8,IF(M83&lt;='Tree rules'!$C$9,"Steel plate or jacket","Polymer laminate"),IF(L83&lt;='Tree rules'!$C$10,"Steel plate or jacket","Polymer laminate")))</f>
        <v>Seal cracks</v>
      </c>
      <c r="T83" s="5" t="str">
        <f aca="false">IF(S83=R83,"Yes","No")</f>
        <v>Yes</v>
      </c>
    </row>
    <row r="84" customFormat="false" ht="15" hidden="false" customHeight="false" outlineLevel="0" collapsed="false">
      <c r="A84" s="15" t="n">
        <v>261</v>
      </c>
      <c r="B84" s="16" t="n">
        <v>5.1050876446039</v>
      </c>
      <c r="C84" s="15" t="n">
        <v>300</v>
      </c>
      <c r="D84" s="15" t="n">
        <v>400</v>
      </c>
      <c r="E84" s="15" t="n">
        <v>20</v>
      </c>
      <c r="F84" s="16" t="n">
        <v>0.567971553191375</v>
      </c>
      <c r="G84" s="17" t="s">
        <v>89</v>
      </c>
      <c r="H84" s="18" t="n">
        <v>0.3</v>
      </c>
      <c r="I84" s="18" t="n">
        <v>2</v>
      </c>
      <c r="J84" s="19" t="n">
        <v>0.986644602384336</v>
      </c>
      <c r="K84" s="19" t="n">
        <v>0.429394888060271</v>
      </c>
      <c r="L84" s="16" t="n">
        <v>14.4211515384291</v>
      </c>
      <c r="M84" s="19" t="n">
        <v>0.914771483503529</v>
      </c>
      <c r="N84" s="19" t="n">
        <v>1.22717954347395</v>
      </c>
      <c r="O84" s="19" t="n">
        <v>1.54962905617258</v>
      </c>
      <c r="P84" s="19" t="n">
        <v>0.504653859832074</v>
      </c>
      <c r="Q84" s="17" t="s">
        <v>31</v>
      </c>
      <c r="R84" s="5" t="str">
        <f aca="false">IF(OR(Q84="Steel plate",Q84="Concrete jacket"),"Steel plate or jacket",Q84)</f>
        <v>Polymer laminate</v>
      </c>
      <c r="S84" s="5" t="str">
        <f aca="false">IF(O84&lt;='Tree rules'!$C$4,IF(N84&lt;='Tree rules'!$C$5,IF(P84&lt;='Tree rules'!$C$6,"Monitor","Polymer laminate"),IF(P84&lt;='Tree rules'!$C$7,"Seal cracks","Polymer laminate")),IF(O84&lt;='Tree rules'!$C$8,IF(M84&lt;='Tree rules'!$C$9,"Steel plate or jacket","Polymer laminate"),IF(L84&lt;='Tree rules'!$C$10,"Steel plate or jacket","Polymer laminate")))</f>
        <v>Polymer laminate</v>
      </c>
      <c r="T84" s="5" t="str">
        <f aca="false">IF(S84=R84,"Yes","No")</f>
        <v>Yes</v>
      </c>
    </row>
    <row r="85" customFormat="false" ht="15" hidden="false" customHeight="false" outlineLevel="0" collapsed="false">
      <c r="A85" s="15" t="n">
        <v>263</v>
      </c>
      <c r="B85" s="16" t="n">
        <v>4.88546368219067</v>
      </c>
      <c r="C85" s="15" t="n">
        <v>230</v>
      </c>
      <c r="D85" s="15" t="n">
        <v>450</v>
      </c>
      <c r="E85" s="15" t="n">
        <v>30</v>
      </c>
      <c r="F85" s="16" t="n">
        <v>0.649145274956135</v>
      </c>
      <c r="G85" s="17" t="s">
        <v>89</v>
      </c>
      <c r="H85" s="18" t="n">
        <v>0.3</v>
      </c>
      <c r="I85" s="18" t="n">
        <v>1</v>
      </c>
      <c r="J85" s="19" t="n">
        <v>0.963526579766265</v>
      </c>
      <c r="K85" s="19" t="n">
        <v>0.583797666057718</v>
      </c>
      <c r="L85" s="16" t="n">
        <v>12.0927318866106</v>
      </c>
      <c r="M85" s="19" t="n">
        <v>0.328190938590207</v>
      </c>
      <c r="N85" s="19" t="n">
        <v>0.732276336865091</v>
      </c>
      <c r="O85" s="19" t="n">
        <v>0.963526579766265</v>
      </c>
      <c r="P85" s="19" t="n">
        <v>0.936629873794511</v>
      </c>
      <c r="Q85" s="17" t="s">
        <v>29</v>
      </c>
      <c r="R85" s="5" t="str">
        <f aca="false">IF(OR(Q85="Steel plate",Q85="Concrete jacket"),"Steel plate or jacket",Q85)</f>
        <v>Monitor</v>
      </c>
      <c r="S85" s="5" t="str">
        <f aca="false">IF(O85&lt;='Tree rules'!$C$4,IF(N85&lt;='Tree rules'!$C$5,IF(P85&lt;='Tree rules'!$C$6,"Monitor","Polymer laminate"),IF(P85&lt;='Tree rules'!$C$7,"Seal cracks","Polymer laminate")),IF(O85&lt;='Tree rules'!$C$8,IF(M85&lt;='Tree rules'!$C$9,"Steel plate or jacket","Polymer laminate"),IF(L85&lt;='Tree rules'!$C$10,"Steel plate or jacket","Polymer laminate")))</f>
        <v>Monitor</v>
      </c>
      <c r="T85" s="5" t="str">
        <f aca="false">IF(S85=R85,"Yes","No")</f>
        <v>Yes</v>
      </c>
    </row>
    <row r="86" customFormat="false" ht="15" hidden="false" customHeight="false" outlineLevel="0" collapsed="false">
      <c r="A86" s="15" t="n">
        <v>265</v>
      </c>
      <c r="B86" s="16" t="n">
        <v>7.85071298249146</v>
      </c>
      <c r="C86" s="15" t="n">
        <v>300</v>
      </c>
      <c r="D86" s="15" t="n">
        <v>750</v>
      </c>
      <c r="E86" s="15" t="n">
        <v>25</v>
      </c>
      <c r="F86" s="16" t="n">
        <v>0.609722009430334</v>
      </c>
      <c r="G86" s="17" t="s">
        <v>90</v>
      </c>
      <c r="H86" s="18" t="n">
        <v>0.1</v>
      </c>
      <c r="I86" s="18" t="n">
        <v>1</v>
      </c>
      <c r="J86" s="19" t="n">
        <v>0.919770914953387</v>
      </c>
      <c r="K86" s="19" t="n">
        <v>0.604066421206344</v>
      </c>
      <c r="L86" s="16" t="n">
        <v>11.4275298143981</v>
      </c>
      <c r="M86" s="19" t="n">
        <v>0.760974488872024</v>
      </c>
      <c r="N86" s="19" t="n">
        <v>2.25400968599198</v>
      </c>
      <c r="O86" s="19" t="n">
        <v>0.919770914953387</v>
      </c>
      <c r="P86" s="19" t="n">
        <v>0.42772937730609</v>
      </c>
      <c r="Q86" s="17" t="s">
        <v>30</v>
      </c>
      <c r="R86" s="5" t="str">
        <f aca="false">IF(OR(Q86="Steel plate",Q86="Concrete jacket"),"Steel plate or jacket",Q86)</f>
        <v>Seal cracks</v>
      </c>
      <c r="S86" s="5" t="str">
        <f aca="false">IF(O86&lt;='Tree rules'!$C$4,IF(N86&lt;='Tree rules'!$C$5,IF(P86&lt;='Tree rules'!$C$6,"Monitor","Polymer laminate"),IF(P86&lt;='Tree rules'!$C$7,"Seal cracks","Polymer laminate")),IF(O86&lt;='Tree rules'!$C$8,IF(M86&lt;='Tree rules'!$C$9,"Steel plate or jacket","Polymer laminate"),IF(L86&lt;='Tree rules'!$C$10,"Steel plate or jacket","Polymer laminate")))</f>
        <v>Seal cracks</v>
      </c>
      <c r="T86" s="5" t="str">
        <f aca="false">IF(S86=R86,"Yes","No")</f>
        <v>Yes</v>
      </c>
    </row>
    <row r="87" customFormat="false" ht="15" hidden="false" customHeight="false" outlineLevel="0" collapsed="false">
      <c r="A87" s="15" t="n">
        <v>266</v>
      </c>
      <c r="B87" s="16" t="n">
        <v>3.46600758963861</v>
      </c>
      <c r="C87" s="15" t="n">
        <v>300</v>
      </c>
      <c r="D87" s="15" t="n">
        <v>300</v>
      </c>
      <c r="E87" s="15" t="n">
        <v>30</v>
      </c>
      <c r="F87" s="16" t="n">
        <v>0.791582400904515</v>
      </c>
      <c r="G87" s="17" t="s">
        <v>89</v>
      </c>
      <c r="H87" s="18" t="n">
        <v>0.3</v>
      </c>
      <c r="I87" s="18" t="n">
        <v>1</v>
      </c>
      <c r="J87" s="19" t="n">
        <v>0.964020713281989</v>
      </c>
      <c r="K87" s="19" t="n">
        <v>0.422354946830921</v>
      </c>
      <c r="L87" s="16" t="n">
        <v>13.6456991718056</v>
      </c>
      <c r="M87" s="19" t="n">
        <v>0.305115803790728</v>
      </c>
      <c r="N87" s="19" t="n">
        <v>0.858768645841839</v>
      </c>
      <c r="O87" s="19" t="n">
        <v>0.964020713281989</v>
      </c>
      <c r="P87" s="19" t="n">
        <v>0.989658687557155</v>
      </c>
      <c r="Q87" s="17" t="s">
        <v>31</v>
      </c>
      <c r="R87" s="5" t="str">
        <f aca="false">IF(OR(Q87="Steel plate",Q87="Concrete jacket"),"Steel plate or jacket",Q87)</f>
        <v>Polymer laminate</v>
      </c>
      <c r="S87" s="5" t="str">
        <f aca="false">IF(O87&lt;='Tree rules'!$C$4,IF(N87&lt;='Tree rules'!$C$5,IF(P87&lt;='Tree rules'!$C$6,"Monitor","Polymer laminate"),IF(P87&lt;='Tree rules'!$C$7,"Seal cracks","Polymer laminate")),IF(O87&lt;='Tree rules'!$C$8,IF(M87&lt;='Tree rules'!$C$9,"Steel plate or jacket","Polymer laminate"),IF(L87&lt;='Tree rules'!$C$10,"Steel plate or jacket","Polymer laminate")))</f>
        <v>Polymer laminate</v>
      </c>
      <c r="T87" s="5" t="str">
        <f aca="false">IF(S87=R87,"Yes","No")</f>
        <v>Yes</v>
      </c>
    </row>
    <row r="88" customFormat="false" ht="15" hidden="false" customHeight="false" outlineLevel="0" collapsed="false">
      <c r="A88" s="15" t="n">
        <v>272</v>
      </c>
      <c r="B88" s="16" t="n">
        <v>3.97355907784069</v>
      </c>
      <c r="C88" s="15" t="n">
        <v>230</v>
      </c>
      <c r="D88" s="15" t="n">
        <v>325</v>
      </c>
      <c r="E88" s="15" t="n">
        <v>30</v>
      </c>
      <c r="F88" s="16" t="n">
        <v>0.699968036696473</v>
      </c>
      <c r="G88" s="17" t="s">
        <v>89</v>
      </c>
      <c r="H88" s="18" t="n">
        <v>0.3</v>
      </c>
      <c r="I88" s="18" t="n">
        <v>1</v>
      </c>
      <c r="J88" s="19" t="n">
        <v>0.973891623201009</v>
      </c>
      <c r="K88" s="19" t="n">
        <v>0.430231725586336</v>
      </c>
      <c r="L88" s="16" t="n">
        <v>14.1407796364438</v>
      </c>
      <c r="M88" s="19" t="n">
        <v>0.600349989315019</v>
      </c>
      <c r="N88" s="19" t="n">
        <v>0.654431090485385</v>
      </c>
      <c r="O88" s="19" t="n">
        <v>0.973891623201009</v>
      </c>
      <c r="P88" s="19" t="n">
        <v>0.524445788951754</v>
      </c>
      <c r="Q88" s="17" t="s">
        <v>29</v>
      </c>
      <c r="R88" s="5" t="str">
        <f aca="false">IF(OR(Q88="Steel plate",Q88="Concrete jacket"),"Steel plate or jacket",Q88)</f>
        <v>Monitor</v>
      </c>
      <c r="S88" s="5" t="str">
        <f aca="false">IF(O88&lt;='Tree rules'!$C$4,IF(N88&lt;='Tree rules'!$C$5,IF(P88&lt;='Tree rules'!$C$6,"Monitor","Polymer laminate"),IF(P88&lt;='Tree rules'!$C$7,"Seal cracks","Polymer laminate")),IF(O88&lt;='Tree rules'!$C$8,IF(M88&lt;='Tree rules'!$C$9,"Steel plate or jacket","Polymer laminate"),IF(L88&lt;='Tree rules'!$C$10,"Steel plate or jacket","Polymer laminate")))</f>
        <v>Monitor</v>
      </c>
      <c r="T88" s="5" t="str">
        <f aca="false">IF(S88=R88,"Yes","No")</f>
        <v>Yes</v>
      </c>
    </row>
    <row r="89" customFormat="false" ht="15" hidden="false" customHeight="false" outlineLevel="0" collapsed="false">
      <c r="A89" s="15" t="n">
        <v>273</v>
      </c>
      <c r="B89" s="16" t="n">
        <v>4.81994718766161</v>
      </c>
      <c r="C89" s="15" t="n">
        <v>300</v>
      </c>
      <c r="D89" s="15" t="n">
        <v>375</v>
      </c>
      <c r="E89" s="15" t="n">
        <v>30</v>
      </c>
      <c r="F89" s="16" t="n">
        <v>0.611130485804701</v>
      </c>
      <c r="G89" s="17" t="s">
        <v>89</v>
      </c>
      <c r="H89" s="18" t="n">
        <v>0.3</v>
      </c>
      <c r="I89" s="18" t="n">
        <v>2</v>
      </c>
      <c r="J89" s="19" t="n">
        <v>0.851595805576005</v>
      </c>
      <c r="K89" s="19" t="n">
        <v>0.579894233106664</v>
      </c>
      <c r="L89" s="16" t="n">
        <v>14.6502954032268</v>
      </c>
      <c r="M89" s="19" t="n">
        <v>0.828491515797281</v>
      </c>
      <c r="N89" s="19" t="n">
        <v>0.969873785230548</v>
      </c>
      <c r="O89" s="19" t="n">
        <v>1.20935611456066</v>
      </c>
      <c r="P89" s="19" t="n">
        <v>0.458474731673076</v>
      </c>
      <c r="Q89" s="17" t="s">
        <v>31</v>
      </c>
      <c r="R89" s="5" t="str">
        <f aca="false">IF(OR(Q89="Steel plate",Q89="Concrete jacket"),"Steel plate or jacket",Q89)</f>
        <v>Polymer laminate</v>
      </c>
      <c r="S89" s="5" t="str">
        <f aca="false">IF(O89&lt;='Tree rules'!$C$4,IF(N89&lt;='Tree rules'!$C$5,IF(P89&lt;='Tree rules'!$C$6,"Monitor","Polymer laminate"),IF(P89&lt;='Tree rules'!$C$7,"Seal cracks","Polymer laminate")),IF(O89&lt;='Tree rules'!$C$8,IF(M89&lt;='Tree rules'!$C$9,"Steel plate or jacket","Polymer laminate"),IF(L89&lt;='Tree rules'!$C$10,"Steel plate or jacket","Polymer laminate")))</f>
        <v>Polymer laminate</v>
      </c>
      <c r="T89" s="5" t="str">
        <f aca="false">IF(S89=R89,"Yes","No")</f>
        <v>Yes</v>
      </c>
    </row>
    <row r="90" customFormat="false" ht="15" hidden="false" customHeight="false" outlineLevel="0" collapsed="false">
      <c r="A90" s="15" t="n">
        <v>283</v>
      </c>
      <c r="B90" s="16" t="n">
        <v>6.49489664691124</v>
      </c>
      <c r="C90" s="15" t="n">
        <v>300</v>
      </c>
      <c r="D90" s="15" t="n">
        <v>575</v>
      </c>
      <c r="E90" s="15" t="n">
        <v>25</v>
      </c>
      <c r="F90" s="16" t="n">
        <v>0.79483685100311</v>
      </c>
      <c r="G90" s="17" t="s">
        <v>89</v>
      </c>
      <c r="H90" s="18" t="n">
        <v>0.3</v>
      </c>
      <c r="I90" s="18" t="n">
        <v>1.5</v>
      </c>
      <c r="J90" s="19" t="n">
        <v>0.85491588718626</v>
      </c>
      <c r="K90" s="19" t="n">
        <v>0.568155349148034</v>
      </c>
      <c r="L90" s="16" t="n">
        <v>12.3242820624502</v>
      </c>
      <c r="M90" s="19" t="n">
        <v>0.725603548848139</v>
      </c>
      <c r="N90" s="19" t="n">
        <v>0.705270703446478</v>
      </c>
      <c r="O90" s="19" t="n">
        <v>1.03951131359113</v>
      </c>
      <c r="P90" s="19" t="n">
        <v>0.591675897469934</v>
      </c>
      <c r="Q90" s="17" t="s">
        <v>31</v>
      </c>
      <c r="R90" s="5" t="str">
        <f aca="false">IF(OR(Q90="Steel plate",Q90="Concrete jacket"),"Steel plate or jacket",Q90)</f>
        <v>Polymer laminate</v>
      </c>
      <c r="S90" s="5" t="str">
        <f aca="false">IF(O90&lt;='Tree rules'!$C$4,IF(N90&lt;='Tree rules'!$C$5,IF(P90&lt;='Tree rules'!$C$6,"Monitor","Polymer laminate"),IF(P90&lt;='Tree rules'!$C$7,"Seal cracks","Polymer laminate")),IF(O90&lt;='Tree rules'!$C$8,IF(M90&lt;='Tree rules'!$C$9,"Steel plate or jacket","Polymer laminate"),IF(L90&lt;='Tree rules'!$C$10,"Steel plate or jacket","Polymer laminate")))</f>
        <v>Polymer laminate</v>
      </c>
      <c r="T90" s="5" t="str">
        <f aca="false">IF(S90=R90,"Yes","No")</f>
        <v>Yes</v>
      </c>
    </row>
    <row r="91" customFormat="false" ht="15" hidden="false" customHeight="false" outlineLevel="0" collapsed="false">
      <c r="A91" s="15" t="n">
        <v>284</v>
      </c>
      <c r="B91" s="16" t="n">
        <v>7.05065576970521</v>
      </c>
      <c r="C91" s="15" t="n">
        <v>300</v>
      </c>
      <c r="D91" s="15" t="n">
        <v>600</v>
      </c>
      <c r="E91" s="15" t="n">
        <v>30</v>
      </c>
      <c r="F91" s="16" t="n">
        <v>0.758838805214926</v>
      </c>
      <c r="G91" s="17" t="s">
        <v>91</v>
      </c>
      <c r="H91" s="18" t="n">
        <v>0.2</v>
      </c>
      <c r="I91" s="18" t="n">
        <v>1.5</v>
      </c>
      <c r="J91" s="19" t="n">
        <v>0.894364939801123</v>
      </c>
      <c r="K91" s="19" t="n">
        <v>0.428178452623509</v>
      </c>
      <c r="L91" s="16" t="n">
        <v>12.7729271190312</v>
      </c>
      <c r="M91" s="19" t="n">
        <v>0.360463002973787</v>
      </c>
      <c r="N91" s="19" t="n">
        <v>1.27138109208118</v>
      </c>
      <c r="O91" s="19" t="n">
        <v>1.1500735116993</v>
      </c>
      <c r="P91" s="19" t="n">
        <v>1.0501939403686</v>
      </c>
      <c r="Q91" s="17" t="s">
        <v>31</v>
      </c>
      <c r="R91" s="5" t="str">
        <f aca="false">IF(OR(Q91="Steel plate",Q91="Concrete jacket"),"Steel plate or jacket",Q91)</f>
        <v>Polymer laminate</v>
      </c>
      <c r="S91" s="5" t="str">
        <f aca="false">IF(O91&lt;='Tree rules'!$C$4,IF(N91&lt;='Tree rules'!$C$5,IF(P91&lt;='Tree rules'!$C$6,"Monitor","Polymer laminate"),IF(P91&lt;='Tree rules'!$C$7,"Seal cracks","Polymer laminate")),IF(O91&lt;='Tree rules'!$C$8,IF(M91&lt;='Tree rules'!$C$9,"Steel plate or jacket","Polymer laminate"),IF(L91&lt;='Tree rules'!$C$10,"Steel plate or jacket","Polymer laminate")))</f>
        <v>Polymer laminate</v>
      </c>
      <c r="T91" s="5" t="str">
        <f aca="false">IF(S91=R91,"Yes","No")</f>
        <v>Yes</v>
      </c>
    </row>
    <row r="92" customFormat="false" ht="15" hidden="false" customHeight="false" outlineLevel="0" collapsed="false">
      <c r="A92" s="15" t="n">
        <v>289</v>
      </c>
      <c r="B92" s="16" t="n">
        <v>5.2271619818265</v>
      </c>
      <c r="C92" s="15" t="n">
        <v>230</v>
      </c>
      <c r="D92" s="15" t="n">
        <v>450</v>
      </c>
      <c r="E92" s="15" t="n">
        <v>30</v>
      </c>
      <c r="F92" s="16" t="n">
        <v>0.649145274956135</v>
      </c>
      <c r="G92" s="17" t="s">
        <v>91</v>
      </c>
      <c r="H92" s="18" t="n">
        <v>0.2</v>
      </c>
      <c r="I92" s="18" t="n">
        <v>1</v>
      </c>
      <c r="J92" s="19" t="n">
        <v>0.988519067674651</v>
      </c>
      <c r="K92" s="19" t="n">
        <v>0.430577193891952</v>
      </c>
      <c r="L92" s="16" t="n">
        <v>12.9385197569963</v>
      </c>
      <c r="M92" s="19" t="n">
        <v>0.757796979511141</v>
      </c>
      <c r="N92" s="19" t="n">
        <v>1.02219663735703</v>
      </c>
      <c r="O92" s="19" t="n">
        <v>0.988519067674651</v>
      </c>
      <c r="P92" s="19" t="n">
        <v>0.417423347950668</v>
      </c>
      <c r="Q92" s="17" t="s">
        <v>30</v>
      </c>
      <c r="R92" s="5" t="str">
        <f aca="false">IF(OR(Q92="Steel plate",Q92="Concrete jacket"),"Steel plate or jacket",Q92)</f>
        <v>Seal cracks</v>
      </c>
      <c r="S92" s="5" t="str">
        <f aca="false">IF(O92&lt;='Tree rules'!$C$4,IF(N92&lt;='Tree rules'!$C$5,IF(P92&lt;='Tree rules'!$C$6,"Monitor","Polymer laminate"),IF(P92&lt;='Tree rules'!$C$7,"Seal cracks","Polymer laminate")),IF(O92&lt;='Tree rules'!$C$8,IF(M92&lt;='Tree rules'!$C$9,"Steel plate or jacket","Polymer laminate"),IF(L92&lt;='Tree rules'!$C$10,"Steel plate or jacket","Polymer laminate")))</f>
        <v>Seal cracks</v>
      </c>
      <c r="T92" s="5" t="str">
        <f aca="false">IF(S92=R92,"Yes","No")</f>
        <v>Yes</v>
      </c>
    </row>
    <row r="93" customFormat="false" ht="15" hidden="false" customHeight="false" outlineLevel="0" collapsed="false">
      <c r="A93" s="15" t="n">
        <v>293</v>
      </c>
      <c r="B93" s="16" t="n">
        <v>5.28978121424195</v>
      </c>
      <c r="C93" s="15" t="n">
        <v>230</v>
      </c>
      <c r="D93" s="15" t="n">
        <v>475</v>
      </c>
      <c r="E93" s="15" t="n">
        <v>20</v>
      </c>
      <c r="F93" s="16" t="n">
        <v>0.611316296229087</v>
      </c>
      <c r="G93" s="17" t="s">
        <v>89</v>
      </c>
      <c r="H93" s="18" t="n">
        <v>0.3</v>
      </c>
      <c r="I93" s="18" t="n">
        <v>1</v>
      </c>
      <c r="J93" s="19" t="n">
        <v>0.965118799026332</v>
      </c>
      <c r="K93" s="19" t="n">
        <v>0.582922685034132</v>
      </c>
      <c r="L93" s="16" t="n">
        <v>12.3304923408903</v>
      </c>
      <c r="M93" s="19" t="n">
        <v>0.371407465610408</v>
      </c>
      <c r="N93" s="19" t="n">
        <v>0.715749301290072</v>
      </c>
      <c r="O93" s="19" t="n">
        <v>0.965118799026332</v>
      </c>
      <c r="P93" s="19" t="n">
        <v>0.952622989882674</v>
      </c>
      <c r="Q93" s="17" t="s">
        <v>29</v>
      </c>
      <c r="R93" s="5" t="str">
        <f aca="false">IF(OR(Q93="Steel plate",Q93="Concrete jacket"),"Steel plate or jacket",Q93)</f>
        <v>Monitor</v>
      </c>
      <c r="S93" s="5" t="str">
        <f aca="false">IF(O93&lt;='Tree rules'!$C$4,IF(N93&lt;='Tree rules'!$C$5,IF(P93&lt;='Tree rules'!$C$6,"Monitor","Polymer laminate"),IF(P93&lt;='Tree rules'!$C$7,"Seal cracks","Polymer laminate")),IF(O93&lt;='Tree rules'!$C$8,IF(M93&lt;='Tree rules'!$C$9,"Steel plate or jacket","Polymer laminate"),IF(L93&lt;='Tree rules'!$C$10,"Steel plate or jacket","Polymer laminate")))</f>
        <v>Monitor</v>
      </c>
      <c r="T93" s="5" t="str">
        <f aca="false">IF(S93=R93,"Yes","No")</f>
        <v>Yes</v>
      </c>
    </row>
    <row r="94" customFormat="false" ht="15" hidden="false" customHeight="false" outlineLevel="0" collapsed="false">
      <c r="A94" s="15" t="n">
        <v>295</v>
      </c>
      <c r="B94" s="16" t="n">
        <v>6.80503610217286</v>
      </c>
      <c r="C94" s="15" t="n">
        <v>300</v>
      </c>
      <c r="D94" s="15" t="n">
        <v>625</v>
      </c>
      <c r="E94" s="15" t="n">
        <v>20</v>
      </c>
      <c r="F94" s="16" t="n">
        <v>0.694514438099298</v>
      </c>
      <c r="G94" s="17" t="s">
        <v>89</v>
      </c>
      <c r="H94" s="18" t="n">
        <v>0.3</v>
      </c>
      <c r="I94" s="18" t="n">
        <v>1</v>
      </c>
      <c r="J94" s="19" t="n">
        <v>0.916587967235086</v>
      </c>
      <c r="K94" s="19" t="n">
        <v>0.427639276497844</v>
      </c>
      <c r="L94" s="16" t="n">
        <v>11.7530848051345</v>
      </c>
      <c r="M94" s="19" t="n">
        <v>0.490682215835214</v>
      </c>
      <c r="N94" s="19" t="n">
        <v>0.562794845344924</v>
      </c>
      <c r="O94" s="19" t="n">
        <v>0.916587967235086</v>
      </c>
      <c r="P94" s="19" t="n">
        <v>0.686381298181075</v>
      </c>
      <c r="Q94" s="17" t="s">
        <v>29</v>
      </c>
      <c r="R94" s="5" t="str">
        <f aca="false">IF(OR(Q94="Steel plate",Q94="Concrete jacket"),"Steel plate or jacket",Q94)</f>
        <v>Monitor</v>
      </c>
      <c r="S94" s="5" t="str">
        <f aca="false">IF(O94&lt;='Tree rules'!$C$4,IF(N94&lt;='Tree rules'!$C$5,IF(P94&lt;='Tree rules'!$C$6,"Monitor","Polymer laminate"),IF(P94&lt;='Tree rules'!$C$7,"Seal cracks","Polymer laminate")),IF(O94&lt;='Tree rules'!$C$8,IF(M94&lt;='Tree rules'!$C$9,"Steel plate or jacket","Polymer laminate"),IF(L94&lt;='Tree rules'!$C$10,"Steel plate or jacket","Polymer laminate")))</f>
        <v>Monitor</v>
      </c>
      <c r="T94" s="5" t="str">
        <f aca="false">IF(S94=R94,"Yes","No")</f>
        <v>Yes</v>
      </c>
    </row>
    <row r="95" customFormat="false" ht="15" hidden="false" customHeight="false" outlineLevel="0" collapsed="false">
      <c r="A95" s="15" t="n">
        <v>297</v>
      </c>
      <c r="B95" s="16" t="n">
        <v>7.17358013307183</v>
      </c>
      <c r="C95" s="15" t="n">
        <v>230</v>
      </c>
      <c r="D95" s="15" t="n">
        <v>650</v>
      </c>
      <c r="E95" s="15" t="n">
        <v>25</v>
      </c>
      <c r="F95" s="16" t="n">
        <v>0.680685971455249</v>
      </c>
      <c r="G95" s="17" t="s">
        <v>89</v>
      </c>
      <c r="H95" s="18" t="n">
        <v>0.3</v>
      </c>
      <c r="I95" s="18" t="n">
        <v>2</v>
      </c>
      <c r="J95" s="19" t="n">
        <v>0.897933898515459</v>
      </c>
      <c r="K95" s="19" t="n">
        <v>0.539097528598011</v>
      </c>
      <c r="L95" s="16" t="n">
        <v>11.9162460682256</v>
      </c>
      <c r="M95" s="19" t="n">
        <v>0.474054691865176</v>
      </c>
      <c r="N95" s="19" t="n">
        <v>0.938240929478953</v>
      </c>
      <c r="O95" s="19" t="n">
        <v>1.31179385149686</v>
      </c>
      <c r="P95" s="19" t="n">
        <v>0.87855953455641</v>
      </c>
      <c r="Q95" s="17" t="s">
        <v>31</v>
      </c>
      <c r="R95" s="5" t="str">
        <f aca="false">IF(OR(Q95="Steel plate",Q95="Concrete jacket"),"Steel plate or jacket",Q95)</f>
        <v>Polymer laminate</v>
      </c>
      <c r="S95" s="5" t="str">
        <f aca="false">IF(O95&lt;='Tree rules'!$C$4,IF(N95&lt;='Tree rules'!$C$5,IF(P95&lt;='Tree rules'!$C$6,"Monitor","Polymer laminate"),IF(P95&lt;='Tree rules'!$C$7,"Seal cracks","Polymer laminate")),IF(O95&lt;='Tree rules'!$C$8,IF(M95&lt;='Tree rules'!$C$9,"Steel plate or jacket","Polymer laminate"),IF(L95&lt;='Tree rules'!$C$10,"Steel plate or jacket","Polymer laminate")))</f>
        <v>Steel plate or jacket</v>
      </c>
      <c r="T95" s="5" t="str">
        <f aca="false">IF(S95=R95,"Yes","No")</f>
        <v>No</v>
      </c>
    </row>
    <row r="96" customFormat="false" ht="15" hidden="false" customHeight="false" outlineLevel="0" collapsed="false">
      <c r="A96" s="15" t="n">
        <v>298</v>
      </c>
      <c r="B96" s="16" t="n">
        <v>4.84956111830496</v>
      </c>
      <c r="C96" s="15" t="n">
        <v>300</v>
      </c>
      <c r="D96" s="15" t="n">
        <v>425</v>
      </c>
      <c r="E96" s="15" t="n">
        <v>30</v>
      </c>
      <c r="F96" s="16" t="n">
        <v>0.884177351933803</v>
      </c>
      <c r="G96" s="17" t="s">
        <v>89</v>
      </c>
      <c r="H96" s="18" t="n">
        <v>0.3</v>
      </c>
      <c r="I96" s="18" t="n">
        <v>1</v>
      </c>
      <c r="J96" s="19" t="n">
        <v>0.884153356147859</v>
      </c>
      <c r="K96" s="19" t="n">
        <v>0.400948075356817</v>
      </c>
      <c r="L96" s="16" t="n">
        <v>12.7956757738917</v>
      </c>
      <c r="M96" s="19" t="n">
        <v>0.853556396972865</v>
      </c>
      <c r="N96" s="19" t="n">
        <v>0.563934208781396</v>
      </c>
      <c r="O96" s="19" t="n">
        <v>0.88415335614786</v>
      </c>
      <c r="P96" s="19" t="n">
        <v>0.420004983234801</v>
      </c>
      <c r="Q96" s="17" t="s">
        <v>29</v>
      </c>
      <c r="R96" s="5" t="str">
        <f aca="false">IF(OR(Q96="Steel plate",Q96="Concrete jacket"),"Steel plate or jacket",Q96)</f>
        <v>Monitor</v>
      </c>
      <c r="S96" s="5" t="str">
        <f aca="false">IF(O96&lt;='Tree rules'!$C$4,IF(N96&lt;='Tree rules'!$C$5,IF(P96&lt;='Tree rules'!$C$6,"Monitor","Polymer laminate"),IF(P96&lt;='Tree rules'!$C$7,"Seal cracks","Polymer laminate")),IF(O96&lt;='Tree rules'!$C$8,IF(M96&lt;='Tree rules'!$C$9,"Steel plate or jacket","Polymer laminate"),IF(L96&lt;='Tree rules'!$C$10,"Steel plate or jacket","Polymer laminate")))</f>
        <v>Monitor</v>
      </c>
      <c r="T96" s="5" t="str">
        <f aca="false">IF(S96=R96,"Yes","No")</f>
        <v>Yes</v>
      </c>
    </row>
    <row r="97" customFormat="false" ht="15" hidden="false" customHeight="false" outlineLevel="0" collapsed="false">
      <c r="A97" s="15" t="n">
        <v>312</v>
      </c>
      <c r="B97" s="16" t="n">
        <v>4.89263160858631</v>
      </c>
      <c r="C97" s="15" t="n">
        <v>230</v>
      </c>
      <c r="D97" s="15" t="n">
        <v>425</v>
      </c>
      <c r="E97" s="15" t="n">
        <v>30</v>
      </c>
      <c r="F97" s="16" t="n">
        <v>0.72047992055571</v>
      </c>
      <c r="G97" s="17" t="s">
        <v>90</v>
      </c>
      <c r="H97" s="18" t="n">
        <v>0.1</v>
      </c>
      <c r="I97" s="18" t="n">
        <v>1</v>
      </c>
      <c r="J97" s="19" t="n">
        <v>0.966672048921223</v>
      </c>
      <c r="K97" s="19" t="n">
        <v>0.437232758177881</v>
      </c>
      <c r="L97" s="16" t="n">
        <v>13.4412956279844</v>
      </c>
      <c r="M97" s="19" t="n">
        <v>0.600625588332535</v>
      </c>
      <c r="N97" s="19" t="n">
        <v>2.66007540654236</v>
      </c>
      <c r="O97" s="19" t="n">
        <v>0.966672048921223</v>
      </c>
      <c r="P97" s="19" t="n">
        <v>0.504589642784374</v>
      </c>
      <c r="Q97" s="17" t="s">
        <v>30</v>
      </c>
      <c r="R97" s="5" t="str">
        <f aca="false">IF(OR(Q97="Steel plate",Q97="Concrete jacket"),"Steel plate or jacket",Q97)</f>
        <v>Seal cracks</v>
      </c>
      <c r="S97" s="5" t="str">
        <f aca="false">IF(O97&lt;='Tree rules'!$C$4,IF(N97&lt;='Tree rules'!$C$5,IF(P97&lt;='Tree rules'!$C$6,"Monitor","Polymer laminate"),IF(P97&lt;='Tree rules'!$C$7,"Seal cracks","Polymer laminate")),IF(O97&lt;='Tree rules'!$C$8,IF(M97&lt;='Tree rules'!$C$9,"Steel plate or jacket","Polymer laminate"),IF(L97&lt;='Tree rules'!$C$10,"Steel plate or jacket","Polymer laminate")))</f>
        <v>Seal cracks</v>
      </c>
      <c r="T97" s="5" t="str">
        <f aca="false">IF(S97=R97,"Yes","No")</f>
        <v>Yes</v>
      </c>
    </row>
    <row r="98" customFormat="false" ht="15" hidden="false" customHeight="false" outlineLevel="0" collapsed="false">
      <c r="A98" s="15" t="n">
        <v>313</v>
      </c>
      <c r="B98" s="16" t="n">
        <v>3.27486707351891</v>
      </c>
      <c r="C98" s="15" t="n">
        <v>230</v>
      </c>
      <c r="D98" s="15" t="n">
        <v>300</v>
      </c>
      <c r="E98" s="15" t="n">
        <v>25</v>
      </c>
      <c r="F98" s="16" t="n">
        <v>0.688332522525665</v>
      </c>
      <c r="G98" s="17" t="s">
        <v>89</v>
      </c>
      <c r="H98" s="18" t="n">
        <v>0.3</v>
      </c>
      <c r="I98" s="18" t="n">
        <v>1.5</v>
      </c>
      <c r="J98" s="19" t="n">
        <v>0.966142597715195</v>
      </c>
      <c r="K98" s="19" t="n">
        <v>0.466444330574711</v>
      </c>
      <c r="L98" s="16" t="n">
        <v>12.8931774547989</v>
      </c>
      <c r="M98" s="19" t="n">
        <v>0.33163247329973</v>
      </c>
      <c r="N98" s="19" t="n">
        <v>1.20196668304145</v>
      </c>
      <c r="O98" s="19" t="n">
        <v>1.2238880279573</v>
      </c>
      <c r="P98" s="19" t="n">
        <v>0.96693831658965</v>
      </c>
      <c r="Q98" s="17" t="s">
        <v>31</v>
      </c>
      <c r="R98" s="5" t="str">
        <f aca="false">IF(OR(Q98="Steel plate",Q98="Concrete jacket"),"Steel plate or jacket",Q98)</f>
        <v>Polymer laminate</v>
      </c>
      <c r="S98" s="5" t="str">
        <f aca="false">IF(O98&lt;='Tree rules'!$C$4,IF(N98&lt;='Tree rules'!$C$5,IF(P98&lt;='Tree rules'!$C$6,"Monitor","Polymer laminate"),IF(P98&lt;='Tree rules'!$C$7,"Seal cracks","Polymer laminate")),IF(O98&lt;='Tree rules'!$C$8,IF(M98&lt;='Tree rules'!$C$9,"Steel plate or jacket","Polymer laminate"),IF(L98&lt;='Tree rules'!$C$10,"Steel plate or jacket","Polymer laminate")))</f>
        <v>Polymer laminate</v>
      </c>
      <c r="T98" s="5" t="str">
        <f aca="false">IF(S98=R98,"Yes","No")</f>
        <v>Yes</v>
      </c>
    </row>
    <row r="99" customFormat="false" ht="15" hidden="false" customHeight="false" outlineLevel="0" collapsed="false">
      <c r="A99" s="15" t="n">
        <v>319</v>
      </c>
      <c r="B99" s="16" t="n">
        <v>3.24922424333339</v>
      </c>
      <c r="C99" s="15" t="n">
        <v>300</v>
      </c>
      <c r="D99" s="15" t="n">
        <v>300</v>
      </c>
      <c r="E99" s="15" t="n">
        <v>20</v>
      </c>
      <c r="F99" s="16" t="n">
        <v>0.589048622548086</v>
      </c>
      <c r="G99" s="17" t="s">
        <v>89</v>
      </c>
      <c r="H99" s="18" t="n">
        <v>0.3</v>
      </c>
      <c r="I99" s="18" t="n">
        <v>1</v>
      </c>
      <c r="J99" s="19" t="n">
        <v>0.916748385381352</v>
      </c>
      <c r="K99" s="19" t="n">
        <v>0.475597434683631</v>
      </c>
      <c r="L99" s="16" t="n">
        <v>12.6922822005211</v>
      </c>
      <c r="M99" s="19" t="n">
        <v>0.811165124668555</v>
      </c>
      <c r="N99" s="19" t="n">
        <v>0.607679018264897</v>
      </c>
      <c r="O99" s="19" t="n">
        <v>0.916748385381352</v>
      </c>
      <c r="P99" s="19" t="n">
        <v>0.339590114816949</v>
      </c>
      <c r="Q99" s="17" t="s">
        <v>29</v>
      </c>
      <c r="R99" s="5" t="str">
        <f aca="false">IF(OR(Q99="Steel plate",Q99="Concrete jacket"),"Steel plate or jacket",Q99)</f>
        <v>Monitor</v>
      </c>
      <c r="S99" s="5" t="str">
        <f aca="false">IF(O99&lt;='Tree rules'!$C$4,IF(N99&lt;='Tree rules'!$C$5,IF(P99&lt;='Tree rules'!$C$6,"Monitor","Polymer laminate"),IF(P99&lt;='Tree rules'!$C$7,"Seal cracks","Polymer laminate")),IF(O99&lt;='Tree rules'!$C$8,IF(M99&lt;='Tree rules'!$C$9,"Steel plate or jacket","Polymer laminate"),IF(L99&lt;='Tree rules'!$C$10,"Steel plate or jacket","Polymer laminate")))</f>
        <v>Monitor</v>
      </c>
      <c r="T99" s="5" t="str">
        <f aca="false">IF(S99=R99,"Yes","No")</f>
        <v>Yes</v>
      </c>
    </row>
    <row r="100" customFormat="false" ht="15" hidden="false" customHeight="false" outlineLevel="0" collapsed="false">
      <c r="A100" s="15" t="n">
        <v>321</v>
      </c>
      <c r="B100" s="16" t="n">
        <v>5.28392445441119</v>
      </c>
      <c r="C100" s="15" t="n">
        <v>230</v>
      </c>
      <c r="D100" s="15" t="n">
        <v>500</v>
      </c>
      <c r="E100" s="15" t="n">
        <v>25</v>
      </c>
      <c r="F100" s="16" t="n">
        <v>0.770204672782022</v>
      </c>
      <c r="G100" s="17" t="s">
        <v>91</v>
      </c>
      <c r="H100" s="18" t="n">
        <v>0.2</v>
      </c>
      <c r="I100" s="18" t="n">
        <v>1.5</v>
      </c>
      <c r="J100" s="19" t="n">
        <v>0.946695931322624</v>
      </c>
      <c r="K100" s="19" t="n">
        <v>0.443129708628071</v>
      </c>
      <c r="L100" s="16" t="n">
        <v>11.6386001198484</v>
      </c>
      <c r="M100" s="19" t="n">
        <v>0.93105494524978</v>
      </c>
      <c r="N100" s="19" t="n">
        <v>1.11756733693509</v>
      </c>
      <c r="O100" s="19" t="n">
        <v>1.21028935088075</v>
      </c>
      <c r="P100" s="19" t="n">
        <v>0.439185278614615</v>
      </c>
      <c r="Q100" s="17" t="s">
        <v>31</v>
      </c>
      <c r="R100" s="5" t="str">
        <f aca="false">IF(OR(Q100="Steel plate",Q100="Concrete jacket"),"Steel plate or jacket",Q100)</f>
        <v>Polymer laminate</v>
      </c>
      <c r="S100" s="5" t="str">
        <f aca="false">IF(O100&lt;='Tree rules'!$C$4,IF(N100&lt;='Tree rules'!$C$5,IF(P100&lt;='Tree rules'!$C$6,"Monitor","Polymer laminate"),IF(P100&lt;='Tree rules'!$C$7,"Seal cracks","Polymer laminate")),IF(O100&lt;='Tree rules'!$C$8,IF(M100&lt;='Tree rules'!$C$9,"Steel plate or jacket","Polymer laminate"),IF(L100&lt;='Tree rules'!$C$10,"Steel plate or jacket","Polymer laminate")))</f>
        <v>Polymer laminate</v>
      </c>
      <c r="T100" s="5" t="str">
        <f aca="false">IF(S100=R100,"Yes","No")</f>
        <v>Yes</v>
      </c>
    </row>
    <row r="101" customFormat="false" ht="15" hidden="false" customHeight="false" outlineLevel="0" collapsed="false">
      <c r="A101" s="15" t="n">
        <v>322</v>
      </c>
      <c r="B101" s="16" t="n">
        <v>4.20282003828241</v>
      </c>
      <c r="C101" s="15" t="n">
        <v>300</v>
      </c>
      <c r="D101" s="15" t="n">
        <v>375</v>
      </c>
      <c r="E101" s="15" t="n">
        <v>20</v>
      </c>
      <c r="F101" s="16" t="n">
        <v>0.640324617292187</v>
      </c>
      <c r="G101" s="17" t="s">
        <v>90</v>
      </c>
      <c r="H101" s="18" t="n">
        <v>0.1</v>
      </c>
      <c r="I101" s="18" t="n">
        <v>2</v>
      </c>
      <c r="J101" s="19" t="n">
        <v>0.972308582362834</v>
      </c>
      <c r="K101" s="19" t="n">
        <v>0.472479077684255</v>
      </c>
      <c r="L101" s="16" t="n">
        <v>13.3847771919822</v>
      </c>
      <c r="M101" s="19" t="n">
        <v>0.519392544271759</v>
      </c>
      <c r="N101" s="19" t="n">
        <v>4.56877059460424</v>
      </c>
      <c r="O101" s="19" t="n">
        <v>1.48522170250639</v>
      </c>
      <c r="P101" s="19" t="n">
        <v>0.742387579792901</v>
      </c>
      <c r="Q101" s="17" t="s">
        <v>31</v>
      </c>
      <c r="R101" s="5" t="str">
        <f aca="false">IF(OR(Q101="Steel plate",Q101="Concrete jacket"),"Steel plate or jacket",Q101)</f>
        <v>Polymer laminate</v>
      </c>
      <c r="S101" s="5" t="str">
        <f aca="false">IF(O101&lt;='Tree rules'!$C$4,IF(N101&lt;='Tree rules'!$C$5,IF(P101&lt;='Tree rules'!$C$6,"Monitor","Polymer laminate"),IF(P101&lt;='Tree rules'!$C$7,"Seal cracks","Polymer laminate")),IF(O101&lt;='Tree rules'!$C$8,IF(M101&lt;='Tree rules'!$C$9,"Steel plate or jacket","Polymer laminate"),IF(L101&lt;='Tree rules'!$C$10,"Steel plate or jacket","Polymer laminate")))</f>
        <v>Polymer laminate</v>
      </c>
      <c r="T101" s="5" t="str">
        <f aca="false">IF(S101=R101,"Yes","No")</f>
        <v>Yes</v>
      </c>
    </row>
    <row r="102" customFormat="false" ht="15" hidden="false" customHeight="false" outlineLevel="0" collapsed="false">
      <c r="A102" s="15" t="n">
        <v>324</v>
      </c>
      <c r="B102" s="16" t="n">
        <v>5.66623085484011</v>
      </c>
      <c r="C102" s="15" t="n">
        <v>230</v>
      </c>
      <c r="D102" s="15" t="n">
        <v>500</v>
      </c>
      <c r="E102" s="15" t="n">
        <v>25</v>
      </c>
      <c r="F102" s="16" t="n">
        <v>0.597391095859404</v>
      </c>
      <c r="G102" s="17" t="s">
        <v>90</v>
      </c>
      <c r="H102" s="18" t="n">
        <v>0.1</v>
      </c>
      <c r="I102" s="18" t="n">
        <v>1</v>
      </c>
      <c r="J102" s="19" t="n">
        <v>0.972536020825035</v>
      </c>
      <c r="K102" s="19" t="n">
        <v>0.604104993767108</v>
      </c>
      <c r="L102" s="16" t="n">
        <v>12.9071317877907</v>
      </c>
      <c r="M102" s="19" t="n">
        <v>0.530635662795025</v>
      </c>
      <c r="N102" s="19" t="n">
        <v>2.6159005245148</v>
      </c>
      <c r="O102" s="19" t="n">
        <v>0.972536020825035</v>
      </c>
      <c r="P102" s="19" t="n">
        <v>0.610063828689557</v>
      </c>
      <c r="Q102" s="17" t="s">
        <v>30</v>
      </c>
      <c r="R102" s="5" t="str">
        <f aca="false">IF(OR(Q102="Steel plate",Q102="Concrete jacket"),"Steel plate or jacket",Q102)</f>
        <v>Seal cracks</v>
      </c>
      <c r="S102" s="5" t="str">
        <f aca="false">IF(O102&lt;='Tree rules'!$C$4,IF(N102&lt;='Tree rules'!$C$5,IF(P102&lt;='Tree rules'!$C$6,"Monitor","Polymer laminate"),IF(P102&lt;='Tree rules'!$C$7,"Seal cracks","Polymer laminate")),IF(O102&lt;='Tree rules'!$C$8,IF(M102&lt;='Tree rules'!$C$9,"Steel plate or jacket","Polymer laminate"),IF(L102&lt;='Tree rules'!$C$10,"Steel plate or jacket","Polymer laminate")))</f>
        <v>Seal cracks</v>
      </c>
      <c r="T102" s="5" t="str">
        <f aca="false">IF(S102=R102,"Yes","No")</f>
        <v>Yes</v>
      </c>
    </row>
    <row r="103" customFormat="false" ht="15" hidden="false" customHeight="false" outlineLevel="0" collapsed="false">
      <c r="A103" s="15" t="n">
        <v>325</v>
      </c>
      <c r="B103" s="16" t="n">
        <v>3.26820210291428</v>
      </c>
      <c r="C103" s="15" t="n">
        <v>300</v>
      </c>
      <c r="D103" s="15" t="n">
        <v>325</v>
      </c>
      <c r="E103" s="15" t="n">
        <v>25</v>
      </c>
      <c r="F103" s="16" t="n">
        <v>0.804963242200943</v>
      </c>
      <c r="G103" s="17" t="s">
        <v>91</v>
      </c>
      <c r="H103" s="18" t="n">
        <v>0.2</v>
      </c>
      <c r="I103" s="18" t="n">
        <v>1.5</v>
      </c>
      <c r="J103" s="19" t="n">
        <v>0.886328769065964</v>
      </c>
      <c r="K103" s="19" t="n">
        <v>0.627288877221255</v>
      </c>
      <c r="L103" s="16" t="n">
        <v>11.6306124658871</v>
      </c>
      <c r="M103" s="19" t="n">
        <v>0.877177774722961</v>
      </c>
      <c r="N103" s="19" t="n">
        <v>0.990543373405254</v>
      </c>
      <c r="O103" s="19" t="n">
        <v>1.0515010644008</v>
      </c>
      <c r="P103" s="19" t="n">
        <v>0.430699677707812</v>
      </c>
      <c r="Q103" s="17" t="s">
        <v>31</v>
      </c>
      <c r="R103" s="5" t="str">
        <f aca="false">IF(OR(Q103="Steel plate",Q103="Concrete jacket"),"Steel plate or jacket",Q103)</f>
        <v>Polymer laminate</v>
      </c>
      <c r="S103" s="5" t="str">
        <f aca="false">IF(O103&lt;='Tree rules'!$C$4,IF(N103&lt;='Tree rules'!$C$5,IF(P103&lt;='Tree rules'!$C$6,"Monitor","Polymer laminate"),IF(P103&lt;='Tree rules'!$C$7,"Seal cracks","Polymer laminate")),IF(O103&lt;='Tree rules'!$C$8,IF(M103&lt;='Tree rules'!$C$9,"Steel plate or jacket","Polymer laminate"),IF(L103&lt;='Tree rules'!$C$10,"Steel plate or jacket","Polymer laminate")))</f>
        <v>Polymer laminate</v>
      </c>
      <c r="T103" s="5" t="str">
        <f aca="false">IF(S103=R103,"Yes","No")</f>
        <v>Yes</v>
      </c>
    </row>
    <row r="104" customFormat="false" ht="15" hidden="false" customHeight="false" outlineLevel="0" collapsed="false">
      <c r="A104" s="15" t="n">
        <v>327</v>
      </c>
      <c r="B104" s="16" t="n">
        <v>4.01474869420852</v>
      </c>
      <c r="C104" s="15" t="n">
        <v>300</v>
      </c>
      <c r="D104" s="15" t="n">
        <v>375</v>
      </c>
      <c r="E104" s="15" t="n">
        <v>20</v>
      </c>
      <c r="F104" s="16" t="n">
        <v>0.569472988566126</v>
      </c>
      <c r="G104" s="17" t="s">
        <v>89</v>
      </c>
      <c r="H104" s="18" t="n">
        <v>0.3</v>
      </c>
      <c r="I104" s="18" t="n">
        <v>2</v>
      </c>
      <c r="J104" s="19" t="n">
        <v>0.879180200768843</v>
      </c>
      <c r="K104" s="19" t="n">
        <v>0.553580954678712</v>
      </c>
      <c r="L104" s="16" t="n">
        <v>12.1291501335605</v>
      </c>
      <c r="M104" s="19" t="n">
        <v>0.611010266257654</v>
      </c>
      <c r="N104" s="19" t="n">
        <v>0.850144373990431</v>
      </c>
      <c r="O104" s="19" t="n">
        <v>1.27166298666145</v>
      </c>
      <c r="P104" s="19" t="n">
        <v>0.564786758967833</v>
      </c>
      <c r="Q104" s="17" t="s">
        <v>31</v>
      </c>
      <c r="R104" s="5" t="str">
        <f aca="false">IF(OR(Q104="Steel plate",Q104="Concrete jacket"),"Steel plate or jacket",Q104)</f>
        <v>Polymer laminate</v>
      </c>
      <c r="S104" s="5" t="str">
        <f aca="false">IF(O104&lt;='Tree rules'!$C$4,IF(N104&lt;='Tree rules'!$C$5,IF(P104&lt;='Tree rules'!$C$6,"Monitor","Polymer laminate"),IF(P104&lt;='Tree rules'!$C$7,"Seal cracks","Polymer laminate")),IF(O104&lt;='Tree rules'!$C$8,IF(M104&lt;='Tree rules'!$C$9,"Steel plate or jacket","Polymer laminate"),IF(L104&lt;='Tree rules'!$C$10,"Steel plate or jacket","Polymer laminate")))</f>
        <v>Polymer laminate</v>
      </c>
      <c r="T104" s="5" t="str">
        <f aca="false">IF(S104=R104,"Yes","No")</f>
        <v>Yes</v>
      </c>
    </row>
    <row r="105" customFormat="false" ht="15" hidden="false" customHeight="false" outlineLevel="0" collapsed="false">
      <c r="A105" s="15" t="n">
        <v>330</v>
      </c>
      <c r="B105" s="16" t="n">
        <v>6.58219864373895</v>
      </c>
      <c r="C105" s="15" t="n">
        <v>230</v>
      </c>
      <c r="D105" s="15" t="n">
        <v>625</v>
      </c>
      <c r="E105" s="15" t="n">
        <v>20</v>
      </c>
      <c r="F105" s="16" t="n">
        <v>0.729133371558826</v>
      </c>
      <c r="G105" s="17" t="s">
        <v>90</v>
      </c>
      <c r="H105" s="18" t="n">
        <v>0.1</v>
      </c>
      <c r="I105" s="18" t="n">
        <v>2</v>
      </c>
      <c r="J105" s="19" t="n">
        <v>0.899541438629307</v>
      </c>
      <c r="K105" s="19" t="n">
        <v>0.603065650188868</v>
      </c>
      <c r="L105" s="16" t="n">
        <v>11.7120972308522</v>
      </c>
      <c r="M105" s="19" t="n">
        <v>0.548529663938009</v>
      </c>
      <c r="N105" s="19" t="n">
        <v>3.2917272536126</v>
      </c>
      <c r="O105" s="19" t="n">
        <v>1.2566003346998</v>
      </c>
      <c r="P105" s="19" t="n">
        <v>0.799758863885683</v>
      </c>
      <c r="Q105" s="17" t="s">
        <v>31</v>
      </c>
      <c r="R105" s="5" t="str">
        <f aca="false">IF(OR(Q105="Steel plate",Q105="Concrete jacket"),"Steel plate or jacket",Q105)</f>
        <v>Polymer laminate</v>
      </c>
      <c r="S105" s="5" t="str">
        <f aca="false">IF(O105&lt;='Tree rules'!$C$4,IF(N105&lt;='Tree rules'!$C$5,IF(P105&lt;='Tree rules'!$C$6,"Monitor","Polymer laminate"),IF(P105&lt;='Tree rules'!$C$7,"Seal cracks","Polymer laminate")),IF(O105&lt;='Tree rules'!$C$8,IF(M105&lt;='Tree rules'!$C$9,"Steel plate or jacket","Polymer laminate"),IF(L105&lt;='Tree rules'!$C$10,"Steel plate or jacket","Polymer laminate")))</f>
        <v>Polymer laminate</v>
      </c>
      <c r="T105" s="5" t="str">
        <f aca="false">IF(S105=R105,"Yes","No")</f>
        <v>Yes</v>
      </c>
    </row>
    <row r="106" customFormat="false" ht="15" hidden="false" customHeight="false" outlineLevel="0" collapsed="false">
      <c r="A106" s="15" t="n">
        <v>331</v>
      </c>
      <c r="B106" s="16" t="n">
        <v>7.08267101764557</v>
      </c>
      <c r="C106" s="15" t="n">
        <v>300</v>
      </c>
      <c r="D106" s="15" t="n">
        <v>625</v>
      </c>
      <c r="E106" s="15" t="n">
        <v>30</v>
      </c>
      <c r="F106" s="16" t="n">
        <v>0.594154638976793</v>
      </c>
      <c r="G106" s="17" t="s">
        <v>90</v>
      </c>
      <c r="H106" s="18" t="n">
        <v>0.1</v>
      </c>
      <c r="I106" s="18" t="n">
        <v>1</v>
      </c>
      <c r="J106" s="19" t="n">
        <v>0.935476844264091</v>
      </c>
      <c r="K106" s="19" t="n">
        <v>0.522111913964059</v>
      </c>
      <c r="L106" s="16" t="n">
        <v>12.557927336251</v>
      </c>
      <c r="M106" s="19" t="n">
        <v>0.937508472136513</v>
      </c>
      <c r="N106" s="19" t="n">
        <v>2.15336138237497</v>
      </c>
      <c r="O106" s="19" t="n">
        <v>0.935476844264091</v>
      </c>
      <c r="P106" s="19" t="n">
        <v>0.331530039482981</v>
      </c>
      <c r="Q106" s="17" t="s">
        <v>30</v>
      </c>
      <c r="R106" s="5" t="str">
        <f aca="false">IF(OR(Q106="Steel plate",Q106="Concrete jacket"),"Steel plate or jacket",Q106)</f>
        <v>Seal cracks</v>
      </c>
      <c r="S106" s="5" t="str">
        <f aca="false">IF(O106&lt;='Tree rules'!$C$4,IF(N106&lt;='Tree rules'!$C$5,IF(P106&lt;='Tree rules'!$C$6,"Monitor","Polymer laminate"),IF(P106&lt;='Tree rules'!$C$7,"Seal cracks","Polymer laminate")),IF(O106&lt;='Tree rules'!$C$8,IF(M106&lt;='Tree rules'!$C$9,"Steel plate or jacket","Polymer laminate"),IF(L106&lt;='Tree rules'!$C$10,"Steel plate or jacket","Polymer laminate")))</f>
        <v>Seal cracks</v>
      </c>
      <c r="T106" s="5" t="str">
        <f aca="false">IF(S106=R106,"Yes","No")</f>
        <v>Yes</v>
      </c>
    </row>
    <row r="107" customFormat="false" ht="15" hidden="false" customHeight="false" outlineLevel="0" collapsed="false">
      <c r="A107" s="15" t="n">
        <v>335</v>
      </c>
      <c r="B107" s="16" t="n">
        <v>3.47137401007704</v>
      </c>
      <c r="C107" s="15" t="n">
        <v>230</v>
      </c>
      <c r="D107" s="15" t="n">
        <v>300</v>
      </c>
      <c r="E107" s="15" t="n">
        <v>30</v>
      </c>
      <c r="F107" s="16" t="n">
        <v>0.816145304197962</v>
      </c>
      <c r="G107" s="17" t="s">
        <v>90</v>
      </c>
      <c r="H107" s="18" t="n">
        <v>0.1</v>
      </c>
      <c r="I107" s="18" t="n">
        <v>1</v>
      </c>
      <c r="J107" s="19" t="n">
        <v>0.855501902907357</v>
      </c>
      <c r="K107" s="19" t="n">
        <v>0.53675698468575</v>
      </c>
      <c r="L107" s="16" t="n">
        <v>14.4040415355894</v>
      </c>
      <c r="M107" s="19" t="n">
        <v>0.743046537955747</v>
      </c>
      <c r="N107" s="19" t="n">
        <v>2.31849319001536</v>
      </c>
      <c r="O107" s="19" t="n">
        <v>0.855501902907357</v>
      </c>
      <c r="P107" s="19" t="n">
        <v>0.398125540083703</v>
      </c>
      <c r="Q107" s="17" t="s">
        <v>30</v>
      </c>
      <c r="R107" s="5" t="str">
        <f aca="false">IF(OR(Q107="Steel plate",Q107="Concrete jacket"),"Steel plate or jacket",Q107)</f>
        <v>Seal cracks</v>
      </c>
      <c r="S107" s="5" t="str">
        <f aca="false">IF(O107&lt;='Tree rules'!$C$4,IF(N107&lt;='Tree rules'!$C$5,IF(P107&lt;='Tree rules'!$C$6,"Monitor","Polymer laminate"),IF(P107&lt;='Tree rules'!$C$7,"Seal cracks","Polymer laminate")),IF(O107&lt;='Tree rules'!$C$8,IF(M107&lt;='Tree rules'!$C$9,"Steel plate or jacket","Polymer laminate"),IF(L107&lt;='Tree rules'!$C$10,"Steel plate or jacket","Polymer laminate")))</f>
        <v>Seal cracks</v>
      </c>
      <c r="T107" s="5" t="str">
        <f aca="false">IF(S107=R107,"Yes","No")</f>
        <v>Yes</v>
      </c>
    </row>
    <row r="108" customFormat="false" ht="15" hidden="false" customHeight="false" outlineLevel="0" collapsed="false">
      <c r="A108" s="15" t="n">
        <v>339</v>
      </c>
      <c r="B108" s="16" t="n">
        <v>4.44596831699859</v>
      </c>
      <c r="C108" s="15" t="n">
        <v>300</v>
      </c>
      <c r="D108" s="15" t="n">
        <v>425</v>
      </c>
      <c r="E108" s="15" t="n">
        <v>20</v>
      </c>
      <c r="F108" s="16" t="n">
        <v>0.555542467478301</v>
      </c>
      <c r="G108" s="17" t="s">
        <v>89</v>
      </c>
      <c r="H108" s="18" t="n">
        <v>0.3</v>
      </c>
      <c r="I108" s="18" t="n">
        <v>1</v>
      </c>
      <c r="J108" s="19" t="n">
        <v>0.88146003109482</v>
      </c>
      <c r="K108" s="19" t="n">
        <v>0.555810185076469</v>
      </c>
      <c r="L108" s="16" t="n">
        <v>11.7930194084843</v>
      </c>
      <c r="M108" s="19" t="n">
        <v>0.32378793004817</v>
      </c>
      <c r="N108" s="19" t="n">
        <v>1.05417235499936</v>
      </c>
      <c r="O108" s="19" t="n">
        <v>0.88146003109482</v>
      </c>
      <c r="P108" s="19" t="n">
        <v>0.820178842415639</v>
      </c>
      <c r="Q108" s="17" t="s">
        <v>30</v>
      </c>
      <c r="R108" s="5" t="str">
        <f aca="false">IF(OR(Q108="Steel plate",Q108="Concrete jacket"),"Steel plate or jacket",Q108)</f>
        <v>Seal cracks</v>
      </c>
      <c r="S108" s="5" t="str">
        <f aca="false">IF(O108&lt;='Tree rules'!$C$4,IF(N108&lt;='Tree rules'!$C$5,IF(P108&lt;='Tree rules'!$C$6,"Monitor","Polymer laminate"),IF(P108&lt;='Tree rules'!$C$7,"Seal cracks","Polymer laminate")),IF(O108&lt;='Tree rules'!$C$8,IF(M108&lt;='Tree rules'!$C$9,"Steel plate or jacket","Polymer laminate"),IF(L108&lt;='Tree rules'!$C$10,"Steel plate or jacket","Polymer laminate")))</f>
        <v>Seal cracks</v>
      </c>
      <c r="T108" s="5" t="str">
        <f aca="false">IF(S108=R108,"Yes","No")</f>
        <v>Yes</v>
      </c>
    </row>
    <row r="109" customFormat="false" ht="15" hidden="false" customHeight="false" outlineLevel="0" collapsed="false">
      <c r="A109" s="15" t="n">
        <v>347</v>
      </c>
      <c r="B109" s="16" t="n">
        <v>4.74191811491033</v>
      </c>
      <c r="C109" s="15" t="n">
        <v>300</v>
      </c>
      <c r="D109" s="15" t="n">
        <v>450</v>
      </c>
      <c r="E109" s="15" t="n">
        <v>25</v>
      </c>
      <c r="F109" s="16" t="n">
        <v>0.663570725510715</v>
      </c>
      <c r="G109" s="17" t="s">
        <v>89</v>
      </c>
      <c r="H109" s="18" t="n">
        <v>0.3</v>
      </c>
      <c r="I109" s="18" t="n">
        <v>1.5</v>
      </c>
      <c r="J109" s="19" t="n">
        <v>0.892984586156088</v>
      </c>
      <c r="K109" s="19" t="n">
        <v>0.52048045324221</v>
      </c>
      <c r="L109" s="16" t="n">
        <v>11.7374210765107</v>
      </c>
      <c r="M109" s="19" t="n">
        <v>0.780168924223645</v>
      </c>
      <c r="N109" s="19" t="n">
        <v>0.763312648739334</v>
      </c>
      <c r="O109" s="19" t="n">
        <v>1.10708636816372</v>
      </c>
      <c r="P109" s="19" t="n">
        <v>0.44211506154435</v>
      </c>
      <c r="Q109" s="17" t="s">
        <v>31</v>
      </c>
      <c r="R109" s="5" t="str">
        <f aca="false">IF(OR(Q109="Steel plate",Q109="Concrete jacket"),"Steel plate or jacket",Q109)</f>
        <v>Polymer laminate</v>
      </c>
      <c r="S109" s="5" t="str">
        <f aca="false">IF(O109&lt;='Tree rules'!$C$4,IF(N109&lt;='Tree rules'!$C$5,IF(P109&lt;='Tree rules'!$C$6,"Monitor","Polymer laminate"),IF(P109&lt;='Tree rules'!$C$7,"Seal cracks","Polymer laminate")),IF(O109&lt;='Tree rules'!$C$8,IF(M109&lt;='Tree rules'!$C$9,"Steel plate or jacket","Polymer laminate"),IF(L109&lt;='Tree rules'!$C$10,"Steel plate or jacket","Polymer laminate")))</f>
        <v>Polymer laminate</v>
      </c>
      <c r="T109" s="5" t="str">
        <f aca="false">IF(S109=R109,"Yes","No")</f>
        <v>Yes</v>
      </c>
    </row>
    <row r="110" customFormat="false" ht="15" hidden="false" customHeight="false" outlineLevel="0" collapsed="false">
      <c r="A110" s="15" t="n">
        <v>351</v>
      </c>
      <c r="B110" s="16" t="n">
        <v>4.99906323413249</v>
      </c>
      <c r="C110" s="15" t="n">
        <v>300</v>
      </c>
      <c r="D110" s="15" t="n">
        <v>500</v>
      </c>
      <c r="E110" s="15" t="n">
        <v>25</v>
      </c>
      <c r="F110" s="16" t="n">
        <v>0.695042622475618</v>
      </c>
      <c r="G110" s="17" t="s">
        <v>89</v>
      </c>
      <c r="H110" s="18" t="n">
        <v>0.3</v>
      </c>
      <c r="I110" s="18" t="n">
        <v>2</v>
      </c>
      <c r="J110" s="19" t="n">
        <v>0.862363723445616</v>
      </c>
      <c r="K110" s="19" t="n">
        <v>0.493122792014212</v>
      </c>
      <c r="L110" s="16" t="n">
        <v>11.0598744117976</v>
      </c>
      <c r="M110" s="19" t="n">
        <v>0.320493422579601</v>
      </c>
      <c r="N110" s="19" t="n">
        <v>1.1290669699997</v>
      </c>
      <c r="O110" s="19" t="n">
        <v>1.29947623985396</v>
      </c>
      <c r="P110" s="19" t="n">
        <v>1.07398023008508</v>
      </c>
      <c r="Q110" s="17" t="s">
        <v>31</v>
      </c>
      <c r="R110" s="5" t="str">
        <f aca="false">IF(OR(Q110="Steel plate",Q110="Concrete jacket"),"Steel plate or jacket",Q110)</f>
        <v>Polymer laminate</v>
      </c>
      <c r="S110" s="5" t="str">
        <f aca="false">IF(O110&lt;='Tree rules'!$C$4,IF(N110&lt;='Tree rules'!$C$5,IF(P110&lt;='Tree rules'!$C$6,"Monitor","Polymer laminate"),IF(P110&lt;='Tree rules'!$C$7,"Seal cracks","Polymer laminate")),IF(O110&lt;='Tree rules'!$C$8,IF(M110&lt;='Tree rules'!$C$9,"Steel plate or jacket","Polymer laminate"),IF(L110&lt;='Tree rules'!$C$10,"Steel plate or jacket","Polymer laminate")))</f>
        <v>Steel plate or jacket</v>
      </c>
      <c r="T110" s="5" t="str">
        <f aca="false">IF(S110=R110,"Yes","No")</f>
        <v>No</v>
      </c>
    </row>
    <row r="111" customFormat="false" ht="15" hidden="false" customHeight="false" outlineLevel="0" collapsed="false">
      <c r="A111" s="15" t="n">
        <v>355</v>
      </c>
      <c r="B111" s="16" t="n">
        <v>5.39260926177182</v>
      </c>
      <c r="C111" s="15" t="n">
        <v>230</v>
      </c>
      <c r="D111" s="15" t="n">
        <v>475</v>
      </c>
      <c r="E111" s="15" t="n">
        <v>20</v>
      </c>
      <c r="F111" s="16" t="n">
        <v>0.611316296229087</v>
      </c>
      <c r="G111" s="17" t="s">
        <v>89</v>
      </c>
      <c r="H111" s="18" t="n">
        <v>0.3</v>
      </c>
      <c r="I111" s="18" t="n">
        <v>2</v>
      </c>
      <c r="J111" s="19" t="n">
        <v>0.939584714309345</v>
      </c>
      <c r="K111" s="19" t="n">
        <v>0.560269859949486</v>
      </c>
      <c r="L111" s="16" t="n">
        <v>12.5701847593749</v>
      </c>
      <c r="M111" s="19" t="n">
        <v>0.55084449458875</v>
      </c>
      <c r="N111" s="19" t="n">
        <v>0.978187453305173</v>
      </c>
      <c r="O111" s="19" t="n">
        <v>1.35274843232192</v>
      </c>
      <c r="P111" s="19" t="n">
        <v>0.779706415947844</v>
      </c>
      <c r="Q111" s="17" t="s">
        <v>31</v>
      </c>
      <c r="R111" s="5" t="str">
        <f aca="false">IF(OR(Q111="Steel plate",Q111="Concrete jacket"),"Steel plate or jacket",Q111)</f>
        <v>Polymer laminate</v>
      </c>
      <c r="S111" s="5" t="str">
        <f aca="false">IF(O111&lt;='Tree rules'!$C$4,IF(N111&lt;='Tree rules'!$C$5,IF(P111&lt;='Tree rules'!$C$6,"Monitor","Polymer laminate"),IF(P111&lt;='Tree rules'!$C$7,"Seal cracks","Polymer laminate")),IF(O111&lt;='Tree rules'!$C$8,IF(M111&lt;='Tree rules'!$C$9,"Steel plate or jacket","Polymer laminate"),IF(L111&lt;='Tree rules'!$C$10,"Steel plate or jacket","Polymer laminate")))</f>
        <v>Steel plate or jacket</v>
      </c>
      <c r="T111" s="5" t="str">
        <f aca="false">IF(S111=R111,"Yes","No")</f>
        <v>No</v>
      </c>
    </row>
    <row r="112" customFormat="false" ht="15" hidden="false" customHeight="false" outlineLevel="0" collapsed="false">
      <c r="A112" s="15" t="n">
        <v>357</v>
      </c>
      <c r="B112" s="16" t="n">
        <v>3.83389686719458</v>
      </c>
      <c r="C112" s="15" t="n">
        <v>300</v>
      </c>
      <c r="D112" s="15" t="n">
        <v>325</v>
      </c>
      <c r="E112" s="15" t="n">
        <v>25</v>
      </c>
      <c r="F112" s="16" t="n">
        <v>0.72065207824282</v>
      </c>
      <c r="G112" s="17" t="s">
        <v>89</v>
      </c>
      <c r="H112" s="18" t="n">
        <v>0.3</v>
      </c>
      <c r="I112" s="18" t="n">
        <v>1</v>
      </c>
      <c r="J112" s="19" t="n">
        <v>0.943345636423711</v>
      </c>
      <c r="K112" s="19" t="n">
        <v>0.533394790975553</v>
      </c>
      <c r="L112" s="16" t="n">
        <v>13.7415658322387</v>
      </c>
      <c r="M112" s="19" t="n">
        <v>0.486385183390221</v>
      </c>
      <c r="N112" s="19" t="n">
        <v>0.799174941050597</v>
      </c>
      <c r="O112" s="19" t="n">
        <v>0.943345636423711</v>
      </c>
      <c r="P112" s="19" t="n">
        <v>0.709903202797716</v>
      </c>
      <c r="Q112" s="17" t="s">
        <v>29</v>
      </c>
      <c r="R112" s="5" t="str">
        <f aca="false">IF(OR(Q112="Steel plate",Q112="Concrete jacket"),"Steel plate or jacket",Q112)</f>
        <v>Monitor</v>
      </c>
      <c r="S112" s="5" t="str">
        <f aca="false">IF(O112&lt;='Tree rules'!$C$4,IF(N112&lt;='Tree rules'!$C$5,IF(P112&lt;='Tree rules'!$C$6,"Monitor","Polymer laminate"),IF(P112&lt;='Tree rules'!$C$7,"Seal cracks","Polymer laminate")),IF(O112&lt;='Tree rules'!$C$8,IF(M112&lt;='Tree rules'!$C$9,"Steel plate or jacket","Polymer laminate"),IF(L112&lt;='Tree rules'!$C$10,"Steel plate or jacket","Polymer laminate")))</f>
        <v>Monitor</v>
      </c>
      <c r="T112" s="5" t="str">
        <f aca="false">IF(S112=R112,"Yes","No")</f>
        <v>Yes</v>
      </c>
    </row>
    <row r="113" customFormat="false" ht="15" hidden="false" customHeight="false" outlineLevel="0" collapsed="false">
      <c r="A113" s="15" t="n">
        <v>365</v>
      </c>
      <c r="B113" s="16" t="n">
        <v>3.53583420401588</v>
      </c>
      <c r="C113" s="15" t="n">
        <v>230</v>
      </c>
      <c r="D113" s="15" t="n">
        <v>350</v>
      </c>
      <c r="E113" s="15" t="n">
        <v>25</v>
      </c>
      <c r="F113" s="16" t="n">
        <v>0.862679904875916</v>
      </c>
      <c r="G113" s="17" t="s">
        <v>91</v>
      </c>
      <c r="H113" s="18" t="n">
        <v>0.2</v>
      </c>
      <c r="I113" s="18" t="n">
        <v>1.5</v>
      </c>
      <c r="J113" s="19" t="n">
        <v>0.927903618686254</v>
      </c>
      <c r="K113" s="19" t="n">
        <v>0.508939531060312</v>
      </c>
      <c r="L113" s="16" t="n">
        <v>11.6310335658417</v>
      </c>
      <c r="M113" s="19" t="n">
        <v>0.683866949751826</v>
      </c>
      <c r="N113" s="19" t="n">
        <v>1.26238317396205</v>
      </c>
      <c r="O113" s="19" t="n">
        <v>1.15573201174771</v>
      </c>
      <c r="P113" s="19" t="n">
        <v>0.567750356368014</v>
      </c>
      <c r="Q113" s="17" t="s">
        <v>31</v>
      </c>
      <c r="R113" s="5" t="str">
        <f aca="false">IF(OR(Q113="Steel plate",Q113="Concrete jacket"),"Steel plate or jacket",Q113)</f>
        <v>Polymer laminate</v>
      </c>
      <c r="S113" s="5" t="str">
        <f aca="false">IF(O113&lt;='Tree rules'!$C$4,IF(N113&lt;='Tree rules'!$C$5,IF(P113&lt;='Tree rules'!$C$6,"Monitor","Polymer laminate"),IF(P113&lt;='Tree rules'!$C$7,"Seal cracks","Polymer laminate")),IF(O113&lt;='Tree rules'!$C$8,IF(M113&lt;='Tree rules'!$C$9,"Steel plate or jacket","Polymer laminate"),IF(L113&lt;='Tree rules'!$C$10,"Steel plate or jacket","Polymer laminate")))</f>
        <v>Polymer laminate</v>
      </c>
      <c r="T113" s="5" t="str">
        <f aca="false">IF(S113=R113,"Yes","No")</f>
        <v>Yes</v>
      </c>
    </row>
    <row r="114" customFormat="false" ht="15" hidden="false" customHeight="false" outlineLevel="0" collapsed="false">
      <c r="A114" s="15" t="n">
        <v>367</v>
      </c>
      <c r="B114" s="16" t="n">
        <v>6.18782285656228</v>
      </c>
      <c r="C114" s="15" t="n">
        <v>300</v>
      </c>
      <c r="D114" s="15" t="n">
        <v>550</v>
      </c>
      <c r="E114" s="15" t="n">
        <v>30</v>
      </c>
      <c r="F114" s="16" t="n">
        <v>0.834420359519201</v>
      </c>
      <c r="G114" s="17" t="s">
        <v>89</v>
      </c>
      <c r="H114" s="18" t="n">
        <v>0.3</v>
      </c>
      <c r="I114" s="18" t="n">
        <v>2</v>
      </c>
      <c r="J114" s="19" t="n">
        <v>0.9093094559232</v>
      </c>
      <c r="K114" s="19" t="n">
        <v>0.489480156501824</v>
      </c>
      <c r="L114" s="16" t="n">
        <v>12.3263403517177</v>
      </c>
      <c r="M114" s="19" t="n">
        <v>0.698766373073457</v>
      </c>
      <c r="N114" s="19" t="n">
        <v>0.972675413536067</v>
      </c>
      <c r="O114" s="19" t="n">
        <v>1.37352997705252</v>
      </c>
      <c r="P114" s="19" t="n">
        <v>0.676248660685175</v>
      </c>
      <c r="Q114" s="17" t="s">
        <v>92</v>
      </c>
      <c r="R114" s="5" t="str">
        <f aca="false">IF(OR(Q114="Steel plate",Q114="Concrete jacket"),"Steel plate or jacket",Q114)</f>
        <v>Steel plate or jacket</v>
      </c>
      <c r="S114" s="5" t="str">
        <f aca="false">IF(O114&lt;='Tree rules'!$C$4,IF(N114&lt;='Tree rules'!$C$5,IF(P114&lt;='Tree rules'!$C$6,"Monitor","Polymer laminate"),IF(P114&lt;='Tree rules'!$C$7,"Seal cracks","Polymer laminate")),IF(O114&lt;='Tree rules'!$C$8,IF(M114&lt;='Tree rules'!$C$9,"Steel plate or jacket","Polymer laminate"),IF(L114&lt;='Tree rules'!$C$10,"Steel plate or jacket","Polymer laminate")))</f>
        <v>Steel plate or jacket</v>
      </c>
      <c r="T114" s="5" t="str">
        <f aca="false">IF(S114=R114,"Yes","No")</f>
        <v>Yes</v>
      </c>
    </row>
    <row r="115" customFormat="false" ht="15" hidden="false" customHeight="false" outlineLevel="0" collapsed="false">
      <c r="A115" s="15" t="n">
        <v>369</v>
      </c>
      <c r="B115" s="16" t="n">
        <v>3.38275413060075</v>
      </c>
      <c r="C115" s="15" t="n">
        <v>300</v>
      </c>
      <c r="D115" s="15" t="n">
        <v>300</v>
      </c>
      <c r="E115" s="15" t="n">
        <v>25</v>
      </c>
      <c r="F115" s="16" t="n">
        <v>0.791582400904515</v>
      </c>
      <c r="G115" s="17" t="s">
        <v>89</v>
      </c>
      <c r="H115" s="18" t="n">
        <v>0.3</v>
      </c>
      <c r="I115" s="18" t="n">
        <v>1.5</v>
      </c>
      <c r="J115" s="19" t="n">
        <v>0.86146893749138</v>
      </c>
      <c r="K115" s="19" t="n">
        <v>0.508373846761037</v>
      </c>
      <c r="L115" s="16" t="n">
        <v>13.3179296480344</v>
      </c>
      <c r="M115" s="19" t="n">
        <v>0.261568143850127</v>
      </c>
      <c r="N115" s="19" t="n">
        <v>0.954768667768611</v>
      </c>
      <c r="O115" s="19" t="n">
        <v>1.07322926742825</v>
      </c>
      <c r="P115" s="19" t="n">
        <v>1.30258442300123</v>
      </c>
      <c r="Q115" s="17" t="s">
        <v>31</v>
      </c>
      <c r="R115" s="5" t="str">
        <f aca="false">IF(OR(Q115="Steel plate",Q115="Concrete jacket"),"Steel plate or jacket",Q115)</f>
        <v>Polymer laminate</v>
      </c>
      <c r="S115" s="5" t="str">
        <f aca="false">IF(O115&lt;='Tree rules'!$C$4,IF(N115&lt;='Tree rules'!$C$5,IF(P115&lt;='Tree rules'!$C$6,"Monitor","Polymer laminate"),IF(P115&lt;='Tree rules'!$C$7,"Seal cracks","Polymer laminate")),IF(O115&lt;='Tree rules'!$C$8,IF(M115&lt;='Tree rules'!$C$9,"Steel plate or jacket","Polymer laminate"),IF(L115&lt;='Tree rules'!$C$10,"Steel plate or jacket","Polymer laminate")))</f>
        <v>Steel plate or jacket</v>
      </c>
      <c r="T115" s="5" t="str">
        <f aca="false">IF(S115=R115,"Yes","No")</f>
        <v>No</v>
      </c>
    </row>
    <row r="116" customFormat="false" ht="15" hidden="false" customHeight="false" outlineLevel="0" collapsed="false">
      <c r="A116" s="15" t="n">
        <v>377</v>
      </c>
      <c r="B116" s="16" t="n">
        <v>5.21348433865577</v>
      </c>
      <c r="C116" s="15" t="n">
        <v>230</v>
      </c>
      <c r="D116" s="15" t="n">
        <v>425</v>
      </c>
      <c r="E116" s="15" t="n">
        <v>30</v>
      </c>
      <c r="F116" s="16" t="n">
        <v>0.72047992055571</v>
      </c>
      <c r="G116" s="17" t="s">
        <v>90</v>
      </c>
      <c r="H116" s="18" t="n">
        <v>0.1</v>
      </c>
      <c r="I116" s="18" t="n">
        <v>1.5</v>
      </c>
      <c r="J116" s="19" t="n">
        <v>0.933050590522933</v>
      </c>
      <c r="K116" s="19" t="n">
        <v>0.485470058589824</v>
      </c>
      <c r="L116" s="16" t="n">
        <v>14.3227591721313</v>
      </c>
      <c r="M116" s="19" t="n">
        <v>0.800216873958042</v>
      </c>
      <c r="N116" s="19" t="n">
        <v>3.15594724512615</v>
      </c>
      <c r="O116" s="19" t="n">
        <v>1.17309182336018</v>
      </c>
      <c r="P116" s="19" t="n">
        <v>0.473099413277521</v>
      </c>
      <c r="Q116" s="17" t="s">
        <v>31</v>
      </c>
      <c r="R116" s="5" t="str">
        <f aca="false">IF(OR(Q116="Steel plate",Q116="Concrete jacket"),"Steel plate or jacket",Q116)</f>
        <v>Polymer laminate</v>
      </c>
      <c r="S116" s="5" t="str">
        <f aca="false">IF(O116&lt;='Tree rules'!$C$4,IF(N116&lt;='Tree rules'!$C$5,IF(P116&lt;='Tree rules'!$C$6,"Monitor","Polymer laminate"),IF(P116&lt;='Tree rules'!$C$7,"Seal cracks","Polymer laminate")),IF(O116&lt;='Tree rules'!$C$8,IF(M116&lt;='Tree rules'!$C$9,"Steel plate or jacket","Polymer laminate"),IF(L116&lt;='Tree rules'!$C$10,"Steel plate or jacket","Polymer laminate")))</f>
        <v>Polymer laminate</v>
      </c>
      <c r="T116" s="5" t="str">
        <f aca="false">IF(S116=R116,"Yes","No")</f>
        <v>Yes</v>
      </c>
    </row>
    <row r="117" customFormat="false" ht="15" hidden="false" customHeight="false" outlineLevel="0" collapsed="false">
      <c r="A117" s="15" t="n">
        <v>379</v>
      </c>
      <c r="B117" s="16" t="n">
        <v>5.96180772781112</v>
      </c>
      <c r="C117" s="15" t="n">
        <v>300</v>
      </c>
      <c r="D117" s="15" t="n">
        <v>500</v>
      </c>
      <c r="E117" s="15" t="n">
        <v>25</v>
      </c>
      <c r="F117" s="16" t="n">
        <v>0.590490249132883</v>
      </c>
      <c r="G117" s="17" t="s">
        <v>89</v>
      </c>
      <c r="H117" s="18" t="n">
        <v>0.3</v>
      </c>
      <c r="I117" s="18" t="n">
        <v>1</v>
      </c>
      <c r="J117" s="19" t="n">
        <v>0.941978388783377</v>
      </c>
      <c r="K117" s="19" t="n">
        <v>0.427056425437623</v>
      </c>
      <c r="L117" s="16" t="n">
        <v>13.1317350832844</v>
      </c>
      <c r="M117" s="19" t="n">
        <v>0.536215450966193</v>
      </c>
      <c r="N117" s="19" t="n">
        <v>0.668883592933708</v>
      </c>
      <c r="O117" s="19" t="n">
        <v>0.941978388783377</v>
      </c>
      <c r="P117" s="19" t="n">
        <v>0.566588682660815</v>
      </c>
      <c r="Q117" s="17" t="s">
        <v>29</v>
      </c>
      <c r="R117" s="5" t="str">
        <f aca="false">IF(OR(Q117="Steel plate",Q117="Concrete jacket"),"Steel plate or jacket",Q117)</f>
        <v>Monitor</v>
      </c>
      <c r="S117" s="5" t="str">
        <f aca="false">IF(O117&lt;='Tree rules'!$C$4,IF(N117&lt;='Tree rules'!$C$5,IF(P117&lt;='Tree rules'!$C$6,"Monitor","Polymer laminate"),IF(P117&lt;='Tree rules'!$C$7,"Seal cracks","Polymer laminate")),IF(O117&lt;='Tree rules'!$C$8,IF(M117&lt;='Tree rules'!$C$9,"Steel plate or jacket","Polymer laminate"),IF(L117&lt;='Tree rules'!$C$10,"Steel plate or jacket","Polymer laminate")))</f>
        <v>Monitor</v>
      </c>
      <c r="T117" s="5" t="str">
        <f aca="false">IF(S117=R117,"Yes","No")</f>
        <v>Yes</v>
      </c>
    </row>
    <row r="118" customFormat="false" ht="15" hidden="false" customHeight="false" outlineLevel="0" collapsed="false">
      <c r="A118" s="15" t="n">
        <v>380</v>
      </c>
      <c r="B118" s="16" t="n">
        <v>6.13563032609234</v>
      </c>
      <c r="C118" s="15" t="n">
        <v>230</v>
      </c>
      <c r="D118" s="15" t="n">
        <v>525</v>
      </c>
      <c r="E118" s="15" t="n">
        <v>25</v>
      </c>
      <c r="F118" s="16" t="n">
        <v>0.57270853223768</v>
      </c>
      <c r="G118" s="17" t="s">
        <v>91</v>
      </c>
      <c r="H118" s="18" t="n">
        <v>0.2</v>
      </c>
      <c r="I118" s="18" t="n">
        <v>1.5</v>
      </c>
      <c r="J118" s="19" t="n">
        <v>0.89449069746239</v>
      </c>
      <c r="K118" s="19" t="n">
        <v>0.64371529518339</v>
      </c>
      <c r="L118" s="16" t="n">
        <v>12.8629566584745</v>
      </c>
      <c r="M118" s="19" t="n">
        <v>0.909653073969082</v>
      </c>
      <c r="N118" s="19" t="n">
        <v>1.36505424278019</v>
      </c>
      <c r="O118" s="19" t="n">
        <v>1.05383737451569</v>
      </c>
      <c r="P118" s="19" t="n">
        <v>0.408149215218217</v>
      </c>
      <c r="Q118" s="17" t="s">
        <v>31</v>
      </c>
      <c r="R118" s="5" t="str">
        <f aca="false">IF(OR(Q118="Steel plate",Q118="Concrete jacket"),"Steel plate or jacket",Q118)</f>
        <v>Polymer laminate</v>
      </c>
      <c r="S118" s="5" t="str">
        <f aca="false">IF(O118&lt;='Tree rules'!$C$4,IF(N118&lt;='Tree rules'!$C$5,IF(P118&lt;='Tree rules'!$C$6,"Monitor","Polymer laminate"),IF(P118&lt;='Tree rules'!$C$7,"Seal cracks","Polymer laminate")),IF(O118&lt;='Tree rules'!$C$8,IF(M118&lt;='Tree rules'!$C$9,"Steel plate or jacket","Polymer laminate"),IF(L118&lt;='Tree rules'!$C$10,"Steel plate or jacket","Polymer laminate")))</f>
        <v>Polymer laminate</v>
      </c>
      <c r="T118" s="5" t="str">
        <f aca="false">IF(S118=R118,"Yes","No")</f>
        <v>Yes</v>
      </c>
    </row>
    <row r="119" customFormat="false" ht="15" hidden="false" customHeight="false" outlineLevel="0" collapsed="false">
      <c r="A119" s="15" t="n">
        <v>381</v>
      </c>
      <c r="B119" s="16" t="n">
        <v>7.20195178297813</v>
      </c>
      <c r="C119" s="15" t="n">
        <v>300</v>
      </c>
      <c r="D119" s="15" t="n">
        <v>675</v>
      </c>
      <c r="E119" s="15" t="n">
        <v>25</v>
      </c>
      <c r="F119" s="16" t="n">
        <v>0.835085766504464</v>
      </c>
      <c r="G119" s="17" t="s">
        <v>91</v>
      </c>
      <c r="H119" s="18" t="n">
        <v>0.2</v>
      </c>
      <c r="I119" s="18" t="n">
        <v>1</v>
      </c>
      <c r="J119" s="19" t="n">
        <v>0.866228056042283</v>
      </c>
      <c r="K119" s="19" t="n">
        <v>0.44971641277536</v>
      </c>
      <c r="L119" s="16" t="n">
        <v>11.4863664800289</v>
      </c>
      <c r="M119" s="19" t="n">
        <v>0.828108607987224</v>
      </c>
      <c r="N119" s="19" t="n">
        <v>0.774092268946916</v>
      </c>
      <c r="O119" s="19" t="n">
        <v>0.866228056042283</v>
      </c>
      <c r="P119" s="19" t="n">
        <v>0.440548207371756</v>
      </c>
      <c r="Q119" s="17" t="s">
        <v>29</v>
      </c>
      <c r="R119" s="5" t="str">
        <f aca="false">IF(OR(Q119="Steel plate",Q119="Concrete jacket"),"Steel plate or jacket",Q119)</f>
        <v>Monitor</v>
      </c>
      <c r="S119" s="5" t="str">
        <f aca="false">IF(O119&lt;='Tree rules'!$C$4,IF(N119&lt;='Tree rules'!$C$5,IF(P119&lt;='Tree rules'!$C$6,"Monitor","Polymer laminate"),IF(P119&lt;='Tree rules'!$C$7,"Seal cracks","Polymer laminate")),IF(O119&lt;='Tree rules'!$C$8,IF(M119&lt;='Tree rules'!$C$9,"Steel plate or jacket","Polymer laminate"),IF(L119&lt;='Tree rules'!$C$10,"Steel plate or jacket","Polymer laminate")))</f>
        <v>Monitor</v>
      </c>
      <c r="T119" s="5" t="str">
        <f aca="false">IF(S119=R119,"Yes","No")</f>
        <v>Yes</v>
      </c>
    </row>
    <row r="120" customFormat="false" ht="15" hidden="false" customHeight="false" outlineLevel="0" collapsed="false">
      <c r="A120" s="15" t="n">
        <v>385</v>
      </c>
      <c r="B120" s="16" t="n">
        <v>3.84093496107613</v>
      </c>
      <c r="C120" s="15" t="n">
        <v>300</v>
      </c>
      <c r="D120" s="15" t="n">
        <v>300</v>
      </c>
      <c r="E120" s="15" t="n">
        <v>30</v>
      </c>
      <c r="F120" s="16" t="n">
        <v>0.625711399885104</v>
      </c>
      <c r="G120" s="17" t="s">
        <v>90</v>
      </c>
      <c r="H120" s="18" t="n">
        <v>0.1</v>
      </c>
      <c r="I120" s="18" t="n">
        <v>1.5</v>
      </c>
      <c r="J120" s="19" t="n">
        <v>0.89826345867583</v>
      </c>
      <c r="K120" s="19" t="n">
        <v>0.475995867806489</v>
      </c>
      <c r="L120" s="16" t="n">
        <v>15.9374894650462</v>
      </c>
      <c r="M120" s="19" t="n">
        <v>0.360505958125287</v>
      </c>
      <c r="N120" s="19" t="n">
        <v>3.51914982694717</v>
      </c>
      <c r="O120" s="19" t="n">
        <v>1.13361034074812</v>
      </c>
      <c r="P120" s="19" t="n">
        <v>0.782006860440122</v>
      </c>
      <c r="Q120" s="17" t="s">
        <v>31</v>
      </c>
      <c r="R120" s="5" t="str">
        <f aca="false">IF(OR(Q120="Steel plate",Q120="Concrete jacket"),"Steel plate or jacket",Q120)</f>
        <v>Polymer laminate</v>
      </c>
      <c r="S120" s="5" t="str">
        <f aca="false">IF(O120&lt;='Tree rules'!$C$4,IF(N120&lt;='Tree rules'!$C$5,IF(P120&lt;='Tree rules'!$C$6,"Monitor","Polymer laminate"),IF(P120&lt;='Tree rules'!$C$7,"Seal cracks","Polymer laminate")),IF(O120&lt;='Tree rules'!$C$8,IF(M120&lt;='Tree rules'!$C$9,"Steel plate or jacket","Polymer laminate"),IF(L120&lt;='Tree rules'!$C$10,"Steel plate or jacket","Polymer laminate")))</f>
        <v>Polymer laminate</v>
      </c>
      <c r="T120" s="5" t="str">
        <f aca="false">IF(S120=R120,"Yes","No")</f>
        <v>Yes</v>
      </c>
    </row>
    <row r="121" customFormat="false" ht="15" hidden="false" customHeight="false" outlineLevel="0" collapsed="false">
      <c r="A121" s="15" t="n">
        <v>390</v>
      </c>
      <c r="B121" s="16" t="n">
        <v>5.42813398077304</v>
      </c>
      <c r="C121" s="15" t="n">
        <v>300</v>
      </c>
      <c r="D121" s="15" t="n">
        <v>550</v>
      </c>
      <c r="E121" s="15" t="n">
        <v>20</v>
      </c>
      <c r="F121" s="16" t="n">
        <v>0.625815269639401</v>
      </c>
      <c r="G121" s="17" t="s">
        <v>89</v>
      </c>
      <c r="H121" s="18" t="n">
        <v>0.3</v>
      </c>
      <c r="I121" s="18" t="n">
        <v>2</v>
      </c>
      <c r="J121" s="19" t="n">
        <v>0.97573803280536</v>
      </c>
      <c r="K121" s="19" t="n">
        <v>0.524048037043858</v>
      </c>
      <c r="L121" s="16" t="n">
        <v>10.8130158979543</v>
      </c>
      <c r="M121" s="19" t="n">
        <v>0.679785673363444</v>
      </c>
      <c r="N121" s="19" t="n">
        <v>1.16216187142264</v>
      </c>
      <c r="O121" s="19" t="n">
        <v>1.44014246485004</v>
      </c>
      <c r="P121" s="19" t="n">
        <v>0.593052003515785</v>
      </c>
      <c r="Q121" s="17" t="s">
        <v>92</v>
      </c>
      <c r="R121" s="5" t="str">
        <f aca="false">IF(OR(Q121="Steel plate",Q121="Concrete jacket"),"Steel plate or jacket",Q121)</f>
        <v>Steel plate or jacket</v>
      </c>
      <c r="S121" s="5" t="str">
        <f aca="false">IF(O121&lt;='Tree rules'!$C$4,IF(N121&lt;='Tree rules'!$C$5,IF(P121&lt;='Tree rules'!$C$6,"Monitor","Polymer laminate"),IF(P121&lt;='Tree rules'!$C$7,"Seal cracks","Polymer laminate")),IF(O121&lt;='Tree rules'!$C$8,IF(M121&lt;='Tree rules'!$C$9,"Steel plate or jacket","Polymer laminate"),IF(L121&lt;='Tree rules'!$C$10,"Steel plate or jacket","Polymer laminate")))</f>
        <v>Steel plate or jacket</v>
      </c>
      <c r="T121" s="5" t="str">
        <f aca="false">IF(S121=R121,"Yes","No")</f>
        <v>Yes</v>
      </c>
    </row>
    <row r="122" customFormat="false" ht="15" hidden="false" customHeight="false" outlineLevel="0" collapsed="false">
      <c r="A122" s="15" t="n">
        <v>391</v>
      </c>
      <c r="B122" s="16" t="n">
        <v>6.60776500815864</v>
      </c>
      <c r="C122" s="15" t="n">
        <v>300</v>
      </c>
      <c r="D122" s="15" t="n">
        <v>650</v>
      </c>
      <c r="E122" s="15" t="n">
        <v>30</v>
      </c>
      <c r="F122" s="16" t="n">
        <v>0.695812326376477</v>
      </c>
      <c r="G122" s="17" t="s">
        <v>91</v>
      </c>
      <c r="H122" s="18" t="n">
        <v>0.2</v>
      </c>
      <c r="I122" s="18" t="n">
        <v>2</v>
      </c>
      <c r="J122" s="19" t="n">
        <v>0.854753907432873</v>
      </c>
      <c r="K122" s="19" t="n">
        <v>0.465630213540802</v>
      </c>
      <c r="L122" s="16" t="n">
        <v>10.9763538341506</v>
      </c>
      <c r="M122" s="19" t="n">
        <v>0.302210153674043</v>
      </c>
      <c r="N122" s="19" t="n">
        <v>1.46057341512556</v>
      </c>
      <c r="O122" s="19" t="n">
        <v>1.31150857042294</v>
      </c>
      <c r="P122" s="19" t="n">
        <v>1.11411835332607</v>
      </c>
      <c r="Q122" s="17" t="s">
        <v>31</v>
      </c>
      <c r="R122" s="5" t="str">
        <f aca="false">IF(OR(Q122="Steel plate",Q122="Concrete jacket"),"Steel plate or jacket",Q122)</f>
        <v>Polymer laminate</v>
      </c>
      <c r="S122" s="5" t="str">
        <f aca="false">IF(O122&lt;='Tree rules'!$C$4,IF(N122&lt;='Tree rules'!$C$5,IF(P122&lt;='Tree rules'!$C$6,"Monitor","Polymer laminate"),IF(P122&lt;='Tree rules'!$C$7,"Seal cracks","Polymer laminate")),IF(O122&lt;='Tree rules'!$C$8,IF(M122&lt;='Tree rules'!$C$9,"Steel plate or jacket","Polymer laminate"),IF(L122&lt;='Tree rules'!$C$10,"Steel plate or jacket","Polymer laminate")))</f>
        <v>Steel plate or jacket</v>
      </c>
      <c r="T122" s="5" t="str">
        <f aca="false">IF(S122=R122,"Yes","No")</f>
        <v>No</v>
      </c>
    </row>
    <row r="123" customFormat="false" ht="15" hidden="false" customHeight="false" outlineLevel="0" collapsed="false">
      <c r="A123" s="15" t="n">
        <v>393</v>
      </c>
      <c r="B123" s="16" t="n">
        <v>6.22857503667941</v>
      </c>
      <c r="C123" s="15" t="n">
        <v>300</v>
      </c>
      <c r="D123" s="15" t="n">
        <v>575</v>
      </c>
      <c r="E123" s="15" t="n">
        <v>30</v>
      </c>
      <c r="F123" s="16" t="n">
        <v>0.79483685100311</v>
      </c>
      <c r="G123" s="17" t="s">
        <v>89</v>
      </c>
      <c r="H123" s="18" t="n">
        <v>0.3</v>
      </c>
      <c r="I123" s="18" t="n">
        <v>1</v>
      </c>
      <c r="J123" s="19" t="n">
        <v>0.954004015771052</v>
      </c>
      <c r="K123" s="19" t="n">
        <v>0.410250955894342</v>
      </c>
      <c r="L123" s="16" t="n">
        <v>11.8189279633385</v>
      </c>
      <c r="M123" s="19" t="n">
        <v>0.830382196922481</v>
      </c>
      <c r="N123" s="19" t="n">
        <v>0.640015199997655</v>
      </c>
      <c r="O123" s="19" t="n">
        <v>0.954004015771052</v>
      </c>
      <c r="P123" s="19" t="n">
        <v>0.4231470222256</v>
      </c>
      <c r="Q123" s="17" t="s">
        <v>29</v>
      </c>
      <c r="R123" s="5" t="str">
        <f aca="false">IF(OR(Q123="Steel plate",Q123="Concrete jacket"),"Steel plate or jacket",Q123)</f>
        <v>Monitor</v>
      </c>
      <c r="S123" s="5" t="str">
        <f aca="false">IF(O123&lt;='Tree rules'!$C$4,IF(N123&lt;='Tree rules'!$C$5,IF(P123&lt;='Tree rules'!$C$6,"Monitor","Polymer laminate"),IF(P123&lt;='Tree rules'!$C$7,"Seal cracks","Polymer laminate")),IF(O123&lt;='Tree rules'!$C$8,IF(M123&lt;='Tree rules'!$C$9,"Steel plate or jacket","Polymer laminate"),IF(L123&lt;='Tree rules'!$C$10,"Steel plate or jacket","Polymer laminate")))</f>
        <v>Monitor</v>
      </c>
      <c r="T123" s="5" t="str">
        <f aca="false">IF(S123=R123,"Yes","No")</f>
        <v>Yes</v>
      </c>
    </row>
    <row r="124" customFormat="false" ht="15" hidden="false" customHeight="false" outlineLevel="0" collapsed="false">
      <c r="A124" s="15" t="n">
        <v>396</v>
      </c>
      <c r="B124" s="16" t="n">
        <v>7.37013152643715</v>
      </c>
      <c r="C124" s="15" t="n">
        <v>300</v>
      </c>
      <c r="D124" s="15" t="n">
        <v>625</v>
      </c>
      <c r="E124" s="15" t="n">
        <v>30</v>
      </c>
      <c r="F124" s="16" t="n">
        <v>0.725960174139756</v>
      </c>
      <c r="G124" s="17" t="s">
        <v>91</v>
      </c>
      <c r="H124" s="18" t="n">
        <v>0.2</v>
      </c>
      <c r="I124" s="18" t="n">
        <v>1.5</v>
      </c>
      <c r="J124" s="19" t="n">
        <v>0.865856759010246</v>
      </c>
      <c r="K124" s="19" t="n">
        <v>0.530941886851429</v>
      </c>
      <c r="L124" s="16" t="n">
        <v>12.7731915536173</v>
      </c>
      <c r="M124" s="19" t="n">
        <v>0.463720602835189</v>
      </c>
      <c r="N124" s="19" t="n">
        <v>1.15669066083362</v>
      </c>
      <c r="O124" s="19" t="n">
        <v>1.06892532782939</v>
      </c>
      <c r="P124" s="19" t="n">
        <v>0.826351118385554</v>
      </c>
      <c r="Q124" s="17" t="s">
        <v>31</v>
      </c>
      <c r="R124" s="5" t="str">
        <f aca="false">IF(OR(Q124="Steel plate",Q124="Concrete jacket"),"Steel plate or jacket",Q124)</f>
        <v>Polymer laminate</v>
      </c>
      <c r="S124" s="5" t="str">
        <f aca="false">IF(O124&lt;='Tree rules'!$C$4,IF(N124&lt;='Tree rules'!$C$5,IF(P124&lt;='Tree rules'!$C$6,"Monitor","Polymer laminate"),IF(P124&lt;='Tree rules'!$C$7,"Seal cracks","Polymer laminate")),IF(O124&lt;='Tree rules'!$C$8,IF(M124&lt;='Tree rules'!$C$9,"Steel plate or jacket","Polymer laminate"),IF(L124&lt;='Tree rules'!$C$10,"Steel plate or jacket","Polymer laminate")))</f>
        <v>Polymer laminate</v>
      </c>
      <c r="T124" s="5" t="str">
        <f aca="false">IF(S124=R124,"Yes","No")</f>
        <v>Yes</v>
      </c>
    </row>
    <row r="125" customFormat="false" ht="15" hidden="false" customHeight="false" outlineLevel="0" collapsed="false">
      <c r="A125" s="15" t="n">
        <v>399</v>
      </c>
      <c r="B125" s="16" t="n">
        <v>5.70213161102279</v>
      </c>
      <c r="C125" s="15" t="n">
        <v>230</v>
      </c>
      <c r="D125" s="15" t="n">
        <v>500</v>
      </c>
      <c r="E125" s="15" t="n">
        <v>20</v>
      </c>
      <c r="F125" s="16" t="n">
        <v>0.625130365852113</v>
      </c>
      <c r="G125" s="17" t="s">
        <v>90</v>
      </c>
      <c r="H125" s="18" t="n">
        <v>0.1</v>
      </c>
      <c r="I125" s="18" t="n">
        <v>1</v>
      </c>
      <c r="J125" s="19" t="n">
        <v>0.940690534838559</v>
      </c>
      <c r="K125" s="19" t="n">
        <v>0.525612936184065</v>
      </c>
      <c r="L125" s="16" t="n">
        <v>13.048356089297</v>
      </c>
      <c r="M125" s="19" t="n">
        <v>0.741443843271049</v>
      </c>
      <c r="N125" s="19" t="n">
        <v>2.72748308945239</v>
      </c>
      <c r="O125" s="19" t="n">
        <v>0.940690534838559</v>
      </c>
      <c r="P125" s="19" t="n">
        <v>0.459583651939822</v>
      </c>
      <c r="Q125" s="17" t="s">
        <v>30</v>
      </c>
      <c r="R125" s="5" t="str">
        <f aca="false">IF(OR(Q125="Steel plate",Q125="Concrete jacket"),"Steel plate or jacket",Q125)</f>
        <v>Seal cracks</v>
      </c>
      <c r="S125" s="5" t="str">
        <f aca="false">IF(O125&lt;='Tree rules'!$C$4,IF(N125&lt;='Tree rules'!$C$5,IF(P125&lt;='Tree rules'!$C$6,"Monitor","Polymer laminate"),IF(P125&lt;='Tree rules'!$C$7,"Seal cracks","Polymer laminate")),IF(O125&lt;='Tree rules'!$C$8,IF(M125&lt;='Tree rules'!$C$9,"Steel plate or jacket","Polymer laminate"),IF(L125&lt;='Tree rules'!$C$10,"Steel plate or jacket","Polymer laminate")))</f>
        <v>Seal cracks</v>
      </c>
      <c r="T125" s="5" t="str">
        <f aca="false">IF(S125=R125,"Yes","No")</f>
        <v>Yes</v>
      </c>
    </row>
    <row r="126" customFormat="false" ht="15" hidden="false" customHeight="false" outlineLevel="0" collapsed="false">
      <c r="A126" s="15" t="n">
        <v>402</v>
      </c>
      <c r="B126" s="16" t="n">
        <v>3.74177399755442</v>
      </c>
      <c r="C126" s="15" t="n">
        <v>300</v>
      </c>
      <c r="D126" s="15" t="n">
        <v>350</v>
      </c>
      <c r="E126" s="15" t="n">
        <v>25</v>
      </c>
      <c r="F126" s="16" t="n">
        <v>0.693508312050727</v>
      </c>
      <c r="G126" s="17" t="s">
        <v>91</v>
      </c>
      <c r="H126" s="18" t="n">
        <v>0.2</v>
      </c>
      <c r="I126" s="18" t="n">
        <v>1</v>
      </c>
      <c r="J126" s="19" t="n">
        <v>0.876036108634989</v>
      </c>
      <c r="K126" s="19" t="n">
        <v>0.564210653538568</v>
      </c>
      <c r="L126" s="16" t="n">
        <v>12.3899801243524</v>
      </c>
      <c r="M126" s="19" t="n">
        <v>0.912016734296651</v>
      </c>
      <c r="N126" s="19" t="n">
        <v>1.3173356664461</v>
      </c>
      <c r="O126" s="19" t="n">
        <v>0.876036108634989</v>
      </c>
      <c r="P126" s="19" t="n">
        <v>0.342944090352352</v>
      </c>
      <c r="Q126" s="17" t="s">
        <v>30</v>
      </c>
      <c r="R126" s="5" t="str">
        <f aca="false">IF(OR(Q126="Steel plate",Q126="Concrete jacket"),"Steel plate or jacket",Q126)</f>
        <v>Seal cracks</v>
      </c>
      <c r="S126" s="5" t="str">
        <f aca="false">IF(O126&lt;='Tree rules'!$C$4,IF(N126&lt;='Tree rules'!$C$5,IF(P126&lt;='Tree rules'!$C$6,"Monitor","Polymer laminate"),IF(P126&lt;='Tree rules'!$C$7,"Seal cracks","Polymer laminate")),IF(O126&lt;='Tree rules'!$C$8,IF(M126&lt;='Tree rules'!$C$9,"Steel plate or jacket","Polymer laminate"),IF(L126&lt;='Tree rules'!$C$10,"Steel plate or jacket","Polymer laminate")))</f>
        <v>Seal cracks</v>
      </c>
      <c r="T126" s="5" t="str">
        <f aca="false">IF(S126=R126,"Yes","No")</f>
        <v>Yes</v>
      </c>
    </row>
    <row r="127" customFormat="false" ht="15" hidden="false" customHeight="false" outlineLevel="0" collapsed="false">
      <c r="A127" s="15" t="n">
        <v>405</v>
      </c>
      <c r="B127" s="16" t="n">
        <v>4.39341108432301</v>
      </c>
      <c r="C127" s="15" t="n">
        <v>230</v>
      </c>
      <c r="D127" s="15" t="n">
        <v>400</v>
      </c>
      <c r="E127" s="15" t="n">
        <v>25</v>
      </c>
      <c r="F127" s="16" t="n">
        <v>0.740832460684402</v>
      </c>
      <c r="G127" s="17" t="s">
        <v>89</v>
      </c>
      <c r="H127" s="18" t="n">
        <v>0.3</v>
      </c>
      <c r="I127" s="18" t="n">
        <v>1.5</v>
      </c>
      <c r="J127" s="19" t="n">
        <v>0.949425378463217</v>
      </c>
      <c r="K127" s="19" t="n">
        <v>0.547485092813122</v>
      </c>
      <c r="L127" s="16" t="n">
        <v>12.4107657749237</v>
      </c>
      <c r="M127" s="19" t="n">
        <v>0.789571607259624</v>
      </c>
      <c r="N127" s="19" t="n">
        <v>0.820271949058232</v>
      </c>
      <c r="O127" s="19" t="n">
        <v>1.16423994697129</v>
      </c>
      <c r="P127" s="19" t="n">
        <v>0.515919702275554</v>
      </c>
      <c r="Q127" s="17" t="s">
        <v>31</v>
      </c>
      <c r="R127" s="5" t="str">
        <f aca="false">IF(OR(Q127="Steel plate",Q127="Concrete jacket"),"Steel plate or jacket",Q127)</f>
        <v>Polymer laminate</v>
      </c>
      <c r="S127" s="5" t="str">
        <f aca="false">IF(O127&lt;='Tree rules'!$C$4,IF(N127&lt;='Tree rules'!$C$5,IF(P127&lt;='Tree rules'!$C$6,"Monitor","Polymer laminate"),IF(P127&lt;='Tree rules'!$C$7,"Seal cracks","Polymer laminate")),IF(O127&lt;='Tree rules'!$C$8,IF(M127&lt;='Tree rules'!$C$9,"Steel plate or jacket","Polymer laminate"),IF(L127&lt;='Tree rules'!$C$10,"Steel plate or jacket","Polymer laminate")))</f>
        <v>Polymer laminate</v>
      </c>
      <c r="T127" s="5" t="str">
        <f aca="false">IF(S127=R127,"Yes","No")</f>
        <v>Yes</v>
      </c>
    </row>
    <row r="128" customFormat="false" ht="15" hidden="false" customHeight="false" outlineLevel="0" collapsed="false">
      <c r="A128" s="15" t="n">
        <v>409</v>
      </c>
      <c r="B128" s="16" t="n">
        <v>4.34081139839694</v>
      </c>
      <c r="C128" s="15" t="n">
        <v>230</v>
      </c>
      <c r="D128" s="15" t="n">
        <v>400</v>
      </c>
      <c r="E128" s="15" t="n">
        <v>25</v>
      </c>
      <c r="F128" s="16" t="n">
        <v>0.810628990734046</v>
      </c>
      <c r="G128" s="17" t="s">
        <v>90</v>
      </c>
      <c r="H128" s="18" t="n">
        <v>0.1</v>
      </c>
      <c r="I128" s="18" t="n">
        <v>2</v>
      </c>
      <c r="J128" s="19" t="n">
        <v>0.850151969291718</v>
      </c>
      <c r="K128" s="19" t="n">
        <v>0.576635796375441</v>
      </c>
      <c r="L128" s="16" t="n">
        <v>12.8807459893084</v>
      </c>
      <c r="M128" s="19" t="n">
        <v>0.747709725852105</v>
      </c>
      <c r="N128" s="19" t="n">
        <v>3.76146096712261</v>
      </c>
      <c r="O128" s="19" t="n">
        <v>1.21007588073076</v>
      </c>
      <c r="P128" s="19" t="n">
        <v>0.528712611782982</v>
      </c>
      <c r="Q128" s="17" t="s">
        <v>31</v>
      </c>
      <c r="R128" s="5" t="str">
        <f aca="false">IF(OR(Q128="Steel plate",Q128="Concrete jacket"),"Steel plate or jacket",Q128)</f>
        <v>Polymer laminate</v>
      </c>
      <c r="S128" s="5" t="str">
        <f aca="false">IF(O128&lt;='Tree rules'!$C$4,IF(N128&lt;='Tree rules'!$C$5,IF(P128&lt;='Tree rules'!$C$6,"Monitor","Polymer laminate"),IF(P128&lt;='Tree rules'!$C$7,"Seal cracks","Polymer laminate")),IF(O128&lt;='Tree rules'!$C$8,IF(M128&lt;='Tree rules'!$C$9,"Steel plate or jacket","Polymer laminate"),IF(L128&lt;='Tree rules'!$C$10,"Steel plate or jacket","Polymer laminate")))</f>
        <v>Polymer laminate</v>
      </c>
      <c r="T128" s="5" t="str">
        <f aca="false">IF(S128=R128,"Yes","No")</f>
        <v>Yes</v>
      </c>
    </row>
    <row r="129" customFormat="false" ht="15" hidden="false" customHeight="false" outlineLevel="0" collapsed="false">
      <c r="A129" s="15" t="n">
        <v>413</v>
      </c>
      <c r="B129" s="16" t="n">
        <v>7.37145136016039</v>
      </c>
      <c r="C129" s="15" t="n">
        <v>300</v>
      </c>
      <c r="D129" s="15" t="n">
        <v>650</v>
      </c>
      <c r="E129" s="15" t="n">
        <v>20</v>
      </c>
      <c r="F129" s="16" t="n">
        <v>0.665767979568698</v>
      </c>
      <c r="G129" s="17" t="s">
        <v>91</v>
      </c>
      <c r="H129" s="18" t="n">
        <v>0.2</v>
      </c>
      <c r="I129" s="18" t="n">
        <v>1</v>
      </c>
      <c r="J129" s="19" t="n">
        <v>0.871095878001603</v>
      </c>
      <c r="K129" s="19" t="n">
        <v>0.551503247288776</v>
      </c>
      <c r="L129" s="16" t="n">
        <v>12.2043896691397</v>
      </c>
      <c r="M129" s="19" t="n">
        <v>0.402704603649727</v>
      </c>
      <c r="N129" s="19" t="n">
        <v>0.817482037276012</v>
      </c>
      <c r="O129" s="19" t="n">
        <v>0.871095878001603</v>
      </c>
      <c r="P129" s="19" t="n">
        <v>0.885310584819162</v>
      </c>
      <c r="Q129" s="17" t="s">
        <v>29</v>
      </c>
      <c r="R129" s="5" t="str">
        <f aca="false">IF(OR(Q129="Steel plate",Q129="Concrete jacket"),"Steel plate or jacket",Q129)</f>
        <v>Monitor</v>
      </c>
      <c r="S129" s="5" t="str">
        <f aca="false">IF(O129&lt;='Tree rules'!$C$4,IF(N129&lt;='Tree rules'!$C$5,IF(P129&lt;='Tree rules'!$C$6,"Monitor","Polymer laminate"),IF(P129&lt;='Tree rules'!$C$7,"Seal cracks","Polymer laminate")),IF(O129&lt;='Tree rules'!$C$8,IF(M129&lt;='Tree rules'!$C$9,"Steel plate or jacket","Polymer laminate"),IF(L129&lt;='Tree rules'!$C$10,"Steel plate or jacket","Polymer laminate")))</f>
        <v>Monitor</v>
      </c>
      <c r="T129" s="5" t="str">
        <f aca="false">IF(S129=R129,"Yes","No")</f>
        <v>Yes</v>
      </c>
    </row>
    <row r="130" customFormat="false" ht="15" hidden="false" customHeight="false" outlineLevel="0" collapsed="false">
      <c r="A130" s="15" t="n">
        <v>415</v>
      </c>
      <c r="B130" s="16" t="n">
        <v>3.49190498773884</v>
      </c>
      <c r="C130" s="15" t="n">
        <v>230</v>
      </c>
      <c r="D130" s="15" t="n">
        <v>300</v>
      </c>
      <c r="E130" s="15" t="n">
        <v>30</v>
      </c>
      <c r="F130" s="16" t="n">
        <v>0.816145304197962</v>
      </c>
      <c r="G130" s="17" t="s">
        <v>90</v>
      </c>
      <c r="H130" s="18" t="n">
        <v>0.1</v>
      </c>
      <c r="I130" s="18" t="n">
        <v>1</v>
      </c>
      <c r="J130" s="19" t="n">
        <v>0.96350027510111</v>
      </c>
      <c r="K130" s="19" t="n">
        <v>0.498793516656888</v>
      </c>
      <c r="L130" s="16" t="n">
        <v>14.4892323142691</v>
      </c>
      <c r="M130" s="19" t="n">
        <v>0.644490156899241</v>
      </c>
      <c r="N130" s="19" t="n">
        <v>2.70552988633808</v>
      </c>
      <c r="O130" s="19" t="n">
        <v>0.96350027510111</v>
      </c>
      <c r="P130" s="19" t="n">
        <v>0.491154259737592</v>
      </c>
      <c r="Q130" s="17" t="s">
        <v>30</v>
      </c>
      <c r="R130" s="5" t="str">
        <f aca="false">IF(OR(Q130="Steel plate",Q130="Concrete jacket"),"Steel plate or jacket",Q130)</f>
        <v>Seal cracks</v>
      </c>
      <c r="S130" s="5" t="str">
        <f aca="false">IF(O130&lt;='Tree rules'!$C$4,IF(N130&lt;='Tree rules'!$C$5,IF(P130&lt;='Tree rules'!$C$6,"Monitor","Polymer laminate"),IF(P130&lt;='Tree rules'!$C$7,"Seal cracks","Polymer laminate")),IF(O130&lt;='Tree rules'!$C$8,IF(M130&lt;='Tree rules'!$C$9,"Steel plate or jacket","Polymer laminate"),IF(L130&lt;='Tree rules'!$C$10,"Steel plate or jacket","Polymer laminate")))</f>
        <v>Seal cracks</v>
      </c>
      <c r="T130" s="5" t="str">
        <f aca="false">IF(S130=R130,"Yes","No")</f>
        <v>Yes</v>
      </c>
    </row>
    <row r="131" customFormat="false" ht="15" hidden="false" customHeight="false" outlineLevel="0" collapsed="false">
      <c r="A131" s="15" t="n">
        <v>417</v>
      </c>
      <c r="B131" s="16" t="n">
        <v>6.82344212996265</v>
      </c>
      <c r="C131" s="15" t="n">
        <v>300</v>
      </c>
      <c r="D131" s="15" t="n">
        <v>650</v>
      </c>
      <c r="E131" s="15" t="n">
        <v>30</v>
      </c>
      <c r="F131" s="16" t="n">
        <v>0.869765407970596</v>
      </c>
      <c r="G131" s="17" t="s">
        <v>91</v>
      </c>
      <c r="H131" s="18" t="n">
        <v>0.2</v>
      </c>
      <c r="I131" s="18" t="n">
        <v>1</v>
      </c>
      <c r="J131" s="19" t="n">
        <v>0.908181915380472</v>
      </c>
      <c r="K131" s="19" t="n">
        <v>0.440204992198769</v>
      </c>
      <c r="L131" s="16" t="n">
        <v>11.3346214783433</v>
      </c>
      <c r="M131" s="19" t="n">
        <v>0.522346461951009</v>
      </c>
      <c r="N131" s="19" t="n">
        <v>0.888729991401562</v>
      </c>
      <c r="O131" s="19" t="n">
        <v>0.908181915380472</v>
      </c>
      <c r="P131" s="19" t="n">
        <v>0.660730841485382</v>
      </c>
      <c r="Q131" s="17" t="s">
        <v>29</v>
      </c>
      <c r="R131" s="5" t="str">
        <f aca="false">IF(OR(Q131="Steel plate",Q131="Concrete jacket"),"Steel plate or jacket",Q131)</f>
        <v>Monitor</v>
      </c>
      <c r="S131" s="5" t="str">
        <f aca="false">IF(O131&lt;='Tree rules'!$C$4,IF(N131&lt;='Tree rules'!$C$5,IF(P131&lt;='Tree rules'!$C$6,"Monitor","Polymer laminate"),IF(P131&lt;='Tree rules'!$C$7,"Seal cracks","Polymer laminate")),IF(O131&lt;='Tree rules'!$C$8,IF(M131&lt;='Tree rules'!$C$9,"Steel plate or jacket","Polymer laminate"),IF(L131&lt;='Tree rules'!$C$10,"Steel plate or jacket","Polymer laminate")))</f>
        <v>Monitor</v>
      </c>
      <c r="T131" s="5" t="str">
        <f aca="false">IF(S131=R131,"Yes","No")</f>
        <v>Yes</v>
      </c>
    </row>
    <row r="132" customFormat="false" ht="15" hidden="false" customHeight="false" outlineLevel="0" collapsed="false">
      <c r="A132" s="15" t="n">
        <v>422</v>
      </c>
      <c r="B132" s="16" t="n">
        <v>7.72898274806557</v>
      </c>
      <c r="C132" s="15" t="n">
        <v>300</v>
      </c>
      <c r="D132" s="15" t="n">
        <v>725</v>
      </c>
      <c r="E132" s="15" t="n">
        <v>30</v>
      </c>
      <c r="F132" s="16" t="n">
        <v>0.6187282429522</v>
      </c>
      <c r="G132" s="17" t="s">
        <v>89</v>
      </c>
      <c r="H132" s="18" t="n">
        <v>0.3</v>
      </c>
      <c r="I132" s="18" t="n">
        <v>2</v>
      </c>
      <c r="J132" s="19" t="n">
        <v>0.946041696082242</v>
      </c>
      <c r="K132" s="19" t="n">
        <v>0.492419536608902</v>
      </c>
      <c r="L132" s="16" t="n">
        <v>11.4165180916774</v>
      </c>
      <c r="M132" s="19" t="n">
        <v>0.783079385753613</v>
      </c>
      <c r="N132" s="19" t="n">
        <v>0.978027921554778</v>
      </c>
      <c r="O132" s="19" t="n">
        <v>1.42623397856697</v>
      </c>
      <c r="P132" s="19" t="n">
        <v>0.491326743360377</v>
      </c>
      <c r="Q132" s="17" t="s">
        <v>92</v>
      </c>
      <c r="R132" s="5" t="str">
        <f aca="false">IF(OR(Q132="Steel plate",Q132="Concrete jacket"),"Steel plate or jacket",Q132)</f>
        <v>Steel plate or jacket</v>
      </c>
      <c r="S132" s="5" t="str">
        <f aca="false">IF(O132&lt;='Tree rules'!$C$4,IF(N132&lt;='Tree rules'!$C$5,IF(P132&lt;='Tree rules'!$C$6,"Monitor","Polymer laminate"),IF(P132&lt;='Tree rules'!$C$7,"Seal cracks","Polymer laminate")),IF(O132&lt;='Tree rules'!$C$8,IF(M132&lt;='Tree rules'!$C$9,"Steel plate or jacket","Polymer laminate"),IF(L132&lt;='Tree rules'!$C$10,"Steel plate or jacket","Polymer laminate")))</f>
        <v>Steel plate or jacket</v>
      </c>
      <c r="T132" s="5" t="str">
        <f aca="false">IF(S132=R132,"Yes","No")</f>
        <v>Yes</v>
      </c>
    </row>
    <row r="133" customFormat="false" ht="15" hidden="false" customHeight="false" outlineLevel="0" collapsed="false">
      <c r="A133" s="15" t="n">
        <v>423</v>
      </c>
      <c r="B133" s="16" t="n">
        <v>7.4032858259857</v>
      </c>
      <c r="C133" s="15" t="n">
        <v>300</v>
      </c>
      <c r="D133" s="15" t="n">
        <v>575</v>
      </c>
      <c r="E133" s="15" t="n">
        <v>20</v>
      </c>
      <c r="F133" s="16" t="n">
        <v>0.596127638252333</v>
      </c>
      <c r="G133" s="17" t="s">
        <v>89</v>
      </c>
      <c r="H133" s="18" t="n">
        <v>0.3</v>
      </c>
      <c r="I133" s="18" t="n">
        <v>1.5</v>
      </c>
      <c r="J133" s="19" t="n">
        <v>0.854969252365573</v>
      </c>
      <c r="K133" s="19" t="n">
        <v>0.626821041039647</v>
      </c>
      <c r="L133" s="16" t="n">
        <v>14.04798069447</v>
      </c>
      <c r="M133" s="19" t="n">
        <v>0.480482990913478</v>
      </c>
      <c r="N133" s="19" t="n">
        <v>0.835067041594869</v>
      </c>
      <c r="O133" s="19" t="n">
        <v>1.01449752013602</v>
      </c>
      <c r="P133" s="19" t="n">
        <v>0.870227877531576</v>
      </c>
      <c r="Q133" s="17" t="s">
        <v>31</v>
      </c>
      <c r="R133" s="5" t="str">
        <f aca="false">IF(OR(Q133="Steel plate",Q133="Concrete jacket"),"Steel plate or jacket",Q133)</f>
        <v>Polymer laminate</v>
      </c>
      <c r="S133" s="5" t="str">
        <f aca="false">IF(O133&lt;='Tree rules'!$C$4,IF(N133&lt;='Tree rules'!$C$5,IF(P133&lt;='Tree rules'!$C$6,"Monitor","Polymer laminate"),IF(P133&lt;='Tree rules'!$C$7,"Seal cracks","Polymer laminate")),IF(O133&lt;='Tree rules'!$C$8,IF(M133&lt;='Tree rules'!$C$9,"Steel plate or jacket","Polymer laminate"),IF(L133&lt;='Tree rules'!$C$10,"Steel plate or jacket","Polymer laminate")))</f>
        <v>Polymer laminate</v>
      </c>
      <c r="T133" s="5" t="str">
        <f aca="false">IF(S133=R133,"Yes","No")</f>
        <v>Yes</v>
      </c>
    </row>
    <row r="134" customFormat="false" ht="15" hidden="false" customHeight="false" outlineLevel="0" collapsed="false">
      <c r="A134" s="15" t="n">
        <v>430</v>
      </c>
      <c r="B134" s="16" t="n">
        <v>5.08507453294294</v>
      </c>
      <c r="C134" s="15" t="n">
        <v>230</v>
      </c>
      <c r="D134" s="15" t="n">
        <v>475</v>
      </c>
      <c r="E134" s="15" t="n">
        <v>30</v>
      </c>
      <c r="F134" s="16" t="n">
        <v>0.959655631887728</v>
      </c>
      <c r="G134" s="17" t="s">
        <v>89</v>
      </c>
      <c r="H134" s="18" t="n">
        <v>0.3</v>
      </c>
      <c r="I134" s="18" t="n">
        <v>1.5</v>
      </c>
      <c r="J134" s="19" t="n">
        <v>0.877461122554294</v>
      </c>
      <c r="K134" s="19" t="n">
        <v>0.412716842791422</v>
      </c>
      <c r="L134" s="16" t="n">
        <v>11.9088396556041</v>
      </c>
      <c r="M134" s="19" t="n">
        <v>0.538950613368861</v>
      </c>
      <c r="N134" s="19" t="n">
        <v>0.824530319450023</v>
      </c>
      <c r="O134" s="19" t="n">
        <v>1.13512019174503</v>
      </c>
      <c r="P134" s="19" t="n">
        <v>0.740315019011679</v>
      </c>
      <c r="Q134" s="17" t="s">
        <v>31</v>
      </c>
      <c r="R134" s="5" t="str">
        <f aca="false">IF(OR(Q134="Steel plate",Q134="Concrete jacket"),"Steel plate or jacket",Q134)</f>
        <v>Polymer laminate</v>
      </c>
      <c r="S134" s="5" t="str">
        <f aca="false">IF(O134&lt;='Tree rules'!$C$4,IF(N134&lt;='Tree rules'!$C$5,IF(P134&lt;='Tree rules'!$C$6,"Monitor","Polymer laminate"),IF(P134&lt;='Tree rules'!$C$7,"Seal cracks","Polymer laminate")),IF(O134&lt;='Tree rules'!$C$8,IF(M134&lt;='Tree rules'!$C$9,"Steel plate or jacket","Polymer laminate"),IF(L134&lt;='Tree rules'!$C$10,"Steel plate or jacket","Polymer laminate")))</f>
        <v>Polymer laminate</v>
      </c>
      <c r="T134" s="5" t="str">
        <f aca="false">IF(S134=R134,"Yes","No")</f>
        <v>Yes</v>
      </c>
    </row>
    <row r="135" customFormat="false" ht="15" hidden="false" customHeight="false" outlineLevel="0" collapsed="false">
      <c r="A135" s="15" t="n">
        <v>436</v>
      </c>
      <c r="B135" s="16" t="n">
        <v>3.45136133189071</v>
      </c>
      <c r="C135" s="15" t="n">
        <v>300</v>
      </c>
      <c r="D135" s="15" t="n">
        <v>300</v>
      </c>
      <c r="E135" s="15" t="n">
        <v>25</v>
      </c>
      <c r="F135" s="16" t="n">
        <v>0.736310778185108</v>
      </c>
      <c r="G135" s="17" t="s">
        <v>89</v>
      </c>
      <c r="H135" s="18" t="n">
        <v>0.3</v>
      </c>
      <c r="I135" s="18" t="n">
        <v>1.5</v>
      </c>
      <c r="J135" s="19" t="n">
        <v>0.866303663970432</v>
      </c>
      <c r="K135" s="19" t="n">
        <v>0.522505612604401</v>
      </c>
      <c r="L135" s="16" t="n">
        <v>13.4818802026981</v>
      </c>
      <c r="M135" s="19" t="n">
        <v>0.926921154603453</v>
      </c>
      <c r="N135" s="19" t="n">
        <v>0.693594618948564</v>
      </c>
      <c r="O135" s="19" t="n">
        <v>1.07313123263349</v>
      </c>
      <c r="P135" s="19" t="n">
        <v>0.396797481602863</v>
      </c>
      <c r="Q135" s="17" t="s">
        <v>31</v>
      </c>
      <c r="R135" s="5" t="str">
        <f aca="false">IF(OR(Q135="Steel plate",Q135="Concrete jacket"),"Steel plate or jacket",Q135)</f>
        <v>Polymer laminate</v>
      </c>
      <c r="S135" s="5" t="str">
        <f aca="false">IF(O135&lt;='Tree rules'!$C$4,IF(N135&lt;='Tree rules'!$C$5,IF(P135&lt;='Tree rules'!$C$6,"Monitor","Polymer laminate"),IF(P135&lt;='Tree rules'!$C$7,"Seal cracks","Polymer laminate")),IF(O135&lt;='Tree rules'!$C$8,IF(M135&lt;='Tree rules'!$C$9,"Steel plate or jacket","Polymer laminate"),IF(L135&lt;='Tree rules'!$C$10,"Steel plate or jacket","Polymer laminate")))</f>
        <v>Polymer laminate</v>
      </c>
      <c r="T135" s="5" t="str">
        <f aca="false">IF(S135=R135,"Yes","No")</f>
        <v>Yes</v>
      </c>
    </row>
    <row r="136" customFormat="false" ht="15" hidden="false" customHeight="false" outlineLevel="0" collapsed="false">
      <c r="A136" s="15" t="n">
        <v>437</v>
      </c>
      <c r="B136" s="16" t="n">
        <v>5.25441930013571</v>
      </c>
      <c r="C136" s="15" t="n">
        <v>300</v>
      </c>
      <c r="D136" s="15" t="n">
        <v>425</v>
      </c>
      <c r="E136" s="15" t="n">
        <v>25</v>
      </c>
      <c r="F136" s="16" t="n">
        <v>0.833313701217452</v>
      </c>
      <c r="G136" s="17" t="s">
        <v>89</v>
      </c>
      <c r="H136" s="18" t="n">
        <v>0.3</v>
      </c>
      <c r="I136" s="18" t="n">
        <v>1</v>
      </c>
      <c r="J136" s="19" t="n">
        <v>0.851300798420604</v>
      </c>
      <c r="K136" s="19" t="n">
        <v>0.43625981270677</v>
      </c>
      <c r="L136" s="16" t="n">
        <v>13.9374517244979</v>
      </c>
      <c r="M136" s="19" t="n">
        <v>0.92993850509185</v>
      </c>
      <c r="N136" s="19" t="n">
        <v>0.640853941980266</v>
      </c>
      <c r="O136" s="19" t="n">
        <v>0.851300798420604</v>
      </c>
      <c r="P136" s="19" t="n">
        <v>0.420619541765993</v>
      </c>
      <c r="Q136" s="17" t="s">
        <v>29</v>
      </c>
      <c r="R136" s="5" t="str">
        <f aca="false">IF(OR(Q136="Steel plate",Q136="Concrete jacket"),"Steel plate or jacket",Q136)</f>
        <v>Monitor</v>
      </c>
      <c r="S136" s="5" t="str">
        <f aca="false">IF(O136&lt;='Tree rules'!$C$4,IF(N136&lt;='Tree rules'!$C$5,IF(P136&lt;='Tree rules'!$C$6,"Monitor","Polymer laminate"),IF(P136&lt;='Tree rules'!$C$7,"Seal cracks","Polymer laminate")),IF(O136&lt;='Tree rules'!$C$8,IF(M136&lt;='Tree rules'!$C$9,"Steel plate or jacket","Polymer laminate"),IF(L136&lt;='Tree rules'!$C$10,"Steel plate or jacket","Polymer laminate")))</f>
        <v>Monitor</v>
      </c>
      <c r="T136" s="5" t="str">
        <f aca="false">IF(S136=R136,"Yes","No")</f>
        <v>Yes</v>
      </c>
    </row>
    <row r="137" customFormat="false" ht="15" hidden="false" customHeight="false" outlineLevel="0" collapsed="false">
      <c r="A137" s="15" t="n">
        <v>440</v>
      </c>
      <c r="B137" s="16" t="n">
        <v>3.45641266241999</v>
      </c>
      <c r="C137" s="15" t="n">
        <v>230</v>
      </c>
      <c r="D137" s="15" t="n">
        <v>300</v>
      </c>
      <c r="E137" s="15" t="n">
        <v>20</v>
      </c>
      <c r="F137" s="16" t="n">
        <v>0.688332522525665</v>
      </c>
      <c r="G137" s="17" t="s">
        <v>89</v>
      </c>
      <c r="H137" s="18" t="n">
        <v>0.3</v>
      </c>
      <c r="I137" s="18" t="n">
        <v>1</v>
      </c>
      <c r="J137" s="19" t="n">
        <v>0.965310562767139</v>
      </c>
      <c r="K137" s="19" t="n">
        <v>0.460166918112076</v>
      </c>
      <c r="L137" s="16" t="n">
        <v>13.6079238677952</v>
      </c>
      <c r="M137" s="19" t="n">
        <v>0.464391350578371</v>
      </c>
      <c r="N137" s="19" t="n">
        <v>0.906270716951116</v>
      </c>
      <c r="O137" s="19" t="n">
        <v>0.965310562767139</v>
      </c>
      <c r="P137" s="19" t="n">
        <v>0.695502638394989</v>
      </c>
      <c r="Q137" s="17" t="s">
        <v>29</v>
      </c>
      <c r="R137" s="5" t="str">
        <f aca="false">IF(OR(Q137="Steel plate",Q137="Concrete jacket"),"Steel plate or jacket",Q137)</f>
        <v>Monitor</v>
      </c>
      <c r="S137" s="5" t="str">
        <f aca="false">IF(O137&lt;='Tree rules'!$C$4,IF(N137&lt;='Tree rules'!$C$5,IF(P137&lt;='Tree rules'!$C$6,"Monitor","Polymer laminate"),IF(P137&lt;='Tree rules'!$C$7,"Seal cracks","Polymer laminate")),IF(O137&lt;='Tree rules'!$C$8,IF(M137&lt;='Tree rules'!$C$9,"Steel plate or jacket","Polymer laminate"),IF(L137&lt;='Tree rules'!$C$10,"Steel plate or jacket","Polymer laminate")))</f>
        <v>Monitor</v>
      </c>
      <c r="T137" s="5" t="str">
        <f aca="false">IF(S137=R137,"Yes","No")</f>
        <v>Yes</v>
      </c>
    </row>
    <row r="138" customFormat="false" ht="15" hidden="false" customHeight="false" outlineLevel="0" collapsed="false">
      <c r="A138" s="15" t="n">
        <v>443</v>
      </c>
      <c r="B138" s="16" t="n">
        <v>7.39961347366595</v>
      </c>
      <c r="C138" s="15" t="n">
        <v>230</v>
      </c>
      <c r="D138" s="15" t="n">
        <v>700</v>
      </c>
      <c r="E138" s="15" t="n">
        <v>20</v>
      </c>
      <c r="F138" s="16" t="n">
        <v>0.628486127018497</v>
      </c>
      <c r="G138" s="17" t="s">
        <v>89</v>
      </c>
      <c r="H138" s="18" t="n">
        <v>0.3</v>
      </c>
      <c r="I138" s="18" t="n">
        <v>1.5</v>
      </c>
      <c r="J138" s="19" t="n">
        <v>0.91704718710707</v>
      </c>
      <c r="K138" s="19" t="n">
        <v>0.507422353704794</v>
      </c>
      <c r="L138" s="16" t="n">
        <v>11.3491004197331</v>
      </c>
      <c r="M138" s="19" t="n">
        <v>0.378696410430422</v>
      </c>
      <c r="N138" s="19" t="n">
        <v>0.813399074662395</v>
      </c>
      <c r="O138" s="19" t="n">
        <v>1.14290565959049</v>
      </c>
      <c r="P138" s="19" t="n">
        <v>0.962682658126009</v>
      </c>
      <c r="Q138" s="17" t="s">
        <v>31</v>
      </c>
      <c r="R138" s="5" t="str">
        <f aca="false">IF(OR(Q138="Steel plate",Q138="Concrete jacket"),"Steel plate or jacket",Q138)</f>
        <v>Polymer laminate</v>
      </c>
      <c r="S138" s="5" t="str">
        <f aca="false">IF(O138&lt;='Tree rules'!$C$4,IF(N138&lt;='Tree rules'!$C$5,IF(P138&lt;='Tree rules'!$C$6,"Monitor","Polymer laminate"),IF(P138&lt;='Tree rules'!$C$7,"Seal cracks","Polymer laminate")),IF(O138&lt;='Tree rules'!$C$8,IF(M138&lt;='Tree rules'!$C$9,"Steel plate or jacket","Polymer laminate"),IF(L138&lt;='Tree rules'!$C$10,"Steel plate or jacket","Polymer laminate")))</f>
        <v>Polymer laminate</v>
      </c>
      <c r="T138" s="5" t="str">
        <f aca="false">IF(S138=R138,"Yes","No")</f>
        <v>Yes</v>
      </c>
    </row>
    <row r="139" customFormat="false" ht="15" hidden="false" customHeight="false" outlineLevel="0" collapsed="false">
      <c r="A139" s="15" t="n">
        <v>445</v>
      </c>
      <c r="B139" s="16" t="n">
        <v>3.91479409205276</v>
      </c>
      <c r="C139" s="15" t="n">
        <v>300</v>
      </c>
      <c r="D139" s="15" t="n">
        <v>325</v>
      </c>
      <c r="E139" s="15" t="n">
        <v>25</v>
      </c>
      <c r="F139" s="16" t="n">
        <v>0.72065207824282</v>
      </c>
      <c r="G139" s="17" t="s">
        <v>89</v>
      </c>
      <c r="H139" s="18" t="n">
        <v>0.3</v>
      </c>
      <c r="I139" s="18" t="n">
        <v>1</v>
      </c>
      <c r="J139" s="19" t="n">
        <v>0.854768104058576</v>
      </c>
      <c r="K139" s="19" t="n">
        <v>0.51133118244158</v>
      </c>
      <c r="L139" s="16" t="n">
        <v>14.0315200431999</v>
      </c>
      <c r="M139" s="19" t="n">
        <v>0.302565560670517</v>
      </c>
      <c r="N139" s="19" t="n">
        <v>0.753531550083582</v>
      </c>
      <c r="O139" s="19" t="n">
        <v>0.854768104058576</v>
      </c>
      <c r="P139" s="19" t="n">
        <v>1.01385643304167</v>
      </c>
      <c r="Q139" s="17" t="s">
        <v>31</v>
      </c>
      <c r="R139" s="5" t="str">
        <f aca="false">IF(OR(Q139="Steel plate",Q139="Concrete jacket"),"Steel plate or jacket",Q139)</f>
        <v>Polymer laminate</v>
      </c>
      <c r="S139" s="5" t="str">
        <f aca="false">IF(O139&lt;='Tree rules'!$C$4,IF(N139&lt;='Tree rules'!$C$5,IF(P139&lt;='Tree rules'!$C$6,"Monitor","Polymer laminate"),IF(P139&lt;='Tree rules'!$C$7,"Seal cracks","Polymer laminate")),IF(O139&lt;='Tree rules'!$C$8,IF(M139&lt;='Tree rules'!$C$9,"Steel plate or jacket","Polymer laminate"),IF(L139&lt;='Tree rules'!$C$10,"Steel plate or jacket","Polymer laminate")))</f>
        <v>Polymer laminate</v>
      </c>
      <c r="T139" s="5" t="str">
        <f aca="false">IF(S139=R139,"Yes","No")</f>
        <v>Yes</v>
      </c>
    </row>
    <row r="140" customFormat="false" ht="15" hidden="false" customHeight="false" outlineLevel="0" collapsed="false">
      <c r="A140" s="15" t="n">
        <v>451</v>
      </c>
      <c r="B140" s="16" t="n">
        <v>4.45787810534762</v>
      </c>
      <c r="C140" s="15" t="n">
        <v>230</v>
      </c>
      <c r="D140" s="15" t="n">
        <v>450</v>
      </c>
      <c r="E140" s="15" t="n">
        <v>20</v>
      </c>
      <c r="F140" s="16" t="n">
        <v>0.649145274956135</v>
      </c>
      <c r="G140" s="17" t="s">
        <v>89</v>
      </c>
      <c r="H140" s="18" t="n">
        <v>0.3</v>
      </c>
      <c r="I140" s="18" t="n">
        <v>1</v>
      </c>
      <c r="J140" s="19" t="n">
        <v>0.877935625912108</v>
      </c>
      <c r="K140" s="19" t="n">
        <v>0.45037343031535</v>
      </c>
      <c r="L140" s="16" t="n">
        <v>11.03435174591</v>
      </c>
      <c r="M140" s="19" t="n">
        <v>0.734842070886713</v>
      </c>
      <c r="N140" s="19" t="n">
        <v>0.590759142329821</v>
      </c>
      <c r="O140" s="19" t="n">
        <v>0.877935625912108</v>
      </c>
      <c r="P140" s="19" t="n">
        <v>0.383634246831712</v>
      </c>
      <c r="Q140" s="17" t="s">
        <v>29</v>
      </c>
      <c r="R140" s="5" t="str">
        <f aca="false">IF(OR(Q140="Steel plate",Q140="Concrete jacket"),"Steel plate or jacket",Q140)</f>
        <v>Monitor</v>
      </c>
      <c r="S140" s="5" t="str">
        <f aca="false">IF(O140&lt;='Tree rules'!$C$4,IF(N140&lt;='Tree rules'!$C$5,IF(P140&lt;='Tree rules'!$C$6,"Monitor","Polymer laminate"),IF(P140&lt;='Tree rules'!$C$7,"Seal cracks","Polymer laminate")),IF(O140&lt;='Tree rules'!$C$8,IF(M140&lt;='Tree rules'!$C$9,"Steel plate or jacket","Polymer laminate"),IF(L140&lt;='Tree rules'!$C$10,"Steel plate or jacket","Polymer laminate")))</f>
        <v>Monitor</v>
      </c>
      <c r="T140" s="5" t="str">
        <f aca="false">IF(S140=R140,"Yes","No")</f>
        <v>Yes</v>
      </c>
    </row>
    <row r="141" customFormat="false" ht="15" hidden="false" customHeight="false" outlineLevel="0" collapsed="false">
      <c r="A141" s="15" t="n">
        <v>452</v>
      </c>
      <c r="B141" s="16" t="n">
        <v>6.31557054192446</v>
      </c>
      <c r="C141" s="15" t="n">
        <v>300</v>
      </c>
      <c r="D141" s="15" t="n">
        <v>600</v>
      </c>
      <c r="E141" s="15" t="n">
        <v>30</v>
      </c>
      <c r="F141" s="16" t="n">
        <v>0.725855342345656</v>
      </c>
      <c r="G141" s="17" t="s">
        <v>91</v>
      </c>
      <c r="H141" s="18" t="n">
        <v>0.2</v>
      </c>
      <c r="I141" s="18" t="n">
        <v>2</v>
      </c>
      <c r="J141" s="19" t="n">
        <v>0.909402252392517</v>
      </c>
      <c r="K141" s="19" t="n">
        <v>0.479088964856636</v>
      </c>
      <c r="L141" s="16" t="n">
        <v>11.3999468265785</v>
      </c>
      <c r="M141" s="19" t="n">
        <v>0.947722590884971</v>
      </c>
      <c r="N141" s="19" t="n">
        <v>1.25343363843398</v>
      </c>
      <c r="O141" s="19" t="n">
        <v>1.38311992104801</v>
      </c>
      <c r="P141" s="19" t="n">
        <v>0.438889312940314</v>
      </c>
      <c r="Q141" s="17" t="s">
        <v>92</v>
      </c>
      <c r="R141" s="5" t="str">
        <f aca="false">IF(OR(Q141="Steel plate",Q141="Concrete jacket"),"Steel plate or jacket",Q141)</f>
        <v>Steel plate or jacket</v>
      </c>
      <c r="S141" s="5" t="str">
        <f aca="false">IF(O141&lt;='Tree rules'!$C$4,IF(N141&lt;='Tree rules'!$C$5,IF(P141&lt;='Tree rules'!$C$6,"Monitor","Polymer laminate"),IF(P141&lt;='Tree rules'!$C$7,"Seal cracks","Polymer laminate")),IF(O141&lt;='Tree rules'!$C$8,IF(M141&lt;='Tree rules'!$C$9,"Steel plate or jacket","Polymer laminate"),IF(L141&lt;='Tree rules'!$C$10,"Steel plate or jacket","Polymer laminate")))</f>
        <v>Steel plate or jacket</v>
      </c>
      <c r="T141" s="5" t="str">
        <f aca="false">IF(S141=R141,"Yes","No")</f>
        <v>Yes</v>
      </c>
    </row>
    <row r="142" customFormat="false" ht="15" hidden="false" customHeight="false" outlineLevel="0" collapsed="false">
      <c r="A142" s="15" t="n">
        <v>453</v>
      </c>
      <c r="B142" s="16" t="n">
        <v>4.47815916506958</v>
      </c>
      <c r="C142" s="15" t="n">
        <v>230</v>
      </c>
      <c r="D142" s="15" t="n">
        <v>450</v>
      </c>
      <c r="E142" s="15" t="n">
        <v>30</v>
      </c>
      <c r="F142" s="16" t="n">
        <v>0.865527033274846</v>
      </c>
      <c r="G142" s="17" t="s">
        <v>89</v>
      </c>
      <c r="H142" s="18" t="n">
        <v>0.3</v>
      </c>
      <c r="I142" s="18" t="n">
        <v>1.5</v>
      </c>
      <c r="J142" s="19" t="n">
        <v>0.983576245088965</v>
      </c>
      <c r="K142" s="19" t="n">
        <v>0.517167704047142</v>
      </c>
      <c r="L142" s="16" t="n">
        <v>11.0845523887861</v>
      </c>
      <c r="M142" s="19" t="n">
        <v>0.738181823990744</v>
      </c>
      <c r="N142" s="19" t="n">
        <v>0.797978079538751</v>
      </c>
      <c r="O142" s="19" t="n">
        <v>1.22102743341946</v>
      </c>
      <c r="P142" s="19" t="n">
        <v>0.555955839796794</v>
      </c>
      <c r="Q142" s="17" t="s">
        <v>31</v>
      </c>
      <c r="R142" s="5" t="str">
        <f aca="false">IF(OR(Q142="Steel plate",Q142="Concrete jacket"),"Steel plate or jacket",Q142)</f>
        <v>Polymer laminate</v>
      </c>
      <c r="S142" s="5" t="str">
        <f aca="false">IF(O142&lt;='Tree rules'!$C$4,IF(N142&lt;='Tree rules'!$C$5,IF(P142&lt;='Tree rules'!$C$6,"Monitor","Polymer laminate"),IF(P142&lt;='Tree rules'!$C$7,"Seal cracks","Polymer laminate")),IF(O142&lt;='Tree rules'!$C$8,IF(M142&lt;='Tree rules'!$C$9,"Steel plate or jacket","Polymer laminate"),IF(L142&lt;='Tree rules'!$C$10,"Steel plate or jacket","Polymer laminate")))</f>
        <v>Polymer laminate</v>
      </c>
      <c r="T142" s="5" t="str">
        <f aca="false">IF(S142=R142,"Yes","No")</f>
        <v>Yes</v>
      </c>
    </row>
    <row r="143" customFormat="false" ht="15" hidden="false" customHeight="false" outlineLevel="0" collapsed="false">
      <c r="A143" s="15" t="n">
        <v>460</v>
      </c>
      <c r="B143" s="16" t="n">
        <v>3.57037961741345</v>
      </c>
      <c r="C143" s="15" t="n">
        <v>300</v>
      </c>
      <c r="D143" s="15" t="n">
        <v>350</v>
      </c>
      <c r="E143" s="15" t="n">
        <v>25</v>
      </c>
      <c r="F143" s="16" t="n">
        <v>0.61599855952741</v>
      </c>
      <c r="G143" s="17" t="s">
        <v>89</v>
      </c>
      <c r="H143" s="18" t="n">
        <v>0.3</v>
      </c>
      <c r="I143" s="18" t="n">
        <v>2</v>
      </c>
      <c r="J143" s="19" t="n">
        <v>0.940971843538324</v>
      </c>
      <c r="K143" s="19" t="n">
        <v>0.647701688093071</v>
      </c>
      <c r="L143" s="16" t="n">
        <v>11.6679072464492</v>
      </c>
      <c r="M143" s="19" t="n">
        <v>0.47180186413004</v>
      </c>
      <c r="N143" s="19" t="n">
        <v>0.890698351464601</v>
      </c>
      <c r="O143" s="19" t="n">
        <v>1.27247463556883</v>
      </c>
      <c r="P143" s="19" t="n">
        <v>0.724143688708824</v>
      </c>
      <c r="Q143" s="17" t="s">
        <v>31</v>
      </c>
      <c r="R143" s="5" t="str">
        <f aca="false">IF(OR(Q143="Steel plate",Q143="Concrete jacket"),"Steel plate or jacket",Q143)</f>
        <v>Polymer laminate</v>
      </c>
      <c r="S143" s="5" t="str">
        <f aca="false">IF(O143&lt;='Tree rules'!$C$4,IF(N143&lt;='Tree rules'!$C$5,IF(P143&lt;='Tree rules'!$C$6,"Monitor","Polymer laminate"),IF(P143&lt;='Tree rules'!$C$7,"Seal cracks","Polymer laminate")),IF(O143&lt;='Tree rules'!$C$8,IF(M143&lt;='Tree rules'!$C$9,"Steel plate or jacket","Polymer laminate"),IF(L143&lt;='Tree rules'!$C$10,"Steel plate or jacket","Polymer laminate")))</f>
        <v>Polymer laminate</v>
      </c>
      <c r="T143" s="5" t="str">
        <f aca="false">IF(S143=R143,"Yes","No")</f>
        <v>Yes</v>
      </c>
    </row>
    <row r="144" customFormat="false" ht="15" hidden="false" customHeight="false" outlineLevel="0" collapsed="false">
      <c r="A144" s="15" t="n">
        <v>463</v>
      </c>
      <c r="B144" s="16" t="n">
        <v>5.30599767347905</v>
      </c>
      <c r="C144" s="15" t="n">
        <v>230</v>
      </c>
      <c r="D144" s="15" t="n">
        <v>525</v>
      </c>
      <c r="E144" s="15" t="n">
        <v>25</v>
      </c>
      <c r="F144" s="16" t="n">
        <v>0.85906279835652</v>
      </c>
      <c r="G144" s="17" t="s">
        <v>89</v>
      </c>
      <c r="H144" s="18" t="n">
        <v>0.3</v>
      </c>
      <c r="I144" s="18" t="n">
        <v>1</v>
      </c>
      <c r="J144" s="19" t="n">
        <v>0.975777341273646</v>
      </c>
      <c r="K144" s="19" t="n">
        <v>0.434911453055697</v>
      </c>
      <c r="L144" s="16" t="n">
        <v>11.1236848500609</v>
      </c>
      <c r="M144" s="19" t="n">
        <v>0.927139939112422</v>
      </c>
      <c r="N144" s="19" t="n">
        <v>0.639991631830551</v>
      </c>
      <c r="O144" s="19" t="n">
        <v>0.975777341273646</v>
      </c>
      <c r="P144" s="19" t="n">
        <v>0.409497922792429</v>
      </c>
      <c r="Q144" s="17" t="s">
        <v>29</v>
      </c>
      <c r="R144" s="5" t="str">
        <f aca="false">IF(OR(Q144="Steel plate",Q144="Concrete jacket"),"Steel plate or jacket",Q144)</f>
        <v>Monitor</v>
      </c>
      <c r="S144" s="5" t="str">
        <f aca="false">IF(O144&lt;='Tree rules'!$C$4,IF(N144&lt;='Tree rules'!$C$5,IF(P144&lt;='Tree rules'!$C$6,"Monitor","Polymer laminate"),IF(P144&lt;='Tree rules'!$C$7,"Seal cracks","Polymer laminate")),IF(O144&lt;='Tree rules'!$C$8,IF(M144&lt;='Tree rules'!$C$9,"Steel plate or jacket","Polymer laminate"),IF(L144&lt;='Tree rules'!$C$10,"Steel plate or jacket","Polymer laminate")))</f>
        <v>Monitor</v>
      </c>
      <c r="T144" s="5" t="str">
        <f aca="false">IF(S144=R144,"Yes","No")</f>
        <v>Yes</v>
      </c>
    </row>
    <row r="145" customFormat="false" ht="15" hidden="false" customHeight="false" outlineLevel="0" collapsed="false">
      <c r="A145" s="15" t="n">
        <v>464</v>
      </c>
      <c r="B145" s="16" t="n">
        <v>3.66908606834593</v>
      </c>
      <c r="C145" s="15" t="n">
        <v>300</v>
      </c>
      <c r="D145" s="15" t="n">
        <v>375</v>
      </c>
      <c r="E145" s="15" t="n">
        <v>25</v>
      </c>
      <c r="F145" s="16" t="n">
        <v>0.611130485804701</v>
      </c>
      <c r="G145" s="17" t="s">
        <v>89</v>
      </c>
      <c r="H145" s="18" t="n">
        <v>0.3</v>
      </c>
      <c r="I145" s="18" t="n">
        <v>1.5</v>
      </c>
      <c r="J145" s="19" t="n">
        <v>0.851704226112885</v>
      </c>
      <c r="K145" s="19" t="n">
        <v>0.459338684415532</v>
      </c>
      <c r="L145" s="16" t="n">
        <v>11.1522372898053</v>
      </c>
      <c r="M145" s="19" t="n">
        <v>0.646931441499206</v>
      </c>
      <c r="N145" s="19" t="n">
        <v>0.884886660351343</v>
      </c>
      <c r="O145" s="19" t="n">
        <v>1.08194598980241</v>
      </c>
      <c r="P145" s="19" t="n">
        <v>0.402990719866338</v>
      </c>
      <c r="Q145" s="17" t="s">
        <v>31</v>
      </c>
      <c r="R145" s="5" t="str">
        <f aca="false">IF(OR(Q145="Steel plate",Q145="Concrete jacket"),"Steel plate or jacket",Q145)</f>
        <v>Polymer laminate</v>
      </c>
      <c r="S145" s="5" t="str">
        <f aca="false">IF(O145&lt;='Tree rules'!$C$4,IF(N145&lt;='Tree rules'!$C$5,IF(P145&lt;='Tree rules'!$C$6,"Monitor","Polymer laminate"),IF(P145&lt;='Tree rules'!$C$7,"Seal cracks","Polymer laminate")),IF(O145&lt;='Tree rules'!$C$8,IF(M145&lt;='Tree rules'!$C$9,"Steel plate or jacket","Polymer laminate"),IF(L145&lt;='Tree rules'!$C$10,"Steel plate or jacket","Polymer laminate")))</f>
        <v>Polymer laminate</v>
      </c>
      <c r="T145" s="5" t="str">
        <f aca="false">IF(S145=R145,"Yes","No")</f>
        <v>Yes</v>
      </c>
    </row>
    <row r="146" customFormat="false" ht="15" hidden="false" customHeight="false" outlineLevel="0" collapsed="false">
      <c r="A146" s="15" t="n">
        <v>466</v>
      </c>
      <c r="B146" s="16" t="n">
        <v>3.36551931508231</v>
      </c>
      <c r="C146" s="15" t="n">
        <v>300</v>
      </c>
      <c r="D146" s="15" t="n">
        <v>325</v>
      </c>
      <c r="E146" s="15" t="n">
        <v>20</v>
      </c>
      <c r="F146" s="16" t="n">
        <v>0.756099314943392</v>
      </c>
      <c r="G146" s="17" t="s">
        <v>89</v>
      </c>
      <c r="H146" s="18" t="n">
        <v>0.3</v>
      </c>
      <c r="I146" s="18" t="n">
        <v>1</v>
      </c>
      <c r="J146" s="19" t="n">
        <v>0.911745659481552</v>
      </c>
      <c r="K146" s="19" t="n">
        <v>0.608753394907468</v>
      </c>
      <c r="L146" s="16" t="n">
        <v>12.1498892241239</v>
      </c>
      <c r="M146" s="19" t="n">
        <v>0.780543051771109</v>
      </c>
      <c r="N146" s="19" t="n">
        <v>0.930036991858579</v>
      </c>
      <c r="O146" s="19" t="n">
        <v>0.911745659481552</v>
      </c>
      <c r="P146" s="19" t="n">
        <v>0.458822838316837</v>
      </c>
      <c r="Q146" s="17" t="s">
        <v>29</v>
      </c>
      <c r="R146" s="5" t="str">
        <f aca="false">IF(OR(Q146="Steel plate",Q146="Concrete jacket"),"Steel plate or jacket",Q146)</f>
        <v>Monitor</v>
      </c>
      <c r="S146" s="5" t="str">
        <f aca="false">IF(O146&lt;='Tree rules'!$C$4,IF(N146&lt;='Tree rules'!$C$5,IF(P146&lt;='Tree rules'!$C$6,"Monitor","Polymer laminate"),IF(P146&lt;='Tree rules'!$C$7,"Seal cracks","Polymer laminate")),IF(O146&lt;='Tree rules'!$C$8,IF(M146&lt;='Tree rules'!$C$9,"Steel plate or jacket","Polymer laminate"),IF(L146&lt;='Tree rules'!$C$10,"Steel plate or jacket","Polymer laminate")))</f>
        <v>Monitor</v>
      </c>
      <c r="T146" s="5" t="str">
        <f aca="false">IF(S146=R146,"Yes","No")</f>
        <v>Yes</v>
      </c>
    </row>
    <row r="147" customFormat="false" ht="15" hidden="false" customHeight="false" outlineLevel="0" collapsed="false">
      <c r="A147" s="15" t="n">
        <v>468</v>
      </c>
      <c r="B147" s="16" t="n">
        <v>4.24443636123163</v>
      </c>
      <c r="C147" s="15" t="n">
        <v>300</v>
      </c>
      <c r="D147" s="15" t="n">
        <v>375</v>
      </c>
      <c r="E147" s="15" t="n">
        <v>20</v>
      </c>
      <c r="F147" s="16" t="n">
        <v>0.611130485804701</v>
      </c>
      <c r="G147" s="17" t="s">
        <v>89</v>
      </c>
      <c r="H147" s="18" t="n">
        <v>0.3</v>
      </c>
      <c r="I147" s="18" t="n">
        <v>2</v>
      </c>
      <c r="J147" s="19" t="n">
        <v>0.890929189196885</v>
      </c>
      <c r="K147" s="19" t="n">
        <v>0.403816434440099</v>
      </c>
      <c r="L147" s="16" t="n">
        <v>12.9010223745642</v>
      </c>
      <c r="M147" s="19" t="n">
        <v>0.52275901401449</v>
      </c>
      <c r="N147" s="19" t="n">
        <v>1.20222643171231</v>
      </c>
      <c r="O147" s="19" t="n">
        <v>1.42208652987368</v>
      </c>
      <c r="P147" s="19" t="n">
        <v>0.708415494518566</v>
      </c>
      <c r="Q147" s="17" t="s">
        <v>31</v>
      </c>
      <c r="R147" s="5" t="str">
        <f aca="false">IF(OR(Q147="Steel plate",Q147="Concrete jacket"),"Steel plate or jacket",Q147)</f>
        <v>Polymer laminate</v>
      </c>
      <c r="S147" s="5" t="str">
        <f aca="false">IF(O147&lt;='Tree rules'!$C$4,IF(N147&lt;='Tree rules'!$C$5,IF(P147&lt;='Tree rules'!$C$6,"Monitor","Polymer laminate"),IF(P147&lt;='Tree rules'!$C$7,"Seal cracks","Polymer laminate")),IF(O147&lt;='Tree rules'!$C$8,IF(M147&lt;='Tree rules'!$C$9,"Steel plate or jacket","Polymer laminate"),IF(L147&lt;='Tree rules'!$C$10,"Steel plate or jacket","Polymer laminate")))</f>
        <v>Steel plate or jacket</v>
      </c>
      <c r="T147" s="5" t="str">
        <f aca="false">IF(S147=R147,"Yes","No")</f>
        <v>No</v>
      </c>
    </row>
    <row r="148" customFormat="false" ht="15" hidden="false" customHeight="false" outlineLevel="0" collapsed="false">
      <c r="A148" s="15" t="n">
        <v>480</v>
      </c>
      <c r="B148" s="16" t="n">
        <v>3.77972552029051</v>
      </c>
      <c r="C148" s="15" t="n">
        <v>230</v>
      </c>
      <c r="D148" s="15" t="n">
        <v>350</v>
      </c>
      <c r="E148" s="15" t="n">
        <v>30</v>
      </c>
      <c r="F148" s="16" t="n">
        <v>0.604970452323595</v>
      </c>
      <c r="G148" s="17" t="s">
        <v>90</v>
      </c>
      <c r="H148" s="18" t="n">
        <v>0.1</v>
      </c>
      <c r="I148" s="18" t="n">
        <v>1.5</v>
      </c>
      <c r="J148" s="19" t="n">
        <v>0.96489027665918</v>
      </c>
      <c r="K148" s="19" t="n">
        <v>0.541187793996895</v>
      </c>
      <c r="L148" s="16" t="n">
        <v>13.0786350183063</v>
      </c>
      <c r="M148" s="19" t="n">
        <v>0.468577688945431</v>
      </c>
      <c r="N148" s="19" t="n">
        <v>3.93623420200623</v>
      </c>
      <c r="O148" s="19" t="n">
        <v>1.18624199485165</v>
      </c>
      <c r="P148" s="19" t="n">
        <v>0.575629989648545</v>
      </c>
      <c r="Q148" s="17" t="s">
        <v>31</v>
      </c>
      <c r="R148" s="5" t="str">
        <f aca="false">IF(OR(Q148="Steel plate",Q148="Concrete jacket"),"Steel plate or jacket",Q148)</f>
        <v>Polymer laminate</v>
      </c>
      <c r="S148" s="5" t="str">
        <f aca="false">IF(O148&lt;='Tree rules'!$C$4,IF(N148&lt;='Tree rules'!$C$5,IF(P148&lt;='Tree rules'!$C$6,"Monitor","Polymer laminate"),IF(P148&lt;='Tree rules'!$C$7,"Seal cracks","Polymer laminate")),IF(O148&lt;='Tree rules'!$C$8,IF(M148&lt;='Tree rules'!$C$9,"Steel plate or jacket","Polymer laminate"),IF(L148&lt;='Tree rules'!$C$10,"Steel plate or jacket","Polymer laminate")))</f>
        <v>Polymer laminate</v>
      </c>
      <c r="T148" s="5" t="str">
        <f aca="false">IF(S148=R148,"Yes","No")</f>
        <v>Yes</v>
      </c>
    </row>
    <row r="149" customFormat="false" ht="15" hidden="false" customHeight="false" outlineLevel="0" collapsed="false">
      <c r="A149" s="15" t="n">
        <v>485</v>
      </c>
      <c r="B149" s="16" t="n">
        <v>7.0336145921231</v>
      </c>
      <c r="C149" s="15" t="n">
        <v>300</v>
      </c>
      <c r="D149" s="15" t="n">
        <v>600</v>
      </c>
      <c r="E149" s="15" t="n">
        <v>30</v>
      </c>
      <c r="F149" s="16" t="n">
        <v>0.569129103911194</v>
      </c>
      <c r="G149" s="17" t="s">
        <v>89</v>
      </c>
      <c r="H149" s="18" t="n">
        <v>0.3</v>
      </c>
      <c r="I149" s="18" t="n">
        <v>2</v>
      </c>
      <c r="J149" s="19" t="n">
        <v>0.975544927170066</v>
      </c>
      <c r="K149" s="19" t="n">
        <v>0.508375102161417</v>
      </c>
      <c r="L149" s="16" t="n">
        <v>12.7420554205129</v>
      </c>
      <c r="M149" s="19" t="n">
        <v>0.468117610005006</v>
      </c>
      <c r="N149" s="19" t="n">
        <v>1.24653798322078</v>
      </c>
      <c r="O149" s="19" t="n">
        <v>1.455147102327</v>
      </c>
      <c r="P149" s="19" t="n">
        <v>0.814421610205853</v>
      </c>
      <c r="Q149" s="17" t="s">
        <v>31</v>
      </c>
      <c r="R149" s="5" t="str">
        <f aca="false">IF(OR(Q149="Steel plate",Q149="Concrete jacket"),"Steel plate or jacket",Q149)</f>
        <v>Polymer laminate</v>
      </c>
      <c r="S149" s="5" t="str">
        <f aca="false">IF(O149&lt;='Tree rules'!$C$4,IF(N149&lt;='Tree rules'!$C$5,IF(P149&lt;='Tree rules'!$C$6,"Monitor","Polymer laminate"),IF(P149&lt;='Tree rules'!$C$7,"Seal cracks","Polymer laminate")),IF(O149&lt;='Tree rules'!$C$8,IF(M149&lt;='Tree rules'!$C$9,"Steel plate or jacket","Polymer laminate"),IF(L149&lt;='Tree rules'!$C$10,"Steel plate or jacket","Polymer laminate")))</f>
        <v>Steel plate or jacket</v>
      </c>
      <c r="T149" s="5" t="str">
        <f aca="false">IF(S149=R149,"Yes","No")</f>
        <v>No</v>
      </c>
    </row>
    <row r="150" customFormat="false" ht="15" hidden="false" customHeight="false" outlineLevel="0" collapsed="false">
      <c r="A150" s="15" t="n">
        <v>486</v>
      </c>
      <c r="B150" s="16" t="n">
        <v>4.19279347137665</v>
      </c>
      <c r="C150" s="15" t="n">
        <v>300</v>
      </c>
      <c r="D150" s="15" t="n">
        <v>400</v>
      </c>
      <c r="E150" s="15" t="n">
        <v>30</v>
      </c>
      <c r="F150" s="16" t="n">
        <v>0.946619255318958</v>
      </c>
      <c r="G150" s="17" t="s">
        <v>89</v>
      </c>
      <c r="H150" s="18" t="n">
        <v>0.3</v>
      </c>
      <c r="I150" s="18" t="n">
        <v>1</v>
      </c>
      <c r="J150" s="19" t="n">
        <v>0.890132254938187</v>
      </c>
      <c r="K150" s="19" t="n">
        <v>0.541574125374957</v>
      </c>
      <c r="L150" s="16" t="n">
        <v>11.8440493541713</v>
      </c>
      <c r="M150" s="19" t="n">
        <v>0.806413464566087</v>
      </c>
      <c r="N150" s="19" t="n">
        <v>0.579055268113389</v>
      </c>
      <c r="O150" s="19" t="n">
        <v>0.890132254938187</v>
      </c>
      <c r="P150" s="19" t="n">
        <v>0.474170201948261</v>
      </c>
      <c r="Q150" s="17" t="s">
        <v>29</v>
      </c>
      <c r="R150" s="5" t="str">
        <f aca="false">IF(OR(Q150="Steel plate",Q150="Concrete jacket"),"Steel plate or jacket",Q150)</f>
        <v>Monitor</v>
      </c>
      <c r="S150" s="5" t="str">
        <f aca="false">IF(O150&lt;='Tree rules'!$C$4,IF(N150&lt;='Tree rules'!$C$5,IF(P150&lt;='Tree rules'!$C$6,"Monitor","Polymer laminate"),IF(P150&lt;='Tree rules'!$C$7,"Seal cracks","Polymer laminate")),IF(O150&lt;='Tree rules'!$C$8,IF(M150&lt;='Tree rules'!$C$9,"Steel plate or jacket","Polymer laminate"),IF(L150&lt;='Tree rules'!$C$10,"Steel plate or jacket","Polymer laminate")))</f>
        <v>Monitor</v>
      </c>
      <c r="T150" s="5" t="str">
        <f aca="false">IF(S150=R150,"Yes","No")</f>
        <v>Yes</v>
      </c>
    </row>
    <row r="151" customFormat="false" ht="15" hidden="false" customHeight="false" outlineLevel="0" collapsed="false">
      <c r="A151" s="15" t="n">
        <v>491</v>
      </c>
      <c r="B151" s="16" t="n">
        <v>3.70171577137703</v>
      </c>
      <c r="C151" s="15" t="n">
        <v>300</v>
      </c>
      <c r="D151" s="15" t="n">
        <v>325</v>
      </c>
      <c r="E151" s="15" t="n">
        <v>25</v>
      </c>
      <c r="F151" s="16" t="n">
        <v>0.756099314943392</v>
      </c>
      <c r="G151" s="17" t="s">
        <v>89</v>
      </c>
      <c r="H151" s="18" t="n">
        <v>0.3</v>
      </c>
      <c r="I151" s="18" t="n">
        <v>1.5</v>
      </c>
      <c r="J151" s="19" t="n">
        <v>0.952556487310567</v>
      </c>
      <c r="K151" s="19" t="n">
        <v>0.405989706473868</v>
      </c>
      <c r="L151" s="16" t="n">
        <v>13.3635948425164</v>
      </c>
      <c r="M151" s="19" t="n">
        <v>0.552240111882565</v>
      </c>
      <c r="N151" s="19" t="n">
        <v>1.37910081102805</v>
      </c>
      <c r="O151" s="19" t="n">
        <v>1.23547066662435</v>
      </c>
      <c r="P151" s="19" t="n">
        <v>0.662082916039174</v>
      </c>
      <c r="Q151" s="17" t="s">
        <v>31</v>
      </c>
      <c r="R151" s="5" t="str">
        <f aca="false">IF(OR(Q151="Steel plate",Q151="Concrete jacket"),"Steel plate or jacket",Q151)</f>
        <v>Polymer laminate</v>
      </c>
      <c r="S151" s="5" t="str">
        <f aca="false">IF(O151&lt;='Tree rules'!$C$4,IF(N151&lt;='Tree rules'!$C$5,IF(P151&lt;='Tree rules'!$C$6,"Monitor","Polymer laminate"),IF(P151&lt;='Tree rules'!$C$7,"Seal cracks","Polymer laminate")),IF(O151&lt;='Tree rules'!$C$8,IF(M151&lt;='Tree rules'!$C$9,"Steel plate or jacket","Polymer laminate"),IF(L151&lt;='Tree rules'!$C$10,"Steel plate or jacket","Polymer laminate")))</f>
        <v>Polymer laminate</v>
      </c>
      <c r="T151" s="5" t="str">
        <f aca="false">IF(S151=R151,"Yes","No")</f>
        <v>Yes</v>
      </c>
    </row>
    <row r="152" customFormat="false" ht="15" hidden="false" customHeight="false" outlineLevel="0" collapsed="false">
      <c r="A152" s="15" t="n">
        <v>493</v>
      </c>
      <c r="B152" s="16" t="n">
        <v>3.31053925888956</v>
      </c>
      <c r="C152" s="15" t="n">
        <v>300</v>
      </c>
      <c r="D152" s="15" t="n">
        <v>325</v>
      </c>
      <c r="E152" s="15" t="n">
        <v>20</v>
      </c>
      <c r="F152" s="16" t="n">
        <v>0.756099314943392</v>
      </c>
      <c r="G152" s="17" t="s">
        <v>91</v>
      </c>
      <c r="H152" s="18" t="n">
        <v>0.2</v>
      </c>
      <c r="I152" s="18" t="n">
        <v>1</v>
      </c>
      <c r="J152" s="19" t="n">
        <v>0.857424846564712</v>
      </c>
      <c r="K152" s="19" t="n">
        <v>0.626111881904627</v>
      </c>
      <c r="L152" s="16" t="n">
        <v>11.9514052667493</v>
      </c>
      <c r="M152" s="19" t="n">
        <v>0.344081003262633</v>
      </c>
      <c r="N152" s="19" t="n">
        <v>1.45411906533925</v>
      </c>
      <c r="O152" s="19" t="n">
        <v>0.857424846564712</v>
      </c>
      <c r="P152" s="19" t="n">
        <v>0.924213007999727</v>
      </c>
      <c r="Q152" s="17" t="s">
        <v>30</v>
      </c>
      <c r="R152" s="5" t="str">
        <f aca="false">IF(OR(Q152="Steel plate",Q152="Concrete jacket"),"Steel plate or jacket",Q152)</f>
        <v>Seal cracks</v>
      </c>
      <c r="S152" s="5" t="str">
        <f aca="false">IF(O152&lt;='Tree rules'!$C$4,IF(N152&lt;='Tree rules'!$C$5,IF(P152&lt;='Tree rules'!$C$6,"Monitor","Polymer laminate"),IF(P152&lt;='Tree rules'!$C$7,"Seal cracks","Polymer laminate")),IF(O152&lt;='Tree rules'!$C$8,IF(M152&lt;='Tree rules'!$C$9,"Steel plate or jacket","Polymer laminate"),IF(L152&lt;='Tree rules'!$C$10,"Steel plate or jacket","Polymer laminate")))</f>
        <v>Seal cracks</v>
      </c>
      <c r="T152" s="5" t="str">
        <f aca="false">IF(S152=R152,"Yes","No")</f>
        <v>Yes</v>
      </c>
    </row>
    <row r="153" customFormat="false" ht="15" hidden="false" customHeight="false" outlineLevel="0" collapsed="false">
      <c r="A153" s="15" t="n">
        <v>495</v>
      </c>
      <c r="B153" s="16" t="n">
        <v>3.73653769037547</v>
      </c>
      <c r="C153" s="15" t="n">
        <v>300</v>
      </c>
      <c r="D153" s="15" t="n">
        <v>350</v>
      </c>
      <c r="E153" s="15" t="n">
        <v>25</v>
      </c>
      <c r="F153" s="16" t="n">
        <v>0.739198271432892</v>
      </c>
      <c r="G153" s="17" t="s">
        <v>91</v>
      </c>
      <c r="H153" s="18" t="n">
        <v>0.2</v>
      </c>
      <c r="I153" s="18" t="n">
        <v>1</v>
      </c>
      <c r="J153" s="19" t="n">
        <v>0.870966495158612</v>
      </c>
      <c r="K153" s="19" t="n">
        <v>0.61075786528039</v>
      </c>
      <c r="L153" s="16" t="n">
        <v>12.2109074848871</v>
      </c>
      <c r="M153" s="19" t="n">
        <v>0.774349751939593</v>
      </c>
      <c r="N153" s="19" t="n">
        <v>0.807823537565937</v>
      </c>
      <c r="O153" s="19" t="n">
        <v>0.870966495158612</v>
      </c>
      <c r="P153" s="19" t="n">
        <v>0.437784910619946</v>
      </c>
      <c r="Q153" s="17" t="s">
        <v>29</v>
      </c>
      <c r="R153" s="5" t="str">
        <f aca="false">IF(OR(Q153="Steel plate",Q153="Concrete jacket"),"Steel plate or jacket",Q153)</f>
        <v>Monitor</v>
      </c>
      <c r="S153" s="5" t="str">
        <f aca="false">IF(O153&lt;='Tree rules'!$C$4,IF(N153&lt;='Tree rules'!$C$5,IF(P153&lt;='Tree rules'!$C$6,"Monitor","Polymer laminate"),IF(P153&lt;='Tree rules'!$C$7,"Seal cracks","Polymer laminate")),IF(O153&lt;='Tree rules'!$C$8,IF(M153&lt;='Tree rules'!$C$9,"Steel plate or jacket","Polymer laminate"),IF(L153&lt;='Tree rules'!$C$10,"Steel plate or jacket","Polymer laminate")))</f>
        <v>Monitor</v>
      </c>
      <c r="T153" s="5" t="str">
        <f aca="false">IF(S153=R153,"Yes","No")</f>
        <v>Yes</v>
      </c>
    </row>
    <row r="154" customFormat="false" ht="15" hidden="false" customHeight="false" outlineLevel="0" collapsed="false">
      <c r="A154" s="15" t="n">
        <v>498</v>
      </c>
      <c r="B154" s="16" t="n">
        <v>3.12213876757852</v>
      </c>
      <c r="C154" s="15" t="n">
        <v>230</v>
      </c>
      <c r="D154" s="15" t="n">
        <v>300</v>
      </c>
      <c r="E154" s="15" t="n">
        <v>25</v>
      </c>
      <c r="F154" s="16" t="n">
        <v>0.576243217710084</v>
      </c>
      <c r="G154" s="17" t="s">
        <v>89</v>
      </c>
      <c r="H154" s="18" t="n">
        <v>0.3</v>
      </c>
      <c r="I154" s="18" t="n">
        <v>1.5</v>
      </c>
      <c r="J154" s="19" t="n">
        <v>0.884049837015173</v>
      </c>
      <c r="K154" s="19" t="n">
        <v>0.507622071831646</v>
      </c>
      <c r="L154" s="16" t="n">
        <v>12.1958545608536</v>
      </c>
      <c r="M154" s="19" t="n">
        <v>0.477913873617237</v>
      </c>
      <c r="N154" s="19" t="n">
        <v>0.826737864876558</v>
      </c>
      <c r="O154" s="19" t="n">
        <v>1.10169315058872</v>
      </c>
      <c r="P154" s="19" t="n">
        <v>0.528742348520959</v>
      </c>
      <c r="Q154" s="17" t="s">
        <v>31</v>
      </c>
      <c r="R154" s="5" t="str">
        <f aca="false">IF(OR(Q154="Steel plate",Q154="Concrete jacket"),"Steel plate or jacket",Q154)</f>
        <v>Polymer laminate</v>
      </c>
      <c r="S154" s="5" t="str">
        <f aca="false">IF(O154&lt;='Tree rules'!$C$4,IF(N154&lt;='Tree rules'!$C$5,IF(P154&lt;='Tree rules'!$C$6,"Monitor","Polymer laminate"),IF(P154&lt;='Tree rules'!$C$7,"Seal cracks","Polymer laminate")),IF(O154&lt;='Tree rules'!$C$8,IF(M154&lt;='Tree rules'!$C$9,"Steel plate or jacket","Polymer laminate"),IF(L154&lt;='Tree rules'!$C$10,"Steel plate or jacket","Polymer laminate")))</f>
        <v>Polymer laminate</v>
      </c>
      <c r="T154" s="5" t="str">
        <f aca="false">IF(S154=R154,"Yes","No")</f>
        <v>Yes</v>
      </c>
    </row>
    <row r="155" customFormat="false" ht="15" hidden="false" customHeight="false" outlineLevel="0" collapsed="false">
      <c r="A155" s="15" t="n">
        <v>501</v>
      </c>
      <c r="B155" s="16" t="n">
        <v>4.27039079699611</v>
      </c>
      <c r="C155" s="15" t="n">
        <v>300</v>
      </c>
      <c r="D155" s="15" t="n">
        <v>400</v>
      </c>
      <c r="E155" s="15" t="n">
        <v>20</v>
      </c>
      <c r="F155" s="16" t="n">
        <v>0.567971553191375</v>
      </c>
      <c r="G155" s="17" t="s">
        <v>91</v>
      </c>
      <c r="H155" s="18" t="n">
        <v>0.2</v>
      </c>
      <c r="I155" s="18" t="n">
        <v>1</v>
      </c>
      <c r="J155" s="19" t="n">
        <v>0.95716752653108</v>
      </c>
      <c r="K155" s="19" t="n">
        <v>0.511973589784364</v>
      </c>
      <c r="L155" s="16" t="n">
        <v>12.0632508389721</v>
      </c>
      <c r="M155" s="19" t="n">
        <v>0.909745437886737</v>
      </c>
      <c r="N155" s="19" t="n">
        <v>1.05429389288734</v>
      </c>
      <c r="O155" s="19" t="n">
        <v>0.95716752653108</v>
      </c>
      <c r="P155" s="19" t="n">
        <v>0.340408222855408</v>
      </c>
      <c r="Q155" s="17" t="s">
        <v>30</v>
      </c>
      <c r="R155" s="5" t="str">
        <f aca="false">IF(OR(Q155="Steel plate",Q155="Concrete jacket"),"Steel plate or jacket",Q155)</f>
        <v>Seal cracks</v>
      </c>
      <c r="S155" s="5" t="str">
        <f aca="false">IF(O155&lt;='Tree rules'!$C$4,IF(N155&lt;='Tree rules'!$C$5,IF(P155&lt;='Tree rules'!$C$6,"Monitor","Polymer laminate"),IF(P155&lt;='Tree rules'!$C$7,"Seal cracks","Polymer laminate")),IF(O155&lt;='Tree rules'!$C$8,IF(M155&lt;='Tree rules'!$C$9,"Steel plate or jacket","Polymer laminate"),IF(L155&lt;='Tree rules'!$C$10,"Steel plate or jacket","Polymer laminate")))</f>
        <v>Seal cracks</v>
      </c>
      <c r="T155" s="5" t="str">
        <f aca="false">IF(S155=R155,"Yes","No")</f>
        <v>Yes</v>
      </c>
    </row>
    <row r="156" customFormat="false" ht="15" hidden="false" customHeight="false" outlineLevel="0" collapsed="false">
      <c r="A156" s="15" t="n">
        <v>505</v>
      </c>
      <c r="B156" s="16" t="n">
        <v>3.93955965290302</v>
      </c>
      <c r="C156" s="15" t="n">
        <v>230</v>
      </c>
      <c r="D156" s="15" t="n">
        <v>375</v>
      </c>
      <c r="E156" s="15" t="n">
        <v>30</v>
      </c>
      <c r="F156" s="16" t="n">
        <v>0.556804015036685</v>
      </c>
      <c r="G156" s="17" t="s">
        <v>90</v>
      </c>
      <c r="H156" s="18" t="n">
        <v>0.1</v>
      </c>
      <c r="I156" s="18" t="n">
        <v>1</v>
      </c>
      <c r="J156" s="19" t="n">
        <v>0.992468648512076</v>
      </c>
      <c r="K156" s="19" t="n">
        <v>0.493261325511475</v>
      </c>
      <c r="L156" s="16" t="n">
        <v>12.5463683213472</v>
      </c>
      <c r="M156" s="19" t="n">
        <v>0.759045314687916</v>
      </c>
      <c r="N156" s="19" t="n">
        <v>2.96240197371962</v>
      </c>
      <c r="O156" s="19" t="n">
        <v>0.992468648512077</v>
      </c>
      <c r="P156" s="19" t="n">
        <v>0.30479341308282</v>
      </c>
      <c r="Q156" s="17" t="s">
        <v>30</v>
      </c>
      <c r="R156" s="5" t="str">
        <f aca="false">IF(OR(Q156="Steel plate",Q156="Concrete jacket"),"Steel plate or jacket",Q156)</f>
        <v>Seal cracks</v>
      </c>
      <c r="S156" s="5" t="str">
        <f aca="false">IF(O156&lt;='Tree rules'!$C$4,IF(N156&lt;='Tree rules'!$C$5,IF(P156&lt;='Tree rules'!$C$6,"Monitor","Polymer laminate"),IF(P156&lt;='Tree rules'!$C$7,"Seal cracks","Polymer laminate")),IF(O156&lt;='Tree rules'!$C$8,IF(M156&lt;='Tree rules'!$C$9,"Steel plate or jacket","Polymer laminate"),IF(L156&lt;='Tree rules'!$C$10,"Steel plate or jacket","Polymer laminate")))</f>
        <v>Seal cracks</v>
      </c>
      <c r="T156" s="5" t="str">
        <f aca="false">IF(S156=R156,"Yes","No")</f>
        <v>Yes</v>
      </c>
    </row>
    <row r="157" customFormat="false" ht="15" hidden="false" customHeight="false" outlineLevel="0" collapsed="false">
      <c r="A157" s="15" t="n">
        <v>507</v>
      </c>
      <c r="B157" s="16" t="n">
        <v>3.1906930830508</v>
      </c>
      <c r="C157" s="15" t="n">
        <v>300</v>
      </c>
      <c r="D157" s="15" t="n">
        <v>300</v>
      </c>
      <c r="E157" s="15" t="n">
        <v>30</v>
      </c>
      <c r="F157" s="16" t="n">
        <v>0.883711013668015</v>
      </c>
      <c r="G157" s="17" t="s">
        <v>90</v>
      </c>
      <c r="H157" s="18" t="n">
        <v>0.1</v>
      </c>
      <c r="I157" s="18" t="n">
        <v>1</v>
      </c>
      <c r="J157" s="19" t="n">
        <v>0.854971281282967</v>
      </c>
      <c r="K157" s="19" t="n">
        <v>0.640307442208883</v>
      </c>
      <c r="L157" s="16" t="n">
        <v>13.4628400128726</v>
      </c>
      <c r="M157" s="19" t="n">
        <v>0.59157227788587</v>
      </c>
      <c r="N157" s="19" t="n">
        <v>3.16799707133167</v>
      </c>
      <c r="O157" s="19" t="n">
        <v>0.854971281282967</v>
      </c>
      <c r="P157" s="19" t="n">
        <v>0.510992131948589</v>
      </c>
      <c r="Q157" s="17" t="s">
        <v>30</v>
      </c>
      <c r="R157" s="5" t="str">
        <f aca="false">IF(OR(Q157="Steel plate",Q157="Concrete jacket"),"Steel plate or jacket",Q157)</f>
        <v>Seal cracks</v>
      </c>
      <c r="S157" s="5" t="str">
        <f aca="false">IF(O157&lt;='Tree rules'!$C$4,IF(N157&lt;='Tree rules'!$C$5,IF(P157&lt;='Tree rules'!$C$6,"Monitor","Polymer laminate"),IF(P157&lt;='Tree rules'!$C$7,"Seal cracks","Polymer laminate")),IF(O157&lt;='Tree rules'!$C$8,IF(M157&lt;='Tree rules'!$C$9,"Steel plate or jacket","Polymer laminate"),IF(L157&lt;='Tree rules'!$C$10,"Steel plate or jacket","Polymer laminate")))</f>
        <v>Seal cracks</v>
      </c>
      <c r="T157" s="5" t="str">
        <f aca="false">IF(S157=R157,"Yes","No")</f>
        <v>Yes</v>
      </c>
    </row>
    <row r="158" customFormat="false" ht="15" hidden="false" customHeight="false" outlineLevel="0" collapsed="false">
      <c r="A158" s="15" t="n">
        <v>510</v>
      </c>
      <c r="B158" s="16" t="n">
        <v>3.16595279288013</v>
      </c>
      <c r="C158" s="15" t="n">
        <v>300</v>
      </c>
      <c r="D158" s="15" t="n">
        <v>300</v>
      </c>
      <c r="E158" s="15" t="n">
        <v>25</v>
      </c>
      <c r="F158" s="16" t="n">
        <v>0.736310778185108</v>
      </c>
      <c r="G158" s="17" t="s">
        <v>91</v>
      </c>
      <c r="H158" s="18" t="n">
        <v>0.2</v>
      </c>
      <c r="I158" s="18" t="n">
        <v>2</v>
      </c>
      <c r="J158" s="19" t="n">
        <v>0.972096089654645</v>
      </c>
      <c r="K158" s="19" t="n">
        <v>0.636369723413276</v>
      </c>
      <c r="L158" s="16" t="n">
        <v>12.367003097188</v>
      </c>
      <c r="M158" s="19" t="n">
        <v>0.461218710220064</v>
      </c>
      <c r="N158" s="19" t="n">
        <v>1.42423251878746</v>
      </c>
      <c r="O158" s="19" t="n">
        <v>1.32557965960464</v>
      </c>
      <c r="P158" s="19" t="n">
        <v>0.872179956468551</v>
      </c>
      <c r="Q158" s="17" t="s">
        <v>31</v>
      </c>
      <c r="R158" s="5" t="str">
        <f aca="false">IF(OR(Q158="Steel plate",Q158="Concrete jacket"),"Steel plate or jacket",Q158)</f>
        <v>Polymer laminate</v>
      </c>
      <c r="S158" s="5" t="str">
        <f aca="false">IF(O158&lt;='Tree rules'!$C$4,IF(N158&lt;='Tree rules'!$C$5,IF(P158&lt;='Tree rules'!$C$6,"Monitor","Polymer laminate"),IF(P158&lt;='Tree rules'!$C$7,"Seal cracks","Polymer laminate")),IF(O158&lt;='Tree rules'!$C$8,IF(M158&lt;='Tree rules'!$C$9,"Steel plate or jacket","Polymer laminate"),IF(L158&lt;='Tree rules'!$C$10,"Steel plate or jacket","Polymer laminate")))</f>
        <v>Steel plate or jacket</v>
      </c>
      <c r="T158" s="5" t="str">
        <f aca="false">IF(S158=R158,"Yes","No")</f>
        <v>No</v>
      </c>
    </row>
    <row r="159" customFormat="false" ht="15" hidden="false" customHeight="false" outlineLevel="0" collapsed="false">
      <c r="A159" s="15" t="n">
        <v>512</v>
      </c>
      <c r="B159" s="16" t="n">
        <v>3.56835548960553</v>
      </c>
      <c r="C159" s="15" t="n">
        <v>230</v>
      </c>
      <c r="D159" s="15" t="n">
        <v>325</v>
      </c>
      <c r="E159" s="15" t="n">
        <v>25</v>
      </c>
      <c r="F159" s="16" t="n">
        <v>0.626653981080713</v>
      </c>
      <c r="G159" s="17" t="s">
        <v>89</v>
      </c>
      <c r="H159" s="18" t="n">
        <v>0.3</v>
      </c>
      <c r="I159" s="18" t="n">
        <v>1</v>
      </c>
      <c r="J159" s="19" t="n">
        <v>0.972396517482639</v>
      </c>
      <c r="K159" s="19" t="n">
        <v>0.619793343845821</v>
      </c>
      <c r="L159" s="16" t="n">
        <v>12.789804622242</v>
      </c>
      <c r="M159" s="19" t="n">
        <v>0.291804146161522</v>
      </c>
      <c r="N159" s="19" t="n">
        <v>0.963965676051163</v>
      </c>
      <c r="O159" s="19" t="n">
        <v>0.972396517482639</v>
      </c>
      <c r="P159" s="19" t="n">
        <v>1.03949140570613</v>
      </c>
      <c r="Q159" s="17" t="s">
        <v>31</v>
      </c>
      <c r="R159" s="5" t="str">
        <f aca="false">IF(OR(Q159="Steel plate",Q159="Concrete jacket"),"Steel plate or jacket",Q159)</f>
        <v>Polymer laminate</v>
      </c>
      <c r="S159" s="5" t="str">
        <f aca="false">IF(O159&lt;='Tree rules'!$C$4,IF(N159&lt;='Tree rules'!$C$5,IF(P159&lt;='Tree rules'!$C$6,"Monitor","Polymer laminate"),IF(P159&lt;='Tree rules'!$C$7,"Seal cracks","Polymer laminate")),IF(O159&lt;='Tree rules'!$C$8,IF(M159&lt;='Tree rules'!$C$9,"Steel plate or jacket","Polymer laminate"),IF(L159&lt;='Tree rules'!$C$10,"Steel plate or jacket","Polymer laminate")))</f>
        <v>Polymer laminate</v>
      </c>
      <c r="T159" s="5" t="str">
        <f aca="false">IF(S159=R159,"Yes","No")</f>
        <v>Yes</v>
      </c>
    </row>
    <row r="160" customFormat="false" ht="15" hidden="false" customHeight="false" outlineLevel="0" collapsed="false">
      <c r="A160" s="15" t="n">
        <v>515</v>
      </c>
      <c r="B160" s="16" t="n">
        <v>3.33414482618811</v>
      </c>
      <c r="C160" s="15" t="n">
        <v>300</v>
      </c>
      <c r="D160" s="15" t="n">
        <v>300</v>
      </c>
      <c r="E160" s="15" t="n">
        <v>20</v>
      </c>
      <c r="F160" s="16" t="n">
        <v>0.589048622548086</v>
      </c>
      <c r="G160" s="17" t="s">
        <v>89</v>
      </c>
      <c r="H160" s="18" t="n">
        <v>0.3</v>
      </c>
      <c r="I160" s="18" t="n">
        <v>1</v>
      </c>
      <c r="J160" s="19" t="n">
        <v>0.898548843134809</v>
      </c>
      <c r="K160" s="19" t="n">
        <v>0.439603811267916</v>
      </c>
      <c r="L160" s="16" t="n">
        <v>13.0240032272973</v>
      </c>
      <c r="M160" s="19" t="n">
        <v>0.940315987877419</v>
      </c>
      <c r="N160" s="19" t="n">
        <v>0.568182580810115</v>
      </c>
      <c r="O160" s="19" t="n">
        <v>0.898548843134809</v>
      </c>
      <c r="P160" s="19" t="n">
        <v>0.29184605264364</v>
      </c>
      <c r="Q160" s="17" t="s">
        <v>29</v>
      </c>
      <c r="R160" s="5" t="str">
        <f aca="false">IF(OR(Q160="Steel plate",Q160="Concrete jacket"),"Steel plate or jacket",Q160)</f>
        <v>Monitor</v>
      </c>
      <c r="S160" s="5" t="str">
        <f aca="false">IF(O160&lt;='Tree rules'!$C$4,IF(N160&lt;='Tree rules'!$C$5,IF(P160&lt;='Tree rules'!$C$6,"Monitor","Polymer laminate"),IF(P160&lt;='Tree rules'!$C$7,"Seal cracks","Polymer laminate")),IF(O160&lt;='Tree rules'!$C$8,IF(M160&lt;='Tree rules'!$C$9,"Steel plate or jacket","Polymer laminate"),IF(L160&lt;='Tree rules'!$C$10,"Steel plate or jacket","Polymer laminate")))</f>
        <v>Monitor</v>
      </c>
      <c r="T160" s="5" t="str">
        <f aca="false">IF(S160=R160,"Yes","No")</f>
        <v>Yes</v>
      </c>
    </row>
    <row r="161" customFormat="false" ht="15" hidden="false" customHeight="false" outlineLevel="0" collapsed="false">
      <c r="A161" s="15" t="n">
        <v>516</v>
      </c>
      <c r="B161" s="16" t="n">
        <v>7.68691222322808</v>
      </c>
      <c r="C161" s="15" t="n">
        <v>230</v>
      </c>
      <c r="D161" s="15" t="n">
        <v>650</v>
      </c>
      <c r="E161" s="15" t="n">
        <v>25</v>
      </c>
      <c r="F161" s="16" t="n">
        <v>0.680685971455249</v>
      </c>
      <c r="G161" s="17" t="s">
        <v>89</v>
      </c>
      <c r="H161" s="18" t="n">
        <v>0.3</v>
      </c>
      <c r="I161" s="18" t="n">
        <v>1</v>
      </c>
      <c r="J161" s="19" t="n">
        <v>0.854230752613646</v>
      </c>
      <c r="K161" s="19" t="n">
        <v>0.538888759813531</v>
      </c>
      <c r="L161" s="16" t="n">
        <v>12.768957181442</v>
      </c>
      <c r="M161" s="19" t="n">
        <v>0.937392885885413</v>
      </c>
      <c r="N161" s="19" t="n">
        <v>0.531260635827979</v>
      </c>
      <c r="O161" s="19" t="n">
        <v>0.854230752613646</v>
      </c>
      <c r="P161" s="19" t="n">
        <v>0.396732284642268</v>
      </c>
      <c r="Q161" s="17" t="s">
        <v>29</v>
      </c>
      <c r="R161" s="5" t="str">
        <f aca="false">IF(OR(Q161="Steel plate",Q161="Concrete jacket"),"Steel plate or jacket",Q161)</f>
        <v>Monitor</v>
      </c>
      <c r="S161" s="5" t="str">
        <f aca="false">IF(O161&lt;='Tree rules'!$C$4,IF(N161&lt;='Tree rules'!$C$5,IF(P161&lt;='Tree rules'!$C$6,"Monitor","Polymer laminate"),IF(P161&lt;='Tree rules'!$C$7,"Seal cracks","Polymer laminate")),IF(O161&lt;='Tree rules'!$C$8,IF(M161&lt;='Tree rules'!$C$9,"Steel plate or jacket","Polymer laminate"),IF(L161&lt;='Tree rules'!$C$10,"Steel plate or jacket","Polymer laminate")))</f>
        <v>Monitor</v>
      </c>
      <c r="T161" s="5" t="str">
        <f aca="false">IF(S161=R161,"Yes","No")</f>
        <v>Yes</v>
      </c>
    </row>
    <row r="162" customFormat="false" ht="15" hidden="false" customHeight="false" outlineLevel="0" collapsed="false">
      <c r="A162" s="15" t="n">
        <v>518</v>
      </c>
      <c r="B162" s="16" t="n">
        <v>6.7348081047562</v>
      </c>
      <c r="C162" s="15" t="n">
        <v>230</v>
      </c>
      <c r="D162" s="15" t="n">
        <v>625</v>
      </c>
      <c r="E162" s="15" t="n">
        <v>30</v>
      </c>
      <c r="F162" s="16" t="n">
        <v>0.603925598347216</v>
      </c>
      <c r="G162" s="17" t="s">
        <v>89</v>
      </c>
      <c r="H162" s="18" t="n">
        <v>0.3</v>
      </c>
      <c r="I162" s="18" t="n">
        <v>2</v>
      </c>
      <c r="J162" s="19" t="n">
        <v>0.965671014764781</v>
      </c>
      <c r="K162" s="19" t="n">
        <v>0.487282416394931</v>
      </c>
      <c r="L162" s="16" t="n">
        <v>11.6317929270401</v>
      </c>
      <c r="M162" s="19" t="n">
        <v>0.948440874837804</v>
      </c>
      <c r="N162" s="19" t="n">
        <v>0.89456505130311</v>
      </c>
      <c r="O162" s="19" t="n">
        <v>1.46078752401243</v>
      </c>
      <c r="P162" s="19" t="n">
        <v>0.409411391086703</v>
      </c>
      <c r="Q162" s="17" t="s">
        <v>92</v>
      </c>
      <c r="R162" s="5" t="str">
        <f aca="false">IF(OR(Q162="Steel plate",Q162="Concrete jacket"),"Steel plate or jacket",Q162)</f>
        <v>Steel plate or jacket</v>
      </c>
      <c r="S162" s="5" t="str">
        <f aca="false">IF(O162&lt;='Tree rules'!$C$4,IF(N162&lt;='Tree rules'!$C$5,IF(P162&lt;='Tree rules'!$C$6,"Monitor","Polymer laminate"),IF(P162&lt;='Tree rules'!$C$7,"Seal cracks","Polymer laminate")),IF(O162&lt;='Tree rules'!$C$8,IF(M162&lt;='Tree rules'!$C$9,"Steel plate or jacket","Polymer laminate"),IF(L162&lt;='Tree rules'!$C$10,"Steel plate or jacket","Polymer laminate")))</f>
        <v>Steel plate or jacket</v>
      </c>
      <c r="T162" s="5" t="str">
        <f aca="false">IF(S162=R162,"Yes","No")</f>
        <v>Yes</v>
      </c>
    </row>
    <row r="163" customFormat="false" ht="15" hidden="false" customHeight="false" outlineLevel="0" collapsed="false">
      <c r="A163" s="15" t="n">
        <v>521</v>
      </c>
      <c r="B163" s="16" t="n">
        <v>5.57608911811331</v>
      </c>
      <c r="C163" s="15" t="n">
        <v>230</v>
      </c>
      <c r="D163" s="15" t="n">
        <v>450</v>
      </c>
      <c r="E163" s="15" t="n">
        <v>25</v>
      </c>
      <c r="F163" s="16" t="n">
        <v>0.67417658375907</v>
      </c>
      <c r="G163" s="17" t="s">
        <v>90</v>
      </c>
      <c r="H163" s="18" t="n">
        <v>0.1</v>
      </c>
      <c r="I163" s="18" t="n">
        <v>1.5</v>
      </c>
      <c r="J163" s="19" t="n">
        <v>0.953097552195203</v>
      </c>
      <c r="K163" s="19" t="n">
        <v>0.516135413656673</v>
      </c>
      <c r="L163" s="16" t="n">
        <v>14.3344193267694</v>
      </c>
      <c r="M163" s="19" t="n">
        <v>0.309658812445997</v>
      </c>
      <c r="N163" s="19" t="n">
        <v>3.42456756292049</v>
      </c>
      <c r="O163" s="19" t="n">
        <v>1.18368262861409</v>
      </c>
      <c r="P163" s="19" t="n">
        <v>1.2263563797498</v>
      </c>
      <c r="Q163" s="17" t="s">
        <v>31</v>
      </c>
      <c r="R163" s="5" t="str">
        <f aca="false">IF(OR(Q163="Steel plate",Q163="Concrete jacket"),"Steel plate or jacket",Q163)</f>
        <v>Polymer laminate</v>
      </c>
      <c r="S163" s="5" t="str">
        <f aca="false">IF(O163&lt;='Tree rules'!$C$4,IF(N163&lt;='Tree rules'!$C$5,IF(P163&lt;='Tree rules'!$C$6,"Monitor","Polymer laminate"),IF(P163&lt;='Tree rules'!$C$7,"Seal cracks","Polymer laminate")),IF(O163&lt;='Tree rules'!$C$8,IF(M163&lt;='Tree rules'!$C$9,"Steel plate or jacket","Polymer laminate"),IF(L163&lt;='Tree rules'!$C$10,"Steel plate or jacket","Polymer laminate")))</f>
        <v>Polymer laminate</v>
      </c>
      <c r="T163" s="5" t="str">
        <f aca="false">IF(S163=R163,"Yes","No")</f>
        <v>Yes</v>
      </c>
    </row>
    <row r="164" customFormat="false" ht="15" hidden="false" customHeight="false" outlineLevel="0" collapsed="false">
      <c r="A164" s="15" t="n">
        <v>527</v>
      </c>
      <c r="B164" s="16" t="n">
        <v>6.28331697931346</v>
      </c>
      <c r="C164" s="15" t="n">
        <v>300</v>
      </c>
      <c r="D164" s="15" t="n">
        <v>500</v>
      </c>
      <c r="E164" s="15" t="n">
        <v>30</v>
      </c>
      <c r="F164" s="16" t="n">
        <v>0.590490249132883</v>
      </c>
      <c r="G164" s="17" t="s">
        <v>91</v>
      </c>
      <c r="H164" s="18" t="n">
        <v>0.2</v>
      </c>
      <c r="I164" s="18" t="n">
        <v>1</v>
      </c>
      <c r="J164" s="19" t="n">
        <v>0.953059977886117</v>
      </c>
      <c r="K164" s="19" t="n">
        <v>0.436575840522271</v>
      </c>
      <c r="L164" s="16" t="n">
        <v>13.8399052407786</v>
      </c>
      <c r="M164" s="19" t="n">
        <v>0.730558982568597</v>
      </c>
      <c r="N164" s="19" t="n">
        <v>0.970836280936447</v>
      </c>
      <c r="O164" s="19" t="n">
        <v>0.953059977886117</v>
      </c>
      <c r="P164" s="19" t="n">
        <v>0.432849430181212</v>
      </c>
      <c r="Q164" s="17" t="s">
        <v>29</v>
      </c>
      <c r="R164" s="5" t="str">
        <f aca="false">IF(OR(Q164="Steel plate",Q164="Concrete jacket"),"Steel plate or jacket",Q164)</f>
        <v>Monitor</v>
      </c>
      <c r="S164" s="5" t="str">
        <f aca="false">IF(O164&lt;='Tree rules'!$C$4,IF(N164&lt;='Tree rules'!$C$5,IF(P164&lt;='Tree rules'!$C$6,"Monitor","Polymer laminate"),IF(P164&lt;='Tree rules'!$C$7,"Seal cracks","Polymer laminate")),IF(O164&lt;='Tree rules'!$C$8,IF(M164&lt;='Tree rules'!$C$9,"Steel plate or jacket","Polymer laminate"),IF(L164&lt;='Tree rules'!$C$10,"Steel plate or jacket","Polymer laminate")))</f>
        <v>Monitor</v>
      </c>
      <c r="T164" s="5" t="str">
        <f aca="false">IF(S164=R164,"Yes","No")</f>
        <v>Yes</v>
      </c>
    </row>
    <row r="165" customFormat="false" ht="15" hidden="false" customHeight="false" outlineLevel="0" collapsed="false">
      <c r="A165" s="15" t="n">
        <v>528</v>
      </c>
      <c r="B165" s="16" t="n">
        <v>4.13660715143209</v>
      </c>
      <c r="C165" s="15" t="n">
        <v>230</v>
      </c>
      <c r="D165" s="15" t="n">
        <v>325</v>
      </c>
      <c r="E165" s="15" t="n">
        <v>20</v>
      </c>
      <c r="F165" s="16" t="n">
        <v>0.662259320914844</v>
      </c>
      <c r="G165" s="17" t="s">
        <v>90</v>
      </c>
      <c r="H165" s="18" t="n">
        <v>0.1</v>
      </c>
      <c r="I165" s="18" t="n">
        <v>1.5</v>
      </c>
      <c r="J165" s="19" t="n">
        <v>0.930075227045483</v>
      </c>
      <c r="K165" s="19" t="n">
        <v>0.573425715650668</v>
      </c>
      <c r="L165" s="16" t="n">
        <v>15.6689664826973</v>
      </c>
      <c r="M165" s="19" t="n">
        <v>0.895471716131842</v>
      </c>
      <c r="N165" s="19" t="n">
        <v>3.33058337121765</v>
      </c>
      <c r="O165" s="19" t="n">
        <v>1.12844831422947</v>
      </c>
      <c r="P165" s="19" t="n">
        <v>0.438779905215485</v>
      </c>
      <c r="Q165" s="17" t="s">
        <v>31</v>
      </c>
      <c r="R165" s="5" t="str">
        <f aca="false">IF(OR(Q165="Steel plate",Q165="Concrete jacket"),"Steel plate or jacket",Q165)</f>
        <v>Polymer laminate</v>
      </c>
      <c r="S165" s="5" t="str">
        <f aca="false">IF(O165&lt;='Tree rules'!$C$4,IF(N165&lt;='Tree rules'!$C$5,IF(P165&lt;='Tree rules'!$C$6,"Monitor","Polymer laminate"),IF(P165&lt;='Tree rules'!$C$7,"Seal cracks","Polymer laminate")),IF(O165&lt;='Tree rules'!$C$8,IF(M165&lt;='Tree rules'!$C$9,"Steel plate or jacket","Polymer laminate"),IF(L165&lt;='Tree rules'!$C$10,"Steel plate or jacket","Polymer laminate")))</f>
        <v>Polymer laminate</v>
      </c>
      <c r="T165" s="5" t="str">
        <f aca="false">IF(S165=R165,"Yes","No")</f>
        <v>Yes</v>
      </c>
    </row>
    <row r="166" customFormat="false" ht="15" hidden="false" customHeight="false" outlineLevel="0" collapsed="false">
      <c r="A166" s="15" t="n">
        <v>534</v>
      </c>
      <c r="B166" s="16" t="n">
        <v>5.2725299148054</v>
      </c>
      <c r="C166" s="15" t="n">
        <v>300</v>
      </c>
      <c r="D166" s="15" t="n">
        <v>425</v>
      </c>
      <c r="E166" s="15" t="n">
        <v>30</v>
      </c>
      <c r="F166" s="16" t="n">
        <v>0.707341881547042</v>
      </c>
      <c r="G166" s="17" t="s">
        <v>89</v>
      </c>
      <c r="H166" s="18" t="n">
        <v>0.3</v>
      </c>
      <c r="I166" s="18" t="n">
        <v>1</v>
      </c>
      <c r="J166" s="19" t="n">
        <v>0.880871980345473</v>
      </c>
      <c r="K166" s="19" t="n">
        <v>0.409796129458476</v>
      </c>
      <c r="L166" s="16" t="n">
        <v>13.9116884295657</v>
      </c>
      <c r="M166" s="19" t="n">
        <v>0.547541341389188</v>
      </c>
      <c r="N166" s="19" t="n">
        <v>0.637356457992906</v>
      </c>
      <c r="O166" s="19" t="n">
        <v>0.880871980345473</v>
      </c>
      <c r="P166" s="19" t="n">
        <v>0.565633976425619</v>
      </c>
      <c r="Q166" s="17" t="s">
        <v>29</v>
      </c>
      <c r="R166" s="5" t="str">
        <f aca="false">IF(OR(Q166="Steel plate",Q166="Concrete jacket"),"Steel plate or jacket",Q166)</f>
        <v>Monitor</v>
      </c>
      <c r="S166" s="5" t="str">
        <f aca="false">IF(O166&lt;='Tree rules'!$C$4,IF(N166&lt;='Tree rules'!$C$5,IF(P166&lt;='Tree rules'!$C$6,"Monitor","Polymer laminate"),IF(P166&lt;='Tree rules'!$C$7,"Seal cracks","Polymer laminate")),IF(O166&lt;='Tree rules'!$C$8,IF(M166&lt;='Tree rules'!$C$9,"Steel plate or jacket","Polymer laminate"),IF(L166&lt;='Tree rules'!$C$10,"Steel plate or jacket","Polymer laminate")))</f>
        <v>Monitor</v>
      </c>
      <c r="T166" s="5" t="str">
        <f aca="false">IF(S166=R166,"Yes","No")</f>
        <v>Yes</v>
      </c>
    </row>
    <row r="167" customFormat="false" ht="15" hidden="false" customHeight="false" outlineLevel="0" collapsed="false">
      <c r="A167" s="15" t="n">
        <v>537</v>
      </c>
      <c r="B167" s="16" t="n">
        <v>4.08480417564315</v>
      </c>
      <c r="C167" s="15" t="n">
        <v>230</v>
      </c>
      <c r="D167" s="15" t="n">
        <v>350</v>
      </c>
      <c r="E167" s="15" t="n">
        <v>25</v>
      </c>
      <c r="F167" s="16" t="n">
        <v>0.64278110559382</v>
      </c>
      <c r="G167" s="17" t="s">
        <v>89</v>
      </c>
      <c r="H167" s="18" t="n">
        <v>0.3</v>
      </c>
      <c r="I167" s="18" t="n">
        <v>1</v>
      </c>
      <c r="J167" s="19" t="n">
        <v>0.957066619768948</v>
      </c>
      <c r="K167" s="19" t="n">
        <v>0.565145640970874</v>
      </c>
      <c r="L167" s="16" t="n">
        <v>13.3490332537358</v>
      </c>
      <c r="M167" s="19" t="n">
        <v>0.828693913227904</v>
      </c>
      <c r="N167" s="19" t="n">
        <v>0.593207800233494</v>
      </c>
      <c r="O167" s="19" t="n">
        <v>0.957066619768948</v>
      </c>
      <c r="P167" s="19" t="n">
        <v>0.41556896810536</v>
      </c>
      <c r="Q167" s="17" t="s">
        <v>29</v>
      </c>
      <c r="R167" s="5" t="str">
        <f aca="false">IF(OR(Q167="Steel plate",Q167="Concrete jacket"),"Steel plate or jacket",Q167)</f>
        <v>Monitor</v>
      </c>
      <c r="S167" s="5" t="str">
        <f aca="false">IF(O167&lt;='Tree rules'!$C$4,IF(N167&lt;='Tree rules'!$C$5,IF(P167&lt;='Tree rules'!$C$6,"Monitor","Polymer laminate"),IF(P167&lt;='Tree rules'!$C$7,"Seal cracks","Polymer laminate")),IF(O167&lt;='Tree rules'!$C$8,IF(M167&lt;='Tree rules'!$C$9,"Steel plate or jacket","Polymer laminate"),IF(L167&lt;='Tree rules'!$C$10,"Steel plate or jacket","Polymer laminate")))</f>
        <v>Monitor</v>
      </c>
      <c r="T167" s="5" t="str">
        <f aca="false">IF(S167=R167,"Yes","No")</f>
        <v>Yes</v>
      </c>
    </row>
    <row r="168" customFormat="false" ht="15" hidden="false" customHeight="false" outlineLevel="0" collapsed="false">
      <c r="A168" s="15" t="n">
        <v>539</v>
      </c>
      <c r="B168" s="16" t="n">
        <v>3.29608208346145</v>
      </c>
      <c r="C168" s="15" t="n">
        <v>230</v>
      </c>
      <c r="D168" s="15" t="n">
        <v>300</v>
      </c>
      <c r="E168" s="15" t="n">
        <v>25</v>
      </c>
      <c r="F168" s="16" t="n">
        <v>0.688332522525665</v>
      </c>
      <c r="G168" s="17" t="s">
        <v>89</v>
      </c>
      <c r="H168" s="18" t="n">
        <v>0.3</v>
      </c>
      <c r="I168" s="18" t="n">
        <v>2</v>
      </c>
      <c r="J168" s="19" t="n">
        <v>0.927031387378706</v>
      </c>
      <c r="K168" s="19" t="n">
        <v>0.423997475934721</v>
      </c>
      <c r="L168" s="16" t="n">
        <v>12.97670111599</v>
      </c>
      <c r="M168" s="19" t="n">
        <v>0.410236552264686</v>
      </c>
      <c r="N168" s="19" t="n">
        <v>1.42212885709277</v>
      </c>
      <c r="O168" s="19" t="n">
        <v>1.46100380639658</v>
      </c>
      <c r="P168" s="19" t="n">
        <v>0.85029484321022</v>
      </c>
      <c r="Q168" s="17" t="s">
        <v>31</v>
      </c>
      <c r="R168" s="5" t="str">
        <f aca="false">IF(OR(Q168="Steel plate",Q168="Concrete jacket"),"Steel plate or jacket",Q168)</f>
        <v>Polymer laminate</v>
      </c>
      <c r="S168" s="5" t="str">
        <f aca="false">IF(O168&lt;='Tree rules'!$C$4,IF(N168&lt;='Tree rules'!$C$5,IF(P168&lt;='Tree rules'!$C$6,"Monitor","Polymer laminate"),IF(P168&lt;='Tree rules'!$C$7,"Seal cracks","Polymer laminate")),IF(O168&lt;='Tree rules'!$C$8,IF(M168&lt;='Tree rules'!$C$9,"Steel plate or jacket","Polymer laminate"),IF(L168&lt;='Tree rules'!$C$10,"Steel plate or jacket","Polymer laminate")))</f>
        <v>Steel plate or jacket</v>
      </c>
      <c r="T168" s="5" t="str">
        <f aca="false">IF(S168=R168,"Yes","No")</f>
        <v>No</v>
      </c>
    </row>
    <row r="169" customFormat="false" ht="15" hidden="false" customHeight="false" outlineLevel="0" collapsed="false">
      <c r="A169" s="15" t="n">
        <v>542</v>
      </c>
      <c r="B169" s="16" t="n">
        <v>3.43273248238812</v>
      </c>
      <c r="C169" s="15" t="n">
        <v>300</v>
      </c>
      <c r="D169" s="15" t="n">
        <v>325</v>
      </c>
      <c r="E169" s="15" t="n">
        <v>30</v>
      </c>
      <c r="F169" s="16" t="n">
        <v>0.804963242200943</v>
      </c>
      <c r="G169" s="17" t="s">
        <v>91</v>
      </c>
      <c r="H169" s="18" t="n">
        <v>0.2</v>
      </c>
      <c r="I169" s="18" t="n">
        <v>1</v>
      </c>
      <c r="J169" s="19" t="n">
        <v>0.870582616763637</v>
      </c>
      <c r="K169" s="19" t="n">
        <v>0.580635289467913</v>
      </c>
      <c r="L169" s="16" t="n">
        <v>12.2161298305627</v>
      </c>
      <c r="M169" s="19" t="n">
        <v>0.660220513517181</v>
      </c>
      <c r="N169" s="19" t="n">
        <v>0.851077764678825</v>
      </c>
      <c r="O169" s="19" t="n">
        <v>0.870582616763637</v>
      </c>
      <c r="P169" s="19" t="n">
        <v>0.48356141321742</v>
      </c>
      <c r="Q169" s="17" t="s">
        <v>29</v>
      </c>
      <c r="R169" s="5" t="str">
        <f aca="false">IF(OR(Q169="Steel plate",Q169="Concrete jacket"),"Steel plate or jacket",Q169)</f>
        <v>Monitor</v>
      </c>
      <c r="S169" s="5" t="str">
        <f aca="false">IF(O169&lt;='Tree rules'!$C$4,IF(N169&lt;='Tree rules'!$C$5,IF(P169&lt;='Tree rules'!$C$6,"Monitor","Polymer laminate"),IF(P169&lt;='Tree rules'!$C$7,"Seal cracks","Polymer laminate")),IF(O169&lt;='Tree rules'!$C$8,IF(M169&lt;='Tree rules'!$C$9,"Steel plate or jacket","Polymer laminate"),IF(L169&lt;='Tree rules'!$C$10,"Steel plate or jacket","Polymer laminate")))</f>
        <v>Monitor</v>
      </c>
      <c r="T169" s="5" t="str">
        <f aca="false">IF(S169=R169,"Yes","No")</f>
        <v>Yes</v>
      </c>
    </row>
    <row r="170" customFormat="false" ht="15" hidden="false" customHeight="false" outlineLevel="0" collapsed="false">
      <c r="A170" s="15" t="n">
        <v>546</v>
      </c>
      <c r="B170" s="16" t="n">
        <v>4.20539680249956</v>
      </c>
      <c r="C170" s="15" t="n">
        <v>230</v>
      </c>
      <c r="D170" s="15" t="n">
        <v>375</v>
      </c>
      <c r="E170" s="15" t="n">
        <v>25</v>
      </c>
      <c r="F170" s="16" t="n">
        <v>0.835418868126524</v>
      </c>
      <c r="G170" s="17" t="s">
        <v>91</v>
      </c>
      <c r="H170" s="18" t="n">
        <v>0.2</v>
      </c>
      <c r="I170" s="18" t="n">
        <v>1.5</v>
      </c>
      <c r="J170" s="19" t="n">
        <v>0.882043640940789</v>
      </c>
      <c r="K170" s="19" t="n">
        <v>0.534364068285047</v>
      </c>
      <c r="L170" s="16" t="n">
        <v>12.8605406804268</v>
      </c>
      <c r="M170" s="19" t="n">
        <v>0.297550617584026</v>
      </c>
      <c r="N170" s="19" t="n">
        <v>1.60613305137915</v>
      </c>
      <c r="O170" s="19" t="n">
        <v>1.08739924722215</v>
      </c>
      <c r="P170" s="19" t="n">
        <v>1.31094604280866</v>
      </c>
      <c r="Q170" s="17" t="s">
        <v>31</v>
      </c>
      <c r="R170" s="5" t="str">
        <f aca="false">IF(OR(Q170="Steel plate",Q170="Concrete jacket"),"Steel plate or jacket",Q170)</f>
        <v>Polymer laminate</v>
      </c>
      <c r="S170" s="5" t="str">
        <f aca="false">IF(O170&lt;='Tree rules'!$C$4,IF(N170&lt;='Tree rules'!$C$5,IF(P170&lt;='Tree rules'!$C$6,"Monitor","Polymer laminate"),IF(P170&lt;='Tree rules'!$C$7,"Seal cracks","Polymer laminate")),IF(O170&lt;='Tree rules'!$C$8,IF(M170&lt;='Tree rules'!$C$9,"Steel plate or jacket","Polymer laminate"),IF(L170&lt;='Tree rules'!$C$10,"Steel plate or jacket","Polymer laminate")))</f>
        <v>Polymer laminate</v>
      </c>
      <c r="T170" s="5" t="str">
        <f aca="false">IF(S170=R170,"Yes","No")</f>
        <v>Yes</v>
      </c>
    </row>
    <row r="171" customFormat="false" ht="15" hidden="false" customHeight="false" outlineLevel="0" collapsed="false">
      <c r="A171" s="15" t="n">
        <v>548</v>
      </c>
      <c r="B171" s="16" t="n">
        <v>3.03442703896324</v>
      </c>
      <c r="C171" s="15" t="n">
        <v>230</v>
      </c>
      <c r="D171" s="15" t="n">
        <v>300</v>
      </c>
      <c r="E171" s="15" t="n">
        <v>25</v>
      </c>
      <c r="F171" s="16" t="n">
        <v>0.688332522525665</v>
      </c>
      <c r="G171" s="17" t="s">
        <v>89</v>
      </c>
      <c r="H171" s="18" t="n">
        <v>0.3</v>
      </c>
      <c r="I171" s="18" t="n">
        <v>1</v>
      </c>
      <c r="J171" s="19" t="n">
        <v>0.857691857829298</v>
      </c>
      <c r="K171" s="19" t="n">
        <v>0.595470619413231</v>
      </c>
      <c r="L171" s="16" t="n">
        <v>11.9465631455246</v>
      </c>
      <c r="M171" s="19" t="n">
        <v>0.318644064824918</v>
      </c>
      <c r="N171" s="19" t="n">
        <v>0.838948295023034</v>
      </c>
      <c r="O171" s="19" t="n">
        <v>0.857691857829298</v>
      </c>
      <c r="P171" s="19" t="n">
        <v>0.80656650818227</v>
      </c>
      <c r="Q171" s="17" t="s">
        <v>29</v>
      </c>
      <c r="R171" s="5" t="str">
        <f aca="false">IF(OR(Q171="Steel plate",Q171="Concrete jacket"),"Steel plate or jacket",Q171)</f>
        <v>Monitor</v>
      </c>
      <c r="S171" s="5" t="str">
        <f aca="false">IF(O171&lt;='Tree rules'!$C$4,IF(N171&lt;='Tree rules'!$C$5,IF(P171&lt;='Tree rules'!$C$6,"Monitor","Polymer laminate"),IF(P171&lt;='Tree rules'!$C$7,"Seal cracks","Polymer laminate")),IF(O171&lt;='Tree rules'!$C$8,IF(M171&lt;='Tree rules'!$C$9,"Steel plate or jacket","Polymer laminate"),IF(L171&lt;='Tree rules'!$C$10,"Steel plate or jacket","Polymer laminate")))</f>
        <v>Monitor</v>
      </c>
      <c r="T171" s="5" t="str">
        <f aca="false">IF(S171=R171,"Yes","No")</f>
        <v>Yes</v>
      </c>
    </row>
    <row r="172" customFormat="false" ht="15" hidden="false" customHeight="false" outlineLevel="0" collapsed="false">
      <c r="A172" s="15" t="n">
        <v>550</v>
      </c>
      <c r="B172" s="16" t="n">
        <v>5.60418649017091</v>
      </c>
      <c r="C172" s="15" t="n">
        <v>300</v>
      </c>
      <c r="D172" s="15" t="n">
        <v>475</v>
      </c>
      <c r="E172" s="15" t="n">
        <v>25</v>
      </c>
      <c r="F172" s="16" t="n">
        <v>0.735735984447258</v>
      </c>
      <c r="G172" s="17" t="s">
        <v>91</v>
      </c>
      <c r="H172" s="18" t="n">
        <v>0.2</v>
      </c>
      <c r="I172" s="18" t="n">
        <v>1</v>
      </c>
      <c r="J172" s="19" t="n">
        <v>0.870530125731682</v>
      </c>
      <c r="K172" s="19" t="n">
        <v>0.406914748970849</v>
      </c>
      <c r="L172" s="16" t="n">
        <v>13.1245585249904</v>
      </c>
      <c r="M172" s="19" t="n">
        <v>0.532089479084116</v>
      </c>
      <c r="N172" s="19" t="n">
        <v>1.07661349877939</v>
      </c>
      <c r="O172" s="19" t="n">
        <v>0.870530125731682</v>
      </c>
      <c r="P172" s="19" t="n">
        <v>0.606283015632718</v>
      </c>
      <c r="Q172" s="17" t="s">
        <v>30</v>
      </c>
      <c r="R172" s="5" t="str">
        <f aca="false">IF(OR(Q172="Steel plate",Q172="Concrete jacket"),"Steel plate or jacket",Q172)</f>
        <v>Seal cracks</v>
      </c>
      <c r="S172" s="5" t="str">
        <f aca="false">IF(O172&lt;='Tree rules'!$C$4,IF(N172&lt;='Tree rules'!$C$5,IF(P172&lt;='Tree rules'!$C$6,"Monitor","Polymer laminate"),IF(P172&lt;='Tree rules'!$C$7,"Seal cracks","Polymer laminate")),IF(O172&lt;='Tree rules'!$C$8,IF(M172&lt;='Tree rules'!$C$9,"Steel plate or jacket","Polymer laminate"),IF(L172&lt;='Tree rules'!$C$10,"Steel plate or jacket","Polymer laminate")))</f>
        <v>Seal cracks</v>
      </c>
      <c r="T172" s="5" t="str">
        <f aca="false">IF(S172=R172,"Yes","No")</f>
        <v>Yes</v>
      </c>
    </row>
    <row r="173" customFormat="false" ht="15" hidden="false" customHeight="false" outlineLevel="0" collapsed="false">
      <c r="A173" s="15" t="n">
        <v>552</v>
      </c>
      <c r="B173" s="16" t="n">
        <v>3.76664428278693</v>
      </c>
      <c r="C173" s="15" t="n">
        <v>230</v>
      </c>
      <c r="D173" s="15" t="n">
        <v>300</v>
      </c>
      <c r="E173" s="15" t="n">
        <v>30</v>
      </c>
      <c r="F173" s="16" t="n">
        <v>0.612108978148471</v>
      </c>
      <c r="G173" s="17" t="s">
        <v>90</v>
      </c>
      <c r="H173" s="18" t="n">
        <v>0.1</v>
      </c>
      <c r="I173" s="18" t="n">
        <v>1.5</v>
      </c>
      <c r="J173" s="19" t="n">
        <v>0.893148948942586</v>
      </c>
      <c r="K173" s="19" t="n">
        <v>0.594011106389341</v>
      </c>
      <c r="L173" s="16" t="n">
        <v>15.6292293891574</v>
      </c>
      <c r="M173" s="19" t="n">
        <v>0.908755903399085</v>
      </c>
      <c r="N173" s="19" t="n">
        <v>2.87982989477677</v>
      </c>
      <c r="O173" s="19" t="n">
        <v>1.07445322574795</v>
      </c>
      <c r="P173" s="19" t="n">
        <v>0.332449155125103</v>
      </c>
      <c r="Q173" s="17" t="s">
        <v>31</v>
      </c>
      <c r="R173" s="5" t="str">
        <f aca="false">IF(OR(Q173="Steel plate",Q173="Concrete jacket"),"Steel plate or jacket",Q173)</f>
        <v>Polymer laminate</v>
      </c>
      <c r="S173" s="5" t="str">
        <f aca="false">IF(O173&lt;='Tree rules'!$C$4,IF(N173&lt;='Tree rules'!$C$5,IF(P173&lt;='Tree rules'!$C$6,"Monitor","Polymer laminate"),IF(P173&lt;='Tree rules'!$C$7,"Seal cracks","Polymer laminate")),IF(O173&lt;='Tree rules'!$C$8,IF(M173&lt;='Tree rules'!$C$9,"Steel plate or jacket","Polymer laminate"),IF(L173&lt;='Tree rules'!$C$10,"Steel plate or jacket","Polymer laminate")))</f>
        <v>Polymer laminate</v>
      </c>
      <c r="T173" s="5" t="str">
        <f aca="false">IF(S173=R173,"Yes","No")</f>
        <v>Yes</v>
      </c>
    </row>
    <row r="174" customFormat="false" ht="15" hidden="false" customHeight="false" outlineLevel="0" collapsed="false">
      <c r="A174" s="15" t="n">
        <v>553</v>
      </c>
      <c r="B174" s="16" t="n">
        <v>3.7914697669879</v>
      </c>
      <c r="C174" s="15" t="n">
        <v>300</v>
      </c>
      <c r="D174" s="15" t="n">
        <v>350</v>
      </c>
      <c r="E174" s="15" t="n">
        <v>20</v>
      </c>
      <c r="F174" s="16" t="n">
        <v>0.661387927071535</v>
      </c>
      <c r="G174" s="17" t="s">
        <v>89</v>
      </c>
      <c r="H174" s="18" t="n">
        <v>0.3</v>
      </c>
      <c r="I174" s="18" t="n">
        <v>1</v>
      </c>
      <c r="J174" s="19" t="n">
        <v>0.87738290687755</v>
      </c>
      <c r="K174" s="19" t="n">
        <v>0.565120018920954</v>
      </c>
      <c r="L174" s="16" t="n">
        <v>12.4719400229865</v>
      </c>
      <c r="M174" s="19" t="n">
        <v>0.488201100752754</v>
      </c>
      <c r="N174" s="19" t="n">
        <v>0.729594513449205</v>
      </c>
      <c r="O174" s="19" t="n">
        <v>0.87738290687755</v>
      </c>
      <c r="P174" s="19" t="n">
        <v>0.639918429326101</v>
      </c>
      <c r="Q174" s="17" t="s">
        <v>29</v>
      </c>
      <c r="R174" s="5" t="str">
        <f aca="false">IF(OR(Q174="Steel plate",Q174="Concrete jacket"),"Steel plate or jacket",Q174)</f>
        <v>Monitor</v>
      </c>
      <c r="S174" s="5" t="str">
        <f aca="false">IF(O174&lt;='Tree rules'!$C$4,IF(N174&lt;='Tree rules'!$C$5,IF(P174&lt;='Tree rules'!$C$6,"Monitor","Polymer laminate"),IF(P174&lt;='Tree rules'!$C$7,"Seal cracks","Polymer laminate")),IF(O174&lt;='Tree rules'!$C$8,IF(M174&lt;='Tree rules'!$C$9,"Steel plate or jacket","Polymer laminate"),IF(L174&lt;='Tree rules'!$C$10,"Steel plate or jacket","Polymer laminate")))</f>
        <v>Monitor</v>
      </c>
      <c r="T174" s="5" t="str">
        <f aca="false">IF(S174=R174,"Yes","No")</f>
        <v>Yes</v>
      </c>
    </row>
    <row r="175" customFormat="false" ht="15" hidden="false" customHeight="false" outlineLevel="0" collapsed="false">
      <c r="A175" s="15" t="n">
        <v>554</v>
      </c>
      <c r="B175" s="16" t="n">
        <v>3.32248347527887</v>
      </c>
      <c r="C175" s="15" t="n">
        <v>300</v>
      </c>
      <c r="D175" s="15" t="n">
        <v>300</v>
      </c>
      <c r="E175" s="15" t="n">
        <v>25</v>
      </c>
      <c r="F175" s="16" t="n">
        <v>0.831109167616348</v>
      </c>
      <c r="G175" s="17" t="s">
        <v>91</v>
      </c>
      <c r="H175" s="18" t="n">
        <v>0.2</v>
      </c>
      <c r="I175" s="18" t="n">
        <v>1</v>
      </c>
      <c r="J175" s="19" t="n">
        <v>0.927938966489138</v>
      </c>
      <c r="K175" s="19" t="n">
        <v>0.463758875338073</v>
      </c>
      <c r="L175" s="16" t="n">
        <v>13.1844582352336</v>
      </c>
      <c r="M175" s="19" t="n">
        <v>0.514568340333143</v>
      </c>
      <c r="N175" s="19" t="n">
        <v>1.52095445980492</v>
      </c>
      <c r="O175" s="19" t="n">
        <v>0.927938966489138</v>
      </c>
      <c r="P175" s="19" t="n">
        <v>0.636331111543014</v>
      </c>
      <c r="Q175" s="17" t="s">
        <v>30</v>
      </c>
      <c r="R175" s="5" t="str">
        <f aca="false">IF(OR(Q175="Steel plate",Q175="Concrete jacket"),"Steel plate or jacket",Q175)</f>
        <v>Seal cracks</v>
      </c>
      <c r="S175" s="5" t="str">
        <f aca="false">IF(O175&lt;='Tree rules'!$C$4,IF(N175&lt;='Tree rules'!$C$5,IF(P175&lt;='Tree rules'!$C$6,"Monitor","Polymer laminate"),IF(P175&lt;='Tree rules'!$C$7,"Seal cracks","Polymer laminate")),IF(O175&lt;='Tree rules'!$C$8,IF(M175&lt;='Tree rules'!$C$9,"Steel plate or jacket","Polymer laminate"),IF(L175&lt;='Tree rules'!$C$10,"Steel plate or jacket","Polymer laminate")))</f>
        <v>Seal cracks</v>
      </c>
      <c r="T175" s="5" t="str">
        <f aca="false">IF(S175=R175,"Yes","No")</f>
        <v>Yes</v>
      </c>
    </row>
    <row r="176" customFormat="false" ht="15" hidden="false" customHeight="false" outlineLevel="0" collapsed="false">
      <c r="A176" s="15" t="n">
        <v>556</v>
      </c>
      <c r="B176" s="16" t="n">
        <v>3.279578945673</v>
      </c>
      <c r="C176" s="15" t="n">
        <v>300</v>
      </c>
      <c r="D176" s="15" t="n">
        <v>300</v>
      </c>
      <c r="E176" s="15" t="n">
        <v>25</v>
      </c>
      <c r="F176" s="16" t="n">
        <v>0.78213924985638</v>
      </c>
      <c r="G176" s="17" t="s">
        <v>90</v>
      </c>
      <c r="H176" s="18" t="n">
        <v>0.1</v>
      </c>
      <c r="I176" s="18" t="n">
        <v>2</v>
      </c>
      <c r="J176" s="19" t="n">
        <v>0.955012670041153</v>
      </c>
      <c r="K176" s="19" t="n">
        <v>0.592361654644316</v>
      </c>
      <c r="L176" s="16" t="n">
        <v>13.608211392834</v>
      </c>
      <c r="M176" s="19" t="n">
        <v>0.589479979371757</v>
      </c>
      <c r="N176" s="19" t="n">
        <v>3.88664368530324</v>
      </c>
      <c r="O176" s="19" t="n">
        <v>1.34431245465044</v>
      </c>
      <c r="P176" s="19" t="n">
        <v>0.658282275114419</v>
      </c>
      <c r="Q176" s="17" t="s">
        <v>31</v>
      </c>
      <c r="R176" s="5" t="str">
        <f aca="false">IF(OR(Q176="Steel plate",Q176="Concrete jacket"),"Steel plate or jacket",Q176)</f>
        <v>Polymer laminate</v>
      </c>
      <c r="S176" s="5" t="str">
        <f aca="false">IF(O176&lt;='Tree rules'!$C$4,IF(N176&lt;='Tree rules'!$C$5,IF(P176&lt;='Tree rules'!$C$6,"Monitor","Polymer laminate"),IF(P176&lt;='Tree rules'!$C$7,"Seal cracks","Polymer laminate")),IF(O176&lt;='Tree rules'!$C$8,IF(M176&lt;='Tree rules'!$C$9,"Steel plate or jacket","Polymer laminate"),IF(L176&lt;='Tree rules'!$C$10,"Steel plate or jacket","Polymer laminate")))</f>
        <v>Polymer laminate</v>
      </c>
      <c r="T176" s="5" t="str">
        <f aca="false">IF(S176=R176,"Yes","No")</f>
        <v>Yes</v>
      </c>
    </row>
    <row r="177" customFormat="false" ht="15" hidden="false" customHeight="false" outlineLevel="0" collapsed="false">
      <c r="A177" s="15" t="n">
        <v>557</v>
      </c>
      <c r="B177" s="16" t="n">
        <v>6.99780538147725</v>
      </c>
      <c r="C177" s="15" t="n">
        <v>230</v>
      </c>
      <c r="D177" s="15" t="n">
        <v>550</v>
      </c>
      <c r="E177" s="15" t="n">
        <v>30</v>
      </c>
      <c r="F177" s="16" t="n">
        <v>0.693795479053647</v>
      </c>
      <c r="G177" s="17" t="s">
        <v>89</v>
      </c>
      <c r="H177" s="18" t="n">
        <v>0.3</v>
      </c>
      <c r="I177" s="18" t="n">
        <v>2</v>
      </c>
      <c r="J177" s="19" t="n">
        <v>0.856437670771055</v>
      </c>
      <c r="K177" s="19" t="n">
        <v>0.428399631614505</v>
      </c>
      <c r="L177" s="16" t="n">
        <v>13.884534487058</v>
      </c>
      <c r="M177" s="19" t="n">
        <v>0.543768391929395</v>
      </c>
      <c r="N177" s="19" t="n">
        <v>0.889267944436405</v>
      </c>
      <c r="O177" s="19" t="n">
        <v>1.34597775888301</v>
      </c>
      <c r="P177" s="19" t="n">
        <v>0.778820519260585</v>
      </c>
      <c r="Q177" s="17" t="s">
        <v>31</v>
      </c>
      <c r="R177" s="5" t="str">
        <f aca="false">IF(OR(Q177="Steel plate",Q177="Concrete jacket"),"Steel plate or jacket",Q177)</f>
        <v>Polymer laminate</v>
      </c>
      <c r="S177" s="5" t="str">
        <f aca="false">IF(O177&lt;='Tree rules'!$C$4,IF(N177&lt;='Tree rules'!$C$5,IF(P177&lt;='Tree rules'!$C$6,"Monitor","Polymer laminate"),IF(P177&lt;='Tree rules'!$C$7,"Seal cracks","Polymer laminate")),IF(O177&lt;='Tree rules'!$C$8,IF(M177&lt;='Tree rules'!$C$9,"Steel plate or jacket","Polymer laminate"),IF(L177&lt;='Tree rules'!$C$10,"Steel plate or jacket","Polymer laminate")))</f>
        <v>Polymer laminate</v>
      </c>
      <c r="T177" s="5" t="str">
        <f aca="false">IF(S177=R177,"Yes","No")</f>
        <v>Yes</v>
      </c>
    </row>
    <row r="178" customFormat="false" ht="15" hidden="false" customHeight="false" outlineLevel="0" collapsed="false">
      <c r="A178" s="15" t="n">
        <v>561</v>
      </c>
      <c r="B178" s="16" t="n">
        <v>4.17288599946015</v>
      </c>
      <c r="C178" s="15" t="n">
        <v>300</v>
      </c>
      <c r="D178" s="15" t="n">
        <v>325</v>
      </c>
      <c r="E178" s="15" t="n">
        <v>30</v>
      </c>
      <c r="F178" s="16" t="n">
        <v>0.67080270183412</v>
      </c>
      <c r="G178" s="17" t="s">
        <v>91</v>
      </c>
      <c r="H178" s="18" t="n">
        <v>0.2</v>
      </c>
      <c r="I178" s="18" t="n">
        <v>2</v>
      </c>
      <c r="J178" s="19" t="n">
        <v>0.865602484096583</v>
      </c>
      <c r="K178" s="19" t="n">
        <v>0.446181051334702</v>
      </c>
      <c r="L178" s="16" t="n">
        <v>14.8501281119578</v>
      </c>
      <c r="M178" s="19" t="n">
        <v>0.29919897798458</v>
      </c>
      <c r="N178" s="19" t="n">
        <v>1.48076737836539</v>
      </c>
      <c r="O178" s="19" t="n">
        <v>1.34498954180102</v>
      </c>
      <c r="P178" s="19" t="n">
        <v>1.21775911038333</v>
      </c>
      <c r="Q178" s="17" t="s">
        <v>31</v>
      </c>
      <c r="R178" s="5" t="str">
        <f aca="false">IF(OR(Q178="Steel plate",Q178="Concrete jacket"),"Steel plate or jacket",Q178)</f>
        <v>Polymer laminate</v>
      </c>
      <c r="S178" s="5" t="str">
        <f aca="false">IF(O178&lt;='Tree rules'!$C$4,IF(N178&lt;='Tree rules'!$C$5,IF(P178&lt;='Tree rules'!$C$6,"Monitor","Polymer laminate"),IF(P178&lt;='Tree rules'!$C$7,"Seal cracks","Polymer laminate")),IF(O178&lt;='Tree rules'!$C$8,IF(M178&lt;='Tree rules'!$C$9,"Steel plate or jacket","Polymer laminate"),IF(L178&lt;='Tree rules'!$C$10,"Steel plate or jacket","Polymer laminate")))</f>
        <v>Polymer laminate</v>
      </c>
      <c r="T178" s="5" t="str">
        <f aca="false">IF(S178=R178,"Yes","No")</f>
        <v>Yes</v>
      </c>
    </row>
    <row r="179" customFormat="false" ht="15" hidden="false" customHeight="false" outlineLevel="0" collapsed="false">
      <c r="A179" s="15" t="n">
        <v>565</v>
      </c>
      <c r="B179" s="16" t="n">
        <v>3.69645674952614</v>
      </c>
      <c r="C179" s="15" t="n">
        <v>300</v>
      </c>
      <c r="D179" s="15" t="n">
        <v>325</v>
      </c>
      <c r="E179" s="15" t="n">
        <v>25</v>
      </c>
      <c r="F179" s="16" t="n">
        <v>0.708629921862359</v>
      </c>
      <c r="G179" s="17" t="s">
        <v>90</v>
      </c>
      <c r="H179" s="18" t="n">
        <v>0.1</v>
      </c>
      <c r="I179" s="18" t="n">
        <v>1.5</v>
      </c>
      <c r="J179" s="19" t="n">
        <v>0.950236969360974</v>
      </c>
      <c r="K179" s="19" t="n">
        <v>0.41561918636736</v>
      </c>
      <c r="L179" s="16" t="n">
        <v>13.896453945587</v>
      </c>
      <c r="M179" s="19" t="n">
        <v>0.771573232856675</v>
      </c>
      <c r="N179" s="19" t="n">
        <v>3.34744829783827</v>
      </c>
      <c r="O179" s="19" t="n">
        <v>1.22788709601046</v>
      </c>
      <c r="P179" s="19" t="n">
        <v>0.430272104584718</v>
      </c>
      <c r="Q179" s="17" t="s">
        <v>31</v>
      </c>
      <c r="R179" s="5" t="str">
        <f aca="false">IF(OR(Q179="Steel plate",Q179="Concrete jacket"),"Steel plate or jacket",Q179)</f>
        <v>Polymer laminate</v>
      </c>
      <c r="S179" s="5" t="str">
        <f aca="false">IF(O179&lt;='Tree rules'!$C$4,IF(N179&lt;='Tree rules'!$C$5,IF(P179&lt;='Tree rules'!$C$6,"Monitor","Polymer laminate"),IF(P179&lt;='Tree rules'!$C$7,"Seal cracks","Polymer laminate")),IF(O179&lt;='Tree rules'!$C$8,IF(M179&lt;='Tree rules'!$C$9,"Steel plate or jacket","Polymer laminate"),IF(L179&lt;='Tree rules'!$C$10,"Steel plate or jacket","Polymer laminate")))</f>
        <v>Polymer laminate</v>
      </c>
      <c r="T179" s="5" t="str">
        <f aca="false">IF(S179=R179,"Yes","No")</f>
        <v>Yes</v>
      </c>
    </row>
    <row r="180" customFormat="false" ht="15" hidden="false" customHeight="false" outlineLevel="0" collapsed="false">
      <c r="A180" s="15" t="n">
        <v>567</v>
      </c>
      <c r="B180" s="16" t="n">
        <v>7.09921507112597</v>
      </c>
      <c r="C180" s="15" t="n">
        <v>300</v>
      </c>
      <c r="D180" s="15" t="n">
        <v>650</v>
      </c>
      <c r="E180" s="15" t="n">
        <v>20</v>
      </c>
      <c r="F180" s="16" t="n">
        <v>0.695812326376477</v>
      </c>
      <c r="G180" s="17" t="s">
        <v>91</v>
      </c>
      <c r="H180" s="18" t="n">
        <v>0.2</v>
      </c>
      <c r="I180" s="18" t="n">
        <v>2</v>
      </c>
      <c r="J180" s="19" t="n">
        <v>0.934111929628857</v>
      </c>
      <c r="K180" s="19" t="n">
        <v>0.447099182924355</v>
      </c>
      <c r="L180" s="16" t="n">
        <v>11.7927160649933</v>
      </c>
      <c r="M180" s="19" t="n">
        <v>0.664019984232482</v>
      </c>
      <c r="N180" s="19" t="n">
        <v>1.47809078300095</v>
      </c>
      <c r="O180" s="19" t="n">
        <v>1.45058317876076</v>
      </c>
      <c r="P180" s="19" t="n">
        <v>0.698191259889111</v>
      </c>
      <c r="Q180" s="17" t="s">
        <v>92</v>
      </c>
      <c r="R180" s="5" t="str">
        <f aca="false">IF(OR(Q180="Steel plate",Q180="Concrete jacket"),"Steel plate or jacket",Q180)</f>
        <v>Steel plate or jacket</v>
      </c>
      <c r="S180" s="5" t="str">
        <f aca="false">IF(O180&lt;='Tree rules'!$C$4,IF(N180&lt;='Tree rules'!$C$5,IF(P180&lt;='Tree rules'!$C$6,"Monitor","Polymer laminate"),IF(P180&lt;='Tree rules'!$C$7,"Seal cracks","Polymer laminate")),IF(O180&lt;='Tree rules'!$C$8,IF(M180&lt;='Tree rules'!$C$9,"Steel plate or jacket","Polymer laminate"),IF(L180&lt;='Tree rules'!$C$10,"Steel plate or jacket","Polymer laminate")))</f>
        <v>Steel plate or jacket</v>
      </c>
      <c r="T180" s="5" t="str">
        <f aca="false">IF(S180=R180,"Yes","No")</f>
        <v>Yes</v>
      </c>
    </row>
    <row r="181" customFormat="false" ht="15" hidden="false" customHeight="false" outlineLevel="0" collapsed="false">
      <c r="A181" s="15" t="n">
        <v>569</v>
      </c>
      <c r="B181" s="16" t="n">
        <v>6.83651473382281</v>
      </c>
      <c r="C181" s="15" t="n">
        <v>300</v>
      </c>
      <c r="D181" s="15" t="n">
        <v>575</v>
      </c>
      <c r="E181" s="15" t="n">
        <v>25</v>
      </c>
      <c r="F181" s="16" t="n">
        <v>0.633465437396808</v>
      </c>
      <c r="G181" s="17" t="s">
        <v>89</v>
      </c>
      <c r="H181" s="18" t="n">
        <v>0.3</v>
      </c>
      <c r="I181" s="18" t="n">
        <v>1</v>
      </c>
      <c r="J181" s="19" t="n">
        <v>0.965584786603112</v>
      </c>
      <c r="K181" s="19" t="n">
        <v>0.463807324904888</v>
      </c>
      <c r="L181" s="16" t="n">
        <v>12.9234683059032</v>
      </c>
      <c r="M181" s="19" t="n">
        <v>0.429185044790441</v>
      </c>
      <c r="N181" s="19" t="n">
        <v>0.647343858951095</v>
      </c>
      <c r="O181" s="19" t="n">
        <v>0.965584786603112</v>
      </c>
      <c r="P181" s="19" t="n">
        <v>0.793852575496353</v>
      </c>
      <c r="Q181" s="17" t="s">
        <v>29</v>
      </c>
      <c r="R181" s="5" t="str">
        <f aca="false">IF(OR(Q181="Steel plate",Q181="Concrete jacket"),"Steel plate or jacket",Q181)</f>
        <v>Monitor</v>
      </c>
      <c r="S181" s="5" t="str">
        <f aca="false">IF(O181&lt;='Tree rules'!$C$4,IF(N181&lt;='Tree rules'!$C$5,IF(P181&lt;='Tree rules'!$C$6,"Monitor","Polymer laminate"),IF(P181&lt;='Tree rules'!$C$7,"Seal cracks","Polymer laminate")),IF(O181&lt;='Tree rules'!$C$8,IF(M181&lt;='Tree rules'!$C$9,"Steel plate or jacket","Polymer laminate"),IF(L181&lt;='Tree rules'!$C$10,"Steel plate or jacket","Polymer laminate")))</f>
        <v>Monitor</v>
      </c>
      <c r="T181" s="5" t="str">
        <f aca="false">IF(S181=R181,"Yes","No")</f>
        <v>Yes</v>
      </c>
    </row>
    <row r="182" customFormat="false" ht="15" hidden="false" customHeight="false" outlineLevel="0" collapsed="false">
      <c r="A182" s="15" t="n">
        <v>571</v>
      </c>
      <c r="B182" s="16" t="n">
        <v>4.5360744769101</v>
      </c>
      <c r="C182" s="15" t="n">
        <v>300</v>
      </c>
      <c r="D182" s="15" t="n">
        <v>400</v>
      </c>
      <c r="E182" s="15" t="n">
        <v>20</v>
      </c>
      <c r="F182" s="16" t="n">
        <v>0.567971553191375</v>
      </c>
      <c r="G182" s="17" t="s">
        <v>89</v>
      </c>
      <c r="H182" s="18" t="n">
        <v>0.3</v>
      </c>
      <c r="I182" s="18" t="n">
        <v>1</v>
      </c>
      <c r="J182" s="19" t="n">
        <v>0.957707025900752</v>
      </c>
      <c r="K182" s="19" t="n">
        <v>0.414694274672457</v>
      </c>
      <c r="L182" s="16" t="n">
        <v>12.8137697087856</v>
      </c>
      <c r="M182" s="19" t="n">
        <v>0.404468765416781</v>
      </c>
      <c r="N182" s="19" t="n">
        <v>0.815252234226272</v>
      </c>
      <c r="O182" s="19" t="n">
        <v>0.957707025900752</v>
      </c>
      <c r="P182" s="19" t="n">
        <v>0.698990006186402</v>
      </c>
      <c r="Q182" s="17" t="s">
        <v>29</v>
      </c>
      <c r="R182" s="5" t="str">
        <f aca="false">IF(OR(Q182="Steel plate",Q182="Concrete jacket"),"Steel plate or jacket",Q182)</f>
        <v>Monitor</v>
      </c>
      <c r="S182" s="5" t="str">
        <f aca="false">IF(O182&lt;='Tree rules'!$C$4,IF(N182&lt;='Tree rules'!$C$5,IF(P182&lt;='Tree rules'!$C$6,"Monitor","Polymer laminate"),IF(P182&lt;='Tree rules'!$C$7,"Seal cracks","Polymer laminate")),IF(O182&lt;='Tree rules'!$C$8,IF(M182&lt;='Tree rules'!$C$9,"Steel plate or jacket","Polymer laminate"),IF(L182&lt;='Tree rules'!$C$10,"Steel plate or jacket","Polymer laminate")))</f>
        <v>Monitor</v>
      </c>
      <c r="T182" s="5" t="str">
        <f aca="false">IF(S182=R182,"Yes","No")</f>
        <v>Yes</v>
      </c>
    </row>
    <row r="183" customFormat="false" ht="15" hidden="false" customHeight="false" outlineLevel="0" collapsed="false">
      <c r="A183" s="15" t="n">
        <v>573</v>
      </c>
      <c r="B183" s="16" t="n">
        <v>5.8037108529946</v>
      </c>
      <c r="C183" s="15" t="n">
        <v>300</v>
      </c>
      <c r="D183" s="15" t="n">
        <v>475</v>
      </c>
      <c r="E183" s="15" t="n">
        <v>30</v>
      </c>
      <c r="F183" s="16" t="n">
        <v>0.781126378514945</v>
      </c>
      <c r="G183" s="17" t="s">
        <v>89</v>
      </c>
      <c r="H183" s="18" t="n">
        <v>0.3</v>
      </c>
      <c r="I183" s="18" t="n">
        <v>1</v>
      </c>
      <c r="J183" s="19" t="n">
        <v>0.886475380409589</v>
      </c>
      <c r="K183" s="19" t="n">
        <v>0.435290455840874</v>
      </c>
      <c r="L183" s="16" t="n">
        <v>13.5284635267939</v>
      </c>
      <c r="M183" s="19" t="n">
        <v>0.687634897529716</v>
      </c>
      <c r="N183" s="19" t="n">
        <v>0.576169844683957</v>
      </c>
      <c r="O183" s="19" t="n">
        <v>0.886475380409589</v>
      </c>
      <c r="P183" s="19" t="n">
        <v>0.518880067907066</v>
      </c>
      <c r="Q183" s="17" t="s">
        <v>29</v>
      </c>
      <c r="R183" s="5" t="str">
        <f aca="false">IF(OR(Q183="Steel plate",Q183="Concrete jacket"),"Steel plate or jacket",Q183)</f>
        <v>Monitor</v>
      </c>
      <c r="S183" s="5" t="str">
        <f aca="false">IF(O183&lt;='Tree rules'!$C$4,IF(N183&lt;='Tree rules'!$C$5,IF(P183&lt;='Tree rules'!$C$6,"Monitor","Polymer laminate"),IF(P183&lt;='Tree rules'!$C$7,"Seal cracks","Polymer laminate")),IF(O183&lt;='Tree rules'!$C$8,IF(M183&lt;='Tree rules'!$C$9,"Steel plate or jacket","Polymer laminate"),IF(L183&lt;='Tree rules'!$C$10,"Steel plate or jacket","Polymer laminate")))</f>
        <v>Monitor</v>
      </c>
      <c r="T183" s="5" t="str">
        <f aca="false">IF(S183=R183,"Yes","No")</f>
        <v>Yes</v>
      </c>
    </row>
    <row r="184" customFormat="false" ht="15" hidden="false" customHeight="false" outlineLevel="0" collapsed="false">
      <c r="A184" s="15" t="n">
        <v>577</v>
      </c>
      <c r="B184" s="16" t="n">
        <v>4.34178960294579</v>
      </c>
      <c r="C184" s="15" t="n">
        <v>230</v>
      </c>
      <c r="D184" s="15" t="n">
        <v>400</v>
      </c>
      <c r="E184" s="15" t="n">
        <v>30</v>
      </c>
      <c r="F184" s="16" t="n">
        <v>0.740832460684402</v>
      </c>
      <c r="G184" s="17" t="s">
        <v>91</v>
      </c>
      <c r="H184" s="18" t="n">
        <v>0.2</v>
      </c>
      <c r="I184" s="18" t="n">
        <v>1.5</v>
      </c>
      <c r="J184" s="19" t="n">
        <v>0.885719837269053</v>
      </c>
      <c r="K184" s="19" t="n">
        <v>0.626284768018802</v>
      </c>
      <c r="L184" s="16" t="n">
        <v>12.2649423812028</v>
      </c>
      <c r="M184" s="19" t="n">
        <v>0.545869062808937</v>
      </c>
      <c r="N184" s="19" t="n">
        <v>1.16280148386587</v>
      </c>
      <c r="O184" s="19" t="n">
        <v>1.05122333449673</v>
      </c>
      <c r="P184" s="19" t="n">
        <v>0.654649384232305</v>
      </c>
      <c r="Q184" s="17" t="s">
        <v>31</v>
      </c>
      <c r="R184" s="5" t="str">
        <f aca="false">IF(OR(Q184="Steel plate",Q184="Concrete jacket"),"Steel plate or jacket",Q184)</f>
        <v>Polymer laminate</v>
      </c>
      <c r="S184" s="5" t="str">
        <f aca="false">IF(O184&lt;='Tree rules'!$C$4,IF(N184&lt;='Tree rules'!$C$5,IF(P184&lt;='Tree rules'!$C$6,"Monitor","Polymer laminate"),IF(P184&lt;='Tree rules'!$C$7,"Seal cracks","Polymer laminate")),IF(O184&lt;='Tree rules'!$C$8,IF(M184&lt;='Tree rules'!$C$9,"Steel plate or jacket","Polymer laminate"),IF(L184&lt;='Tree rules'!$C$10,"Steel plate or jacket","Polymer laminate")))</f>
        <v>Polymer laminate</v>
      </c>
      <c r="T184" s="5" t="str">
        <f aca="false">IF(S184=R184,"Yes","No")</f>
        <v>Yes</v>
      </c>
    </row>
    <row r="185" customFormat="false" ht="15" hidden="false" customHeight="false" outlineLevel="0" collapsed="false">
      <c r="A185" s="15" t="n">
        <v>578</v>
      </c>
      <c r="B185" s="16" t="n">
        <v>4.85573870210453</v>
      </c>
      <c r="C185" s="15" t="n">
        <v>230</v>
      </c>
      <c r="D185" s="15" t="n">
        <v>425</v>
      </c>
      <c r="E185" s="15" t="n">
        <v>30</v>
      </c>
      <c r="F185" s="16" t="n">
        <v>0.691964884122107</v>
      </c>
      <c r="G185" s="17" t="s">
        <v>89</v>
      </c>
      <c r="H185" s="18" t="n">
        <v>0.3</v>
      </c>
      <c r="I185" s="18" t="n">
        <v>1</v>
      </c>
      <c r="J185" s="19" t="n">
        <v>0.894407235346013</v>
      </c>
      <c r="K185" s="19" t="n">
        <v>0.554070039458238</v>
      </c>
      <c r="L185" s="16" t="n">
        <v>12.8119754672943</v>
      </c>
      <c r="M185" s="19" t="n">
        <v>0.936921637529973</v>
      </c>
      <c r="N185" s="19" t="n">
        <v>0.587305875104651</v>
      </c>
      <c r="O185" s="19" t="n">
        <v>0.894407235346013</v>
      </c>
      <c r="P185" s="19" t="n">
        <v>0.358191369908947</v>
      </c>
      <c r="Q185" s="17" t="s">
        <v>29</v>
      </c>
      <c r="R185" s="5" t="str">
        <f aca="false">IF(OR(Q185="Steel plate",Q185="Concrete jacket"),"Steel plate or jacket",Q185)</f>
        <v>Monitor</v>
      </c>
      <c r="S185" s="5" t="str">
        <f aca="false">IF(O185&lt;='Tree rules'!$C$4,IF(N185&lt;='Tree rules'!$C$5,IF(P185&lt;='Tree rules'!$C$6,"Monitor","Polymer laminate"),IF(P185&lt;='Tree rules'!$C$7,"Seal cracks","Polymer laminate")),IF(O185&lt;='Tree rules'!$C$8,IF(M185&lt;='Tree rules'!$C$9,"Steel plate or jacket","Polymer laminate"),IF(L185&lt;='Tree rules'!$C$10,"Steel plate or jacket","Polymer laminate")))</f>
        <v>Monitor</v>
      </c>
      <c r="T185" s="5" t="str">
        <f aca="false">IF(S185=R185,"Yes","No")</f>
        <v>Yes</v>
      </c>
    </row>
    <row r="186" customFormat="false" ht="15" hidden="false" customHeight="false" outlineLevel="0" collapsed="false">
      <c r="A186" s="15" t="n">
        <v>579</v>
      </c>
      <c r="B186" s="16" t="n">
        <v>6.92530668134081</v>
      </c>
      <c r="C186" s="15" t="n">
        <v>230</v>
      </c>
      <c r="D186" s="15" t="n">
        <v>675</v>
      </c>
      <c r="E186" s="15" t="n">
        <v>20</v>
      </c>
      <c r="F186" s="16" t="n">
        <v>0.653545382481754</v>
      </c>
      <c r="G186" s="17" t="s">
        <v>89</v>
      </c>
      <c r="H186" s="18" t="n">
        <v>0.3</v>
      </c>
      <c r="I186" s="18" t="n">
        <v>1.5</v>
      </c>
      <c r="J186" s="19" t="n">
        <v>0.953957461490347</v>
      </c>
      <c r="K186" s="19" t="n">
        <v>0.472403299675042</v>
      </c>
      <c r="L186" s="16" t="n">
        <v>11.0451462222342</v>
      </c>
      <c r="M186" s="19" t="n">
        <v>0.632312069124552</v>
      </c>
      <c r="N186" s="19" t="n">
        <v>0.818467722618146</v>
      </c>
      <c r="O186" s="19" t="n">
        <v>1.20560986595669</v>
      </c>
      <c r="P186" s="19" t="n">
        <v>0.603991621093551</v>
      </c>
      <c r="Q186" s="17" t="s">
        <v>31</v>
      </c>
      <c r="R186" s="5" t="str">
        <f aca="false">IF(OR(Q186="Steel plate",Q186="Concrete jacket"),"Steel plate or jacket",Q186)</f>
        <v>Polymer laminate</v>
      </c>
      <c r="S186" s="5" t="str">
        <f aca="false">IF(O186&lt;='Tree rules'!$C$4,IF(N186&lt;='Tree rules'!$C$5,IF(P186&lt;='Tree rules'!$C$6,"Monitor","Polymer laminate"),IF(P186&lt;='Tree rules'!$C$7,"Seal cracks","Polymer laminate")),IF(O186&lt;='Tree rules'!$C$8,IF(M186&lt;='Tree rules'!$C$9,"Steel plate or jacket","Polymer laminate"),IF(L186&lt;='Tree rules'!$C$10,"Steel plate or jacket","Polymer laminate")))</f>
        <v>Polymer laminate</v>
      </c>
      <c r="T186" s="5" t="str">
        <f aca="false">IF(S186=R186,"Yes","No")</f>
        <v>Yes</v>
      </c>
    </row>
    <row r="187" customFormat="false" ht="15" hidden="false" customHeight="false" outlineLevel="0" collapsed="false">
      <c r="A187" s="15" t="n">
        <v>581</v>
      </c>
      <c r="B187" s="16" t="n">
        <v>6.88252109938964</v>
      </c>
      <c r="C187" s="15" t="n">
        <v>300</v>
      </c>
      <c r="D187" s="15" t="n">
        <v>600</v>
      </c>
      <c r="E187" s="15" t="n">
        <v>25</v>
      </c>
      <c r="F187" s="16" t="n">
        <v>0.725855342345656</v>
      </c>
      <c r="G187" s="17" t="s">
        <v>89</v>
      </c>
      <c r="H187" s="18" t="n">
        <v>0.3</v>
      </c>
      <c r="I187" s="18" t="n">
        <v>1</v>
      </c>
      <c r="J187" s="19" t="n">
        <v>0.929157631671885</v>
      </c>
      <c r="K187" s="19" t="n">
        <v>0.469073514476033</v>
      </c>
      <c r="L187" s="16" t="n">
        <v>12.4233232840968</v>
      </c>
      <c r="M187" s="19" t="n">
        <v>0.354063369443957</v>
      </c>
      <c r="N187" s="19" t="n">
        <v>0.602241992042732</v>
      </c>
      <c r="O187" s="19" t="n">
        <v>0.929157631671885</v>
      </c>
      <c r="P187" s="19" t="n">
        <v>0.993513907906196</v>
      </c>
      <c r="Q187" s="17" t="s">
        <v>31</v>
      </c>
      <c r="R187" s="5" t="str">
        <f aca="false">IF(OR(Q187="Steel plate",Q187="Concrete jacket"),"Steel plate or jacket",Q187)</f>
        <v>Polymer laminate</v>
      </c>
      <c r="S187" s="5" t="str">
        <f aca="false">IF(O187&lt;='Tree rules'!$C$4,IF(N187&lt;='Tree rules'!$C$5,IF(P187&lt;='Tree rules'!$C$6,"Monitor","Polymer laminate"),IF(P187&lt;='Tree rules'!$C$7,"Seal cracks","Polymer laminate")),IF(O187&lt;='Tree rules'!$C$8,IF(M187&lt;='Tree rules'!$C$9,"Steel plate or jacket","Polymer laminate"),IF(L187&lt;='Tree rules'!$C$10,"Steel plate or jacket","Polymer laminate")))</f>
        <v>Polymer laminate</v>
      </c>
      <c r="T187" s="5" t="str">
        <f aca="false">IF(S187=R187,"Yes","No")</f>
        <v>Yes</v>
      </c>
    </row>
    <row r="188" customFormat="false" ht="15" hidden="false" customHeight="false" outlineLevel="0" collapsed="false">
      <c r="A188" s="15" t="n">
        <v>583</v>
      </c>
      <c r="B188" s="16" t="n">
        <v>3.01700542534383</v>
      </c>
      <c r="C188" s="15" t="n">
        <v>300</v>
      </c>
      <c r="D188" s="15" t="n">
        <v>300</v>
      </c>
      <c r="E188" s="15" t="n">
        <v>25</v>
      </c>
      <c r="F188" s="16" t="n">
        <v>0.791582400904515</v>
      </c>
      <c r="G188" s="17" t="s">
        <v>91</v>
      </c>
      <c r="H188" s="18" t="n">
        <v>0.2</v>
      </c>
      <c r="I188" s="18" t="n">
        <v>2</v>
      </c>
      <c r="J188" s="19" t="n">
        <v>0.873250777636675</v>
      </c>
      <c r="K188" s="19" t="n">
        <v>0.575957219066974</v>
      </c>
      <c r="L188" s="16" t="n">
        <v>11.8779741155269</v>
      </c>
      <c r="M188" s="19" t="n">
        <v>0.894893471245355</v>
      </c>
      <c r="N188" s="19" t="n">
        <v>1.49871696281132</v>
      </c>
      <c r="O188" s="19" t="n">
        <v>1.24354646583766</v>
      </c>
      <c r="P188" s="19" t="n">
        <v>0.421671015272182</v>
      </c>
      <c r="Q188" s="17" t="s">
        <v>31</v>
      </c>
      <c r="R188" s="5" t="str">
        <f aca="false">IF(OR(Q188="Steel plate",Q188="Concrete jacket"),"Steel plate or jacket",Q188)</f>
        <v>Polymer laminate</v>
      </c>
      <c r="S188" s="5" t="str">
        <f aca="false">IF(O188&lt;='Tree rules'!$C$4,IF(N188&lt;='Tree rules'!$C$5,IF(P188&lt;='Tree rules'!$C$6,"Monitor","Polymer laminate"),IF(P188&lt;='Tree rules'!$C$7,"Seal cracks","Polymer laminate")),IF(O188&lt;='Tree rules'!$C$8,IF(M188&lt;='Tree rules'!$C$9,"Steel plate or jacket","Polymer laminate"),IF(L188&lt;='Tree rules'!$C$10,"Steel plate or jacket","Polymer laminate")))</f>
        <v>Polymer laminate</v>
      </c>
      <c r="T188" s="5" t="str">
        <f aca="false">IF(S188=R188,"Yes","No")</f>
        <v>Yes</v>
      </c>
    </row>
    <row r="189" customFormat="false" ht="15" hidden="false" customHeight="false" outlineLevel="0" collapsed="false">
      <c r="A189" s="15" t="n">
        <v>585</v>
      </c>
      <c r="B189" s="16" t="n">
        <v>4.41605278822973</v>
      </c>
      <c r="C189" s="15" t="n">
        <v>300</v>
      </c>
      <c r="D189" s="15" t="n">
        <v>400</v>
      </c>
      <c r="E189" s="15" t="n">
        <v>20</v>
      </c>
      <c r="F189" s="16" t="n">
        <v>0.529481907908392</v>
      </c>
      <c r="G189" s="17" t="s">
        <v>91</v>
      </c>
      <c r="H189" s="18" t="n">
        <v>0.2</v>
      </c>
      <c r="I189" s="18" t="n">
        <v>1</v>
      </c>
      <c r="J189" s="19" t="n">
        <v>0.970188933751889</v>
      </c>
      <c r="K189" s="19" t="n">
        <v>0.478430617752491</v>
      </c>
      <c r="L189" s="16" t="n">
        <v>12.4046426635667</v>
      </c>
      <c r="M189" s="19" t="n">
        <v>0.931393033512108</v>
      </c>
      <c r="N189" s="19" t="n">
        <v>0.847979471725253</v>
      </c>
      <c r="O189" s="19" t="n">
        <v>0.970188933751889</v>
      </c>
      <c r="P189" s="19" t="n">
        <v>0.322982519230017</v>
      </c>
      <c r="Q189" s="17" t="s">
        <v>29</v>
      </c>
      <c r="R189" s="5" t="str">
        <f aca="false">IF(OR(Q189="Steel plate",Q189="Concrete jacket"),"Steel plate or jacket",Q189)</f>
        <v>Monitor</v>
      </c>
      <c r="S189" s="5" t="str">
        <f aca="false">IF(O189&lt;='Tree rules'!$C$4,IF(N189&lt;='Tree rules'!$C$5,IF(P189&lt;='Tree rules'!$C$6,"Monitor","Polymer laminate"),IF(P189&lt;='Tree rules'!$C$7,"Seal cracks","Polymer laminate")),IF(O189&lt;='Tree rules'!$C$8,IF(M189&lt;='Tree rules'!$C$9,"Steel plate or jacket","Polymer laminate"),IF(L189&lt;='Tree rules'!$C$10,"Steel plate or jacket","Polymer laminate")))</f>
        <v>Monitor</v>
      </c>
      <c r="T189" s="5" t="str">
        <f aca="false">IF(S189=R189,"Yes","No")</f>
        <v>Yes</v>
      </c>
    </row>
    <row r="190" customFormat="false" ht="15" hidden="false" customHeight="false" outlineLevel="0" collapsed="false">
      <c r="A190" s="15" t="n">
        <v>586</v>
      </c>
      <c r="B190" s="16" t="n">
        <v>6.06480598300268</v>
      </c>
      <c r="C190" s="15" t="n">
        <v>230</v>
      </c>
      <c r="D190" s="15" t="n">
        <v>550</v>
      </c>
      <c r="E190" s="15" t="n">
        <v>20</v>
      </c>
      <c r="F190" s="16" t="n">
        <v>0.693795479053647</v>
      </c>
      <c r="G190" s="17" t="s">
        <v>89</v>
      </c>
      <c r="H190" s="18" t="n">
        <v>0.3</v>
      </c>
      <c r="I190" s="18" t="n">
        <v>1</v>
      </c>
      <c r="J190" s="19" t="n">
        <v>0.93105346098942</v>
      </c>
      <c r="K190" s="19" t="n">
        <v>0.468303866371825</v>
      </c>
      <c r="L190" s="16" t="n">
        <v>12.0333452043704</v>
      </c>
      <c r="M190" s="19" t="n">
        <v>0.352567999017806</v>
      </c>
      <c r="N190" s="19" t="n">
        <v>0.615571832370875</v>
      </c>
      <c r="O190" s="19" t="n">
        <v>0.93105346098942</v>
      </c>
      <c r="P190" s="19" t="n">
        <v>0.982562114629242</v>
      </c>
      <c r="Q190" s="17" t="s">
        <v>31</v>
      </c>
      <c r="R190" s="5" t="str">
        <f aca="false">IF(OR(Q190="Steel plate",Q190="Concrete jacket"),"Steel plate or jacket",Q190)</f>
        <v>Polymer laminate</v>
      </c>
      <c r="S190" s="5" t="str">
        <f aca="false">IF(O190&lt;='Tree rules'!$C$4,IF(N190&lt;='Tree rules'!$C$5,IF(P190&lt;='Tree rules'!$C$6,"Monitor","Polymer laminate"),IF(P190&lt;='Tree rules'!$C$7,"Seal cracks","Polymer laminate")),IF(O190&lt;='Tree rules'!$C$8,IF(M190&lt;='Tree rules'!$C$9,"Steel plate or jacket","Polymer laminate"),IF(L190&lt;='Tree rules'!$C$10,"Steel plate or jacket","Polymer laminate")))</f>
        <v>Polymer laminate</v>
      </c>
      <c r="T190" s="5" t="str">
        <f aca="false">IF(S190=R190,"Yes","No")</f>
        <v>Yes</v>
      </c>
    </row>
    <row r="191" customFormat="false" ht="15" hidden="false" customHeight="false" outlineLevel="0" collapsed="false">
      <c r="A191" s="15" t="n">
        <v>588</v>
      </c>
      <c r="B191" s="16" t="n">
        <v>3.61833977594774</v>
      </c>
      <c r="C191" s="15" t="n">
        <v>300</v>
      </c>
      <c r="D191" s="15" t="n">
        <v>325</v>
      </c>
      <c r="E191" s="15" t="n">
        <v>30</v>
      </c>
      <c r="F191" s="16" t="n">
        <v>0.799387443661525</v>
      </c>
      <c r="G191" s="17" t="s">
        <v>90</v>
      </c>
      <c r="H191" s="18" t="n">
        <v>0.1</v>
      </c>
      <c r="I191" s="18" t="n">
        <v>1.5</v>
      </c>
      <c r="J191" s="19" t="n">
        <v>0.852353178992779</v>
      </c>
      <c r="K191" s="19" t="n">
        <v>0.525467521985716</v>
      </c>
      <c r="L191" s="16" t="n">
        <v>13.8104571601059</v>
      </c>
      <c r="M191" s="19" t="n">
        <v>0.912863940286878</v>
      </c>
      <c r="N191" s="19" t="n">
        <v>3.71672871029516</v>
      </c>
      <c r="O191" s="19" t="n">
        <v>1.05458781207818</v>
      </c>
      <c r="P191" s="19" t="n">
        <v>0.355823700915977</v>
      </c>
      <c r="Q191" s="17" t="s">
        <v>31</v>
      </c>
      <c r="R191" s="5" t="str">
        <f aca="false">IF(OR(Q191="Steel plate",Q191="Concrete jacket"),"Steel plate or jacket",Q191)</f>
        <v>Polymer laminate</v>
      </c>
      <c r="S191" s="5" t="str">
        <f aca="false">IF(O191&lt;='Tree rules'!$C$4,IF(N191&lt;='Tree rules'!$C$5,IF(P191&lt;='Tree rules'!$C$6,"Monitor","Polymer laminate"),IF(P191&lt;='Tree rules'!$C$7,"Seal cracks","Polymer laminate")),IF(O191&lt;='Tree rules'!$C$8,IF(M191&lt;='Tree rules'!$C$9,"Steel plate or jacket","Polymer laminate"),IF(L191&lt;='Tree rules'!$C$10,"Steel plate or jacket","Polymer laminate")))</f>
        <v>Polymer laminate</v>
      </c>
      <c r="T191" s="5" t="str">
        <f aca="false">IF(S191=R191,"Yes","No")</f>
        <v>Yes</v>
      </c>
    </row>
    <row r="192" customFormat="false" ht="15" hidden="false" customHeight="false" outlineLevel="0" collapsed="false">
      <c r="A192" s="15" t="n">
        <v>590</v>
      </c>
      <c r="B192" s="16" t="n">
        <v>6.13160819964767</v>
      </c>
      <c r="C192" s="15" t="n">
        <v>300</v>
      </c>
      <c r="D192" s="15" t="n">
        <v>575</v>
      </c>
      <c r="E192" s="15" t="n">
        <v>30</v>
      </c>
      <c r="F192" s="16" t="n">
        <v>0.633465437396808</v>
      </c>
      <c r="G192" s="17" t="s">
        <v>91</v>
      </c>
      <c r="H192" s="18" t="n">
        <v>0.2</v>
      </c>
      <c r="I192" s="18" t="n">
        <v>2</v>
      </c>
      <c r="J192" s="19" t="n">
        <v>0.960925956165465</v>
      </c>
      <c r="K192" s="19" t="n">
        <v>0.503870274782242</v>
      </c>
      <c r="L192" s="16" t="n">
        <v>11.5909417762716</v>
      </c>
      <c r="M192" s="19" t="n">
        <v>0.603445515724758</v>
      </c>
      <c r="N192" s="19" t="n">
        <v>1.43819623528192</v>
      </c>
      <c r="O192" s="19" t="n">
        <v>1.43766988675245</v>
      </c>
      <c r="P192" s="19" t="n">
        <v>0.62960974735877</v>
      </c>
      <c r="Q192" s="17" t="s">
        <v>31</v>
      </c>
      <c r="R192" s="5" t="str">
        <f aca="false">IF(OR(Q192="Steel plate",Q192="Concrete jacket"),"Steel plate or jacket",Q192)</f>
        <v>Polymer laminate</v>
      </c>
      <c r="S192" s="5" t="str">
        <f aca="false">IF(O192&lt;='Tree rules'!$C$4,IF(N192&lt;='Tree rules'!$C$5,IF(P192&lt;='Tree rules'!$C$6,"Monitor","Polymer laminate"),IF(P192&lt;='Tree rules'!$C$7,"Seal cracks","Polymer laminate")),IF(O192&lt;='Tree rules'!$C$8,IF(M192&lt;='Tree rules'!$C$9,"Steel plate or jacket","Polymer laminate"),IF(L192&lt;='Tree rules'!$C$10,"Steel plate or jacket","Polymer laminate")))</f>
        <v>Steel plate or jacket</v>
      </c>
      <c r="T192" s="5" t="str">
        <f aca="false">IF(S192=R192,"Yes","No")</f>
        <v>No</v>
      </c>
    </row>
    <row r="193" customFormat="false" ht="15" hidden="false" customHeight="false" outlineLevel="0" collapsed="false">
      <c r="A193" s="15" t="n">
        <v>593</v>
      </c>
      <c r="B193" s="16" t="n">
        <v>6.95122209550667</v>
      </c>
      <c r="C193" s="15" t="n">
        <v>300</v>
      </c>
      <c r="D193" s="15" t="n">
        <v>575</v>
      </c>
      <c r="E193" s="15" t="n">
        <v>20</v>
      </c>
      <c r="F193" s="16" t="n">
        <v>0.596127638252333</v>
      </c>
      <c r="G193" s="17" t="s">
        <v>91</v>
      </c>
      <c r="H193" s="18" t="n">
        <v>0.2</v>
      </c>
      <c r="I193" s="18" t="n">
        <v>2</v>
      </c>
      <c r="J193" s="19" t="n">
        <v>0.893805454299377</v>
      </c>
      <c r="K193" s="19" t="n">
        <v>0.545535611463815</v>
      </c>
      <c r="L193" s="16" t="n">
        <v>13.1901747542821</v>
      </c>
      <c r="M193" s="19" t="n">
        <v>0.460657233255647</v>
      </c>
      <c r="N193" s="19" t="n">
        <v>1.62814475553794</v>
      </c>
      <c r="O193" s="19" t="n">
        <v>1.30000820355785</v>
      </c>
      <c r="P193" s="19" t="n">
        <v>0.93869950782478</v>
      </c>
      <c r="Q193" s="17" t="s">
        <v>31</v>
      </c>
      <c r="R193" s="5" t="str">
        <f aca="false">IF(OR(Q193="Steel plate",Q193="Concrete jacket"),"Steel plate or jacket",Q193)</f>
        <v>Polymer laminate</v>
      </c>
      <c r="S193" s="5" t="str">
        <f aca="false">IF(O193&lt;='Tree rules'!$C$4,IF(N193&lt;='Tree rules'!$C$5,IF(P193&lt;='Tree rules'!$C$6,"Monitor","Polymer laminate"),IF(P193&lt;='Tree rules'!$C$7,"Seal cracks","Polymer laminate")),IF(O193&lt;='Tree rules'!$C$8,IF(M193&lt;='Tree rules'!$C$9,"Steel plate or jacket","Polymer laminate"),IF(L193&lt;='Tree rules'!$C$10,"Steel plate or jacket","Polymer laminate")))</f>
        <v>Polymer laminate</v>
      </c>
      <c r="T193" s="5" t="str">
        <f aca="false">IF(S193=R193,"Yes","No")</f>
        <v>Yes</v>
      </c>
    </row>
    <row r="194" customFormat="false" ht="15" hidden="false" customHeight="false" outlineLevel="0" collapsed="false">
      <c r="A194" s="15" t="n">
        <v>604</v>
      </c>
      <c r="B194" s="16" t="n">
        <v>6.43609757986617</v>
      </c>
      <c r="C194" s="15" t="n">
        <v>230</v>
      </c>
      <c r="D194" s="15" t="n">
        <v>650</v>
      </c>
      <c r="E194" s="15" t="n">
        <v>30</v>
      </c>
      <c r="F194" s="16" t="n">
        <v>0.680685971455249</v>
      </c>
      <c r="G194" s="17" t="s">
        <v>91</v>
      </c>
      <c r="H194" s="18" t="n">
        <v>0.2</v>
      </c>
      <c r="I194" s="18" t="n">
        <v>2</v>
      </c>
      <c r="J194" s="19" t="n">
        <v>0.880926346740038</v>
      </c>
      <c r="K194" s="19" t="n">
        <v>0.442572719599786</v>
      </c>
      <c r="L194" s="16" t="n">
        <v>10.6911919931332</v>
      </c>
      <c r="M194" s="19" t="n">
        <v>0.531553613176394</v>
      </c>
      <c r="N194" s="19" t="n">
        <v>1.47748726099543</v>
      </c>
      <c r="O194" s="19" t="n">
        <v>1.37197872443623</v>
      </c>
      <c r="P194" s="19" t="n">
        <v>0.639996458069157</v>
      </c>
      <c r="Q194" s="17" t="s">
        <v>92</v>
      </c>
      <c r="R194" s="5" t="str">
        <f aca="false">IF(OR(Q194="Steel plate",Q194="Concrete jacket"),"Steel plate or jacket",Q194)</f>
        <v>Steel plate or jacket</v>
      </c>
      <c r="S194" s="5" t="str">
        <f aca="false">IF(O194&lt;='Tree rules'!$C$4,IF(N194&lt;='Tree rules'!$C$5,IF(P194&lt;='Tree rules'!$C$6,"Monitor","Polymer laminate"),IF(P194&lt;='Tree rules'!$C$7,"Seal cracks","Polymer laminate")),IF(O194&lt;='Tree rules'!$C$8,IF(M194&lt;='Tree rules'!$C$9,"Steel plate or jacket","Polymer laminate"),IF(L194&lt;='Tree rules'!$C$10,"Steel plate or jacket","Polymer laminate")))</f>
        <v>Steel plate or jacket</v>
      </c>
      <c r="T194" s="5" t="str">
        <f aca="false">IF(S194=R194,"Yes","No")</f>
        <v>Yes</v>
      </c>
    </row>
    <row r="195" customFormat="false" ht="15" hidden="false" customHeight="false" outlineLevel="0" collapsed="false">
      <c r="A195" s="15" t="n">
        <v>609</v>
      </c>
      <c r="B195" s="16" t="n">
        <v>6.45205557018717</v>
      </c>
      <c r="C195" s="15" t="n">
        <v>300</v>
      </c>
      <c r="D195" s="15" t="n">
        <v>625</v>
      </c>
      <c r="E195" s="15" t="n">
        <v>25</v>
      </c>
      <c r="F195" s="16" t="n">
        <v>0.578762031749415</v>
      </c>
      <c r="G195" s="17" t="s">
        <v>89</v>
      </c>
      <c r="H195" s="18" t="n">
        <v>0.3</v>
      </c>
      <c r="I195" s="18" t="n">
        <v>1.5</v>
      </c>
      <c r="J195" s="19" t="n">
        <v>0.933146164056551</v>
      </c>
      <c r="K195" s="19" t="n">
        <v>0.549340860500605</v>
      </c>
      <c r="L195" s="16" t="n">
        <v>11.1434465806342</v>
      </c>
      <c r="M195" s="19" t="n">
        <v>0.700677125438812</v>
      </c>
      <c r="N195" s="19" t="n">
        <v>0.721608761843889</v>
      </c>
      <c r="O195" s="19" t="n">
        <v>1.14341158771699</v>
      </c>
      <c r="P195" s="19" t="n">
        <v>0.476460963205477</v>
      </c>
      <c r="Q195" s="17" t="s">
        <v>31</v>
      </c>
      <c r="R195" s="5" t="str">
        <f aca="false">IF(OR(Q195="Steel plate",Q195="Concrete jacket"),"Steel plate or jacket",Q195)</f>
        <v>Polymer laminate</v>
      </c>
      <c r="S195" s="5" t="str">
        <f aca="false">IF(O195&lt;='Tree rules'!$C$4,IF(N195&lt;='Tree rules'!$C$5,IF(P195&lt;='Tree rules'!$C$6,"Monitor","Polymer laminate"),IF(P195&lt;='Tree rules'!$C$7,"Seal cracks","Polymer laminate")),IF(O195&lt;='Tree rules'!$C$8,IF(M195&lt;='Tree rules'!$C$9,"Steel plate or jacket","Polymer laminate"),IF(L195&lt;='Tree rules'!$C$10,"Steel plate or jacket","Polymer laminate")))</f>
        <v>Polymer laminate</v>
      </c>
      <c r="T195" s="5" t="str">
        <f aca="false">IF(S195=R195,"Yes","No")</f>
        <v>Yes</v>
      </c>
    </row>
    <row r="196" customFormat="false" ht="15" hidden="false" customHeight="false" outlineLevel="0" collapsed="false">
      <c r="A196" s="15" t="n">
        <v>610</v>
      </c>
      <c r="B196" s="16" t="n">
        <v>5.57635395269271</v>
      </c>
      <c r="C196" s="15" t="n">
        <v>300</v>
      </c>
      <c r="D196" s="15" t="n">
        <v>500</v>
      </c>
      <c r="E196" s="15" t="n">
        <v>20</v>
      </c>
      <c r="F196" s="16" t="n">
        <v>0.738112811416104</v>
      </c>
      <c r="G196" s="17" t="s">
        <v>89</v>
      </c>
      <c r="H196" s="18" t="n">
        <v>0.3</v>
      </c>
      <c r="I196" s="18" t="n">
        <v>1</v>
      </c>
      <c r="J196" s="19" t="n">
        <v>0.924920910039987</v>
      </c>
      <c r="K196" s="19" t="n">
        <v>0.456100476501671</v>
      </c>
      <c r="L196" s="16" t="n">
        <v>12.2827179574729</v>
      </c>
      <c r="M196" s="19" t="n">
        <v>0.905025924299239</v>
      </c>
      <c r="N196" s="19" t="n">
        <v>0.547531896936547</v>
      </c>
      <c r="O196" s="19" t="n">
        <v>0.924920910039987</v>
      </c>
      <c r="P196" s="19" t="n">
        <v>0.425238901258553</v>
      </c>
      <c r="Q196" s="17" t="s">
        <v>29</v>
      </c>
      <c r="R196" s="5" t="str">
        <f aca="false">IF(OR(Q196="Steel plate",Q196="Concrete jacket"),"Steel plate or jacket",Q196)</f>
        <v>Monitor</v>
      </c>
      <c r="S196" s="5" t="str">
        <f aca="false">IF(O196&lt;='Tree rules'!$C$4,IF(N196&lt;='Tree rules'!$C$5,IF(P196&lt;='Tree rules'!$C$6,"Monitor","Polymer laminate"),IF(P196&lt;='Tree rules'!$C$7,"Seal cracks","Polymer laminate")),IF(O196&lt;='Tree rules'!$C$8,IF(M196&lt;='Tree rules'!$C$9,"Steel plate or jacket","Polymer laminate"),IF(L196&lt;='Tree rules'!$C$10,"Steel plate or jacket","Polymer laminate")))</f>
        <v>Monitor</v>
      </c>
      <c r="T196" s="5" t="str">
        <f aca="false">IF(S196=R196,"Yes","No")</f>
        <v>Yes</v>
      </c>
    </row>
    <row r="197" customFormat="false" ht="15" hidden="false" customHeight="false" outlineLevel="0" collapsed="false">
      <c r="A197" s="15" t="n">
        <v>611</v>
      </c>
      <c r="B197" s="16" t="n">
        <v>3.64451291915445</v>
      </c>
      <c r="C197" s="15" t="n">
        <v>300</v>
      </c>
      <c r="D197" s="15" t="n">
        <v>325</v>
      </c>
      <c r="E197" s="15" t="n">
        <v>30</v>
      </c>
      <c r="F197" s="16" t="n">
        <v>0.761598219052071</v>
      </c>
      <c r="G197" s="17" t="s">
        <v>90</v>
      </c>
      <c r="H197" s="18" t="n">
        <v>0.1</v>
      </c>
      <c r="I197" s="18" t="n">
        <v>1.5</v>
      </c>
      <c r="J197" s="19" t="n">
        <v>0.978524985031606</v>
      </c>
      <c r="K197" s="19" t="n">
        <v>0.649164820091254</v>
      </c>
      <c r="L197" s="16" t="n">
        <v>13.8049731786153</v>
      </c>
      <c r="M197" s="19" t="n">
        <v>0.82310413597123</v>
      </c>
      <c r="N197" s="19" t="n">
        <v>3.46636572576627</v>
      </c>
      <c r="O197" s="19" t="n">
        <v>1.15017547961599</v>
      </c>
      <c r="P197" s="19" t="n">
        <v>0.454995144910514</v>
      </c>
      <c r="Q197" s="17" t="s">
        <v>31</v>
      </c>
      <c r="R197" s="5" t="str">
        <f aca="false">IF(OR(Q197="Steel plate",Q197="Concrete jacket"),"Steel plate or jacket",Q197)</f>
        <v>Polymer laminate</v>
      </c>
      <c r="S197" s="5" t="str">
        <f aca="false">IF(O197&lt;='Tree rules'!$C$4,IF(N197&lt;='Tree rules'!$C$5,IF(P197&lt;='Tree rules'!$C$6,"Monitor","Polymer laminate"),IF(P197&lt;='Tree rules'!$C$7,"Seal cracks","Polymer laminate")),IF(O197&lt;='Tree rules'!$C$8,IF(M197&lt;='Tree rules'!$C$9,"Steel plate or jacket","Polymer laminate"),IF(L197&lt;='Tree rules'!$C$10,"Steel plate or jacket","Polymer laminate")))</f>
        <v>Polymer laminate</v>
      </c>
      <c r="T197" s="5" t="str">
        <f aca="false">IF(S197=R197,"Yes","No")</f>
        <v>Yes</v>
      </c>
    </row>
    <row r="198" customFormat="false" ht="15" hidden="false" customHeight="false" outlineLevel="0" collapsed="false">
      <c r="A198" s="15" t="n">
        <v>613</v>
      </c>
      <c r="B198" s="16" t="n">
        <v>3.23254662065449</v>
      </c>
      <c r="C198" s="15" t="n">
        <v>230</v>
      </c>
      <c r="D198" s="15" t="n">
        <v>325</v>
      </c>
      <c r="E198" s="15" t="n">
        <v>20</v>
      </c>
      <c r="F198" s="16" t="n">
        <v>0.626653981080713</v>
      </c>
      <c r="G198" s="17" t="s">
        <v>91</v>
      </c>
      <c r="H198" s="18" t="n">
        <v>0.2</v>
      </c>
      <c r="I198" s="18" t="n">
        <v>1.5</v>
      </c>
      <c r="J198" s="19" t="n">
        <v>0.981738220314684</v>
      </c>
      <c r="K198" s="19" t="n">
        <v>0.544257270967097</v>
      </c>
      <c r="L198" s="16" t="n">
        <v>11.5861886044964</v>
      </c>
      <c r="M198" s="19" t="n">
        <v>0.298746195188167</v>
      </c>
      <c r="N198" s="19" t="n">
        <v>1.78027969542241</v>
      </c>
      <c r="O198" s="19" t="n">
        <v>1.20544824817574</v>
      </c>
      <c r="P198" s="19" t="n">
        <v>1.06120195954808</v>
      </c>
      <c r="Q198" s="17" t="s">
        <v>31</v>
      </c>
      <c r="R198" s="5" t="str">
        <f aca="false">IF(OR(Q198="Steel plate",Q198="Concrete jacket"),"Steel plate or jacket",Q198)</f>
        <v>Polymer laminate</v>
      </c>
      <c r="S198" s="5" t="str">
        <f aca="false">IF(O198&lt;='Tree rules'!$C$4,IF(N198&lt;='Tree rules'!$C$5,IF(P198&lt;='Tree rules'!$C$6,"Monitor","Polymer laminate"),IF(P198&lt;='Tree rules'!$C$7,"Seal cracks","Polymer laminate")),IF(O198&lt;='Tree rules'!$C$8,IF(M198&lt;='Tree rules'!$C$9,"Steel plate or jacket","Polymer laminate"),IF(L198&lt;='Tree rules'!$C$10,"Steel plate or jacket","Polymer laminate")))</f>
        <v>Polymer laminate</v>
      </c>
      <c r="T198" s="5" t="str">
        <f aca="false">IF(S198=R198,"Yes","No")</f>
        <v>Yes</v>
      </c>
    </row>
    <row r="199" customFormat="false" ht="15" hidden="false" customHeight="false" outlineLevel="0" collapsed="false">
      <c r="A199" s="15" t="n">
        <v>616</v>
      </c>
      <c r="B199" s="16" t="n">
        <v>3.53645414117906</v>
      </c>
      <c r="C199" s="15" t="n">
        <v>230</v>
      </c>
      <c r="D199" s="15" t="n">
        <v>325</v>
      </c>
      <c r="E199" s="15" t="n">
        <v>20</v>
      </c>
      <c r="F199" s="16" t="n">
        <v>0.626653981080713</v>
      </c>
      <c r="G199" s="17" t="s">
        <v>89</v>
      </c>
      <c r="H199" s="18" t="n">
        <v>0.3</v>
      </c>
      <c r="I199" s="18" t="n">
        <v>1</v>
      </c>
      <c r="J199" s="19" t="n">
        <v>0.864503397441051</v>
      </c>
      <c r="K199" s="19" t="n">
        <v>0.466746338864366</v>
      </c>
      <c r="L199" s="16" t="n">
        <v>12.6754628716095</v>
      </c>
      <c r="M199" s="19" t="n">
        <v>0.829452853764262</v>
      </c>
      <c r="N199" s="19" t="n">
        <v>0.724438773304707</v>
      </c>
      <c r="O199" s="19" t="n">
        <v>0.864503397441051</v>
      </c>
      <c r="P199" s="19" t="n">
        <v>0.332554987223837</v>
      </c>
      <c r="Q199" s="17" t="s">
        <v>29</v>
      </c>
      <c r="R199" s="5" t="str">
        <f aca="false">IF(OR(Q199="Steel plate",Q199="Concrete jacket"),"Steel plate or jacket",Q199)</f>
        <v>Monitor</v>
      </c>
      <c r="S199" s="5" t="str">
        <f aca="false">IF(O199&lt;='Tree rules'!$C$4,IF(N199&lt;='Tree rules'!$C$5,IF(P199&lt;='Tree rules'!$C$6,"Monitor","Polymer laminate"),IF(P199&lt;='Tree rules'!$C$7,"Seal cracks","Polymer laminate")),IF(O199&lt;='Tree rules'!$C$8,IF(M199&lt;='Tree rules'!$C$9,"Steel plate or jacket","Polymer laminate"),IF(L199&lt;='Tree rules'!$C$10,"Steel plate or jacket","Polymer laminate")))</f>
        <v>Monitor</v>
      </c>
      <c r="T199" s="5" t="str">
        <f aca="false">IF(S199=R199,"Yes","No")</f>
        <v>Yes</v>
      </c>
    </row>
    <row r="200" customFormat="false" ht="15" hidden="false" customHeight="false" outlineLevel="0" collapsed="false">
      <c r="A200" s="15" t="n">
        <v>619</v>
      </c>
      <c r="B200" s="16" t="n">
        <v>5.26885977824751</v>
      </c>
      <c r="C200" s="15" t="n">
        <v>300</v>
      </c>
      <c r="D200" s="15" t="n">
        <v>475</v>
      </c>
      <c r="E200" s="15" t="n">
        <v>20</v>
      </c>
      <c r="F200" s="16" t="n">
        <v>0.624901102811956</v>
      </c>
      <c r="G200" s="17" t="s">
        <v>89</v>
      </c>
      <c r="H200" s="18" t="n">
        <v>0.3</v>
      </c>
      <c r="I200" s="18" t="n">
        <v>1</v>
      </c>
      <c r="J200" s="19" t="n">
        <v>0.880235306928256</v>
      </c>
      <c r="K200" s="19" t="n">
        <v>0.565507139154936</v>
      </c>
      <c r="L200" s="16" t="n">
        <v>12.2817244248194</v>
      </c>
      <c r="M200" s="19" t="n">
        <v>0.736150498471807</v>
      </c>
      <c r="N200" s="19" t="n">
        <v>0.583270741568435</v>
      </c>
      <c r="O200" s="19" t="n">
        <v>0.880235306928256</v>
      </c>
      <c r="P200" s="19" t="n">
        <v>0.463693458431491</v>
      </c>
      <c r="Q200" s="17" t="s">
        <v>29</v>
      </c>
      <c r="R200" s="5" t="str">
        <f aca="false">IF(OR(Q200="Steel plate",Q200="Concrete jacket"),"Steel plate or jacket",Q200)</f>
        <v>Monitor</v>
      </c>
      <c r="S200" s="5" t="str">
        <f aca="false">IF(O200&lt;='Tree rules'!$C$4,IF(N200&lt;='Tree rules'!$C$5,IF(P200&lt;='Tree rules'!$C$6,"Monitor","Polymer laminate"),IF(P200&lt;='Tree rules'!$C$7,"Seal cracks","Polymer laminate")),IF(O200&lt;='Tree rules'!$C$8,IF(M200&lt;='Tree rules'!$C$9,"Steel plate or jacket","Polymer laminate"),IF(L200&lt;='Tree rules'!$C$10,"Steel plate or jacket","Polymer laminate")))</f>
        <v>Monitor</v>
      </c>
      <c r="T200" s="5" t="str">
        <f aca="false">IF(S200=R200,"Yes","No")</f>
        <v>Yes</v>
      </c>
    </row>
    <row r="201" customFormat="false" ht="15" hidden="false" customHeight="false" outlineLevel="0" collapsed="false">
      <c r="A201" s="15" t="n">
        <v>622</v>
      </c>
      <c r="B201" s="16" t="n">
        <v>3.91279740091345</v>
      </c>
      <c r="C201" s="15" t="n">
        <v>230</v>
      </c>
      <c r="D201" s="15" t="n">
        <v>375</v>
      </c>
      <c r="E201" s="15" t="n">
        <v>25</v>
      </c>
      <c r="F201" s="16" t="n">
        <v>0.797126720614828</v>
      </c>
      <c r="G201" s="17" t="s">
        <v>89</v>
      </c>
      <c r="H201" s="18" t="n">
        <v>0.3</v>
      </c>
      <c r="I201" s="18" t="n">
        <v>1.5</v>
      </c>
      <c r="J201" s="19" t="n">
        <v>0.879462506134794</v>
      </c>
      <c r="K201" s="19" t="n">
        <v>0.593052167804289</v>
      </c>
      <c r="L201" s="16" t="n">
        <v>11.8930012185819</v>
      </c>
      <c r="M201" s="19" t="n">
        <v>0.805097509249168</v>
      </c>
      <c r="N201" s="19" t="n">
        <v>0.743119549338902</v>
      </c>
      <c r="O201" s="19" t="n">
        <v>1.05841018631928</v>
      </c>
      <c r="P201" s="19" t="n">
        <v>0.47912827965637</v>
      </c>
      <c r="Q201" s="17" t="s">
        <v>31</v>
      </c>
      <c r="R201" s="5" t="str">
        <f aca="false">IF(OR(Q201="Steel plate",Q201="Concrete jacket"),"Steel plate or jacket",Q201)</f>
        <v>Polymer laminate</v>
      </c>
      <c r="S201" s="5" t="str">
        <f aca="false">IF(O201&lt;='Tree rules'!$C$4,IF(N201&lt;='Tree rules'!$C$5,IF(P201&lt;='Tree rules'!$C$6,"Monitor","Polymer laminate"),IF(P201&lt;='Tree rules'!$C$7,"Seal cracks","Polymer laminate")),IF(O201&lt;='Tree rules'!$C$8,IF(M201&lt;='Tree rules'!$C$9,"Steel plate or jacket","Polymer laminate"),IF(L201&lt;='Tree rules'!$C$10,"Steel plate or jacket","Polymer laminate")))</f>
        <v>Polymer laminate</v>
      </c>
      <c r="T201" s="5" t="str">
        <f aca="false">IF(S201=R201,"Yes","No")</f>
        <v>Yes</v>
      </c>
    </row>
    <row r="202" customFormat="false" ht="15" hidden="false" customHeight="false" outlineLevel="0" collapsed="false">
      <c r="A202" s="15" t="n">
        <v>626</v>
      </c>
      <c r="B202" s="16" t="n">
        <v>6.17846954389767</v>
      </c>
      <c r="C202" s="15" t="n">
        <v>300</v>
      </c>
      <c r="D202" s="15" t="n">
        <v>500</v>
      </c>
      <c r="E202" s="15" t="n">
        <v>25</v>
      </c>
      <c r="F202" s="16" t="n">
        <v>0.610666453545169</v>
      </c>
      <c r="G202" s="17" t="s">
        <v>90</v>
      </c>
      <c r="H202" s="18" t="n">
        <v>0.1</v>
      </c>
      <c r="I202" s="18" t="n">
        <v>2</v>
      </c>
      <c r="J202" s="19" t="n">
        <v>0.857553076836481</v>
      </c>
      <c r="K202" s="19" t="n">
        <v>0.559967141559724</v>
      </c>
      <c r="L202" s="16" t="n">
        <v>14.0739625145733</v>
      </c>
      <c r="M202" s="19" t="n">
        <v>0.358963449212204</v>
      </c>
      <c r="N202" s="19" t="n">
        <v>3.53165974310641</v>
      </c>
      <c r="O202" s="19" t="n">
        <v>1.23490460850109</v>
      </c>
      <c r="P202" s="19" t="n">
        <v>1.0277259846783</v>
      </c>
      <c r="Q202" s="17" t="s">
        <v>31</v>
      </c>
      <c r="R202" s="5" t="str">
        <f aca="false">IF(OR(Q202="Steel plate",Q202="Concrete jacket"),"Steel plate or jacket",Q202)</f>
        <v>Polymer laminate</v>
      </c>
      <c r="S202" s="5" t="str">
        <f aca="false">IF(O202&lt;='Tree rules'!$C$4,IF(N202&lt;='Tree rules'!$C$5,IF(P202&lt;='Tree rules'!$C$6,"Monitor","Polymer laminate"),IF(P202&lt;='Tree rules'!$C$7,"Seal cracks","Polymer laminate")),IF(O202&lt;='Tree rules'!$C$8,IF(M202&lt;='Tree rules'!$C$9,"Steel plate or jacket","Polymer laminate"),IF(L202&lt;='Tree rules'!$C$10,"Steel plate or jacket","Polymer laminate")))</f>
        <v>Polymer laminate</v>
      </c>
      <c r="T202" s="5" t="str">
        <f aca="false">IF(S202=R202,"Yes","No")</f>
        <v>Yes</v>
      </c>
    </row>
    <row r="203" customFormat="false" ht="15" hidden="false" customHeight="false" outlineLevel="0" collapsed="false">
      <c r="A203" s="15" t="n">
        <v>633</v>
      </c>
      <c r="B203" s="16" t="n">
        <v>6.24368557361016</v>
      </c>
      <c r="C203" s="15" t="n">
        <v>300</v>
      </c>
      <c r="D203" s="15" t="n">
        <v>500</v>
      </c>
      <c r="E203" s="15" t="n">
        <v>25</v>
      </c>
      <c r="F203" s="16" t="n">
        <v>0.738112811416104</v>
      </c>
      <c r="G203" s="17" t="s">
        <v>91</v>
      </c>
      <c r="H203" s="18" t="n">
        <v>0.2</v>
      </c>
      <c r="I203" s="18" t="n">
        <v>1.5</v>
      </c>
      <c r="J203" s="19" t="n">
        <v>0.891358787884506</v>
      </c>
      <c r="K203" s="19" t="n">
        <v>0.424320469687638</v>
      </c>
      <c r="L203" s="16" t="n">
        <v>13.7526113956171</v>
      </c>
      <c r="M203" s="19" t="n">
        <v>0.940281604956393</v>
      </c>
      <c r="N203" s="19" t="n">
        <v>1.06765156126458</v>
      </c>
      <c r="O203" s="19" t="n">
        <v>1.14792729205908</v>
      </c>
      <c r="P203" s="19" t="n">
        <v>0.469739774508183</v>
      </c>
      <c r="Q203" s="17" t="s">
        <v>31</v>
      </c>
      <c r="R203" s="5" t="str">
        <f aca="false">IF(OR(Q203="Steel plate",Q203="Concrete jacket"),"Steel plate or jacket",Q203)</f>
        <v>Polymer laminate</v>
      </c>
      <c r="S203" s="5" t="str">
        <f aca="false">IF(O203&lt;='Tree rules'!$C$4,IF(N203&lt;='Tree rules'!$C$5,IF(P203&lt;='Tree rules'!$C$6,"Monitor","Polymer laminate"),IF(P203&lt;='Tree rules'!$C$7,"Seal cracks","Polymer laminate")),IF(O203&lt;='Tree rules'!$C$8,IF(M203&lt;='Tree rules'!$C$9,"Steel plate or jacket","Polymer laminate"),IF(L203&lt;='Tree rules'!$C$10,"Steel plate or jacket","Polymer laminate")))</f>
        <v>Polymer laminate</v>
      </c>
      <c r="T203" s="5" t="str">
        <f aca="false">IF(S203=R203,"Yes","No")</f>
        <v>Yes</v>
      </c>
    </row>
    <row r="204" customFormat="false" ht="15" hidden="false" customHeight="false" outlineLevel="0" collapsed="false">
      <c r="A204" s="15" t="n">
        <v>634</v>
      </c>
      <c r="B204" s="16" t="n">
        <v>6.28509360605582</v>
      </c>
      <c r="C204" s="15" t="n">
        <v>230</v>
      </c>
      <c r="D204" s="15" t="n">
        <v>575</v>
      </c>
      <c r="E204" s="15" t="n">
        <v>25</v>
      </c>
      <c r="F204" s="16" t="n">
        <v>0.518371859349855</v>
      </c>
      <c r="G204" s="17" t="s">
        <v>89</v>
      </c>
      <c r="H204" s="18" t="n">
        <v>0.3</v>
      </c>
      <c r="I204" s="18" t="n">
        <v>1</v>
      </c>
      <c r="J204" s="19" t="n">
        <v>0.909970147563301</v>
      </c>
      <c r="K204" s="19" t="n">
        <v>0.494141855640766</v>
      </c>
      <c r="L204" s="16" t="n">
        <v>11.9261738255329</v>
      </c>
      <c r="M204" s="19" t="n">
        <v>0.356030278466157</v>
      </c>
      <c r="N204" s="19" t="n">
        <v>0.897623788083904</v>
      </c>
      <c r="O204" s="19" t="n">
        <v>0.909970147563301</v>
      </c>
      <c r="P204" s="19" t="n">
        <v>0.708543374749261</v>
      </c>
      <c r="Q204" s="17" t="s">
        <v>29</v>
      </c>
      <c r="R204" s="5" t="str">
        <f aca="false">IF(OR(Q204="Steel plate",Q204="Concrete jacket"),"Steel plate or jacket",Q204)</f>
        <v>Monitor</v>
      </c>
      <c r="S204" s="5" t="str">
        <f aca="false">IF(O204&lt;='Tree rules'!$C$4,IF(N204&lt;='Tree rules'!$C$5,IF(P204&lt;='Tree rules'!$C$6,"Monitor","Polymer laminate"),IF(P204&lt;='Tree rules'!$C$7,"Seal cracks","Polymer laminate")),IF(O204&lt;='Tree rules'!$C$8,IF(M204&lt;='Tree rules'!$C$9,"Steel plate or jacket","Polymer laminate"),IF(L204&lt;='Tree rules'!$C$10,"Steel plate or jacket","Polymer laminate")))</f>
        <v>Monitor</v>
      </c>
      <c r="T204" s="5" t="str">
        <f aca="false">IF(S204=R204,"Yes","No")</f>
        <v>Yes</v>
      </c>
    </row>
    <row r="205" customFormat="false" ht="15" hidden="false" customHeight="false" outlineLevel="0" collapsed="false">
      <c r="A205" s="15" t="n">
        <v>641</v>
      </c>
      <c r="B205" s="16" t="n">
        <v>6.8117084871254</v>
      </c>
      <c r="C205" s="15" t="n">
        <v>300</v>
      </c>
      <c r="D205" s="15" t="n">
        <v>550</v>
      </c>
      <c r="E205" s="15" t="n">
        <v>30</v>
      </c>
      <c r="F205" s="16" t="n">
        <v>0.664887334093078</v>
      </c>
      <c r="G205" s="17" t="s">
        <v>91</v>
      </c>
      <c r="H205" s="18" t="n">
        <v>0.2</v>
      </c>
      <c r="I205" s="18" t="n">
        <v>1</v>
      </c>
      <c r="J205" s="19" t="n">
        <v>0.909039262661401</v>
      </c>
      <c r="K205" s="19" t="n">
        <v>0.422410370976625</v>
      </c>
      <c r="L205" s="16" t="n">
        <v>13.5152946173123</v>
      </c>
      <c r="M205" s="19" t="n">
        <v>0.72681725035771</v>
      </c>
      <c r="N205" s="19" t="n">
        <v>0.860000799249124</v>
      </c>
      <c r="O205" s="19" t="n">
        <v>0.909039262661401</v>
      </c>
      <c r="P205" s="19" t="n">
        <v>0.456637289332277</v>
      </c>
      <c r="Q205" s="17" t="s">
        <v>29</v>
      </c>
      <c r="R205" s="5" t="str">
        <f aca="false">IF(OR(Q205="Steel plate",Q205="Concrete jacket"),"Steel plate or jacket",Q205)</f>
        <v>Monitor</v>
      </c>
      <c r="S205" s="5" t="str">
        <f aca="false">IF(O205&lt;='Tree rules'!$C$4,IF(N205&lt;='Tree rules'!$C$5,IF(P205&lt;='Tree rules'!$C$6,"Monitor","Polymer laminate"),IF(P205&lt;='Tree rules'!$C$7,"Seal cracks","Polymer laminate")),IF(O205&lt;='Tree rules'!$C$8,IF(M205&lt;='Tree rules'!$C$9,"Steel plate or jacket","Polymer laminate"),IF(L205&lt;='Tree rules'!$C$10,"Steel plate or jacket","Polymer laminate")))</f>
        <v>Monitor</v>
      </c>
      <c r="T205" s="5" t="str">
        <f aca="false">IF(S205=R205,"Yes","No")</f>
        <v>Yes</v>
      </c>
    </row>
    <row r="206" customFormat="false" ht="15" hidden="false" customHeight="false" outlineLevel="0" collapsed="false">
      <c r="A206" s="15" t="n">
        <v>652</v>
      </c>
      <c r="B206" s="16" t="n">
        <v>4.93095581523447</v>
      </c>
      <c r="C206" s="15" t="n">
        <v>230</v>
      </c>
      <c r="D206" s="15" t="n">
        <v>375</v>
      </c>
      <c r="E206" s="15" t="n">
        <v>30</v>
      </c>
      <c r="F206" s="16" t="n">
        <v>0.797126720614828</v>
      </c>
      <c r="G206" s="17" t="s">
        <v>91</v>
      </c>
      <c r="H206" s="18" t="n">
        <v>0.2</v>
      </c>
      <c r="I206" s="18" t="n">
        <v>1</v>
      </c>
      <c r="J206" s="19" t="n">
        <v>0.854137559031927</v>
      </c>
      <c r="K206" s="19" t="n">
        <v>0.561791355387157</v>
      </c>
      <c r="L206" s="16" t="n">
        <v>14.9877076450896</v>
      </c>
      <c r="M206" s="19" t="n">
        <v>0.657237293587514</v>
      </c>
      <c r="N206" s="19" t="n">
        <v>0.917198642100222</v>
      </c>
      <c r="O206" s="19" t="n">
        <v>0.854137559031927</v>
      </c>
      <c r="P206" s="19" t="n">
        <v>0.593929302972395</v>
      </c>
      <c r="Q206" s="17" t="s">
        <v>29</v>
      </c>
      <c r="R206" s="5" t="str">
        <f aca="false">IF(OR(Q206="Steel plate",Q206="Concrete jacket"),"Steel plate or jacket",Q206)</f>
        <v>Monitor</v>
      </c>
      <c r="S206" s="5" t="str">
        <f aca="false">IF(O206&lt;='Tree rules'!$C$4,IF(N206&lt;='Tree rules'!$C$5,IF(P206&lt;='Tree rules'!$C$6,"Monitor","Polymer laminate"),IF(P206&lt;='Tree rules'!$C$7,"Seal cracks","Polymer laminate")),IF(O206&lt;='Tree rules'!$C$8,IF(M206&lt;='Tree rules'!$C$9,"Steel plate or jacket","Polymer laminate"),IF(L206&lt;='Tree rules'!$C$10,"Steel plate or jacket","Polymer laminate")))</f>
        <v>Monitor</v>
      </c>
      <c r="T206" s="5" t="str">
        <f aca="false">IF(S206=R206,"Yes","No")</f>
        <v>Yes</v>
      </c>
    </row>
    <row r="207" customFormat="false" ht="15" hidden="false" customHeight="false" outlineLevel="0" collapsed="false">
      <c r="A207" s="15" t="n">
        <v>653</v>
      </c>
      <c r="B207" s="16" t="n">
        <v>5.02227465262716</v>
      </c>
      <c r="C207" s="15" t="n">
        <v>300</v>
      </c>
      <c r="D207" s="15" t="n">
        <v>475</v>
      </c>
      <c r="E207" s="15" t="n">
        <v>30</v>
      </c>
      <c r="F207" s="16" t="n">
        <v>0.980981312596345</v>
      </c>
      <c r="G207" s="17" t="s">
        <v>89</v>
      </c>
      <c r="H207" s="18" t="n">
        <v>0.3</v>
      </c>
      <c r="I207" s="18" t="n">
        <v>1</v>
      </c>
      <c r="J207" s="19" t="n">
        <v>0.859583266232337</v>
      </c>
      <c r="K207" s="19" t="n">
        <v>0.590525731100317</v>
      </c>
      <c r="L207" s="16" t="n">
        <v>11.7617673363634</v>
      </c>
      <c r="M207" s="19" t="n">
        <v>0.914227841741773</v>
      </c>
      <c r="N207" s="19" t="n">
        <v>0.572878878722882</v>
      </c>
      <c r="O207" s="19" t="n">
        <v>0.859583266232337</v>
      </c>
      <c r="P207" s="19" t="n">
        <v>0.453608137847546</v>
      </c>
      <c r="Q207" s="17" t="s">
        <v>29</v>
      </c>
      <c r="R207" s="5" t="str">
        <f aca="false">IF(OR(Q207="Steel plate",Q207="Concrete jacket"),"Steel plate or jacket",Q207)</f>
        <v>Monitor</v>
      </c>
      <c r="S207" s="5" t="str">
        <f aca="false">IF(O207&lt;='Tree rules'!$C$4,IF(N207&lt;='Tree rules'!$C$5,IF(P207&lt;='Tree rules'!$C$6,"Monitor","Polymer laminate"),IF(P207&lt;='Tree rules'!$C$7,"Seal cracks","Polymer laminate")),IF(O207&lt;='Tree rules'!$C$8,IF(M207&lt;='Tree rules'!$C$9,"Steel plate or jacket","Polymer laminate"),IF(L207&lt;='Tree rules'!$C$10,"Steel plate or jacket","Polymer laminate")))</f>
        <v>Monitor</v>
      </c>
      <c r="T207" s="5" t="str">
        <f aca="false">IF(S207=R207,"Yes","No")</f>
        <v>Yes</v>
      </c>
    </row>
    <row r="208" customFormat="false" ht="15" hidden="false" customHeight="false" outlineLevel="0" collapsed="false">
      <c r="A208" s="15" t="n">
        <v>657</v>
      </c>
      <c r="B208" s="16" t="n">
        <v>4.68123364257571</v>
      </c>
      <c r="C208" s="15" t="n">
        <v>300</v>
      </c>
      <c r="D208" s="15" t="n">
        <v>425</v>
      </c>
      <c r="E208" s="15" t="n">
        <v>25</v>
      </c>
      <c r="F208" s="16" t="n">
        <v>0.867843274472319</v>
      </c>
      <c r="G208" s="17" t="s">
        <v>90</v>
      </c>
      <c r="H208" s="18" t="n">
        <v>0.1</v>
      </c>
      <c r="I208" s="18" t="n">
        <v>1.5</v>
      </c>
      <c r="J208" s="19" t="n">
        <v>0.857489112935493</v>
      </c>
      <c r="K208" s="19" t="n">
        <v>0.611958528653757</v>
      </c>
      <c r="L208" s="16" t="n">
        <v>12.9315846479992</v>
      </c>
      <c r="M208" s="19" t="n">
        <v>0.472188648814381</v>
      </c>
      <c r="N208" s="19" t="n">
        <v>3.13132380778839</v>
      </c>
      <c r="O208" s="19" t="n">
        <v>1.02385978145893</v>
      </c>
      <c r="P208" s="19" t="n">
        <v>0.832808757713153</v>
      </c>
      <c r="Q208" s="17" t="s">
        <v>31</v>
      </c>
      <c r="R208" s="5" t="str">
        <f aca="false">IF(OR(Q208="Steel plate",Q208="Concrete jacket"),"Steel plate or jacket",Q208)</f>
        <v>Polymer laminate</v>
      </c>
      <c r="S208" s="5" t="str">
        <f aca="false">IF(O208&lt;='Tree rules'!$C$4,IF(N208&lt;='Tree rules'!$C$5,IF(P208&lt;='Tree rules'!$C$6,"Monitor","Polymer laminate"),IF(P208&lt;='Tree rules'!$C$7,"Seal cracks","Polymer laminate")),IF(O208&lt;='Tree rules'!$C$8,IF(M208&lt;='Tree rules'!$C$9,"Steel plate or jacket","Polymer laminate"),IF(L208&lt;='Tree rules'!$C$10,"Steel plate or jacket","Polymer laminate")))</f>
        <v>Polymer laminate</v>
      </c>
      <c r="T208" s="5" t="str">
        <f aca="false">IF(S208=R208,"Yes","No")</f>
        <v>Yes</v>
      </c>
    </row>
    <row r="209" customFormat="false" ht="15" hidden="false" customHeight="false" outlineLevel="0" collapsed="false">
      <c r="A209" s="15" t="n">
        <v>658</v>
      </c>
      <c r="B209" s="16" t="n">
        <v>6.15331965498971</v>
      </c>
      <c r="C209" s="15" t="n">
        <v>230</v>
      </c>
      <c r="D209" s="15" t="n">
        <v>525</v>
      </c>
      <c r="E209" s="15" t="n">
        <v>20</v>
      </c>
      <c r="F209" s="16" t="n">
        <v>0.57270853223768</v>
      </c>
      <c r="G209" s="17" t="s">
        <v>91</v>
      </c>
      <c r="H209" s="18" t="n">
        <v>0.2</v>
      </c>
      <c r="I209" s="18" t="n">
        <v>1.5</v>
      </c>
      <c r="J209" s="19" t="n">
        <v>0.945340255741943</v>
      </c>
      <c r="K209" s="19" t="n">
        <v>0.415612309026591</v>
      </c>
      <c r="L209" s="16" t="n">
        <v>12.9000412054292</v>
      </c>
      <c r="M209" s="19" t="n">
        <v>0.784699213119942</v>
      </c>
      <c r="N209" s="19" t="n">
        <v>1.64752136601543</v>
      </c>
      <c r="O209" s="19" t="n">
        <v>1.22156286036057</v>
      </c>
      <c r="P209" s="19" t="n">
        <v>0.475523609737858</v>
      </c>
      <c r="Q209" s="17" t="s">
        <v>31</v>
      </c>
      <c r="R209" s="5" t="str">
        <f aca="false">IF(OR(Q209="Steel plate",Q209="Concrete jacket"),"Steel plate or jacket",Q209)</f>
        <v>Polymer laminate</v>
      </c>
      <c r="S209" s="5" t="str">
        <f aca="false">IF(O209&lt;='Tree rules'!$C$4,IF(N209&lt;='Tree rules'!$C$5,IF(P209&lt;='Tree rules'!$C$6,"Monitor","Polymer laminate"),IF(P209&lt;='Tree rules'!$C$7,"Seal cracks","Polymer laminate")),IF(O209&lt;='Tree rules'!$C$8,IF(M209&lt;='Tree rules'!$C$9,"Steel plate or jacket","Polymer laminate"),IF(L209&lt;='Tree rules'!$C$10,"Steel plate or jacket","Polymer laminate")))</f>
        <v>Polymer laminate</v>
      </c>
      <c r="T209" s="5" t="str">
        <f aca="false">IF(S209=R209,"Yes","No")</f>
        <v>Yes</v>
      </c>
    </row>
    <row r="210" customFormat="false" ht="15" hidden="false" customHeight="false" outlineLevel="0" collapsed="false">
      <c r="A210" s="15" t="n">
        <v>659</v>
      </c>
      <c r="B210" s="16" t="n">
        <v>3.11678304385501</v>
      </c>
      <c r="C210" s="15" t="n">
        <v>230</v>
      </c>
      <c r="D210" s="15" t="n">
        <v>300</v>
      </c>
      <c r="E210" s="15" t="n">
        <v>30</v>
      </c>
      <c r="F210" s="16" t="n">
        <v>1.08405543602132</v>
      </c>
      <c r="G210" s="17" t="s">
        <v>89</v>
      </c>
      <c r="H210" s="18" t="n">
        <v>0.3</v>
      </c>
      <c r="I210" s="18" t="n">
        <v>2</v>
      </c>
      <c r="J210" s="19" t="n">
        <v>0.867688743636764</v>
      </c>
      <c r="K210" s="19" t="n">
        <v>0.516275094369292</v>
      </c>
      <c r="L210" s="16" t="n">
        <v>12.3681866819643</v>
      </c>
      <c r="M210" s="19" t="n">
        <v>0.385016343322713</v>
      </c>
      <c r="N210" s="19" t="n">
        <v>1.24634869800356</v>
      </c>
      <c r="O210" s="19" t="n">
        <v>1.28741139926929</v>
      </c>
      <c r="P210" s="19" t="n">
        <v>1.11387640507817</v>
      </c>
      <c r="Q210" s="17" t="s">
        <v>31</v>
      </c>
      <c r="R210" s="5" t="str">
        <f aca="false">IF(OR(Q210="Steel plate",Q210="Concrete jacket"),"Steel plate or jacket",Q210)</f>
        <v>Polymer laminate</v>
      </c>
      <c r="S210" s="5" t="str">
        <f aca="false">IF(O210&lt;='Tree rules'!$C$4,IF(N210&lt;='Tree rules'!$C$5,IF(P210&lt;='Tree rules'!$C$6,"Monitor","Polymer laminate"),IF(P210&lt;='Tree rules'!$C$7,"Seal cracks","Polymer laminate")),IF(O210&lt;='Tree rules'!$C$8,IF(M210&lt;='Tree rules'!$C$9,"Steel plate or jacket","Polymer laminate"),IF(L210&lt;='Tree rules'!$C$10,"Steel plate or jacket","Polymer laminate")))</f>
        <v>Polymer laminate</v>
      </c>
      <c r="T210" s="5" t="str">
        <f aca="false">IF(S210=R210,"Yes","No")</f>
        <v>Yes</v>
      </c>
    </row>
    <row r="211" customFormat="false" ht="15" hidden="false" customHeight="false" outlineLevel="0" collapsed="false">
      <c r="A211" s="15" t="n">
        <v>660</v>
      </c>
      <c r="B211" s="16" t="n">
        <v>7.3602580585346</v>
      </c>
      <c r="C211" s="15" t="n">
        <v>230</v>
      </c>
      <c r="D211" s="15" t="n">
        <v>725</v>
      </c>
      <c r="E211" s="15" t="n">
        <v>20</v>
      </c>
      <c r="F211" s="16" t="n">
        <v>0.605277628974978</v>
      </c>
      <c r="G211" s="17" t="s">
        <v>89</v>
      </c>
      <c r="H211" s="18" t="n">
        <v>0.3</v>
      </c>
      <c r="I211" s="18" t="n">
        <v>1.5</v>
      </c>
      <c r="J211" s="19" t="n">
        <v>0.870011364318085</v>
      </c>
      <c r="K211" s="19" t="n">
        <v>0.446153712034801</v>
      </c>
      <c r="L211" s="16" t="n">
        <v>10.8718730554425</v>
      </c>
      <c r="M211" s="19" t="n">
        <v>0.680601302137697</v>
      </c>
      <c r="N211" s="19" t="n">
        <v>0.738687814556345</v>
      </c>
      <c r="O211" s="19" t="n">
        <v>1.11093764662564</v>
      </c>
      <c r="P211" s="19" t="n">
        <v>0.482268163818806</v>
      </c>
      <c r="Q211" s="17" t="s">
        <v>31</v>
      </c>
      <c r="R211" s="5" t="str">
        <f aca="false">IF(OR(Q211="Steel plate",Q211="Concrete jacket"),"Steel plate or jacket",Q211)</f>
        <v>Polymer laminate</v>
      </c>
      <c r="S211" s="5" t="str">
        <f aca="false">IF(O211&lt;='Tree rules'!$C$4,IF(N211&lt;='Tree rules'!$C$5,IF(P211&lt;='Tree rules'!$C$6,"Monitor","Polymer laminate"),IF(P211&lt;='Tree rules'!$C$7,"Seal cracks","Polymer laminate")),IF(O211&lt;='Tree rules'!$C$8,IF(M211&lt;='Tree rules'!$C$9,"Steel plate or jacket","Polymer laminate"),IF(L211&lt;='Tree rules'!$C$10,"Steel plate or jacket","Polymer laminate")))</f>
        <v>Polymer laminate</v>
      </c>
      <c r="T211" s="5" t="str">
        <f aca="false">IF(S211=R211,"Yes","No")</f>
        <v>Yes</v>
      </c>
    </row>
    <row r="212" customFormat="false" ht="15" hidden="false" customHeight="false" outlineLevel="0" collapsed="false">
      <c r="A212" s="15" t="n">
        <v>661</v>
      </c>
      <c r="B212" s="16" t="n">
        <v>4.75649010360846</v>
      </c>
      <c r="C212" s="15" t="n">
        <v>230</v>
      </c>
      <c r="D212" s="15" t="n">
        <v>375</v>
      </c>
      <c r="E212" s="15" t="n">
        <v>30</v>
      </c>
      <c r="F212" s="16" t="n">
        <v>0.594232683721175</v>
      </c>
      <c r="G212" s="17" t="s">
        <v>89</v>
      </c>
      <c r="H212" s="18" t="n">
        <v>0.3</v>
      </c>
      <c r="I212" s="18" t="n">
        <v>2</v>
      </c>
      <c r="J212" s="19" t="n">
        <v>0.903244529146614</v>
      </c>
      <c r="K212" s="19" t="n">
        <v>0.536568723450573</v>
      </c>
      <c r="L212" s="16" t="n">
        <v>14.3700607359772</v>
      </c>
      <c r="M212" s="19" t="n">
        <v>0.401436018985673</v>
      </c>
      <c r="N212" s="19" t="n">
        <v>0.918234863337438</v>
      </c>
      <c r="O212" s="19" t="n">
        <v>1.32183629432532</v>
      </c>
      <c r="P212" s="19" t="n">
        <v>0.900314269146137</v>
      </c>
      <c r="Q212" s="17" t="s">
        <v>31</v>
      </c>
      <c r="R212" s="5" t="str">
        <f aca="false">IF(OR(Q212="Steel plate",Q212="Concrete jacket"),"Steel plate or jacket",Q212)</f>
        <v>Polymer laminate</v>
      </c>
      <c r="S212" s="5" t="str">
        <f aca="false">IF(O212&lt;='Tree rules'!$C$4,IF(N212&lt;='Tree rules'!$C$5,IF(P212&lt;='Tree rules'!$C$6,"Monitor","Polymer laminate"),IF(P212&lt;='Tree rules'!$C$7,"Seal cracks","Polymer laminate")),IF(O212&lt;='Tree rules'!$C$8,IF(M212&lt;='Tree rules'!$C$9,"Steel plate or jacket","Polymer laminate"),IF(L212&lt;='Tree rules'!$C$10,"Steel plate or jacket","Polymer laminate")))</f>
        <v>Polymer laminate</v>
      </c>
      <c r="T212" s="5" t="str">
        <f aca="false">IF(S212=R212,"Yes","No")</f>
        <v>Yes</v>
      </c>
    </row>
    <row r="213" customFormat="false" ht="15" hidden="false" customHeight="false" outlineLevel="0" collapsed="false">
      <c r="A213" s="15" t="n">
        <v>666</v>
      </c>
      <c r="B213" s="16" t="n">
        <v>4.472320844599</v>
      </c>
      <c r="C213" s="15" t="n">
        <v>300</v>
      </c>
      <c r="D213" s="15" t="n">
        <v>350</v>
      </c>
      <c r="E213" s="15" t="n">
        <v>20</v>
      </c>
      <c r="F213" s="16" t="n">
        <v>0.693508312050727</v>
      </c>
      <c r="G213" s="17" t="s">
        <v>89</v>
      </c>
      <c r="H213" s="18" t="n">
        <v>0.3</v>
      </c>
      <c r="I213" s="18" t="n">
        <v>1.5</v>
      </c>
      <c r="J213" s="19" t="n">
        <v>0.852967245438586</v>
      </c>
      <c r="K213" s="19" t="n">
        <v>0.506833402901338</v>
      </c>
      <c r="L213" s="16" t="n">
        <v>14.809009419202</v>
      </c>
      <c r="M213" s="19" t="n">
        <v>0.947847448589227</v>
      </c>
      <c r="N213" s="19" t="n">
        <v>1.07301788081274</v>
      </c>
      <c r="O213" s="19" t="n">
        <v>1.06329472237337</v>
      </c>
      <c r="P213" s="19" t="n">
        <v>0.444875111635714</v>
      </c>
      <c r="Q213" s="17" t="s">
        <v>31</v>
      </c>
      <c r="R213" s="5" t="str">
        <f aca="false">IF(OR(Q213="Steel plate",Q213="Concrete jacket"),"Steel plate or jacket",Q213)</f>
        <v>Polymer laminate</v>
      </c>
      <c r="S213" s="5" t="str">
        <f aca="false">IF(O213&lt;='Tree rules'!$C$4,IF(N213&lt;='Tree rules'!$C$5,IF(P213&lt;='Tree rules'!$C$6,"Monitor","Polymer laminate"),IF(P213&lt;='Tree rules'!$C$7,"Seal cracks","Polymer laminate")),IF(O213&lt;='Tree rules'!$C$8,IF(M213&lt;='Tree rules'!$C$9,"Steel plate or jacket","Polymer laminate"),IF(L213&lt;='Tree rules'!$C$10,"Steel plate or jacket","Polymer laminate")))</f>
        <v>Polymer laminate</v>
      </c>
      <c r="T213" s="5" t="str">
        <f aca="false">IF(S213=R213,"Yes","No")</f>
        <v>Yes</v>
      </c>
    </row>
    <row r="214" customFormat="false" ht="15" hidden="false" customHeight="false" outlineLevel="0" collapsed="false">
      <c r="A214" s="15" t="n">
        <v>673</v>
      </c>
      <c r="B214" s="16" t="n">
        <v>5.5278813732017</v>
      </c>
      <c r="C214" s="15" t="n">
        <v>300</v>
      </c>
      <c r="D214" s="15" t="n">
        <v>475</v>
      </c>
      <c r="E214" s="15" t="n">
        <v>30</v>
      </c>
      <c r="F214" s="16" t="n">
        <v>0.624901102811956</v>
      </c>
      <c r="G214" s="17" t="s">
        <v>91</v>
      </c>
      <c r="H214" s="18" t="n">
        <v>0.2</v>
      </c>
      <c r="I214" s="18" t="n">
        <v>1</v>
      </c>
      <c r="J214" s="19" t="n">
        <v>0.999557929909604</v>
      </c>
      <c r="K214" s="19" t="n">
        <v>0.40694768658708</v>
      </c>
      <c r="L214" s="16" t="n">
        <v>12.8855043664375</v>
      </c>
      <c r="M214" s="19" t="n">
        <v>0.909336215680918</v>
      </c>
      <c r="N214" s="19" t="n">
        <v>0.988485173457705</v>
      </c>
      <c r="O214" s="19" t="n">
        <v>0.999557929909604</v>
      </c>
      <c r="P214" s="19" t="n">
        <v>0.349851716589305</v>
      </c>
      <c r="Q214" s="17" t="s">
        <v>29</v>
      </c>
      <c r="R214" s="5" t="str">
        <f aca="false">IF(OR(Q214="Steel plate",Q214="Concrete jacket"),"Steel plate or jacket",Q214)</f>
        <v>Monitor</v>
      </c>
      <c r="S214" s="5" t="str">
        <f aca="false">IF(O214&lt;='Tree rules'!$C$4,IF(N214&lt;='Tree rules'!$C$5,IF(P214&lt;='Tree rules'!$C$6,"Monitor","Polymer laminate"),IF(P214&lt;='Tree rules'!$C$7,"Seal cracks","Polymer laminate")),IF(O214&lt;='Tree rules'!$C$8,IF(M214&lt;='Tree rules'!$C$9,"Steel plate or jacket","Polymer laminate"),IF(L214&lt;='Tree rules'!$C$10,"Steel plate or jacket","Polymer laminate")))</f>
        <v>Monitor</v>
      </c>
      <c r="T214" s="5" t="str">
        <f aca="false">IF(S214=R214,"Yes","No")</f>
        <v>Yes</v>
      </c>
    </row>
    <row r="215" customFormat="false" ht="15" hidden="false" customHeight="false" outlineLevel="0" collapsed="false">
      <c r="A215" s="15" t="n">
        <v>677</v>
      </c>
      <c r="B215" s="16" t="n">
        <v>5.8185065979224</v>
      </c>
      <c r="C215" s="15" t="n">
        <v>300</v>
      </c>
      <c r="D215" s="15" t="n">
        <v>525</v>
      </c>
      <c r="E215" s="15" t="n">
        <v>25</v>
      </c>
      <c r="F215" s="16" t="n">
        <v>0.658614812073332</v>
      </c>
      <c r="G215" s="17" t="s">
        <v>89</v>
      </c>
      <c r="H215" s="18" t="n">
        <v>0.3</v>
      </c>
      <c r="I215" s="18" t="n">
        <v>1</v>
      </c>
      <c r="J215" s="19" t="n">
        <v>0.950192490186975</v>
      </c>
      <c r="K215" s="19" t="n">
        <v>0.603702522962517</v>
      </c>
      <c r="L215" s="16" t="n">
        <v>12.1981270396696</v>
      </c>
      <c r="M215" s="19" t="n">
        <v>0.400870862780732</v>
      </c>
      <c r="N215" s="19" t="n">
        <v>0.808950149834557</v>
      </c>
      <c r="O215" s="19" t="n">
        <v>0.950192490186975</v>
      </c>
      <c r="P215" s="19" t="n">
        <v>0.879996535612695</v>
      </c>
      <c r="Q215" s="17" t="s">
        <v>29</v>
      </c>
      <c r="R215" s="5" t="str">
        <f aca="false">IF(OR(Q215="Steel plate",Q215="Concrete jacket"),"Steel plate or jacket",Q215)</f>
        <v>Monitor</v>
      </c>
      <c r="S215" s="5" t="str">
        <f aca="false">IF(O215&lt;='Tree rules'!$C$4,IF(N215&lt;='Tree rules'!$C$5,IF(P215&lt;='Tree rules'!$C$6,"Monitor","Polymer laminate"),IF(P215&lt;='Tree rules'!$C$7,"Seal cracks","Polymer laminate")),IF(O215&lt;='Tree rules'!$C$8,IF(M215&lt;='Tree rules'!$C$9,"Steel plate or jacket","Polymer laminate"),IF(L215&lt;='Tree rules'!$C$10,"Steel plate or jacket","Polymer laminate")))</f>
        <v>Monitor</v>
      </c>
      <c r="T215" s="5" t="str">
        <f aca="false">IF(S215=R215,"Yes","No")</f>
        <v>Yes</v>
      </c>
    </row>
    <row r="216" customFormat="false" ht="15" hidden="false" customHeight="false" outlineLevel="0" collapsed="false">
      <c r="A216" s="15" t="n">
        <v>678</v>
      </c>
      <c r="B216" s="16" t="n">
        <v>7.09697502889566</v>
      </c>
      <c r="C216" s="15" t="n">
        <v>230</v>
      </c>
      <c r="D216" s="15" t="n">
        <v>675</v>
      </c>
      <c r="E216" s="15" t="n">
        <v>30</v>
      </c>
      <c r="F216" s="16" t="n">
        <v>0.653545382481754</v>
      </c>
      <c r="G216" s="17" t="s">
        <v>91</v>
      </c>
      <c r="H216" s="18" t="n">
        <v>0.2</v>
      </c>
      <c r="I216" s="18" t="n">
        <v>1.5</v>
      </c>
      <c r="J216" s="19" t="n">
        <v>0.874861631829908</v>
      </c>
      <c r="K216" s="19" t="n">
        <v>0.427737233647806</v>
      </c>
      <c r="L216" s="16" t="n">
        <v>11.318939440025</v>
      </c>
      <c r="M216" s="19" t="n">
        <v>0.57734294464923</v>
      </c>
      <c r="N216" s="19" t="n">
        <v>1.18719432172749</v>
      </c>
      <c r="O216" s="19" t="n">
        <v>1.1251870006331</v>
      </c>
      <c r="P216" s="19" t="n">
        <v>0.53529672939745</v>
      </c>
      <c r="Q216" s="17" t="s">
        <v>31</v>
      </c>
      <c r="R216" s="5" t="str">
        <f aca="false">IF(OR(Q216="Steel plate",Q216="Concrete jacket"),"Steel plate or jacket",Q216)</f>
        <v>Polymer laminate</v>
      </c>
      <c r="S216" s="5" t="str">
        <f aca="false">IF(O216&lt;='Tree rules'!$C$4,IF(N216&lt;='Tree rules'!$C$5,IF(P216&lt;='Tree rules'!$C$6,"Monitor","Polymer laminate"),IF(P216&lt;='Tree rules'!$C$7,"Seal cracks","Polymer laminate")),IF(O216&lt;='Tree rules'!$C$8,IF(M216&lt;='Tree rules'!$C$9,"Steel plate or jacket","Polymer laminate"),IF(L216&lt;='Tree rules'!$C$10,"Steel plate or jacket","Polymer laminate")))</f>
        <v>Polymer laminate</v>
      </c>
      <c r="T216" s="5" t="str">
        <f aca="false">IF(S216=R216,"Yes","No")</f>
        <v>Yes</v>
      </c>
    </row>
    <row r="217" customFormat="false" ht="15" hidden="false" customHeight="false" outlineLevel="0" collapsed="false">
      <c r="A217" s="15" t="n">
        <v>682</v>
      </c>
      <c r="B217" s="16" t="n">
        <v>4.41303302400256</v>
      </c>
      <c r="C217" s="15" t="n">
        <v>230</v>
      </c>
      <c r="D217" s="15" t="n">
        <v>400</v>
      </c>
      <c r="E217" s="15" t="n">
        <v>30</v>
      </c>
      <c r="F217" s="16" t="n">
        <v>0.552502860426148</v>
      </c>
      <c r="G217" s="17" t="s">
        <v>89</v>
      </c>
      <c r="H217" s="18" t="n">
        <v>0.3</v>
      </c>
      <c r="I217" s="18" t="n">
        <v>1</v>
      </c>
      <c r="J217" s="19" t="n">
        <v>0.979208956394019</v>
      </c>
      <c r="K217" s="19" t="n">
        <v>0.514934686328909</v>
      </c>
      <c r="L217" s="16" t="n">
        <v>12.3961601797825</v>
      </c>
      <c r="M217" s="19" t="n">
        <v>0.817655778365824</v>
      </c>
      <c r="N217" s="19" t="n">
        <v>0.593395997212855</v>
      </c>
      <c r="O217" s="19" t="n">
        <v>0.979208956394018</v>
      </c>
      <c r="P217" s="19" t="n">
        <v>0.333414609408028</v>
      </c>
      <c r="Q217" s="17" t="s">
        <v>29</v>
      </c>
      <c r="R217" s="5" t="str">
        <f aca="false">IF(OR(Q217="Steel plate",Q217="Concrete jacket"),"Steel plate or jacket",Q217)</f>
        <v>Monitor</v>
      </c>
      <c r="S217" s="5" t="str">
        <f aca="false">IF(O217&lt;='Tree rules'!$C$4,IF(N217&lt;='Tree rules'!$C$5,IF(P217&lt;='Tree rules'!$C$6,"Monitor","Polymer laminate"),IF(P217&lt;='Tree rules'!$C$7,"Seal cracks","Polymer laminate")),IF(O217&lt;='Tree rules'!$C$8,IF(M217&lt;='Tree rules'!$C$9,"Steel plate or jacket","Polymer laminate"),IF(L217&lt;='Tree rules'!$C$10,"Steel plate or jacket","Polymer laminate")))</f>
        <v>Monitor</v>
      </c>
      <c r="T217" s="5" t="str">
        <f aca="false">IF(S217=R217,"Yes","No")</f>
        <v>Yes</v>
      </c>
    </row>
    <row r="218" customFormat="false" ht="15" hidden="false" customHeight="false" outlineLevel="0" collapsed="false">
      <c r="A218" s="15" t="n">
        <v>684</v>
      </c>
      <c r="B218" s="16" t="n">
        <v>3.29552796426784</v>
      </c>
      <c r="C218" s="15" t="n">
        <v>300</v>
      </c>
      <c r="D218" s="15" t="n">
        <v>300</v>
      </c>
      <c r="E218" s="15" t="n">
        <v>30</v>
      </c>
      <c r="F218" s="16" t="n">
        <v>0.791582400904515</v>
      </c>
      <c r="G218" s="17" t="s">
        <v>91</v>
      </c>
      <c r="H218" s="18" t="n">
        <v>0.2</v>
      </c>
      <c r="I218" s="18" t="n">
        <v>1</v>
      </c>
      <c r="J218" s="19" t="n">
        <v>0.864483028231372</v>
      </c>
      <c r="K218" s="19" t="n">
        <v>0.436012526945393</v>
      </c>
      <c r="L218" s="16" t="n">
        <v>12.9745195443616</v>
      </c>
      <c r="M218" s="19" t="n">
        <v>0.607012469642377</v>
      </c>
      <c r="N218" s="19" t="n">
        <v>1.0779265180807</v>
      </c>
      <c r="O218" s="19" t="n">
        <v>0.864483028231372</v>
      </c>
      <c r="P218" s="19" t="n">
        <v>0.456191396981795</v>
      </c>
      <c r="Q218" s="17" t="s">
        <v>30</v>
      </c>
      <c r="R218" s="5" t="str">
        <f aca="false">IF(OR(Q218="Steel plate",Q218="Concrete jacket"),"Steel plate or jacket",Q218)</f>
        <v>Seal cracks</v>
      </c>
      <c r="S218" s="5" t="str">
        <f aca="false">IF(O218&lt;='Tree rules'!$C$4,IF(N218&lt;='Tree rules'!$C$5,IF(P218&lt;='Tree rules'!$C$6,"Monitor","Polymer laminate"),IF(P218&lt;='Tree rules'!$C$7,"Seal cracks","Polymer laminate")),IF(O218&lt;='Tree rules'!$C$8,IF(M218&lt;='Tree rules'!$C$9,"Steel plate or jacket","Polymer laminate"),IF(L218&lt;='Tree rules'!$C$10,"Steel plate or jacket","Polymer laminate")))</f>
        <v>Seal cracks</v>
      </c>
      <c r="T218" s="5" t="str">
        <f aca="false">IF(S218=R218,"Yes","No")</f>
        <v>Yes</v>
      </c>
    </row>
    <row r="219" customFormat="false" ht="15" hidden="false" customHeight="false" outlineLevel="0" collapsed="false">
      <c r="A219" s="15" t="n">
        <v>686</v>
      </c>
      <c r="B219" s="16" t="n">
        <v>4.26838022618097</v>
      </c>
      <c r="C219" s="15" t="n">
        <v>230</v>
      </c>
      <c r="D219" s="15" t="n">
        <v>425</v>
      </c>
      <c r="E219" s="15" t="n">
        <v>25</v>
      </c>
      <c r="F219" s="16" t="n">
        <v>0.922619845496142</v>
      </c>
      <c r="G219" s="17" t="s">
        <v>89</v>
      </c>
      <c r="H219" s="18" t="n">
        <v>0.3</v>
      </c>
      <c r="I219" s="18" t="n">
        <v>1</v>
      </c>
      <c r="J219" s="19" t="n">
        <v>0.929007036039662</v>
      </c>
      <c r="K219" s="19" t="n">
        <v>0.507381302069046</v>
      </c>
      <c r="L219" s="16" t="n">
        <v>11.2622169556226</v>
      </c>
      <c r="M219" s="19" t="n">
        <v>0.383105668496666</v>
      </c>
      <c r="N219" s="19" t="n">
        <v>0.630940442040324</v>
      </c>
      <c r="O219" s="19" t="n">
        <v>0.929007036039662</v>
      </c>
      <c r="P219" s="19" t="n">
        <v>0.948437122666614</v>
      </c>
      <c r="Q219" s="17" t="s">
        <v>29</v>
      </c>
      <c r="R219" s="5" t="str">
        <f aca="false">IF(OR(Q219="Steel plate",Q219="Concrete jacket"),"Steel plate or jacket",Q219)</f>
        <v>Monitor</v>
      </c>
      <c r="S219" s="5" t="str">
        <f aca="false">IF(O219&lt;='Tree rules'!$C$4,IF(N219&lt;='Tree rules'!$C$5,IF(P219&lt;='Tree rules'!$C$6,"Monitor","Polymer laminate"),IF(P219&lt;='Tree rules'!$C$7,"Seal cracks","Polymer laminate")),IF(O219&lt;='Tree rules'!$C$8,IF(M219&lt;='Tree rules'!$C$9,"Steel plate or jacket","Polymer laminate"),IF(L219&lt;='Tree rules'!$C$10,"Steel plate or jacket","Polymer laminate")))</f>
        <v>Monitor</v>
      </c>
      <c r="T219" s="5" t="str">
        <f aca="false">IF(S219=R219,"Yes","No")</f>
        <v>Yes</v>
      </c>
    </row>
    <row r="220" customFormat="false" ht="15" hidden="false" customHeight="false" outlineLevel="0" collapsed="false">
      <c r="A220" s="15" t="n">
        <v>688</v>
      </c>
      <c r="B220" s="16" t="n">
        <v>5.07564000171578</v>
      </c>
      <c r="C220" s="15" t="n">
        <v>230</v>
      </c>
      <c r="D220" s="15" t="n">
        <v>450</v>
      </c>
      <c r="E220" s="15" t="n">
        <v>30</v>
      </c>
      <c r="F220" s="16" t="n">
        <v>0.649145274956135</v>
      </c>
      <c r="G220" s="17" t="s">
        <v>89</v>
      </c>
      <c r="H220" s="18" t="n">
        <v>0.3</v>
      </c>
      <c r="I220" s="18" t="n">
        <v>2</v>
      </c>
      <c r="J220" s="19" t="n">
        <v>0.954710881795782</v>
      </c>
      <c r="K220" s="19" t="n">
        <v>0.461365438302171</v>
      </c>
      <c r="L220" s="16" t="n">
        <v>12.5634653507816</v>
      </c>
      <c r="M220" s="19" t="n">
        <v>0.816153483378904</v>
      </c>
      <c r="N220" s="19" t="n">
        <v>1.04360360444328</v>
      </c>
      <c r="O220" s="19" t="n">
        <v>1.46895115916</v>
      </c>
      <c r="P220" s="19" t="n">
        <v>0.480514235843096</v>
      </c>
      <c r="Q220" s="17" t="s">
        <v>31</v>
      </c>
      <c r="R220" s="5" t="str">
        <f aca="false">IF(OR(Q220="Steel plate",Q220="Concrete jacket"),"Steel plate or jacket",Q220)</f>
        <v>Polymer laminate</v>
      </c>
      <c r="S220" s="5" t="str">
        <f aca="false">IF(O220&lt;='Tree rules'!$C$4,IF(N220&lt;='Tree rules'!$C$5,IF(P220&lt;='Tree rules'!$C$6,"Monitor","Polymer laminate"),IF(P220&lt;='Tree rules'!$C$7,"Seal cracks","Polymer laminate")),IF(O220&lt;='Tree rules'!$C$8,IF(M220&lt;='Tree rules'!$C$9,"Steel plate or jacket","Polymer laminate"),IF(L220&lt;='Tree rules'!$C$10,"Steel plate or jacket","Polymer laminate")))</f>
        <v>Steel plate or jacket</v>
      </c>
      <c r="T220" s="5" t="str">
        <f aca="false">IF(S220=R220,"Yes","No")</f>
        <v>No</v>
      </c>
    </row>
    <row r="221" customFormat="false" ht="15" hidden="false" customHeight="false" outlineLevel="0" collapsed="false">
      <c r="A221" s="15" t="n">
        <v>689</v>
      </c>
      <c r="B221" s="16" t="n">
        <v>4.47663737414656</v>
      </c>
      <c r="C221" s="15" t="n">
        <v>300</v>
      </c>
      <c r="D221" s="15" t="n">
        <v>375</v>
      </c>
      <c r="E221" s="15" t="n">
        <v>30</v>
      </c>
      <c r="F221" s="16" t="n">
        <v>0.59650493422591</v>
      </c>
      <c r="G221" s="17" t="s">
        <v>90</v>
      </c>
      <c r="H221" s="18" t="n">
        <v>0.1</v>
      </c>
      <c r="I221" s="18" t="n">
        <v>2</v>
      </c>
      <c r="J221" s="19" t="n">
        <v>0.947606013283863</v>
      </c>
      <c r="K221" s="19" t="n">
        <v>0.503669897093878</v>
      </c>
      <c r="L221" s="16" t="n">
        <v>14.1665739688182</v>
      </c>
      <c r="M221" s="19" t="n">
        <v>0.653479891700788</v>
      </c>
      <c r="N221" s="19" t="n">
        <v>3.90623663002622</v>
      </c>
      <c r="O221" s="19" t="n">
        <v>1.4179314033715</v>
      </c>
      <c r="P221" s="19" t="n">
        <v>0.521302816427885</v>
      </c>
      <c r="Q221" s="17" t="s">
        <v>31</v>
      </c>
      <c r="R221" s="5" t="str">
        <f aca="false">IF(OR(Q221="Steel plate",Q221="Concrete jacket"),"Steel plate or jacket",Q221)</f>
        <v>Polymer laminate</v>
      </c>
      <c r="S221" s="5" t="str">
        <f aca="false">IF(O221&lt;='Tree rules'!$C$4,IF(N221&lt;='Tree rules'!$C$5,IF(P221&lt;='Tree rules'!$C$6,"Monitor","Polymer laminate"),IF(P221&lt;='Tree rules'!$C$7,"Seal cracks","Polymer laminate")),IF(O221&lt;='Tree rules'!$C$8,IF(M221&lt;='Tree rules'!$C$9,"Steel plate or jacket","Polymer laminate"),IF(L221&lt;='Tree rules'!$C$10,"Steel plate or jacket","Polymer laminate")))</f>
        <v>Polymer laminate</v>
      </c>
      <c r="T221" s="5" t="str">
        <f aca="false">IF(S221=R221,"Yes","No")</f>
        <v>Yes</v>
      </c>
    </row>
    <row r="222" customFormat="false" ht="15" hidden="false" customHeight="false" outlineLevel="0" collapsed="false">
      <c r="A222" s="15" t="n">
        <v>691</v>
      </c>
      <c r="B222" s="16" t="n">
        <v>4.95638430949467</v>
      </c>
      <c r="C222" s="15" t="n">
        <v>300</v>
      </c>
      <c r="D222" s="15" t="n">
        <v>425</v>
      </c>
      <c r="E222" s="15" t="n">
        <v>25</v>
      </c>
      <c r="F222" s="16" t="n">
        <v>0.707341881547042</v>
      </c>
      <c r="G222" s="17" t="s">
        <v>91</v>
      </c>
      <c r="H222" s="18" t="n">
        <v>0.2</v>
      </c>
      <c r="I222" s="18" t="n">
        <v>2</v>
      </c>
      <c r="J222" s="19" t="n">
        <v>0.892036913077604</v>
      </c>
      <c r="K222" s="19" t="n">
        <v>0.607176362739983</v>
      </c>
      <c r="L222" s="16" t="n">
        <v>13.0775311596165</v>
      </c>
      <c r="M222" s="19" t="n">
        <v>0.896534706996182</v>
      </c>
      <c r="N222" s="19" t="n">
        <v>1.28202548615093</v>
      </c>
      <c r="O222" s="19" t="n">
        <v>1.24245009784295</v>
      </c>
      <c r="P222" s="19" t="n">
        <v>0.5051174781131</v>
      </c>
      <c r="Q222" s="17" t="s">
        <v>31</v>
      </c>
      <c r="R222" s="5" t="str">
        <f aca="false">IF(OR(Q222="Steel plate",Q222="Concrete jacket"),"Steel plate or jacket",Q222)</f>
        <v>Polymer laminate</v>
      </c>
      <c r="S222" s="5" t="str">
        <f aca="false">IF(O222&lt;='Tree rules'!$C$4,IF(N222&lt;='Tree rules'!$C$5,IF(P222&lt;='Tree rules'!$C$6,"Monitor","Polymer laminate"),IF(P222&lt;='Tree rules'!$C$7,"Seal cracks","Polymer laminate")),IF(O222&lt;='Tree rules'!$C$8,IF(M222&lt;='Tree rules'!$C$9,"Steel plate or jacket","Polymer laminate"),IF(L222&lt;='Tree rules'!$C$10,"Steel plate or jacket","Polymer laminate")))</f>
        <v>Polymer laminate</v>
      </c>
      <c r="T222" s="5" t="str">
        <f aca="false">IF(S222=R222,"Yes","No")</f>
        <v>Yes</v>
      </c>
    </row>
    <row r="223" customFormat="false" ht="15" hidden="false" customHeight="false" outlineLevel="0" collapsed="false">
      <c r="A223" s="15" t="n">
        <v>701</v>
      </c>
      <c r="B223" s="16" t="n">
        <v>4.49122679003526</v>
      </c>
      <c r="C223" s="15" t="n">
        <v>300</v>
      </c>
      <c r="D223" s="15" t="n">
        <v>400</v>
      </c>
      <c r="E223" s="15" t="n">
        <v>25</v>
      </c>
      <c r="F223" s="16" t="n">
        <v>0.757295404255167</v>
      </c>
      <c r="G223" s="17" t="s">
        <v>91</v>
      </c>
      <c r="H223" s="18" t="n">
        <v>0.2</v>
      </c>
      <c r="I223" s="18" t="n">
        <v>1.5</v>
      </c>
      <c r="J223" s="19" t="n">
        <v>0.879359199207493</v>
      </c>
      <c r="K223" s="19" t="n">
        <v>0.447013425846189</v>
      </c>
      <c r="L223" s="16" t="n">
        <v>12.6870813277832</v>
      </c>
      <c r="M223" s="19" t="n">
        <v>0.953960209243579</v>
      </c>
      <c r="N223" s="19" t="n">
        <v>1.14165989451231</v>
      </c>
      <c r="O223" s="19" t="n">
        <v>1.12249611471769</v>
      </c>
      <c r="P223" s="19" t="n">
        <v>0.407003578983091</v>
      </c>
      <c r="Q223" s="17" t="s">
        <v>31</v>
      </c>
      <c r="R223" s="5" t="str">
        <f aca="false">IF(OR(Q223="Steel plate",Q223="Concrete jacket"),"Steel plate or jacket",Q223)</f>
        <v>Polymer laminate</v>
      </c>
      <c r="S223" s="5" t="str">
        <f aca="false">IF(O223&lt;='Tree rules'!$C$4,IF(N223&lt;='Tree rules'!$C$5,IF(P223&lt;='Tree rules'!$C$6,"Monitor","Polymer laminate"),IF(P223&lt;='Tree rules'!$C$7,"Seal cracks","Polymer laminate")),IF(O223&lt;='Tree rules'!$C$8,IF(M223&lt;='Tree rules'!$C$9,"Steel plate or jacket","Polymer laminate"),IF(L223&lt;='Tree rules'!$C$10,"Steel plate or jacket","Polymer laminate")))</f>
        <v>Polymer laminate</v>
      </c>
      <c r="T223" s="5" t="str">
        <f aca="false">IF(S223=R223,"Yes","No")</f>
        <v>Yes</v>
      </c>
    </row>
    <row r="224" customFormat="false" ht="15" hidden="false" customHeight="false" outlineLevel="0" collapsed="false">
      <c r="A224" s="15" t="n">
        <v>712</v>
      </c>
      <c r="B224" s="16" t="n">
        <v>5.18318388355656</v>
      </c>
      <c r="C224" s="15" t="n">
        <v>300</v>
      </c>
      <c r="D224" s="15" t="n">
        <v>475</v>
      </c>
      <c r="E224" s="15" t="n">
        <v>20</v>
      </c>
      <c r="F224" s="16" t="n">
        <v>0.735735984447258</v>
      </c>
      <c r="G224" s="17" t="s">
        <v>89</v>
      </c>
      <c r="H224" s="18" t="n">
        <v>0.3</v>
      </c>
      <c r="I224" s="18" t="n">
        <v>2</v>
      </c>
      <c r="J224" s="19" t="n">
        <v>0.895326572763426</v>
      </c>
      <c r="K224" s="19" t="n">
        <v>0.521948807181563</v>
      </c>
      <c r="L224" s="16" t="n">
        <v>12.1386039427554</v>
      </c>
      <c r="M224" s="19" t="n">
        <v>0.741454684086841</v>
      </c>
      <c r="N224" s="19" t="n">
        <v>1.05160590151766</v>
      </c>
      <c r="O224" s="19" t="n">
        <v>1.32333850883503</v>
      </c>
      <c r="P224" s="19" t="n">
        <v>0.616180173208619</v>
      </c>
      <c r="Q224" s="17" t="s">
        <v>31</v>
      </c>
      <c r="R224" s="5" t="str">
        <f aca="false">IF(OR(Q224="Steel plate",Q224="Concrete jacket"),"Steel plate or jacket",Q224)</f>
        <v>Polymer laminate</v>
      </c>
      <c r="S224" s="5" t="str">
        <f aca="false">IF(O224&lt;='Tree rules'!$C$4,IF(N224&lt;='Tree rules'!$C$5,IF(P224&lt;='Tree rules'!$C$6,"Monitor","Polymer laminate"),IF(P224&lt;='Tree rules'!$C$7,"Seal cracks","Polymer laminate")),IF(O224&lt;='Tree rules'!$C$8,IF(M224&lt;='Tree rules'!$C$9,"Steel plate or jacket","Polymer laminate"),IF(L224&lt;='Tree rules'!$C$10,"Steel plate or jacket","Polymer laminate")))</f>
        <v>Steel plate or jacket</v>
      </c>
      <c r="T224" s="5" t="str">
        <f aca="false">IF(S224=R224,"Yes","No")</f>
        <v>No</v>
      </c>
    </row>
    <row r="225" customFormat="false" ht="15" hidden="false" customHeight="false" outlineLevel="0" collapsed="false">
      <c r="A225" s="15" t="n">
        <v>714</v>
      </c>
      <c r="B225" s="16" t="n">
        <v>4.92745343213243</v>
      </c>
      <c r="C225" s="15" t="n">
        <v>300</v>
      </c>
      <c r="D225" s="15" t="n">
        <v>475</v>
      </c>
      <c r="E225" s="15" t="n">
        <v>25</v>
      </c>
      <c r="F225" s="16" t="n">
        <v>0.735735984447258</v>
      </c>
      <c r="G225" s="17" t="s">
        <v>89</v>
      </c>
      <c r="H225" s="18" t="n">
        <v>0.3</v>
      </c>
      <c r="I225" s="18" t="n">
        <v>2</v>
      </c>
      <c r="J225" s="19" t="n">
        <v>0.865921109267169</v>
      </c>
      <c r="K225" s="19" t="n">
        <v>0.402748343902593</v>
      </c>
      <c r="L225" s="16" t="n">
        <v>11.5397035881322</v>
      </c>
      <c r="M225" s="19" t="n">
        <v>0.388638134561102</v>
      </c>
      <c r="N225" s="19" t="n">
        <v>1.18917437455236</v>
      </c>
      <c r="O225" s="19" t="n">
        <v>1.38309392582669</v>
      </c>
      <c r="P225" s="19" t="n">
        <v>0.943157078204933</v>
      </c>
      <c r="Q225" s="17" t="s">
        <v>31</v>
      </c>
      <c r="R225" s="5" t="str">
        <f aca="false">IF(OR(Q225="Steel plate",Q225="Concrete jacket"),"Steel plate or jacket",Q225)</f>
        <v>Polymer laminate</v>
      </c>
      <c r="S225" s="5" t="str">
        <f aca="false">IF(O225&lt;='Tree rules'!$C$4,IF(N225&lt;='Tree rules'!$C$5,IF(P225&lt;='Tree rules'!$C$6,"Monitor","Polymer laminate"),IF(P225&lt;='Tree rules'!$C$7,"Seal cracks","Polymer laminate")),IF(O225&lt;='Tree rules'!$C$8,IF(M225&lt;='Tree rules'!$C$9,"Steel plate or jacket","Polymer laminate"),IF(L225&lt;='Tree rules'!$C$10,"Steel plate or jacket","Polymer laminate")))</f>
        <v>Steel plate or jacket</v>
      </c>
      <c r="T225" s="5" t="str">
        <f aca="false">IF(S225=R225,"Yes","No")</f>
        <v>No</v>
      </c>
    </row>
    <row r="226" customFormat="false" ht="15" hidden="false" customHeight="false" outlineLevel="0" collapsed="false">
      <c r="A226" s="15" t="n">
        <v>716</v>
      </c>
      <c r="B226" s="16" t="n">
        <v>5.65544606062058</v>
      </c>
      <c r="C226" s="15" t="n">
        <v>300</v>
      </c>
      <c r="D226" s="15" t="n">
        <v>500</v>
      </c>
      <c r="E226" s="15" t="n">
        <v>30</v>
      </c>
      <c r="F226" s="16" t="n">
        <v>0.695042622475618</v>
      </c>
      <c r="G226" s="17" t="s">
        <v>89</v>
      </c>
      <c r="H226" s="18" t="n">
        <v>0.3</v>
      </c>
      <c r="I226" s="18" t="n">
        <v>1.5</v>
      </c>
      <c r="J226" s="19" t="n">
        <v>0.987467563048451</v>
      </c>
      <c r="K226" s="19" t="n">
        <v>0.49148411031956</v>
      </c>
      <c r="L226" s="16" t="n">
        <v>12.5120488066827</v>
      </c>
      <c r="M226" s="19" t="n">
        <v>0.770403021482697</v>
      </c>
      <c r="N226" s="19" t="n">
        <v>1.00762507646189</v>
      </c>
      <c r="O226" s="19" t="n">
        <v>1.23853903622553</v>
      </c>
      <c r="P226" s="19" t="n">
        <v>0.513983017093337</v>
      </c>
      <c r="Q226" s="17" t="s">
        <v>31</v>
      </c>
      <c r="R226" s="5" t="str">
        <f aca="false">IF(OR(Q226="Steel plate",Q226="Concrete jacket"),"Steel plate or jacket",Q226)</f>
        <v>Polymer laminate</v>
      </c>
      <c r="S226" s="5" t="str">
        <f aca="false">IF(O226&lt;='Tree rules'!$C$4,IF(N226&lt;='Tree rules'!$C$5,IF(P226&lt;='Tree rules'!$C$6,"Monitor","Polymer laminate"),IF(P226&lt;='Tree rules'!$C$7,"Seal cracks","Polymer laminate")),IF(O226&lt;='Tree rules'!$C$8,IF(M226&lt;='Tree rules'!$C$9,"Steel plate or jacket","Polymer laminate"),IF(L226&lt;='Tree rules'!$C$10,"Steel plate or jacket","Polymer laminate")))</f>
        <v>Polymer laminate</v>
      </c>
      <c r="T226" s="5" t="str">
        <f aca="false">IF(S226=R226,"Yes","No")</f>
        <v>Yes</v>
      </c>
    </row>
    <row r="227" customFormat="false" ht="15" hidden="false" customHeight="false" outlineLevel="0" collapsed="false">
      <c r="A227" s="15" t="n">
        <v>721</v>
      </c>
      <c r="B227" s="16" t="n">
        <v>6.07217106486717</v>
      </c>
      <c r="C227" s="15" t="n">
        <v>230</v>
      </c>
      <c r="D227" s="15" t="n">
        <v>575</v>
      </c>
      <c r="E227" s="15" t="n">
        <v>25</v>
      </c>
      <c r="F227" s="16" t="n">
        <v>0.661007412935799</v>
      </c>
      <c r="G227" s="17" t="s">
        <v>91</v>
      </c>
      <c r="H227" s="18" t="n">
        <v>0.2</v>
      </c>
      <c r="I227" s="18" t="n">
        <v>1.5</v>
      </c>
      <c r="J227" s="19" t="n">
        <v>0.862805601135229</v>
      </c>
      <c r="K227" s="19" t="n">
        <v>0.491108670829763</v>
      </c>
      <c r="L227" s="16" t="n">
        <v>11.4785842436052</v>
      </c>
      <c r="M227" s="19" t="n">
        <v>0.893238520192937</v>
      </c>
      <c r="N227" s="19" t="n">
        <v>0.971713524303614</v>
      </c>
      <c r="O227" s="19" t="n">
        <v>1.08234274572385</v>
      </c>
      <c r="P227" s="19" t="n">
        <v>0.389515329445888</v>
      </c>
      <c r="Q227" s="17" t="s">
        <v>31</v>
      </c>
      <c r="R227" s="5" t="str">
        <f aca="false">IF(OR(Q227="Steel plate",Q227="Concrete jacket"),"Steel plate or jacket",Q227)</f>
        <v>Polymer laminate</v>
      </c>
      <c r="S227" s="5" t="str">
        <f aca="false">IF(O227&lt;='Tree rules'!$C$4,IF(N227&lt;='Tree rules'!$C$5,IF(P227&lt;='Tree rules'!$C$6,"Monitor","Polymer laminate"),IF(P227&lt;='Tree rules'!$C$7,"Seal cracks","Polymer laminate")),IF(O227&lt;='Tree rules'!$C$8,IF(M227&lt;='Tree rules'!$C$9,"Steel plate or jacket","Polymer laminate"),IF(L227&lt;='Tree rules'!$C$10,"Steel plate or jacket","Polymer laminate")))</f>
        <v>Polymer laminate</v>
      </c>
      <c r="T227" s="5" t="str">
        <f aca="false">IF(S227=R227,"Yes","No")</f>
        <v>Yes</v>
      </c>
    </row>
    <row r="228" customFormat="false" ht="15" hidden="false" customHeight="false" outlineLevel="0" collapsed="false">
      <c r="A228" s="15" t="n">
        <v>725</v>
      </c>
      <c r="B228" s="16" t="n">
        <v>4.60052056340551</v>
      </c>
      <c r="C228" s="15" t="n">
        <v>300</v>
      </c>
      <c r="D228" s="15" t="n">
        <v>425</v>
      </c>
      <c r="E228" s="15" t="n">
        <v>30</v>
      </c>
      <c r="F228" s="16" t="n">
        <v>0.707341881547042</v>
      </c>
      <c r="G228" s="17" t="s">
        <v>89</v>
      </c>
      <c r="H228" s="18" t="n">
        <v>0.3</v>
      </c>
      <c r="I228" s="18" t="n">
        <v>1</v>
      </c>
      <c r="J228" s="19" t="n">
        <v>0.925986973604883</v>
      </c>
      <c r="K228" s="19" t="n">
        <v>0.574619086216361</v>
      </c>
      <c r="L228" s="16" t="n">
        <v>12.1385766844472</v>
      </c>
      <c r="M228" s="19" t="n">
        <v>0.312997954922824</v>
      </c>
      <c r="N228" s="19" t="n">
        <v>0.708148849027863</v>
      </c>
      <c r="O228" s="19" t="n">
        <v>0.925986973604883</v>
      </c>
      <c r="P228" s="19" t="n">
        <v>0.996184896490031</v>
      </c>
      <c r="Q228" s="17" t="s">
        <v>29</v>
      </c>
      <c r="R228" s="5" t="str">
        <f aca="false">IF(OR(Q228="Steel plate",Q228="Concrete jacket"),"Steel plate or jacket",Q228)</f>
        <v>Monitor</v>
      </c>
      <c r="S228" s="5" t="str">
        <f aca="false">IF(O228&lt;='Tree rules'!$C$4,IF(N228&lt;='Tree rules'!$C$5,IF(P228&lt;='Tree rules'!$C$6,"Monitor","Polymer laminate"),IF(P228&lt;='Tree rules'!$C$7,"Seal cracks","Polymer laminate")),IF(O228&lt;='Tree rules'!$C$8,IF(M228&lt;='Tree rules'!$C$9,"Steel plate or jacket","Polymer laminate"),IF(L228&lt;='Tree rules'!$C$10,"Steel plate or jacket","Polymer laminate")))</f>
        <v>Polymer laminate</v>
      </c>
      <c r="T228" s="5" t="str">
        <f aca="false">IF(S228=R228,"Yes","No")</f>
        <v>No</v>
      </c>
    </row>
    <row r="229" customFormat="false" ht="15" hidden="false" customHeight="false" outlineLevel="0" collapsed="false">
      <c r="A229" s="15" t="n">
        <v>727</v>
      </c>
      <c r="B229" s="16" t="n">
        <v>7.56202661468448</v>
      </c>
      <c r="C229" s="15" t="n">
        <v>300</v>
      </c>
      <c r="D229" s="15" t="n">
        <v>600</v>
      </c>
      <c r="E229" s="15" t="n">
        <v>30</v>
      </c>
      <c r="F229" s="16" t="n">
        <v>0.725855342345656</v>
      </c>
      <c r="G229" s="17" t="s">
        <v>89</v>
      </c>
      <c r="H229" s="18" t="n">
        <v>0.3</v>
      </c>
      <c r="I229" s="18" t="n">
        <v>1.5</v>
      </c>
      <c r="J229" s="19" t="n">
        <v>0.856709535130449</v>
      </c>
      <c r="K229" s="19" t="n">
        <v>0.461901503653222</v>
      </c>
      <c r="L229" s="16" t="n">
        <v>13.6498675355315</v>
      </c>
      <c r="M229" s="19" t="n">
        <v>0.317415569073473</v>
      </c>
      <c r="N229" s="19" t="n">
        <v>0.719305272502769</v>
      </c>
      <c r="O229" s="19" t="n">
        <v>1.08720659146027</v>
      </c>
      <c r="P229" s="19" t="n">
        <v>1.20498137956345</v>
      </c>
      <c r="Q229" s="17" t="s">
        <v>92</v>
      </c>
      <c r="R229" s="5" t="str">
        <f aca="false">IF(OR(Q229="Steel plate",Q229="Concrete jacket"),"Steel plate or jacket",Q229)</f>
        <v>Steel plate or jacket</v>
      </c>
      <c r="S229" s="5" t="str">
        <f aca="false">IF(O229&lt;='Tree rules'!$C$4,IF(N229&lt;='Tree rules'!$C$5,IF(P229&lt;='Tree rules'!$C$6,"Monitor","Polymer laminate"),IF(P229&lt;='Tree rules'!$C$7,"Seal cracks","Polymer laminate")),IF(O229&lt;='Tree rules'!$C$8,IF(M229&lt;='Tree rules'!$C$9,"Steel plate or jacket","Polymer laminate"),IF(L229&lt;='Tree rules'!$C$10,"Steel plate or jacket","Polymer laminate")))</f>
        <v>Polymer laminate</v>
      </c>
      <c r="T229" s="5" t="str">
        <f aca="false">IF(S229=R229,"Yes","No")</f>
        <v>No</v>
      </c>
    </row>
    <row r="230" customFormat="false" ht="15" hidden="false" customHeight="false" outlineLevel="0" collapsed="false">
      <c r="A230" s="15" t="n">
        <v>734</v>
      </c>
      <c r="B230" s="16" t="n">
        <v>6.57138041755154</v>
      </c>
      <c r="C230" s="15" t="n">
        <v>230</v>
      </c>
      <c r="D230" s="15" t="n">
        <v>550</v>
      </c>
      <c r="E230" s="15" t="n">
        <v>30</v>
      </c>
      <c r="F230" s="16" t="n">
        <v>0.693795479053647</v>
      </c>
      <c r="G230" s="17" t="s">
        <v>91</v>
      </c>
      <c r="H230" s="18" t="n">
        <v>0.2</v>
      </c>
      <c r="I230" s="18" t="n">
        <v>2</v>
      </c>
      <c r="J230" s="19" t="n">
        <v>0.89656743419595</v>
      </c>
      <c r="K230" s="19" t="n">
        <v>0.608854696305491</v>
      </c>
      <c r="L230" s="16" t="n">
        <v>13.0384532094277</v>
      </c>
      <c r="M230" s="19" t="n">
        <v>0.58522904578185</v>
      </c>
      <c r="N230" s="19" t="n">
        <v>1.22357685432068</v>
      </c>
      <c r="O230" s="19" t="n">
        <v>1.24725557552713</v>
      </c>
      <c r="P230" s="19" t="n">
        <v>0.744469551458561</v>
      </c>
      <c r="Q230" s="17" t="s">
        <v>31</v>
      </c>
      <c r="R230" s="5" t="str">
        <f aca="false">IF(OR(Q230="Steel plate",Q230="Concrete jacket"),"Steel plate or jacket",Q230)</f>
        <v>Polymer laminate</v>
      </c>
      <c r="S230" s="5" t="str">
        <f aca="false">IF(O230&lt;='Tree rules'!$C$4,IF(N230&lt;='Tree rules'!$C$5,IF(P230&lt;='Tree rules'!$C$6,"Monitor","Polymer laminate"),IF(P230&lt;='Tree rules'!$C$7,"Seal cracks","Polymer laminate")),IF(O230&lt;='Tree rules'!$C$8,IF(M230&lt;='Tree rules'!$C$9,"Steel plate or jacket","Polymer laminate"),IF(L230&lt;='Tree rules'!$C$10,"Steel plate or jacket","Polymer laminate")))</f>
        <v>Polymer laminate</v>
      </c>
      <c r="T230" s="5" t="str">
        <f aca="false">IF(S230=R230,"Yes","No")</f>
        <v>Yes</v>
      </c>
    </row>
    <row r="231" customFormat="false" ht="15" hidden="false" customHeight="false" outlineLevel="0" collapsed="false">
      <c r="A231" s="15" t="n">
        <v>736</v>
      </c>
      <c r="B231" s="16" t="n">
        <v>4.71935410570169</v>
      </c>
      <c r="C231" s="15" t="n">
        <v>300</v>
      </c>
      <c r="D231" s="15" t="n">
        <v>375</v>
      </c>
      <c r="E231" s="15" t="n">
        <v>30</v>
      </c>
      <c r="F231" s="16" t="n">
        <v>0.671280481536281</v>
      </c>
      <c r="G231" s="17" t="s">
        <v>90</v>
      </c>
      <c r="H231" s="18" t="n">
        <v>0.1</v>
      </c>
      <c r="I231" s="18" t="n">
        <v>1</v>
      </c>
      <c r="J231" s="19" t="n">
        <v>0.961081961421301</v>
      </c>
      <c r="K231" s="19" t="n">
        <v>0.590917709189263</v>
      </c>
      <c r="L231" s="16" t="n">
        <v>15.1261349541721</v>
      </c>
      <c r="M231" s="19" t="n">
        <v>0.732239835134775</v>
      </c>
      <c r="N231" s="19" t="n">
        <v>3.44043620115306</v>
      </c>
      <c r="O231" s="19" t="n">
        <v>0.961081961421301</v>
      </c>
      <c r="P231" s="19" t="n">
        <v>0.467993578888325</v>
      </c>
      <c r="Q231" s="17" t="s">
        <v>30</v>
      </c>
      <c r="R231" s="5" t="str">
        <f aca="false">IF(OR(Q231="Steel plate",Q231="Concrete jacket"),"Steel plate or jacket",Q231)</f>
        <v>Seal cracks</v>
      </c>
      <c r="S231" s="5" t="str">
        <f aca="false">IF(O231&lt;='Tree rules'!$C$4,IF(N231&lt;='Tree rules'!$C$5,IF(P231&lt;='Tree rules'!$C$6,"Monitor","Polymer laminate"),IF(P231&lt;='Tree rules'!$C$7,"Seal cracks","Polymer laminate")),IF(O231&lt;='Tree rules'!$C$8,IF(M231&lt;='Tree rules'!$C$9,"Steel plate or jacket","Polymer laminate"),IF(L231&lt;='Tree rules'!$C$10,"Steel plate or jacket","Polymer laminate")))</f>
        <v>Seal cracks</v>
      </c>
      <c r="T231" s="5" t="str">
        <f aca="false">IF(S231=R231,"Yes","No")</f>
        <v>Yes</v>
      </c>
    </row>
    <row r="232" customFormat="false" ht="15" hidden="false" customHeight="false" outlineLevel="0" collapsed="false">
      <c r="A232" s="15" t="n">
        <v>739</v>
      </c>
      <c r="B232" s="16" t="n">
        <v>4.02626839566271</v>
      </c>
      <c r="C232" s="15" t="n">
        <v>300</v>
      </c>
      <c r="D232" s="15" t="n">
        <v>375</v>
      </c>
      <c r="E232" s="15" t="n">
        <v>30</v>
      </c>
      <c r="F232" s="16" t="n">
        <v>0.960731698345503</v>
      </c>
      <c r="G232" s="17" t="s">
        <v>89</v>
      </c>
      <c r="H232" s="18" t="n">
        <v>0.3</v>
      </c>
      <c r="I232" s="18" t="n">
        <v>1</v>
      </c>
      <c r="J232" s="19" t="n">
        <v>0.878393829349424</v>
      </c>
      <c r="K232" s="19" t="n">
        <v>0.567693456366604</v>
      </c>
      <c r="L232" s="16" t="n">
        <v>12.3127473873478</v>
      </c>
      <c r="M232" s="19" t="n">
        <v>0.584848213396471</v>
      </c>
      <c r="N232" s="19" t="n">
        <v>0.732084908690326</v>
      </c>
      <c r="O232" s="19" t="n">
        <v>0.878393829349424</v>
      </c>
      <c r="P232" s="19" t="n">
        <v>0.644406084144996</v>
      </c>
      <c r="Q232" s="17" t="s">
        <v>29</v>
      </c>
      <c r="R232" s="5" t="str">
        <f aca="false">IF(OR(Q232="Steel plate",Q232="Concrete jacket"),"Steel plate or jacket",Q232)</f>
        <v>Monitor</v>
      </c>
      <c r="S232" s="5" t="str">
        <f aca="false">IF(O232&lt;='Tree rules'!$C$4,IF(N232&lt;='Tree rules'!$C$5,IF(P232&lt;='Tree rules'!$C$6,"Monitor","Polymer laminate"),IF(P232&lt;='Tree rules'!$C$7,"Seal cracks","Polymer laminate")),IF(O232&lt;='Tree rules'!$C$8,IF(M232&lt;='Tree rules'!$C$9,"Steel plate or jacket","Polymer laminate"),IF(L232&lt;='Tree rules'!$C$10,"Steel plate or jacket","Polymer laminate")))</f>
        <v>Monitor</v>
      </c>
      <c r="T232" s="5" t="str">
        <f aca="false">IF(S232=R232,"Yes","No")</f>
        <v>Yes</v>
      </c>
    </row>
    <row r="233" customFormat="false" ht="15" hidden="false" customHeight="false" outlineLevel="0" collapsed="false">
      <c r="A233" s="15" t="n">
        <v>747</v>
      </c>
      <c r="B233" s="16" t="n">
        <v>3.8872513084563</v>
      </c>
      <c r="C233" s="15" t="n">
        <v>230</v>
      </c>
      <c r="D233" s="15" t="n">
        <v>375</v>
      </c>
      <c r="E233" s="15" t="n">
        <v>25</v>
      </c>
      <c r="F233" s="16" t="n">
        <v>0.594232683721175</v>
      </c>
      <c r="G233" s="17" t="s">
        <v>89</v>
      </c>
      <c r="H233" s="18" t="n">
        <v>0.3</v>
      </c>
      <c r="I233" s="18" t="n">
        <v>1</v>
      </c>
      <c r="J233" s="19" t="n">
        <v>0.894326304166815</v>
      </c>
      <c r="K233" s="19" t="n">
        <v>0.465718370119842</v>
      </c>
      <c r="L233" s="16" t="n">
        <v>11.7439616569677</v>
      </c>
      <c r="M233" s="19" t="n">
        <v>0.888670696107728</v>
      </c>
      <c r="N233" s="19" t="n">
        <v>0.528183161443048</v>
      </c>
      <c r="O233" s="19" t="n">
        <v>0.894326304166815</v>
      </c>
      <c r="P233" s="19" t="n">
        <v>0.288200693686892</v>
      </c>
      <c r="Q233" s="17" t="s">
        <v>29</v>
      </c>
      <c r="R233" s="5" t="str">
        <f aca="false">IF(OR(Q233="Steel plate",Q233="Concrete jacket"),"Steel plate or jacket",Q233)</f>
        <v>Monitor</v>
      </c>
      <c r="S233" s="5" t="str">
        <f aca="false">IF(O233&lt;='Tree rules'!$C$4,IF(N233&lt;='Tree rules'!$C$5,IF(P233&lt;='Tree rules'!$C$6,"Monitor","Polymer laminate"),IF(P233&lt;='Tree rules'!$C$7,"Seal cracks","Polymer laminate")),IF(O233&lt;='Tree rules'!$C$8,IF(M233&lt;='Tree rules'!$C$9,"Steel plate or jacket","Polymer laminate"),IF(L233&lt;='Tree rules'!$C$10,"Steel plate or jacket","Polymer laminate")))</f>
        <v>Monitor</v>
      </c>
      <c r="T233" s="5" t="str">
        <f aca="false">IF(S233=R233,"Yes","No")</f>
        <v>Yes</v>
      </c>
    </row>
    <row r="234" customFormat="false" ht="15" hidden="false" customHeight="false" outlineLevel="0" collapsed="false">
      <c r="A234" s="15" t="n">
        <v>748</v>
      </c>
      <c r="B234" s="16" t="n">
        <v>3.29198352026145</v>
      </c>
      <c r="C234" s="15" t="n">
        <v>300</v>
      </c>
      <c r="D234" s="15" t="n">
        <v>300</v>
      </c>
      <c r="E234" s="15" t="n">
        <v>30</v>
      </c>
      <c r="F234" s="16" t="n">
        <v>0.831109167616348</v>
      </c>
      <c r="G234" s="17" t="s">
        <v>91</v>
      </c>
      <c r="H234" s="18" t="n">
        <v>0.2</v>
      </c>
      <c r="I234" s="18" t="n">
        <v>1</v>
      </c>
      <c r="J234" s="19" t="n">
        <v>0.903072727455773</v>
      </c>
      <c r="K234" s="19" t="n">
        <v>0.524128336173787</v>
      </c>
      <c r="L234" s="16" t="n">
        <v>13.0634266677042</v>
      </c>
      <c r="M234" s="19" t="n">
        <v>0.469142524675146</v>
      </c>
      <c r="N234" s="19" t="n">
        <v>1.51273520521785</v>
      </c>
      <c r="O234" s="19" t="n">
        <v>0.903072727455773</v>
      </c>
      <c r="P234" s="19" t="n">
        <v>0.662989664010776</v>
      </c>
      <c r="Q234" s="17" t="s">
        <v>30</v>
      </c>
      <c r="R234" s="5" t="str">
        <f aca="false">IF(OR(Q234="Steel plate",Q234="Concrete jacket"),"Steel plate or jacket",Q234)</f>
        <v>Seal cracks</v>
      </c>
      <c r="S234" s="5" t="str">
        <f aca="false">IF(O234&lt;='Tree rules'!$C$4,IF(N234&lt;='Tree rules'!$C$5,IF(P234&lt;='Tree rules'!$C$6,"Monitor","Polymer laminate"),IF(P234&lt;='Tree rules'!$C$7,"Seal cracks","Polymer laminate")),IF(O234&lt;='Tree rules'!$C$8,IF(M234&lt;='Tree rules'!$C$9,"Steel plate or jacket","Polymer laminate"),IF(L234&lt;='Tree rules'!$C$10,"Steel plate or jacket","Polymer laminate")))</f>
        <v>Seal cracks</v>
      </c>
      <c r="T234" s="5" t="str">
        <f aca="false">IF(S234=R234,"Yes","No")</f>
        <v>Yes</v>
      </c>
    </row>
    <row r="235" customFormat="false" ht="15" hidden="false" customHeight="false" outlineLevel="0" collapsed="false">
      <c r="A235" s="15" t="n">
        <v>749</v>
      </c>
      <c r="B235" s="16" t="n">
        <v>3.76543557591581</v>
      </c>
      <c r="C235" s="15" t="n">
        <v>230</v>
      </c>
      <c r="D235" s="15" t="n">
        <v>325</v>
      </c>
      <c r="E235" s="15" t="n">
        <v>25</v>
      </c>
      <c r="F235" s="16" t="n">
        <v>0.626653981080713</v>
      </c>
      <c r="G235" s="17" t="s">
        <v>89</v>
      </c>
      <c r="H235" s="18" t="n">
        <v>0.3</v>
      </c>
      <c r="I235" s="18" t="n">
        <v>2</v>
      </c>
      <c r="J235" s="19" t="n">
        <v>0.872250345176258</v>
      </c>
      <c r="K235" s="19" t="n">
        <v>0.543863419577694</v>
      </c>
      <c r="L235" s="16" t="n">
        <v>13.4961848599133</v>
      </c>
      <c r="M235" s="19" t="n">
        <v>0.642178745238659</v>
      </c>
      <c r="N235" s="19" t="n">
        <v>1.18324828001234</v>
      </c>
      <c r="O235" s="19" t="n">
        <v>1.27011563489713</v>
      </c>
      <c r="P235" s="19" t="n">
        <v>0.541984467116915</v>
      </c>
      <c r="Q235" s="17" t="s">
        <v>31</v>
      </c>
      <c r="R235" s="5" t="str">
        <f aca="false">IF(OR(Q235="Steel plate",Q235="Concrete jacket"),"Steel plate or jacket",Q235)</f>
        <v>Polymer laminate</v>
      </c>
      <c r="S235" s="5" t="str">
        <f aca="false">IF(O235&lt;='Tree rules'!$C$4,IF(N235&lt;='Tree rules'!$C$5,IF(P235&lt;='Tree rules'!$C$6,"Monitor","Polymer laminate"),IF(P235&lt;='Tree rules'!$C$7,"Seal cracks","Polymer laminate")),IF(O235&lt;='Tree rules'!$C$8,IF(M235&lt;='Tree rules'!$C$9,"Steel plate or jacket","Polymer laminate"),IF(L235&lt;='Tree rules'!$C$10,"Steel plate or jacket","Polymer laminate")))</f>
        <v>Polymer laminate</v>
      </c>
      <c r="T235" s="5" t="str">
        <f aca="false">IF(S235=R235,"Yes","No")</f>
        <v>Yes</v>
      </c>
    </row>
    <row r="236" customFormat="false" ht="15" hidden="false" customHeight="false" outlineLevel="0" collapsed="false">
      <c r="A236" s="15" t="n">
        <v>752</v>
      </c>
      <c r="B236" s="16" t="n">
        <v>4.08040983123117</v>
      </c>
      <c r="C236" s="15" t="n">
        <v>300</v>
      </c>
      <c r="D236" s="15" t="n">
        <v>350</v>
      </c>
      <c r="E236" s="15" t="n">
        <v>25</v>
      </c>
      <c r="F236" s="16" t="n">
        <v>0.693508312050727</v>
      </c>
      <c r="G236" s="17" t="s">
        <v>91</v>
      </c>
      <c r="H236" s="18" t="n">
        <v>0.2</v>
      </c>
      <c r="I236" s="18" t="n">
        <v>1.5</v>
      </c>
      <c r="J236" s="19" t="n">
        <v>0.857034590461427</v>
      </c>
      <c r="K236" s="19" t="n">
        <v>0.570393848480726</v>
      </c>
      <c r="L236" s="16" t="n">
        <v>13.5112908318913</v>
      </c>
      <c r="M236" s="19" t="n">
        <v>0.510234343509079</v>
      </c>
      <c r="N236" s="19" t="n">
        <v>1.76224878932314</v>
      </c>
      <c r="O236" s="19" t="n">
        <v>1.04112825652494</v>
      </c>
      <c r="P236" s="19" t="n">
        <v>0.684252598072936</v>
      </c>
      <c r="Q236" s="17" t="s">
        <v>31</v>
      </c>
      <c r="R236" s="5" t="str">
        <f aca="false">IF(OR(Q236="Steel plate",Q236="Concrete jacket"),"Steel plate or jacket",Q236)</f>
        <v>Polymer laminate</v>
      </c>
      <c r="S236" s="5" t="str">
        <f aca="false">IF(O236&lt;='Tree rules'!$C$4,IF(N236&lt;='Tree rules'!$C$5,IF(P236&lt;='Tree rules'!$C$6,"Monitor","Polymer laminate"),IF(P236&lt;='Tree rules'!$C$7,"Seal cracks","Polymer laminate")),IF(O236&lt;='Tree rules'!$C$8,IF(M236&lt;='Tree rules'!$C$9,"Steel plate or jacket","Polymer laminate"),IF(L236&lt;='Tree rules'!$C$10,"Steel plate or jacket","Polymer laminate")))</f>
        <v>Polymer laminate</v>
      </c>
      <c r="T236" s="5" t="str">
        <f aca="false">IF(S236=R236,"Yes","No")</f>
        <v>Yes</v>
      </c>
    </row>
    <row r="237" customFormat="false" ht="15" hidden="false" customHeight="false" outlineLevel="0" collapsed="false">
      <c r="A237" s="15" t="n">
        <v>755</v>
      </c>
      <c r="B237" s="16" t="n">
        <v>4.74660595228183</v>
      </c>
      <c r="C237" s="15" t="n">
        <v>230</v>
      </c>
      <c r="D237" s="15" t="n">
        <v>425</v>
      </c>
      <c r="E237" s="15" t="n">
        <v>25</v>
      </c>
      <c r="F237" s="16" t="n">
        <v>0.691964884122107</v>
      </c>
      <c r="G237" s="17" t="s">
        <v>89</v>
      </c>
      <c r="H237" s="18" t="n">
        <v>0.3</v>
      </c>
      <c r="I237" s="18" t="n">
        <v>1</v>
      </c>
      <c r="J237" s="19" t="n">
        <v>0.924857190538496</v>
      </c>
      <c r="K237" s="19" t="n">
        <v>0.403225752704267</v>
      </c>
      <c r="L237" s="16" t="n">
        <v>12.5240262593188</v>
      </c>
      <c r="M237" s="19" t="n">
        <v>0.377873630252509</v>
      </c>
      <c r="N237" s="19" t="n">
        <v>0.694553388970319</v>
      </c>
      <c r="O237" s="19" t="n">
        <v>0.924857190538496</v>
      </c>
      <c r="P237" s="19" t="n">
        <v>0.774280776197345</v>
      </c>
      <c r="Q237" s="17" t="s">
        <v>29</v>
      </c>
      <c r="R237" s="5" t="str">
        <f aca="false">IF(OR(Q237="Steel plate",Q237="Concrete jacket"),"Steel plate or jacket",Q237)</f>
        <v>Monitor</v>
      </c>
      <c r="S237" s="5" t="str">
        <f aca="false">IF(O237&lt;='Tree rules'!$C$4,IF(N237&lt;='Tree rules'!$C$5,IF(P237&lt;='Tree rules'!$C$6,"Monitor","Polymer laminate"),IF(P237&lt;='Tree rules'!$C$7,"Seal cracks","Polymer laminate")),IF(O237&lt;='Tree rules'!$C$8,IF(M237&lt;='Tree rules'!$C$9,"Steel plate or jacket","Polymer laminate"),IF(L237&lt;='Tree rules'!$C$10,"Steel plate or jacket","Polymer laminate")))</f>
        <v>Monitor</v>
      </c>
      <c r="T237" s="5" t="str">
        <f aca="false">IF(S237=R237,"Yes","No")</f>
        <v>Yes</v>
      </c>
    </row>
    <row r="238" customFormat="false" ht="15" hidden="false" customHeight="false" outlineLevel="0" collapsed="false">
      <c r="A238" s="15" t="n">
        <v>756</v>
      </c>
      <c r="B238" s="16" t="n">
        <v>4.63074178413828</v>
      </c>
      <c r="C238" s="15" t="n">
        <v>300</v>
      </c>
      <c r="D238" s="15" t="n">
        <v>375</v>
      </c>
      <c r="E238" s="15" t="n">
        <v>30</v>
      </c>
      <c r="F238" s="16" t="n">
        <v>0.569472988566126</v>
      </c>
      <c r="G238" s="17" t="s">
        <v>89</v>
      </c>
      <c r="H238" s="18" t="n">
        <v>0.3</v>
      </c>
      <c r="I238" s="18" t="n">
        <v>1.5</v>
      </c>
      <c r="J238" s="19" t="n">
        <v>0.958302856354038</v>
      </c>
      <c r="K238" s="19" t="n">
        <v>0.505969235182094</v>
      </c>
      <c r="L238" s="16" t="n">
        <v>13.9901564475477</v>
      </c>
      <c r="M238" s="19" t="n">
        <v>0.70856807813564</v>
      </c>
      <c r="N238" s="19" t="n">
        <v>0.789510685302953</v>
      </c>
      <c r="O238" s="19" t="n">
        <v>1.19501840287992</v>
      </c>
      <c r="P238" s="19" t="n">
        <v>0.474926876939744</v>
      </c>
      <c r="Q238" s="17" t="s">
        <v>31</v>
      </c>
      <c r="R238" s="5" t="str">
        <f aca="false">IF(OR(Q238="Steel plate",Q238="Concrete jacket"),"Steel plate or jacket",Q238)</f>
        <v>Polymer laminate</v>
      </c>
      <c r="S238" s="5" t="str">
        <f aca="false">IF(O238&lt;='Tree rules'!$C$4,IF(N238&lt;='Tree rules'!$C$5,IF(P238&lt;='Tree rules'!$C$6,"Monitor","Polymer laminate"),IF(P238&lt;='Tree rules'!$C$7,"Seal cracks","Polymer laminate")),IF(O238&lt;='Tree rules'!$C$8,IF(M238&lt;='Tree rules'!$C$9,"Steel plate or jacket","Polymer laminate"),IF(L238&lt;='Tree rules'!$C$10,"Steel plate or jacket","Polymer laminate")))</f>
        <v>Polymer laminate</v>
      </c>
      <c r="T238" s="5" t="str">
        <f aca="false">IF(S238=R238,"Yes","No")</f>
        <v>Yes</v>
      </c>
    </row>
    <row r="239" customFormat="false" ht="15" hidden="false" customHeight="false" outlineLevel="0" collapsed="false">
      <c r="A239" s="15" t="n">
        <v>763</v>
      </c>
      <c r="B239" s="16" t="n">
        <v>3.06161396041834</v>
      </c>
      <c r="C239" s="15" t="n">
        <v>300</v>
      </c>
      <c r="D239" s="15" t="n">
        <v>300</v>
      </c>
      <c r="E239" s="15" t="n">
        <v>30</v>
      </c>
      <c r="F239" s="16" t="n">
        <v>0.831109167616348</v>
      </c>
      <c r="G239" s="17" t="s">
        <v>89</v>
      </c>
      <c r="H239" s="18" t="n">
        <v>0.3</v>
      </c>
      <c r="I239" s="18" t="n">
        <v>1</v>
      </c>
      <c r="J239" s="19" t="n">
        <v>0.902278153083845</v>
      </c>
      <c r="K239" s="19" t="n">
        <v>0.43959359243133</v>
      </c>
      <c r="L239" s="16" t="n">
        <v>12.1492617476918</v>
      </c>
      <c r="M239" s="19" t="n">
        <v>0.949387012281236</v>
      </c>
      <c r="N239" s="19" t="n">
        <v>0.907306064504073</v>
      </c>
      <c r="O239" s="19" t="n">
        <v>0.902278153083845</v>
      </c>
      <c r="P239" s="19" t="n">
        <v>0.307585879720337</v>
      </c>
      <c r="Q239" s="17" t="s">
        <v>29</v>
      </c>
      <c r="R239" s="5" t="str">
        <f aca="false">IF(OR(Q239="Steel plate",Q239="Concrete jacket"),"Steel plate or jacket",Q239)</f>
        <v>Monitor</v>
      </c>
      <c r="S239" s="5" t="str">
        <f aca="false">IF(O239&lt;='Tree rules'!$C$4,IF(N239&lt;='Tree rules'!$C$5,IF(P239&lt;='Tree rules'!$C$6,"Monitor","Polymer laminate"),IF(P239&lt;='Tree rules'!$C$7,"Seal cracks","Polymer laminate")),IF(O239&lt;='Tree rules'!$C$8,IF(M239&lt;='Tree rules'!$C$9,"Steel plate or jacket","Polymer laminate"),IF(L239&lt;='Tree rules'!$C$10,"Steel plate or jacket","Polymer laminate")))</f>
        <v>Monitor</v>
      </c>
      <c r="T239" s="5" t="str">
        <f aca="false">IF(S239=R239,"Yes","No")</f>
        <v>Yes</v>
      </c>
    </row>
    <row r="240" customFormat="false" ht="15" hidden="false" customHeight="false" outlineLevel="0" collapsed="false">
      <c r="A240" s="15" t="n">
        <v>765</v>
      </c>
      <c r="B240" s="16" t="n">
        <v>6.70641193716121</v>
      </c>
      <c r="C240" s="15" t="n">
        <v>300</v>
      </c>
      <c r="D240" s="15" t="n">
        <v>625</v>
      </c>
      <c r="E240" s="15" t="n">
        <v>30</v>
      </c>
      <c r="F240" s="16" t="n">
        <v>0.694514438099298</v>
      </c>
      <c r="G240" s="17" t="s">
        <v>91</v>
      </c>
      <c r="H240" s="18" t="n">
        <v>0.2</v>
      </c>
      <c r="I240" s="18" t="n">
        <v>2</v>
      </c>
      <c r="J240" s="19" t="n">
        <v>0.880208565804838</v>
      </c>
      <c r="K240" s="19" t="n">
        <v>0.591022595849194</v>
      </c>
      <c r="L240" s="16" t="n">
        <v>11.5827494596912</v>
      </c>
      <c r="M240" s="19" t="n">
        <v>0.512708113522247</v>
      </c>
      <c r="N240" s="19" t="n">
        <v>1.18994152371435</v>
      </c>
      <c r="O240" s="19" t="n">
        <v>1.24019398015901</v>
      </c>
      <c r="P240" s="19" t="n">
        <v>0.755963101575482</v>
      </c>
      <c r="Q240" s="17" t="s">
        <v>31</v>
      </c>
      <c r="R240" s="5" t="str">
        <f aca="false">IF(OR(Q240="Steel plate",Q240="Concrete jacket"),"Steel plate or jacket",Q240)</f>
        <v>Polymer laminate</v>
      </c>
      <c r="S240" s="5" t="str">
        <f aca="false">IF(O240&lt;='Tree rules'!$C$4,IF(N240&lt;='Tree rules'!$C$5,IF(P240&lt;='Tree rules'!$C$6,"Monitor","Polymer laminate"),IF(P240&lt;='Tree rules'!$C$7,"Seal cracks","Polymer laminate")),IF(O240&lt;='Tree rules'!$C$8,IF(M240&lt;='Tree rules'!$C$9,"Steel plate or jacket","Polymer laminate"),IF(L240&lt;='Tree rules'!$C$10,"Steel plate or jacket","Polymer laminate")))</f>
        <v>Polymer laminate</v>
      </c>
      <c r="T240" s="5" t="str">
        <f aca="false">IF(S240=R240,"Yes","No")</f>
        <v>Yes</v>
      </c>
    </row>
    <row r="241" customFormat="false" ht="15" hidden="false" customHeight="false" outlineLevel="0" collapsed="false">
      <c r="A241" s="15" t="n">
        <v>772</v>
      </c>
      <c r="B241" s="16" t="n">
        <v>3.3012962320506</v>
      </c>
      <c r="C241" s="15" t="n">
        <v>300</v>
      </c>
      <c r="D241" s="15" t="n">
        <v>300</v>
      </c>
      <c r="E241" s="15" t="n">
        <v>25</v>
      </c>
      <c r="F241" s="16" t="n">
        <v>0.791582400904515</v>
      </c>
      <c r="G241" s="17" t="s">
        <v>89</v>
      </c>
      <c r="H241" s="18" t="n">
        <v>0.3</v>
      </c>
      <c r="I241" s="18" t="n">
        <v>1</v>
      </c>
      <c r="J241" s="19" t="n">
        <v>0.911928731921142</v>
      </c>
      <c r="K241" s="19" t="n">
        <v>0.447260055721339</v>
      </c>
      <c r="L241" s="16" t="n">
        <v>12.9972292600417</v>
      </c>
      <c r="M241" s="19" t="n">
        <v>0.52009294917336</v>
      </c>
      <c r="N241" s="19" t="n">
        <v>0.767536515141353</v>
      </c>
      <c r="O241" s="19" t="n">
        <v>0.911928731921142</v>
      </c>
      <c r="P241" s="19" t="n">
        <v>0.591048320665915</v>
      </c>
      <c r="Q241" s="17" t="s">
        <v>29</v>
      </c>
      <c r="R241" s="5" t="str">
        <f aca="false">IF(OR(Q241="Steel plate",Q241="Concrete jacket"),"Steel plate or jacket",Q241)</f>
        <v>Monitor</v>
      </c>
      <c r="S241" s="5" t="str">
        <f aca="false">IF(O241&lt;='Tree rules'!$C$4,IF(N241&lt;='Tree rules'!$C$5,IF(P241&lt;='Tree rules'!$C$6,"Monitor","Polymer laminate"),IF(P241&lt;='Tree rules'!$C$7,"Seal cracks","Polymer laminate")),IF(O241&lt;='Tree rules'!$C$8,IF(M241&lt;='Tree rules'!$C$9,"Steel plate or jacket","Polymer laminate"),IF(L241&lt;='Tree rules'!$C$10,"Steel plate or jacket","Polymer laminate")))</f>
        <v>Monitor</v>
      </c>
      <c r="T241" s="5" t="str">
        <f aca="false">IF(S241=R241,"Yes","No")</f>
        <v>Yes</v>
      </c>
    </row>
    <row r="242" customFormat="false" ht="15" hidden="false" customHeight="false" outlineLevel="0" collapsed="false">
      <c r="A242" s="15" t="n">
        <v>782</v>
      </c>
      <c r="B242" s="16" t="n">
        <v>5.67956438391515</v>
      </c>
      <c r="C242" s="15" t="n">
        <v>300</v>
      </c>
      <c r="D242" s="15" t="n">
        <v>525</v>
      </c>
      <c r="E242" s="15" t="n">
        <v>20</v>
      </c>
      <c r="F242" s="16" t="n">
        <v>0.658614812073332</v>
      </c>
      <c r="G242" s="17" t="s">
        <v>91</v>
      </c>
      <c r="H242" s="18" t="n">
        <v>0.2</v>
      </c>
      <c r="I242" s="18" t="n">
        <v>1.5</v>
      </c>
      <c r="J242" s="19" t="n">
        <v>0.936024628010522</v>
      </c>
      <c r="K242" s="19" t="n">
        <v>0.462224827069226</v>
      </c>
      <c r="L242" s="16" t="n">
        <v>11.9068435721492</v>
      </c>
      <c r="M242" s="19" t="n">
        <v>0.952216714594444</v>
      </c>
      <c r="N242" s="19" t="n">
        <v>1.34147873471806</v>
      </c>
      <c r="O242" s="19" t="n">
        <v>1.18771003110843</v>
      </c>
      <c r="P242" s="19" t="n">
        <v>0.418779295305734</v>
      </c>
      <c r="Q242" s="17" t="s">
        <v>31</v>
      </c>
      <c r="R242" s="5" t="str">
        <f aca="false">IF(OR(Q242="Steel plate",Q242="Concrete jacket"),"Steel plate or jacket",Q242)</f>
        <v>Polymer laminate</v>
      </c>
      <c r="S242" s="5" t="str">
        <f aca="false">IF(O242&lt;='Tree rules'!$C$4,IF(N242&lt;='Tree rules'!$C$5,IF(P242&lt;='Tree rules'!$C$6,"Monitor","Polymer laminate"),IF(P242&lt;='Tree rules'!$C$7,"Seal cracks","Polymer laminate")),IF(O242&lt;='Tree rules'!$C$8,IF(M242&lt;='Tree rules'!$C$9,"Steel plate or jacket","Polymer laminate"),IF(L242&lt;='Tree rules'!$C$10,"Steel plate or jacket","Polymer laminate")))</f>
        <v>Polymer laminate</v>
      </c>
      <c r="T242" s="5" t="str">
        <f aca="false">IF(S242=R242,"Yes","No")</f>
        <v>Yes</v>
      </c>
    </row>
    <row r="243" customFormat="false" ht="15" hidden="false" customHeight="false" outlineLevel="0" collapsed="false">
      <c r="A243" s="15" t="n">
        <v>784</v>
      </c>
      <c r="B243" s="16" t="n">
        <v>5.05292551639563</v>
      </c>
      <c r="C243" s="15" t="n">
        <v>300</v>
      </c>
      <c r="D243" s="15" t="n">
        <v>450</v>
      </c>
      <c r="E243" s="15" t="n">
        <v>20</v>
      </c>
      <c r="F243" s="16" t="n">
        <v>0.520993806565472</v>
      </c>
      <c r="G243" s="17" t="s">
        <v>89</v>
      </c>
      <c r="H243" s="18" t="n">
        <v>0.3</v>
      </c>
      <c r="I243" s="18" t="n">
        <v>2</v>
      </c>
      <c r="J243" s="19" t="n">
        <v>0.925212051744239</v>
      </c>
      <c r="K243" s="19" t="n">
        <v>0.40030518558491</v>
      </c>
      <c r="L243" s="16" t="n">
        <v>12.5694664586956</v>
      </c>
      <c r="M243" s="19" t="n">
        <v>0.687489939667493</v>
      </c>
      <c r="N243" s="19" t="n">
        <v>1.68384250932949</v>
      </c>
      <c r="O243" s="19" t="n">
        <v>1.48005692140961</v>
      </c>
      <c r="P243" s="19" t="n">
        <v>0.512724342243384</v>
      </c>
      <c r="Q243" s="17" t="s">
        <v>31</v>
      </c>
      <c r="R243" s="5" t="str">
        <f aca="false">IF(OR(Q243="Steel plate",Q243="Concrete jacket"),"Steel plate or jacket",Q243)</f>
        <v>Polymer laminate</v>
      </c>
      <c r="S243" s="5" t="str">
        <f aca="false">IF(O243&lt;='Tree rules'!$C$4,IF(N243&lt;='Tree rules'!$C$5,IF(P243&lt;='Tree rules'!$C$6,"Monitor","Polymer laminate"),IF(P243&lt;='Tree rules'!$C$7,"Seal cracks","Polymer laminate")),IF(O243&lt;='Tree rules'!$C$8,IF(M243&lt;='Tree rules'!$C$9,"Steel plate or jacket","Polymer laminate"),IF(L243&lt;='Tree rules'!$C$10,"Steel plate or jacket","Polymer laminate")))</f>
        <v>Steel plate or jacket</v>
      </c>
      <c r="T243" s="5" t="str">
        <f aca="false">IF(S243=R243,"Yes","No")</f>
        <v>No</v>
      </c>
    </row>
    <row r="244" customFormat="false" ht="15" hidden="false" customHeight="false" outlineLevel="0" collapsed="false">
      <c r="A244" s="15" t="n">
        <v>785</v>
      </c>
      <c r="B244" s="16" t="n">
        <v>3.20949397712868</v>
      </c>
      <c r="C244" s="15" t="n">
        <v>300</v>
      </c>
      <c r="D244" s="15" t="n">
        <v>300</v>
      </c>
      <c r="E244" s="15" t="n">
        <v>25</v>
      </c>
      <c r="F244" s="16" t="n">
        <v>0.791582400904515</v>
      </c>
      <c r="G244" s="17" t="s">
        <v>89</v>
      </c>
      <c r="H244" s="18" t="n">
        <v>0.3</v>
      </c>
      <c r="I244" s="18" t="n">
        <v>1</v>
      </c>
      <c r="J244" s="19" t="n">
        <v>0.888667801284596</v>
      </c>
      <c r="K244" s="19" t="n">
        <v>0.580183490960392</v>
      </c>
      <c r="L244" s="16" t="n">
        <v>12.6358030595617</v>
      </c>
      <c r="M244" s="19" t="n">
        <v>0.57158814373163</v>
      </c>
      <c r="N244" s="19" t="n">
        <v>0.738131439479773</v>
      </c>
      <c r="O244" s="19" t="n">
        <v>0.888667801284596</v>
      </c>
      <c r="P244" s="19" t="n">
        <v>0.572830597446954</v>
      </c>
      <c r="Q244" s="17" t="s">
        <v>29</v>
      </c>
      <c r="R244" s="5" t="str">
        <f aca="false">IF(OR(Q244="Steel plate",Q244="Concrete jacket"),"Steel plate or jacket",Q244)</f>
        <v>Monitor</v>
      </c>
      <c r="S244" s="5" t="str">
        <f aca="false">IF(O244&lt;='Tree rules'!$C$4,IF(N244&lt;='Tree rules'!$C$5,IF(P244&lt;='Tree rules'!$C$6,"Monitor","Polymer laminate"),IF(P244&lt;='Tree rules'!$C$7,"Seal cracks","Polymer laminate")),IF(O244&lt;='Tree rules'!$C$8,IF(M244&lt;='Tree rules'!$C$9,"Steel plate or jacket","Polymer laminate"),IF(L244&lt;='Tree rules'!$C$10,"Steel plate or jacket","Polymer laminate")))</f>
        <v>Monitor</v>
      </c>
      <c r="T244" s="5" t="str">
        <f aca="false">IF(S244=R244,"Yes","No")</f>
        <v>Yes</v>
      </c>
    </row>
    <row r="245" customFormat="false" ht="15" hidden="false" customHeight="false" outlineLevel="0" collapsed="false">
      <c r="A245" s="15" t="n">
        <v>789</v>
      </c>
      <c r="B245" s="16" t="n">
        <v>3.03305094219325</v>
      </c>
      <c r="C245" s="15" t="n">
        <v>300</v>
      </c>
      <c r="D245" s="15" t="n">
        <v>300</v>
      </c>
      <c r="E245" s="15" t="n">
        <v>25</v>
      </c>
      <c r="F245" s="16" t="n">
        <v>0.883572933822129</v>
      </c>
      <c r="G245" s="17" t="s">
        <v>89</v>
      </c>
      <c r="H245" s="18" t="n">
        <v>0.3</v>
      </c>
      <c r="I245" s="18" t="n">
        <v>1</v>
      </c>
      <c r="J245" s="19" t="n">
        <v>0.947029300576549</v>
      </c>
      <c r="K245" s="19" t="n">
        <v>0.422277586897184</v>
      </c>
      <c r="L245" s="16" t="n">
        <v>11.8478552429424</v>
      </c>
      <c r="M245" s="19" t="n">
        <v>0.532276763912039</v>
      </c>
      <c r="N245" s="19" t="n">
        <v>0.639510766781743</v>
      </c>
      <c r="O245" s="19" t="n">
        <v>0.947029300576549</v>
      </c>
      <c r="P245" s="19" t="n">
        <v>0.596065590187279</v>
      </c>
      <c r="Q245" s="17" t="s">
        <v>29</v>
      </c>
      <c r="R245" s="5" t="str">
        <f aca="false">IF(OR(Q245="Steel plate",Q245="Concrete jacket"),"Steel plate or jacket",Q245)</f>
        <v>Monitor</v>
      </c>
      <c r="S245" s="5" t="str">
        <f aca="false">IF(O245&lt;='Tree rules'!$C$4,IF(N245&lt;='Tree rules'!$C$5,IF(P245&lt;='Tree rules'!$C$6,"Monitor","Polymer laminate"),IF(P245&lt;='Tree rules'!$C$7,"Seal cracks","Polymer laminate")),IF(O245&lt;='Tree rules'!$C$8,IF(M245&lt;='Tree rules'!$C$9,"Steel plate or jacket","Polymer laminate"),IF(L245&lt;='Tree rules'!$C$10,"Steel plate or jacket","Polymer laminate")))</f>
        <v>Monitor</v>
      </c>
      <c r="T245" s="5" t="str">
        <f aca="false">IF(S245=R245,"Yes","No")</f>
        <v>Yes</v>
      </c>
    </row>
    <row r="246" customFormat="false" ht="15" hidden="false" customHeight="false" outlineLevel="0" collapsed="false">
      <c r="A246" s="15" t="n">
        <v>797</v>
      </c>
      <c r="B246" s="16" t="n">
        <v>5.32279536020392</v>
      </c>
      <c r="C246" s="15" t="n">
        <v>230</v>
      </c>
      <c r="D246" s="15" t="n">
        <v>475</v>
      </c>
      <c r="E246" s="15" t="n">
        <v>25</v>
      </c>
      <c r="F246" s="16" t="n">
        <v>0.639770421258486</v>
      </c>
      <c r="G246" s="17" t="s">
        <v>91</v>
      </c>
      <c r="H246" s="18" t="n">
        <v>0.2</v>
      </c>
      <c r="I246" s="18" t="n">
        <v>1</v>
      </c>
      <c r="J246" s="19" t="n">
        <v>0.85029635613994</v>
      </c>
      <c r="K246" s="19" t="n">
        <v>0.598153361733122</v>
      </c>
      <c r="L246" s="16" t="n">
        <v>12.4655629044588</v>
      </c>
      <c r="M246" s="19" t="n">
        <v>0.619983704591695</v>
      </c>
      <c r="N246" s="19" t="n">
        <v>1.16640992084537</v>
      </c>
      <c r="O246" s="19" t="n">
        <v>0.85029635613994</v>
      </c>
      <c r="P246" s="19" t="n">
        <v>0.508940567069007</v>
      </c>
      <c r="Q246" s="17" t="s">
        <v>30</v>
      </c>
      <c r="R246" s="5" t="str">
        <f aca="false">IF(OR(Q246="Steel plate",Q246="Concrete jacket"),"Steel plate or jacket",Q246)</f>
        <v>Seal cracks</v>
      </c>
      <c r="S246" s="5" t="str">
        <f aca="false">IF(O246&lt;='Tree rules'!$C$4,IF(N246&lt;='Tree rules'!$C$5,IF(P246&lt;='Tree rules'!$C$6,"Monitor","Polymer laminate"),IF(P246&lt;='Tree rules'!$C$7,"Seal cracks","Polymer laminate")),IF(O246&lt;='Tree rules'!$C$8,IF(M246&lt;='Tree rules'!$C$9,"Steel plate or jacket","Polymer laminate"),IF(L246&lt;='Tree rules'!$C$10,"Steel plate or jacket","Polymer laminate")))</f>
        <v>Seal cracks</v>
      </c>
      <c r="T246" s="5" t="str">
        <f aca="false">IF(S246=R246,"Yes","No")</f>
        <v>Yes</v>
      </c>
    </row>
    <row r="247" customFormat="false" ht="15" hidden="false" customHeight="false" outlineLevel="0" collapsed="false">
      <c r="A247" s="15" t="n">
        <v>805</v>
      </c>
      <c r="B247" s="16" t="n">
        <v>6.42774784473755</v>
      </c>
      <c r="C247" s="15" t="n">
        <v>230</v>
      </c>
      <c r="D247" s="15" t="n">
        <v>500</v>
      </c>
      <c r="E247" s="15" t="n">
        <v>30</v>
      </c>
      <c r="F247" s="16" t="n">
        <v>0.625130365852113</v>
      </c>
      <c r="G247" s="17" t="s">
        <v>90</v>
      </c>
      <c r="H247" s="18" t="n">
        <v>0.1</v>
      </c>
      <c r="I247" s="18" t="n">
        <v>1</v>
      </c>
      <c r="J247" s="19" t="n">
        <v>0.880250282947327</v>
      </c>
      <c r="K247" s="19" t="n">
        <v>0.556041546908774</v>
      </c>
      <c r="L247" s="16" t="n">
        <v>14.7088051366992</v>
      </c>
      <c r="M247" s="19" t="n">
        <v>0.536302116918636</v>
      </c>
      <c r="N247" s="19" t="n">
        <v>2.72915846359038</v>
      </c>
      <c r="O247" s="19" t="n">
        <v>0.880250282947327</v>
      </c>
      <c r="P247" s="19" t="n">
        <v>0.583201372868393</v>
      </c>
      <c r="Q247" s="17" t="s">
        <v>30</v>
      </c>
      <c r="R247" s="5" t="str">
        <f aca="false">IF(OR(Q247="Steel plate",Q247="Concrete jacket"),"Steel plate or jacket",Q247)</f>
        <v>Seal cracks</v>
      </c>
      <c r="S247" s="5" t="str">
        <f aca="false">IF(O247&lt;='Tree rules'!$C$4,IF(N247&lt;='Tree rules'!$C$5,IF(P247&lt;='Tree rules'!$C$6,"Monitor","Polymer laminate"),IF(P247&lt;='Tree rules'!$C$7,"Seal cracks","Polymer laminate")),IF(O247&lt;='Tree rules'!$C$8,IF(M247&lt;='Tree rules'!$C$9,"Steel plate or jacket","Polymer laminate"),IF(L247&lt;='Tree rules'!$C$10,"Steel plate or jacket","Polymer laminate")))</f>
        <v>Seal cracks</v>
      </c>
      <c r="T247" s="5" t="str">
        <f aca="false">IF(S247=R247,"Yes","No")</f>
        <v>Yes</v>
      </c>
    </row>
    <row r="248" customFormat="false" ht="15" hidden="false" customHeight="false" outlineLevel="0" collapsed="false">
      <c r="A248" s="15" t="n">
        <v>807</v>
      </c>
      <c r="B248" s="16" t="n">
        <v>5.89282282176793</v>
      </c>
      <c r="C248" s="15" t="n">
        <v>230</v>
      </c>
      <c r="D248" s="15" t="n">
        <v>475</v>
      </c>
      <c r="E248" s="15" t="n">
        <v>25</v>
      </c>
      <c r="F248" s="16" t="n">
        <v>0.663063033682945</v>
      </c>
      <c r="G248" s="17" t="s">
        <v>90</v>
      </c>
      <c r="H248" s="18" t="n">
        <v>0.1</v>
      </c>
      <c r="I248" s="18" t="n">
        <v>1</v>
      </c>
      <c r="J248" s="19" t="n">
        <v>0.934478321354189</v>
      </c>
      <c r="K248" s="19" t="n">
        <v>0.481319290583837</v>
      </c>
      <c r="L248" s="16" t="n">
        <v>14.3029680139998</v>
      </c>
      <c r="M248" s="19" t="n">
        <v>0.949449098044395</v>
      </c>
      <c r="N248" s="19" t="n">
        <v>2.61186796272219</v>
      </c>
      <c r="O248" s="19" t="n">
        <v>0.934478321354189</v>
      </c>
      <c r="P248" s="19" t="n">
        <v>0.371332720768592</v>
      </c>
      <c r="Q248" s="17" t="s">
        <v>30</v>
      </c>
      <c r="R248" s="5" t="str">
        <f aca="false">IF(OR(Q248="Steel plate",Q248="Concrete jacket"),"Steel plate or jacket",Q248)</f>
        <v>Seal cracks</v>
      </c>
      <c r="S248" s="5" t="str">
        <f aca="false">IF(O248&lt;='Tree rules'!$C$4,IF(N248&lt;='Tree rules'!$C$5,IF(P248&lt;='Tree rules'!$C$6,"Monitor","Polymer laminate"),IF(P248&lt;='Tree rules'!$C$7,"Seal cracks","Polymer laminate")),IF(O248&lt;='Tree rules'!$C$8,IF(M248&lt;='Tree rules'!$C$9,"Steel plate or jacket","Polymer laminate"),IF(L248&lt;='Tree rules'!$C$10,"Steel plate or jacket","Polymer laminate")))</f>
        <v>Seal cracks</v>
      </c>
      <c r="T248" s="5" t="str">
        <f aca="false">IF(S248=R248,"Yes","No")</f>
        <v>Yes</v>
      </c>
    </row>
    <row r="249" customFormat="false" ht="15" hidden="false" customHeight="false" outlineLevel="0" collapsed="false">
      <c r="A249" s="15" t="n">
        <v>813</v>
      </c>
      <c r="B249" s="16" t="n">
        <v>6.51893028622821</v>
      </c>
      <c r="C249" s="15" t="n">
        <v>300</v>
      </c>
      <c r="D249" s="15" t="n">
        <v>575</v>
      </c>
      <c r="E249" s="15" t="n">
        <v>20</v>
      </c>
      <c r="F249" s="16" t="n">
        <v>0.633465437396808</v>
      </c>
      <c r="G249" s="17" t="s">
        <v>89</v>
      </c>
      <c r="H249" s="18" t="n">
        <v>0.3</v>
      </c>
      <c r="I249" s="18" t="n">
        <v>1</v>
      </c>
      <c r="J249" s="19" t="n">
        <v>0.917532943582014</v>
      </c>
      <c r="K249" s="19" t="n">
        <v>0.456579777012857</v>
      </c>
      <c r="L249" s="16" t="n">
        <v>12.3231196337017</v>
      </c>
      <c r="M249" s="19" t="n">
        <v>0.948023247792705</v>
      </c>
      <c r="N249" s="19" t="n">
        <v>0.524085671435375</v>
      </c>
      <c r="O249" s="19" t="n">
        <v>0.917532943582014</v>
      </c>
      <c r="P249" s="19" t="n">
        <v>0.376202155787883</v>
      </c>
      <c r="Q249" s="17" t="s">
        <v>29</v>
      </c>
      <c r="R249" s="5" t="str">
        <f aca="false">IF(OR(Q249="Steel plate",Q249="Concrete jacket"),"Steel plate or jacket",Q249)</f>
        <v>Monitor</v>
      </c>
      <c r="S249" s="5" t="str">
        <f aca="false">IF(O249&lt;='Tree rules'!$C$4,IF(N249&lt;='Tree rules'!$C$5,IF(P249&lt;='Tree rules'!$C$6,"Monitor","Polymer laminate"),IF(P249&lt;='Tree rules'!$C$7,"Seal cracks","Polymer laminate")),IF(O249&lt;='Tree rules'!$C$8,IF(M249&lt;='Tree rules'!$C$9,"Steel plate or jacket","Polymer laminate"),IF(L249&lt;='Tree rules'!$C$10,"Steel plate or jacket","Polymer laminate")))</f>
        <v>Monitor</v>
      </c>
      <c r="T249" s="5" t="str">
        <f aca="false">IF(S249=R249,"Yes","No")</f>
        <v>Yes</v>
      </c>
    </row>
    <row r="250" customFormat="false" ht="15" hidden="false" customHeight="false" outlineLevel="0" collapsed="false">
      <c r="A250" s="15" t="n">
        <v>818</v>
      </c>
      <c r="B250" s="16" t="n">
        <v>3.59865868055354</v>
      </c>
      <c r="C250" s="15" t="n">
        <v>230</v>
      </c>
      <c r="D250" s="15" t="n">
        <v>325</v>
      </c>
      <c r="E250" s="15" t="n">
        <v>30</v>
      </c>
      <c r="F250" s="16" t="n">
        <v>0.626653981080713</v>
      </c>
      <c r="G250" s="17" t="s">
        <v>91</v>
      </c>
      <c r="H250" s="18" t="n">
        <v>0.2</v>
      </c>
      <c r="I250" s="18" t="n">
        <v>2</v>
      </c>
      <c r="J250" s="19" t="n">
        <v>0.979646036061912</v>
      </c>
      <c r="K250" s="19" t="n">
        <v>0.624436332956409</v>
      </c>
      <c r="L250" s="16" t="n">
        <v>12.8984182098693</v>
      </c>
      <c r="M250" s="19" t="n">
        <v>0.85329153754285</v>
      </c>
      <c r="N250" s="19" t="n">
        <v>1.8360862355696</v>
      </c>
      <c r="O250" s="19" t="n">
        <v>1.34756549377004</v>
      </c>
      <c r="P250" s="19" t="n">
        <v>0.423644061958882</v>
      </c>
      <c r="Q250" s="17" t="s">
        <v>31</v>
      </c>
      <c r="R250" s="5" t="str">
        <f aca="false">IF(OR(Q250="Steel plate",Q250="Concrete jacket"),"Steel plate or jacket",Q250)</f>
        <v>Polymer laminate</v>
      </c>
      <c r="S250" s="5" t="str">
        <f aca="false">IF(O250&lt;='Tree rules'!$C$4,IF(N250&lt;='Tree rules'!$C$5,IF(P250&lt;='Tree rules'!$C$6,"Monitor","Polymer laminate"),IF(P250&lt;='Tree rules'!$C$7,"Seal cracks","Polymer laminate")),IF(O250&lt;='Tree rules'!$C$8,IF(M250&lt;='Tree rules'!$C$9,"Steel plate or jacket","Polymer laminate"),IF(L250&lt;='Tree rules'!$C$10,"Steel plate or jacket","Polymer laminate")))</f>
        <v>Steel plate or jacket</v>
      </c>
      <c r="T250" s="5" t="str">
        <f aca="false">IF(S250=R250,"Yes","No")</f>
        <v>No</v>
      </c>
    </row>
    <row r="251" customFormat="false" ht="15" hidden="false" customHeight="false" outlineLevel="0" collapsed="false">
      <c r="A251" s="15" t="n">
        <v>822</v>
      </c>
      <c r="B251" s="16" t="n">
        <v>3.95163938707338</v>
      </c>
      <c r="C251" s="15" t="n">
        <v>300</v>
      </c>
      <c r="D251" s="15" t="n">
        <v>325</v>
      </c>
      <c r="E251" s="15" t="n">
        <v>25</v>
      </c>
      <c r="F251" s="16" t="n">
        <v>0.67080270183412</v>
      </c>
      <c r="G251" s="17" t="s">
        <v>91</v>
      </c>
      <c r="H251" s="18" t="n">
        <v>0.2</v>
      </c>
      <c r="I251" s="18" t="n">
        <v>2</v>
      </c>
      <c r="J251" s="19" t="n">
        <v>0.913537586702263</v>
      </c>
      <c r="K251" s="19" t="n">
        <v>0.60407081658474</v>
      </c>
      <c r="L251" s="16" t="n">
        <v>14.0627736194782</v>
      </c>
      <c r="M251" s="19" t="n">
        <v>0.872576305656954</v>
      </c>
      <c r="N251" s="19" t="n">
        <v>1.2570017466368</v>
      </c>
      <c r="O251" s="19" t="n">
        <v>1.27523377742444</v>
      </c>
      <c r="P251" s="19" t="n">
        <v>0.494512108341145</v>
      </c>
      <c r="Q251" s="17" t="s">
        <v>31</v>
      </c>
      <c r="R251" s="5" t="str">
        <f aca="false">IF(OR(Q251="Steel plate",Q251="Concrete jacket"),"Steel plate or jacket",Q251)</f>
        <v>Polymer laminate</v>
      </c>
      <c r="S251" s="5" t="str">
        <f aca="false">IF(O251&lt;='Tree rules'!$C$4,IF(N251&lt;='Tree rules'!$C$5,IF(P251&lt;='Tree rules'!$C$6,"Monitor","Polymer laminate"),IF(P251&lt;='Tree rules'!$C$7,"Seal cracks","Polymer laminate")),IF(O251&lt;='Tree rules'!$C$8,IF(M251&lt;='Tree rules'!$C$9,"Steel plate or jacket","Polymer laminate"),IF(L251&lt;='Tree rules'!$C$10,"Steel plate or jacket","Polymer laminate")))</f>
        <v>Polymer laminate</v>
      </c>
      <c r="T251" s="5" t="str">
        <f aca="false">IF(S251=R251,"Yes","No")</f>
        <v>Yes</v>
      </c>
    </row>
    <row r="252" customFormat="false" ht="15" hidden="false" customHeight="false" outlineLevel="0" collapsed="false">
      <c r="A252" s="15" t="n">
        <v>824</v>
      </c>
      <c r="B252" s="16" t="n">
        <v>6.71783946668613</v>
      </c>
      <c r="C252" s="15" t="n">
        <v>300</v>
      </c>
      <c r="D252" s="15" t="n">
        <v>625</v>
      </c>
      <c r="E252" s="15" t="n">
        <v>20</v>
      </c>
      <c r="F252" s="16" t="n">
        <v>0.725960174139756</v>
      </c>
      <c r="G252" s="17" t="s">
        <v>89</v>
      </c>
      <c r="H252" s="18" t="n">
        <v>0.3</v>
      </c>
      <c r="I252" s="18" t="n">
        <v>1</v>
      </c>
      <c r="J252" s="19" t="n">
        <v>0.943125771156845</v>
      </c>
      <c r="K252" s="19" t="n">
        <v>0.496520097675719</v>
      </c>
      <c r="L252" s="16" t="n">
        <v>11.6427027152273</v>
      </c>
      <c r="M252" s="19" t="n">
        <v>0.929318363037866</v>
      </c>
      <c r="N252" s="19" t="n">
        <v>0.584352479416809</v>
      </c>
      <c r="O252" s="19" t="n">
        <v>0.943125771156845</v>
      </c>
      <c r="P252" s="19" t="n">
        <v>0.425600498152978</v>
      </c>
      <c r="Q252" s="17" t="s">
        <v>29</v>
      </c>
      <c r="R252" s="5" t="str">
        <f aca="false">IF(OR(Q252="Steel plate",Q252="Concrete jacket"),"Steel plate or jacket",Q252)</f>
        <v>Monitor</v>
      </c>
      <c r="S252" s="5" t="str">
        <f aca="false">IF(O252&lt;='Tree rules'!$C$4,IF(N252&lt;='Tree rules'!$C$5,IF(P252&lt;='Tree rules'!$C$6,"Monitor","Polymer laminate"),IF(P252&lt;='Tree rules'!$C$7,"Seal cracks","Polymer laminate")),IF(O252&lt;='Tree rules'!$C$8,IF(M252&lt;='Tree rules'!$C$9,"Steel plate or jacket","Polymer laminate"),IF(L252&lt;='Tree rules'!$C$10,"Steel plate or jacket","Polymer laminate")))</f>
        <v>Monitor</v>
      </c>
      <c r="T252" s="5" t="str">
        <f aca="false">IF(S252=R252,"Yes","No")</f>
        <v>Yes</v>
      </c>
    </row>
    <row r="253" customFormat="false" ht="15" hidden="false" customHeight="false" outlineLevel="0" collapsed="false">
      <c r="A253" s="15" t="n">
        <v>828</v>
      </c>
      <c r="B253" s="16" t="n">
        <v>6.00366337771106</v>
      </c>
      <c r="C253" s="15" t="n">
        <v>300</v>
      </c>
      <c r="D253" s="15" t="n">
        <v>500</v>
      </c>
      <c r="E253" s="15" t="n">
        <v>30</v>
      </c>
      <c r="F253" s="16" t="n">
        <v>0.738112811416104</v>
      </c>
      <c r="G253" s="17" t="s">
        <v>89</v>
      </c>
      <c r="H253" s="18" t="n">
        <v>0.3</v>
      </c>
      <c r="I253" s="18" t="n">
        <v>1</v>
      </c>
      <c r="J253" s="19" t="n">
        <v>0.910415682329256</v>
      </c>
      <c r="K253" s="19" t="n">
        <v>0.451112882101246</v>
      </c>
      <c r="L253" s="16" t="n">
        <v>13.223928144738</v>
      </c>
      <c r="M253" s="19" t="n">
        <v>0.950796447636578</v>
      </c>
      <c r="N253" s="19" t="n">
        <v>0.553369211549293</v>
      </c>
      <c r="O253" s="19" t="n">
        <v>0.910415682329256</v>
      </c>
      <c r="P253" s="19" t="n">
        <v>0.385300856171348</v>
      </c>
      <c r="Q253" s="17" t="s">
        <v>29</v>
      </c>
      <c r="R253" s="5" t="str">
        <f aca="false">IF(OR(Q253="Steel plate",Q253="Concrete jacket"),"Steel plate or jacket",Q253)</f>
        <v>Monitor</v>
      </c>
      <c r="S253" s="5" t="str">
        <f aca="false">IF(O253&lt;='Tree rules'!$C$4,IF(N253&lt;='Tree rules'!$C$5,IF(P253&lt;='Tree rules'!$C$6,"Monitor","Polymer laminate"),IF(P253&lt;='Tree rules'!$C$7,"Seal cracks","Polymer laminate")),IF(O253&lt;='Tree rules'!$C$8,IF(M253&lt;='Tree rules'!$C$9,"Steel plate or jacket","Polymer laminate"),IF(L253&lt;='Tree rules'!$C$10,"Steel plate or jacket","Polymer laminate")))</f>
        <v>Monitor</v>
      </c>
      <c r="T253" s="5" t="str">
        <f aca="false">IF(S253=R253,"Yes","No")</f>
        <v>Yes</v>
      </c>
    </row>
    <row r="254" customFormat="false" ht="15" hidden="false" customHeight="false" outlineLevel="0" collapsed="false">
      <c r="A254" s="15" t="n">
        <v>831</v>
      </c>
      <c r="B254" s="16" t="n">
        <v>4.72042421674515</v>
      </c>
      <c r="C254" s="15" t="n">
        <v>300</v>
      </c>
      <c r="D254" s="15" t="n">
        <v>400</v>
      </c>
      <c r="E254" s="15" t="n">
        <v>25</v>
      </c>
      <c r="F254" s="16" t="n">
        <v>0.621482226229435</v>
      </c>
      <c r="G254" s="17" t="s">
        <v>90</v>
      </c>
      <c r="H254" s="18" t="n">
        <v>0.1</v>
      </c>
      <c r="I254" s="18" t="n">
        <v>1.5</v>
      </c>
      <c r="J254" s="19" t="n">
        <v>0.955719862571858</v>
      </c>
      <c r="K254" s="19" t="n">
        <v>0.419174408908141</v>
      </c>
      <c r="L254" s="16" t="n">
        <v>14.007193521499</v>
      </c>
      <c r="M254" s="19" t="n">
        <v>0.95104636797849</v>
      </c>
      <c r="N254" s="19" t="n">
        <v>4.26750257792023</v>
      </c>
      <c r="O254" s="19" t="n">
        <v>1.23327313962012</v>
      </c>
      <c r="P254" s="19" t="n">
        <v>0.355789701630671</v>
      </c>
      <c r="Q254" s="17" t="s">
        <v>31</v>
      </c>
      <c r="R254" s="5" t="str">
        <f aca="false">IF(OR(Q254="Steel plate",Q254="Concrete jacket"),"Steel plate or jacket",Q254)</f>
        <v>Polymer laminate</v>
      </c>
      <c r="S254" s="5" t="str">
        <f aca="false">IF(O254&lt;='Tree rules'!$C$4,IF(N254&lt;='Tree rules'!$C$5,IF(P254&lt;='Tree rules'!$C$6,"Monitor","Polymer laminate"),IF(P254&lt;='Tree rules'!$C$7,"Seal cracks","Polymer laminate")),IF(O254&lt;='Tree rules'!$C$8,IF(M254&lt;='Tree rules'!$C$9,"Steel plate or jacket","Polymer laminate"),IF(L254&lt;='Tree rules'!$C$10,"Steel plate or jacket","Polymer laminate")))</f>
        <v>Polymer laminate</v>
      </c>
      <c r="T254" s="5" t="str">
        <f aca="false">IF(S254=R254,"Yes","No")</f>
        <v>Yes</v>
      </c>
    </row>
    <row r="255" customFormat="false" ht="15" hidden="false" customHeight="false" outlineLevel="0" collapsed="false">
      <c r="A255" s="15" t="n">
        <v>839</v>
      </c>
      <c r="B255" s="16" t="n">
        <v>3.01600153133968</v>
      </c>
      <c r="C255" s="15" t="n">
        <v>230</v>
      </c>
      <c r="D255" s="15" t="n">
        <v>300</v>
      </c>
      <c r="E255" s="15" t="n">
        <v>30</v>
      </c>
      <c r="F255" s="16" t="n">
        <v>1.0324987837885</v>
      </c>
      <c r="G255" s="17" t="s">
        <v>89</v>
      </c>
      <c r="H255" s="18" t="n">
        <v>0.3</v>
      </c>
      <c r="I255" s="18" t="n">
        <v>2</v>
      </c>
      <c r="J255" s="19" t="n">
        <v>0.953738946315332</v>
      </c>
      <c r="K255" s="19" t="n">
        <v>0.402052023244889</v>
      </c>
      <c r="L255" s="16" t="n">
        <v>11.8740217769279</v>
      </c>
      <c r="M255" s="19" t="n">
        <v>0.452914581390129</v>
      </c>
      <c r="N255" s="19" t="n">
        <v>1.18270930267337</v>
      </c>
      <c r="O255" s="19" t="n">
        <v>1.52402521961714</v>
      </c>
      <c r="P255" s="19" t="n">
        <v>0.956196234449052</v>
      </c>
      <c r="Q255" s="17" t="s">
        <v>31</v>
      </c>
      <c r="R255" s="5" t="str">
        <f aca="false">IF(OR(Q255="Steel plate",Q255="Concrete jacket"),"Steel plate or jacket",Q255)</f>
        <v>Polymer laminate</v>
      </c>
      <c r="S255" s="5" t="str">
        <f aca="false">IF(O255&lt;='Tree rules'!$C$4,IF(N255&lt;='Tree rules'!$C$5,IF(P255&lt;='Tree rules'!$C$6,"Monitor","Polymer laminate"),IF(P255&lt;='Tree rules'!$C$7,"Seal cracks","Polymer laminate")),IF(O255&lt;='Tree rules'!$C$8,IF(M255&lt;='Tree rules'!$C$9,"Steel plate or jacket","Polymer laminate"),IF(L255&lt;='Tree rules'!$C$10,"Steel plate or jacket","Polymer laminate")))</f>
        <v>Steel plate or jacket</v>
      </c>
      <c r="T255" s="5" t="str">
        <f aca="false">IF(S255=R255,"Yes","No")</f>
        <v>No</v>
      </c>
    </row>
    <row r="256" customFormat="false" ht="15" hidden="false" customHeight="false" outlineLevel="0" collapsed="false">
      <c r="A256" s="15" t="n">
        <v>842</v>
      </c>
      <c r="B256" s="16" t="n">
        <v>4.91746639277397</v>
      </c>
      <c r="C256" s="15" t="n">
        <v>300</v>
      </c>
      <c r="D256" s="15" t="n">
        <v>425</v>
      </c>
      <c r="E256" s="15" t="n">
        <v>30</v>
      </c>
      <c r="F256" s="16" t="n">
        <v>0.833313701217452</v>
      </c>
      <c r="G256" s="17" t="s">
        <v>89</v>
      </c>
      <c r="H256" s="18" t="n">
        <v>0.3</v>
      </c>
      <c r="I256" s="18" t="n">
        <v>1</v>
      </c>
      <c r="J256" s="19" t="n">
        <v>0.903905163614798</v>
      </c>
      <c r="K256" s="19" t="n">
        <v>0.437494497358615</v>
      </c>
      <c r="L256" s="16" t="n">
        <v>13.0436774344137</v>
      </c>
      <c r="M256" s="19" t="n">
        <v>0.837550483564704</v>
      </c>
      <c r="N256" s="19" t="n">
        <v>0.712350626871153</v>
      </c>
      <c r="O256" s="19" t="n">
        <v>0.903905163614798</v>
      </c>
      <c r="P256" s="19" t="n">
        <v>0.430690967499983</v>
      </c>
      <c r="Q256" s="17" t="s">
        <v>29</v>
      </c>
      <c r="R256" s="5" t="str">
        <f aca="false">IF(OR(Q256="Steel plate",Q256="Concrete jacket"),"Steel plate or jacket",Q256)</f>
        <v>Monitor</v>
      </c>
      <c r="S256" s="5" t="str">
        <f aca="false">IF(O256&lt;='Tree rules'!$C$4,IF(N256&lt;='Tree rules'!$C$5,IF(P256&lt;='Tree rules'!$C$6,"Monitor","Polymer laminate"),IF(P256&lt;='Tree rules'!$C$7,"Seal cracks","Polymer laminate")),IF(O256&lt;='Tree rules'!$C$8,IF(M256&lt;='Tree rules'!$C$9,"Steel plate or jacket","Polymer laminate"),IF(L256&lt;='Tree rules'!$C$10,"Steel plate or jacket","Polymer laminate")))</f>
        <v>Monitor</v>
      </c>
      <c r="T256" s="5" t="str">
        <f aca="false">IF(S256=R256,"Yes","No")</f>
        <v>Yes</v>
      </c>
    </row>
    <row r="257" customFormat="false" ht="15" hidden="false" customHeight="false" outlineLevel="0" collapsed="false">
      <c r="A257" s="15" t="n">
        <v>843</v>
      </c>
      <c r="B257" s="16" t="n">
        <v>5.31501642113375</v>
      </c>
      <c r="C257" s="15" t="n">
        <v>300</v>
      </c>
      <c r="D257" s="15" t="n">
        <v>425</v>
      </c>
      <c r="E257" s="15" t="n">
        <v>25</v>
      </c>
      <c r="F257" s="16" t="n">
        <v>0.555542467478301</v>
      </c>
      <c r="G257" s="17" t="s">
        <v>91</v>
      </c>
      <c r="H257" s="18" t="n">
        <v>0.2</v>
      </c>
      <c r="I257" s="18" t="n">
        <v>1</v>
      </c>
      <c r="J257" s="19" t="n">
        <v>0.896705615470106</v>
      </c>
      <c r="K257" s="19" t="n">
        <v>0.560722546510334</v>
      </c>
      <c r="L257" s="16" t="n">
        <v>14.0981867934582</v>
      </c>
      <c r="M257" s="19" t="n">
        <v>0.950765263844472</v>
      </c>
      <c r="N257" s="19" t="n">
        <v>1.33456085204414</v>
      </c>
      <c r="O257" s="19" t="n">
        <v>0.896705615470106</v>
      </c>
      <c r="P257" s="19" t="n">
        <v>0.345150951145208</v>
      </c>
      <c r="Q257" s="17" t="s">
        <v>30</v>
      </c>
      <c r="R257" s="5" t="str">
        <f aca="false">IF(OR(Q257="Steel plate",Q257="Concrete jacket"),"Steel plate or jacket",Q257)</f>
        <v>Seal cracks</v>
      </c>
      <c r="S257" s="5" t="str">
        <f aca="false">IF(O257&lt;='Tree rules'!$C$4,IF(N257&lt;='Tree rules'!$C$5,IF(P257&lt;='Tree rules'!$C$6,"Monitor","Polymer laminate"),IF(P257&lt;='Tree rules'!$C$7,"Seal cracks","Polymer laminate")),IF(O257&lt;='Tree rules'!$C$8,IF(M257&lt;='Tree rules'!$C$9,"Steel plate or jacket","Polymer laminate"),IF(L257&lt;='Tree rules'!$C$10,"Steel plate or jacket","Polymer laminate")))</f>
        <v>Seal cracks</v>
      </c>
      <c r="T257" s="5" t="str">
        <f aca="false">IF(S257=R257,"Yes","No")</f>
        <v>Yes</v>
      </c>
    </row>
    <row r="258" customFormat="false" ht="15" hidden="false" customHeight="false" outlineLevel="0" collapsed="false">
      <c r="A258" s="15" t="n">
        <v>846</v>
      </c>
      <c r="B258" s="16" t="n">
        <v>5.16921282674831</v>
      </c>
      <c r="C258" s="15" t="n">
        <v>230</v>
      </c>
      <c r="D258" s="15" t="n">
        <v>450</v>
      </c>
      <c r="E258" s="15" t="n">
        <v>30</v>
      </c>
      <c r="F258" s="16" t="n">
        <v>0.649145274956135</v>
      </c>
      <c r="G258" s="17" t="s">
        <v>89</v>
      </c>
      <c r="H258" s="18" t="n">
        <v>0.3</v>
      </c>
      <c r="I258" s="18" t="n">
        <v>1.5</v>
      </c>
      <c r="J258" s="19" t="n">
        <v>0.969768371916854</v>
      </c>
      <c r="K258" s="19" t="n">
        <v>0.544537551130708</v>
      </c>
      <c r="L258" s="16" t="n">
        <v>12.7950812543275</v>
      </c>
      <c r="M258" s="19" t="n">
        <v>0.775781437955226</v>
      </c>
      <c r="N258" s="19" t="n">
        <v>0.834871527555888</v>
      </c>
      <c r="O258" s="19" t="n">
        <v>1.19061491067147</v>
      </c>
      <c r="P258" s="19" t="n">
        <v>0.482800134096982</v>
      </c>
      <c r="Q258" s="17" t="s">
        <v>31</v>
      </c>
      <c r="R258" s="5" t="str">
        <f aca="false">IF(OR(Q258="Steel plate",Q258="Concrete jacket"),"Steel plate or jacket",Q258)</f>
        <v>Polymer laminate</v>
      </c>
      <c r="S258" s="5" t="str">
        <f aca="false">IF(O258&lt;='Tree rules'!$C$4,IF(N258&lt;='Tree rules'!$C$5,IF(P258&lt;='Tree rules'!$C$6,"Monitor","Polymer laminate"),IF(P258&lt;='Tree rules'!$C$7,"Seal cracks","Polymer laminate")),IF(O258&lt;='Tree rules'!$C$8,IF(M258&lt;='Tree rules'!$C$9,"Steel plate or jacket","Polymer laminate"),IF(L258&lt;='Tree rules'!$C$10,"Steel plate or jacket","Polymer laminate")))</f>
        <v>Polymer laminate</v>
      </c>
      <c r="T258" s="5" t="str">
        <f aca="false">IF(S258=R258,"Yes","No")</f>
        <v>Yes</v>
      </c>
    </row>
    <row r="259" customFormat="false" ht="15" hidden="false" customHeight="false" outlineLevel="0" collapsed="false">
      <c r="A259" s="15" t="n">
        <v>847</v>
      </c>
      <c r="B259" s="16" t="n">
        <v>4.11591044433679</v>
      </c>
      <c r="C259" s="15" t="n">
        <v>300</v>
      </c>
      <c r="D259" s="15" t="n">
        <v>325</v>
      </c>
      <c r="E259" s="15" t="n">
        <v>30</v>
      </c>
      <c r="F259" s="16" t="n">
        <v>0.72065207824282</v>
      </c>
      <c r="G259" s="17" t="s">
        <v>91</v>
      </c>
      <c r="H259" s="18" t="n">
        <v>0.2</v>
      </c>
      <c r="I259" s="18" t="n">
        <v>1</v>
      </c>
      <c r="J259" s="19" t="n">
        <v>0.948940507741336</v>
      </c>
      <c r="K259" s="19" t="n">
        <v>0.571489855130742</v>
      </c>
      <c r="L259" s="16" t="n">
        <v>14.7523671840029</v>
      </c>
      <c r="M259" s="19" t="n">
        <v>0.942006272466947</v>
      </c>
      <c r="N259" s="19" t="n">
        <v>1.09473883382583</v>
      </c>
      <c r="O259" s="19" t="n">
        <v>0.948940507741336</v>
      </c>
      <c r="P259" s="19" t="n">
        <v>0.408952995430045</v>
      </c>
      <c r="Q259" s="17" t="s">
        <v>30</v>
      </c>
      <c r="R259" s="5" t="str">
        <f aca="false">IF(OR(Q259="Steel plate",Q259="Concrete jacket"),"Steel plate or jacket",Q259)</f>
        <v>Seal cracks</v>
      </c>
      <c r="S259" s="5" t="str">
        <f aca="false">IF(O259&lt;='Tree rules'!$C$4,IF(N259&lt;='Tree rules'!$C$5,IF(P259&lt;='Tree rules'!$C$6,"Monitor","Polymer laminate"),IF(P259&lt;='Tree rules'!$C$7,"Seal cracks","Polymer laminate")),IF(O259&lt;='Tree rules'!$C$8,IF(M259&lt;='Tree rules'!$C$9,"Steel plate or jacket","Polymer laminate"),IF(L259&lt;='Tree rules'!$C$10,"Steel plate or jacket","Polymer laminate")))</f>
        <v>Seal cracks</v>
      </c>
      <c r="T259" s="5" t="str">
        <f aca="false">IF(S259=R259,"Yes","No")</f>
        <v>Yes</v>
      </c>
    </row>
    <row r="260" customFormat="false" ht="15" hidden="false" customHeight="false" outlineLevel="0" collapsed="false">
      <c r="A260" s="15" t="n">
        <v>850</v>
      </c>
      <c r="B260" s="16" t="n">
        <v>5.46761573405134</v>
      </c>
      <c r="C260" s="15" t="n">
        <v>230</v>
      </c>
      <c r="D260" s="15" t="n">
        <v>500</v>
      </c>
      <c r="E260" s="15" t="n">
        <v>20</v>
      </c>
      <c r="F260" s="16" t="n">
        <v>0.577653504586516</v>
      </c>
      <c r="G260" s="17" t="s">
        <v>91</v>
      </c>
      <c r="H260" s="18" t="n">
        <v>0.2</v>
      </c>
      <c r="I260" s="18" t="n">
        <v>1</v>
      </c>
      <c r="J260" s="19" t="n">
        <v>0.9289931773832</v>
      </c>
      <c r="K260" s="19" t="n">
        <v>0.600709869010468</v>
      </c>
      <c r="L260" s="16" t="n">
        <v>12.0432064626682</v>
      </c>
      <c r="M260" s="19" t="n">
        <v>0.440122489827928</v>
      </c>
      <c r="N260" s="19" t="n">
        <v>1.00991798377783</v>
      </c>
      <c r="O260" s="19" t="n">
        <v>0.9289931773832</v>
      </c>
      <c r="P260" s="19" t="n">
        <v>0.75087691268326</v>
      </c>
      <c r="Q260" s="17" t="s">
        <v>30</v>
      </c>
      <c r="R260" s="5" t="str">
        <f aca="false">IF(OR(Q260="Steel plate",Q260="Concrete jacket"),"Steel plate or jacket",Q260)</f>
        <v>Seal cracks</v>
      </c>
      <c r="S260" s="5" t="str">
        <f aca="false">IF(O260&lt;='Tree rules'!$C$4,IF(N260&lt;='Tree rules'!$C$5,IF(P260&lt;='Tree rules'!$C$6,"Monitor","Polymer laminate"),IF(P260&lt;='Tree rules'!$C$7,"Seal cracks","Polymer laminate")),IF(O260&lt;='Tree rules'!$C$8,IF(M260&lt;='Tree rules'!$C$9,"Steel plate or jacket","Polymer laminate"),IF(L260&lt;='Tree rules'!$C$10,"Steel plate or jacket","Polymer laminate")))</f>
        <v>Seal cracks</v>
      </c>
      <c r="T260" s="5" t="str">
        <f aca="false">IF(S260=R260,"Yes","No")</f>
        <v>Yes</v>
      </c>
    </row>
    <row r="261" customFormat="false" ht="15" hidden="false" customHeight="false" outlineLevel="0" collapsed="false">
      <c r="A261" s="15" t="n">
        <v>851</v>
      </c>
      <c r="B261" s="16" t="n">
        <v>4.20685000478514</v>
      </c>
      <c r="C261" s="15" t="n">
        <v>300</v>
      </c>
      <c r="D261" s="15" t="n">
        <v>350</v>
      </c>
      <c r="E261" s="15" t="n">
        <v>30</v>
      </c>
      <c r="F261" s="16" t="n">
        <v>0.739198271432892</v>
      </c>
      <c r="G261" s="17" t="s">
        <v>91</v>
      </c>
      <c r="H261" s="18" t="n">
        <v>0.2</v>
      </c>
      <c r="I261" s="18" t="n">
        <v>1</v>
      </c>
      <c r="J261" s="19" t="n">
        <v>0.910581128094845</v>
      </c>
      <c r="K261" s="19" t="n">
        <v>0.60399555271084</v>
      </c>
      <c r="L261" s="16" t="n">
        <v>13.7478758326312</v>
      </c>
      <c r="M261" s="19" t="n">
        <v>0.654714115285017</v>
      </c>
      <c r="N261" s="19" t="n">
        <v>0.881787096915817</v>
      </c>
      <c r="O261" s="19" t="n">
        <v>0.910581128094845</v>
      </c>
      <c r="P261" s="19" t="n">
        <v>0.558993224103629</v>
      </c>
      <c r="Q261" s="17" t="s">
        <v>29</v>
      </c>
      <c r="R261" s="5" t="str">
        <f aca="false">IF(OR(Q261="Steel plate",Q261="Concrete jacket"),"Steel plate or jacket",Q261)</f>
        <v>Monitor</v>
      </c>
      <c r="S261" s="5" t="str">
        <f aca="false">IF(O261&lt;='Tree rules'!$C$4,IF(N261&lt;='Tree rules'!$C$5,IF(P261&lt;='Tree rules'!$C$6,"Monitor","Polymer laminate"),IF(P261&lt;='Tree rules'!$C$7,"Seal cracks","Polymer laminate")),IF(O261&lt;='Tree rules'!$C$8,IF(M261&lt;='Tree rules'!$C$9,"Steel plate or jacket","Polymer laminate"),IF(L261&lt;='Tree rules'!$C$10,"Steel plate or jacket","Polymer laminate")))</f>
        <v>Monitor</v>
      </c>
      <c r="T261" s="5" t="str">
        <f aca="false">IF(S261=R261,"Yes","No")</f>
        <v>Yes</v>
      </c>
    </row>
    <row r="262" customFormat="false" ht="15" hidden="false" customHeight="false" outlineLevel="0" collapsed="false">
      <c r="A262" s="15" t="n">
        <v>853</v>
      </c>
      <c r="B262" s="16" t="n">
        <v>7.82872401882887</v>
      </c>
      <c r="C262" s="15" t="n">
        <v>230</v>
      </c>
      <c r="D262" s="15" t="n">
        <v>625</v>
      </c>
      <c r="E262" s="15" t="n">
        <v>30</v>
      </c>
      <c r="F262" s="16" t="n">
        <v>0.603925598347216</v>
      </c>
      <c r="G262" s="17" t="s">
        <v>89</v>
      </c>
      <c r="H262" s="18" t="n">
        <v>0.3</v>
      </c>
      <c r="I262" s="18" t="n">
        <v>1</v>
      </c>
      <c r="J262" s="19" t="n">
        <v>0.888333003792242</v>
      </c>
      <c r="K262" s="19" t="n">
        <v>0.499424352829687</v>
      </c>
      <c r="L262" s="16" t="n">
        <v>13.5211122950412</v>
      </c>
      <c r="M262" s="19" t="n">
        <v>0.950397113365941</v>
      </c>
      <c r="N262" s="19" t="n">
        <v>0.502789961155515</v>
      </c>
      <c r="O262" s="19" t="n">
        <v>0.888333003792242</v>
      </c>
      <c r="P262" s="19" t="n">
        <v>0.357660159315753</v>
      </c>
      <c r="Q262" s="17" t="s">
        <v>29</v>
      </c>
      <c r="R262" s="5" t="str">
        <f aca="false">IF(OR(Q262="Steel plate",Q262="Concrete jacket"),"Steel plate or jacket",Q262)</f>
        <v>Monitor</v>
      </c>
      <c r="S262" s="5" t="str">
        <f aca="false">IF(O262&lt;='Tree rules'!$C$4,IF(N262&lt;='Tree rules'!$C$5,IF(P262&lt;='Tree rules'!$C$6,"Monitor","Polymer laminate"),IF(P262&lt;='Tree rules'!$C$7,"Seal cracks","Polymer laminate")),IF(O262&lt;='Tree rules'!$C$8,IF(M262&lt;='Tree rules'!$C$9,"Steel plate or jacket","Polymer laminate"),IF(L262&lt;='Tree rules'!$C$10,"Steel plate or jacket","Polymer laminate")))</f>
        <v>Monitor</v>
      </c>
      <c r="T262" s="5" t="str">
        <f aca="false">IF(S262=R262,"Yes","No")</f>
        <v>Yes</v>
      </c>
    </row>
    <row r="263" customFormat="false" ht="15" hidden="false" customHeight="false" outlineLevel="0" collapsed="false">
      <c r="A263" s="15" t="n">
        <v>856</v>
      </c>
      <c r="B263" s="16" t="n">
        <v>7.73011902860637</v>
      </c>
      <c r="C263" s="15" t="n">
        <v>300</v>
      </c>
      <c r="D263" s="15" t="n">
        <v>750</v>
      </c>
      <c r="E263" s="15" t="n">
        <v>25</v>
      </c>
      <c r="F263" s="16" t="n">
        <v>0.571198664289053</v>
      </c>
      <c r="G263" s="17" t="s">
        <v>89</v>
      </c>
      <c r="H263" s="18" t="n">
        <v>0.3</v>
      </c>
      <c r="I263" s="18" t="n">
        <v>1</v>
      </c>
      <c r="J263" s="19" t="n">
        <v>0.939321615364441</v>
      </c>
      <c r="K263" s="19" t="n">
        <v>0.407923620351624</v>
      </c>
      <c r="L263" s="16" t="n">
        <v>10.9802827110886</v>
      </c>
      <c r="M263" s="19" t="n">
        <v>0.293128308524142</v>
      </c>
      <c r="N263" s="19" t="n">
        <v>0.609941915632071</v>
      </c>
      <c r="O263" s="19" t="n">
        <v>0.939321615364441</v>
      </c>
      <c r="P263" s="19" t="n">
        <v>0.868552279957301</v>
      </c>
      <c r="Q263" s="17" t="s">
        <v>31</v>
      </c>
      <c r="R263" s="5" t="str">
        <f aca="false">IF(OR(Q263="Steel plate",Q263="Concrete jacket"),"Steel plate or jacket",Q263)</f>
        <v>Polymer laminate</v>
      </c>
      <c r="S263" s="5" t="str">
        <f aca="false">IF(O263&lt;='Tree rules'!$C$4,IF(N263&lt;='Tree rules'!$C$5,IF(P263&lt;='Tree rules'!$C$6,"Monitor","Polymer laminate"),IF(P263&lt;='Tree rules'!$C$7,"Seal cracks","Polymer laminate")),IF(O263&lt;='Tree rules'!$C$8,IF(M263&lt;='Tree rules'!$C$9,"Steel plate or jacket","Polymer laminate"),IF(L263&lt;='Tree rules'!$C$10,"Steel plate or jacket","Polymer laminate")))</f>
        <v>Monitor</v>
      </c>
      <c r="T263" s="5" t="str">
        <f aca="false">IF(S263=R263,"Yes","No")</f>
        <v>No</v>
      </c>
    </row>
    <row r="264" customFormat="false" ht="15" hidden="false" customHeight="false" outlineLevel="0" collapsed="false">
      <c r="A264" s="15" t="n">
        <v>858</v>
      </c>
      <c r="B264" s="16" t="n">
        <v>3.38622511145101</v>
      </c>
      <c r="C264" s="15" t="n">
        <v>300</v>
      </c>
      <c r="D264" s="15" t="n">
        <v>300</v>
      </c>
      <c r="E264" s="15" t="n">
        <v>30</v>
      </c>
      <c r="F264" s="16" t="n">
        <v>0.78213924985638</v>
      </c>
      <c r="G264" s="17" t="s">
        <v>90</v>
      </c>
      <c r="H264" s="18" t="n">
        <v>0.1</v>
      </c>
      <c r="I264" s="18" t="n">
        <v>1</v>
      </c>
      <c r="J264" s="19" t="n">
        <v>0.868633045238104</v>
      </c>
      <c r="K264" s="19" t="n">
        <v>0.444591152986062</v>
      </c>
      <c r="L264" s="16" t="n">
        <v>14.0507266035312</v>
      </c>
      <c r="M264" s="19" t="n">
        <v>0.635570415320481</v>
      </c>
      <c r="N264" s="19" t="n">
        <v>2.44160929178815</v>
      </c>
      <c r="O264" s="19" t="n">
        <v>0.868633045238104</v>
      </c>
      <c r="P264" s="19" t="n">
        <v>0.412263101619999</v>
      </c>
      <c r="Q264" s="17" t="s">
        <v>30</v>
      </c>
      <c r="R264" s="5" t="str">
        <f aca="false">IF(OR(Q264="Steel plate",Q264="Concrete jacket"),"Steel plate or jacket",Q264)</f>
        <v>Seal cracks</v>
      </c>
      <c r="S264" s="5" t="str">
        <f aca="false">IF(O264&lt;='Tree rules'!$C$4,IF(N264&lt;='Tree rules'!$C$5,IF(P264&lt;='Tree rules'!$C$6,"Monitor","Polymer laminate"),IF(P264&lt;='Tree rules'!$C$7,"Seal cracks","Polymer laminate")),IF(O264&lt;='Tree rules'!$C$8,IF(M264&lt;='Tree rules'!$C$9,"Steel plate or jacket","Polymer laminate"),IF(L264&lt;='Tree rules'!$C$10,"Steel plate or jacket","Polymer laminate")))</f>
        <v>Seal cracks</v>
      </c>
      <c r="T264" s="5" t="str">
        <f aca="false">IF(S264=R264,"Yes","No")</f>
        <v>Yes</v>
      </c>
    </row>
    <row r="265" customFormat="false" ht="15" hidden="false" customHeight="false" outlineLevel="0" collapsed="false">
      <c r="A265" s="15" t="n">
        <v>859</v>
      </c>
      <c r="B265" s="16" t="n">
        <v>4.64112081730916</v>
      </c>
      <c r="C265" s="15" t="n">
        <v>300</v>
      </c>
      <c r="D265" s="15" t="n">
        <v>375</v>
      </c>
      <c r="E265" s="15" t="n">
        <v>25</v>
      </c>
      <c r="F265" s="16" t="n">
        <v>0.683367586279351</v>
      </c>
      <c r="G265" s="17" t="s">
        <v>91</v>
      </c>
      <c r="H265" s="18" t="n">
        <v>0.2</v>
      </c>
      <c r="I265" s="18" t="n">
        <v>1</v>
      </c>
      <c r="J265" s="19" t="n">
        <v>0.883144177383394</v>
      </c>
      <c r="K265" s="19" t="n">
        <v>0.593072899375173</v>
      </c>
      <c r="L265" s="16" t="n">
        <v>14.0215130432301</v>
      </c>
      <c r="M265" s="19" t="n">
        <v>0.462664217334485</v>
      </c>
      <c r="N265" s="19" t="n">
        <v>0.876346711867485</v>
      </c>
      <c r="O265" s="19" t="n">
        <v>0.883144177383394</v>
      </c>
      <c r="P265" s="19" t="n">
        <v>0.775067363004457</v>
      </c>
      <c r="Q265" s="17" t="s">
        <v>29</v>
      </c>
      <c r="R265" s="5" t="str">
        <f aca="false">IF(OR(Q265="Steel plate",Q265="Concrete jacket"),"Steel plate or jacket",Q265)</f>
        <v>Monitor</v>
      </c>
      <c r="S265" s="5" t="str">
        <f aca="false">IF(O265&lt;='Tree rules'!$C$4,IF(N265&lt;='Tree rules'!$C$5,IF(P265&lt;='Tree rules'!$C$6,"Monitor","Polymer laminate"),IF(P265&lt;='Tree rules'!$C$7,"Seal cracks","Polymer laminate")),IF(O265&lt;='Tree rules'!$C$8,IF(M265&lt;='Tree rules'!$C$9,"Steel plate or jacket","Polymer laminate"),IF(L265&lt;='Tree rules'!$C$10,"Steel plate or jacket","Polymer laminate")))</f>
        <v>Monitor</v>
      </c>
      <c r="T265" s="5" t="str">
        <f aca="false">IF(S265=R265,"Yes","No")</f>
        <v>Yes</v>
      </c>
    </row>
    <row r="266" customFormat="false" ht="15" hidden="false" customHeight="false" outlineLevel="0" collapsed="false">
      <c r="A266" s="15" t="n">
        <v>864</v>
      </c>
      <c r="B266" s="16" t="n">
        <v>7.63074416638473</v>
      </c>
      <c r="C266" s="15" t="n">
        <v>300</v>
      </c>
      <c r="D266" s="15" t="n">
        <v>625</v>
      </c>
      <c r="E266" s="15" t="n">
        <v>30</v>
      </c>
      <c r="F266" s="16" t="n">
        <v>0.725960174139756</v>
      </c>
      <c r="G266" s="17" t="s">
        <v>89</v>
      </c>
      <c r="H266" s="18" t="n">
        <v>0.3</v>
      </c>
      <c r="I266" s="18" t="n">
        <v>1.5</v>
      </c>
      <c r="J266" s="19" t="n">
        <v>0.87007396163973</v>
      </c>
      <c r="K266" s="19" t="n">
        <v>0.480296519712612</v>
      </c>
      <c r="L266" s="16" t="n">
        <v>13.2248599070793</v>
      </c>
      <c r="M266" s="19" t="n">
        <v>0.672503788481335</v>
      </c>
      <c r="N266" s="19" t="n">
        <v>0.76157591925147</v>
      </c>
      <c r="O266" s="19" t="n">
        <v>1.09616419462553</v>
      </c>
      <c r="P266" s="19" t="n">
        <v>0.596986110603222</v>
      </c>
      <c r="Q266" s="17" t="s">
        <v>31</v>
      </c>
      <c r="R266" s="5" t="str">
        <f aca="false">IF(OR(Q266="Steel plate",Q266="Concrete jacket"),"Steel plate or jacket",Q266)</f>
        <v>Polymer laminate</v>
      </c>
      <c r="S266" s="5" t="str">
        <f aca="false">IF(O266&lt;='Tree rules'!$C$4,IF(N266&lt;='Tree rules'!$C$5,IF(P266&lt;='Tree rules'!$C$6,"Monitor","Polymer laminate"),IF(P266&lt;='Tree rules'!$C$7,"Seal cracks","Polymer laminate")),IF(O266&lt;='Tree rules'!$C$8,IF(M266&lt;='Tree rules'!$C$9,"Steel plate or jacket","Polymer laminate"),IF(L266&lt;='Tree rules'!$C$10,"Steel plate or jacket","Polymer laminate")))</f>
        <v>Polymer laminate</v>
      </c>
      <c r="T266" s="5" t="str">
        <f aca="false">IF(S266=R266,"Yes","No")</f>
        <v>Yes</v>
      </c>
    </row>
    <row r="267" customFormat="false" ht="15" hidden="false" customHeight="false" outlineLevel="0" collapsed="false">
      <c r="A267" s="15" t="n">
        <v>869</v>
      </c>
      <c r="B267" s="16" t="n">
        <v>6.37173626390039</v>
      </c>
      <c r="C267" s="15" t="n">
        <v>230</v>
      </c>
      <c r="D267" s="15" t="n">
        <v>525</v>
      </c>
      <c r="E267" s="15" t="n">
        <v>30</v>
      </c>
      <c r="F267" s="16" t="n">
        <v>0.565204075608359</v>
      </c>
      <c r="G267" s="17" t="s">
        <v>90</v>
      </c>
      <c r="H267" s="18" t="n">
        <v>0.1</v>
      </c>
      <c r="I267" s="18" t="n">
        <v>1.5</v>
      </c>
      <c r="J267" s="19" t="n">
        <v>0.861155923176638</v>
      </c>
      <c r="K267" s="19" t="n">
        <v>0.464778385417414</v>
      </c>
      <c r="L267" s="16" t="n">
        <v>13.7321902239232</v>
      </c>
      <c r="M267" s="19" t="n">
        <v>0.65266295246992</v>
      </c>
      <c r="N267" s="19" t="n">
        <v>2.86565468398184</v>
      </c>
      <c r="O267" s="19" t="n">
        <v>1.09161055498162</v>
      </c>
      <c r="P267" s="19" t="n">
        <v>0.447157251582516</v>
      </c>
      <c r="Q267" s="17" t="s">
        <v>31</v>
      </c>
      <c r="R267" s="5" t="str">
        <f aca="false">IF(OR(Q267="Steel plate",Q267="Concrete jacket"),"Steel plate or jacket",Q267)</f>
        <v>Polymer laminate</v>
      </c>
      <c r="S267" s="5" t="str">
        <f aca="false">IF(O267&lt;='Tree rules'!$C$4,IF(N267&lt;='Tree rules'!$C$5,IF(P267&lt;='Tree rules'!$C$6,"Monitor","Polymer laminate"),IF(P267&lt;='Tree rules'!$C$7,"Seal cracks","Polymer laminate")),IF(O267&lt;='Tree rules'!$C$8,IF(M267&lt;='Tree rules'!$C$9,"Steel plate or jacket","Polymer laminate"),IF(L267&lt;='Tree rules'!$C$10,"Steel plate or jacket","Polymer laminate")))</f>
        <v>Polymer laminate</v>
      </c>
      <c r="T267" s="5" t="str">
        <f aca="false">IF(S267=R267,"Yes","No")</f>
        <v>Yes</v>
      </c>
    </row>
    <row r="268" customFormat="false" ht="15" hidden="false" customHeight="false" outlineLevel="0" collapsed="false">
      <c r="A268" s="15" t="n">
        <v>871</v>
      </c>
      <c r="B268" s="16" t="n">
        <v>6.43242895861243</v>
      </c>
      <c r="C268" s="15" t="n">
        <v>300</v>
      </c>
      <c r="D268" s="15" t="n">
        <v>625</v>
      </c>
      <c r="E268" s="15" t="n">
        <v>25</v>
      </c>
      <c r="F268" s="16" t="n">
        <v>0.725960174139756</v>
      </c>
      <c r="G268" s="17" t="s">
        <v>91</v>
      </c>
      <c r="H268" s="18" t="n">
        <v>0.2</v>
      </c>
      <c r="I268" s="18" t="n">
        <v>2</v>
      </c>
      <c r="J268" s="19" t="n">
        <v>0.996174944637324</v>
      </c>
      <c r="K268" s="19" t="n">
        <v>0.430099453169768</v>
      </c>
      <c r="L268" s="16" t="n">
        <v>11.1480571206455</v>
      </c>
      <c r="M268" s="19" t="n">
        <v>0.847165102416933</v>
      </c>
      <c r="N268" s="19" t="n">
        <v>1.60108945357794</v>
      </c>
      <c r="O268" s="19" t="n">
        <v>1.56389559032471</v>
      </c>
      <c r="P268" s="19" t="n">
        <v>0.537095337524252</v>
      </c>
      <c r="Q268" s="17" t="s">
        <v>93</v>
      </c>
      <c r="R268" s="5" t="str">
        <f aca="false">IF(OR(Q268="Steel plate",Q268="Concrete jacket"),"Steel plate or jacket",Q268)</f>
        <v>Steel plate or jacket</v>
      </c>
      <c r="S268" s="5" t="str">
        <f aca="false">IF(O268&lt;='Tree rules'!$C$4,IF(N268&lt;='Tree rules'!$C$5,IF(P268&lt;='Tree rules'!$C$6,"Monitor","Polymer laminate"),IF(P268&lt;='Tree rules'!$C$7,"Seal cracks","Polymer laminate")),IF(O268&lt;='Tree rules'!$C$8,IF(M268&lt;='Tree rules'!$C$9,"Steel plate or jacket","Polymer laminate"),IF(L268&lt;='Tree rules'!$C$10,"Steel plate or jacket","Polymer laminate")))</f>
        <v>Steel plate or jacket</v>
      </c>
      <c r="T268" s="5" t="str">
        <f aca="false">IF(S268=R268,"Yes","No")</f>
        <v>Yes</v>
      </c>
    </row>
    <row r="269" customFormat="false" ht="15" hidden="false" customHeight="false" outlineLevel="0" collapsed="false">
      <c r="A269" s="15" t="n">
        <v>872</v>
      </c>
      <c r="B269" s="16" t="n">
        <v>3.44674874420557</v>
      </c>
      <c r="C269" s="15" t="n">
        <v>300</v>
      </c>
      <c r="D269" s="15" t="n">
        <v>325</v>
      </c>
      <c r="E269" s="15" t="n">
        <v>25</v>
      </c>
      <c r="F269" s="16" t="n">
        <v>0.756099314943392</v>
      </c>
      <c r="G269" s="17" t="s">
        <v>91</v>
      </c>
      <c r="H269" s="18" t="n">
        <v>0.2</v>
      </c>
      <c r="I269" s="18" t="n">
        <v>1.5</v>
      </c>
      <c r="J269" s="19" t="n">
        <v>0.861479390629189</v>
      </c>
      <c r="K269" s="19" t="n">
        <v>0.537530479491904</v>
      </c>
      <c r="L269" s="16" t="n">
        <v>12.4431362606699</v>
      </c>
      <c r="M269" s="19" t="n">
        <v>0.810935218639992</v>
      </c>
      <c r="N269" s="19" t="n">
        <v>1.67239712825505</v>
      </c>
      <c r="O269" s="19" t="n">
        <v>1.06068337098513</v>
      </c>
      <c r="P269" s="19" t="n">
        <v>0.423695443222625</v>
      </c>
      <c r="Q269" s="17" t="s">
        <v>31</v>
      </c>
      <c r="R269" s="5" t="str">
        <f aca="false">IF(OR(Q269="Steel plate",Q269="Concrete jacket"),"Steel plate or jacket",Q269)</f>
        <v>Polymer laminate</v>
      </c>
      <c r="S269" s="5" t="str">
        <f aca="false">IF(O269&lt;='Tree rules'!$C$4,IF(N269&lt;='Tree rules'!$C$5,IF(P269&lt;='Tree rules'!$C$6,"Monitor","Polymer laminate"),IF(P269&lt;='Tree rules'!$C$7,"Seal cracks","Polymer laminate")),IF(O269&lt;='Tree rules'!$C$8,IF(M269&lt;='Tree rules'!$C$9,"Steel plate or jacket","Polymer laminate"),IF(L269&lt;='Tree rules'!$C$10,"Steel plate or jacket","Polymer laminate")))</f>
        <v>Polymer laminate</v>
      </c>
      <c r="T269" s="5" t="str">
        <f aca="false">IF(S269=R269,"Yes","No")</f>
        <v>Yes</v>
      </c>
    </row>
    <row r="270" customFormat="false" ht="15" hidden="false" customHeight="false" outlineLevel="0" collapsed="false">
      <c r="A270" s="15" t="n">
        <v>874</v>
      </c>
      <c r="B270" s="16" t="n">
        <v>3.73070090875708</v>
      </c>
      <c r="C270" s="15" t="n">
        <v>300</v>
      </c>
      <c r="D270" s="15" t="n">
        <v>350</v>
      </c>
      <c r="E270" s="15" t="n">
        <v>30</v>
      </c>
      <c r="F270" s="16" t="n">
        <v>1.09463158661665</v>
      </c>
      <c r="G270" s="17" t="s">
        <v>90</v>
      </c>
      <c r="H270" s="18" t="n">
        <v>0.1</v>
      </c>
      <c r="I270" s="18" t="n">
        <v>1</v>
      </c>
      <c r="J270" s="19" t="n">
        <v>0.896644618979849</v>
      </c>
      <c r="K270" s="19" t="n">
        <v>0.431219990254151</v>
      </c>
      <c r="L270" s="16" t="n">
        <v>12.9989578702337</v>
      </c>
      <c r="M270" s="19" t="n">
        <v>0.527617377620391</v>
      </c>
      <c r="N270" s="19" t="n">
        <v>2.80463684741354</v>
      </c>
      <c r="O270" s="19" t="n">
        <v>0.896644618979849</v>
      </c>
      <c r="P270" s="19" t="n">
        <v>0.639359531862967</v>
      </c>
      <c r="Q270" s="17" t="s">
        <v>30</v>
      </c>
      <c r="R270" s="5" t="str">
        <f aca="false">IF(OR(Q270="Steel plate",Q270="Concrete jacket"),"Steel plate or jacket",Q270)</f>
        <v>Seal cracks</v>
      </c>
      <c r="S270" s="5" t="str">
        <f aca="false">IF(O270&lt;='Tree rules'!$C$4,IF(N270&lt;='Tree rules'!$C$5,IF(P270&lt;='Tree rules'!$C$6,"Monitor","Polymer laminate"),IF(P270&lt;='Tree rules'!$C$7,"Seal cracks","Polymer laminate")),IF(O270&lt;='Tree rules'!$C$8,IF(M270&lt;='Tree rules'!$C$9,"Steel plate or jacket","Polymer laminate"),IF(L270&lt;='Tree rules'!$C$10,"Steel plate or jacket","Polymer laminate")))</f>
        <v>Seal cracks</v>
      </c>
      <c r="T270" s="5" t="str">
        <f aca="false">IF(S270=R270,"Yes","No")</f>
        <v>Yes</v>
      </c>
    </row>
    <row r="271" customFormat="false" ht="15" hidden="false" customHeight="false" outlineLevel="0" collapsed="false">
      <c r="A271" s="15" t="n">
        <v>881</v>
      </c>
      <c r="B271" s="16" t="n">
        <v>6.73543922895697</v>
      </c>
      <c r="C271" s="15" t="n">
        <v>300</v>
      </c>
      <c r="D271" s="15" t="n">
        <v>575</v>
      </c>
      <c r="E271" s="15" t="n">
        <v>20</v>
      </c>
      <c r="F271" s="16" t="n">
        <v>0.596127638252333</v>
      </c>
      <c r="G271" s="17" t="s">
        <v>91</v>
      </c>
      <c r="H271" s="18" t="n">
        <v>0.2</v>
      </c>
      <c r="I271" s="18" t="n">
        <v>1</v>
      </c>
      <c r="J271" s="19" t="n">
        <v>0.944495741796838</v>
      </c>
      <c r="K271" s="19" t="n">
        <v>0.452248883023707</v>
      </c>
      <c r="L271" s="16" t="n">
        <v>12.7807195995389</v>
      </c>
      <c r="M271" s="19" t="n">
        <v>0.668406699192381</v>
      </c>
      <c r="N271" s="19" t="n">
        <v>1.104082171686</v>
      </c>
      <c r="O271" s="19" t="n">
        <v>0.944495741796838</v>
      </c>
      <c r="P271" s="19" t="n">
        <v>0.514009288584524</v>
      </c>
      <c r="Q271" s="17" t="s">
        <v>30</v>
      </c>
      <c r="R271" s="5" t="str">
        <f aca="false">IF(OR(Q271="Steel plate",Q271="Concrete jacket"),"Steel plate or jacket",Q271)</f>
        <v>Seal cracks</v>
      </c>
      <c r="S271" s="5" t="str">
        <f aca="false">IF(O271&lt;='Tree rules'!$C$4,IF(N271&lt;='Tree rules'!$C$5,IF(P271&lt;='Tree rules'!$C$6,"Monitor","Polymer laminate"),IF(P271&lt;='Tree rules'!$C$7,"Seal cracks","Polymer laminate")),IF(O271&lt;='Tree rules'!$C$8,IF(M271&lt;='Tree rules'!$C$9,"Steel plate or jacket","Polymer laminate"),IF(L271&lt;='Tree rules'!$C$10,"Steel plate or jacket","Polymer laminate")))</f>
        <v>Seal cracks</v>
      </c>
      <c r="T271" s="5" t="str">
        <f aca="false">IF(S271=R271,"Yes","No")</f>
        <v>Yes</v>
      </c>
    </row>
    <row r="272" customFormat="false" ht="15" hidden="false" customHeight="false" outlineLevel="0" collapsed="false">
      <c r="A272" s="15" t="n">
        <v>888</v>
      </c>
      <c r="B272" s="16" t="n">
        <v>6.79220869434442</v>
      </c>
      <c r="C272" s="15" t="n">
        <v>300</v>
      </c>
      <c r="D272" s="15" t="n">
        <v>550</v>
      </c>
      <c r="E272" s="15" t="n">
        <v>20</v>
      </c>
      <c r="F272" s="16" t="n">
        <v>0.625815269639401</v>
      </c>
      <c r="G272" s="17" t="s">
        <v>91</v>
      </c>
      <c r="H272" s="18" t="n">
        <v>0.2</v>
      </c>
      <c r="I272" s="18" t="n">
        <v>1</v>
      </c>
      <c r="J272" s="19" t="n">
        <v>0.856059896635246</v>
      </c>
      <c r="K272" s="19" t="n">
        <v>0.635382220149199</v>
      </c>
      <c r="L272" s="16" t="n">
        <v>13.5302962038733</v>
      </c>
      <c r="M272" s="19" t="n">
        <v>0.406747199423003</v>
      </c>
      <c r="N272" s="19" t="n">
        <v>1.07065493667888</v>
      </c>
      <c r="O272" s="19" t="n">
        <v>0.856059896635246</v>
      </c>
      <c r="P272" s="19" t="n">
        <v>0.932835639938307</v>
      </c>
      <c r="Q272" s="17" t="s">
        <v>30</v>
      </c>
      <c r="R272" s="5" t="str">
        <f aca="false">IF(OR(Q272="Steel plate",Q272="Concrete jacket"),"Steel plate or jacket",Q272)</f>
        <v>Seal cracks</v>
      </c>
      <c r="S272" s="5" t="str">
        <f aca="false">IF(O272&lt;='Tree rules'!$C$4,IF(N272&lt;='Tree rules'!$C$5,IF(P272&lt;='Tree rules'!$C$6,"Monitor","Polymer laminate"),IF(P272&lt;='Tree rules'!$C$7,"Seal cracks","Polymer laminate")),IF(O272&lt;='Tree rules'!$C$8,IF(M272&lt;='Tree rules'!$C$9,"Steel plate or jacket","Polymer laminate"),IF(L272&lt;='Tree rules'!$C$10,"Steel plate or jacket","Polymer laminate")))</f>
        <v>Seal cracks</v>
      </c>
      <c r="T272" s="5" t="str">
        <f aca="false">IF(S272=R272,"Yes","No")</f>
        <v>Yes</v>
      </c>
    </row>
    <row r="273" customFormat="false" ht="15" hidden="false" customHeight="false" outlineLevel="0" collapsed="false">
      <c r="A273" s="15" t="n">
        <v>894</v>
      </c>
      <c r="B273" s="16" t="n">
        <v>4.70808952173486</v>
      </c>
      <c r="C273" s="15" t="n">
        <v>230</v>
      </c>
      <c r="D273" s="15" t="n">
        <v>400</v>
      </c>
      <c r="E273" s="15" t="n">
        <v>25</v>
      </c>
      <c r="F273" s="16" t="n">
        <v>0.810628990734046</v>
      </c>
      <c r="G273" s="17" t="s">
        <v>90</v>
      </c>
      <c r="H273" s="18" t="n">
        <v>0.1</v>
      </c>
      <c r="I273" s="18" t="n">
        <v>1</v>
      </c>
      <c r="J273" s="19" t="n">
        <v>0.904004311368362</v>
      </c>
      <c r="K273" s="19" t="n">
        <v>0.403181943043693</v>
      </c>
      <c r="L273" s="16" t="n">
        <v>13.9705920526257</v>
      </c>
      <c r="M273" s="19" t="n">
        <v>0.723908657352023</v>
      </c>
      <c r="N273" s="19" t="n">
        <v>2.7478805148517</v>
      </c>
      <c r="O273" s="19" t="n">
        <v>0.904004311368362</v>
      </c>
      <c r="P273" s="19" t="n">
        <v>0.453983806031057</v>
      </c>
      <c r="Q273" s="17" t="s">
        <v>30</v>
      </c>
      <c r="R273" s="5" t="str">
        <f aca="false">IF(OR(Q273="Steel plate",Q273="Concrete jacket"),"Steel plate or jacket",Q273)</f>
        <v>Seal cracks</v>
      </c>
      <c r="S273" s="5" t="str">
        <f aca="false">IF(O273&lt;='Tree rules'!$C$4,IF(N273&lt;='Tree rules'!$C$5,IF(P273&lt;='Tree rules'!$C$6,"Monitor","Polymer laminate"),IF(P273&lt;='Tree rules'!$C$7,"Seal cracks","Polymer laminate")),IF(O273&lt;='Tree rules'!$C$8,IF(M273&lt;='Tree rules'!$C$9,"Steel plate or jacket","Polymer laminate"),IF(L273&lt;='Tree rules'!$C$10,"Steel plate or jacket","Polymer laminate")))</f>
        <v>Seal cracks</v>
      </c>
      <c r="T273" s="5" t="str">
        <f aca="false">IF(S273=R273,"Yes","No")</f>
        <v>Yes</v>
      </c>
    </row>
    <row r="274" customFormat="false" ht="15" hidden="false" customHeight="false" outlineLevel="0" collapsed="false">
      <c r="A274" s="15" t="n">
        <v>895</v>
      </c>
      <c r="B274" s="16" t="n">
        <v>4.78752299470696</v>
      </c>
      <c r="C274" s="15" t="n">
        <v>300</v>
      </c>
      <c r="D274" s="15" t="n">
        <v>375</v>
      </c>
      <c r="E274" s="15" t="n">
        <v>30</v>
      </c>
      <c r="F274" s="16" t="n">
        <v>0.569472988566126</v>
      </c>
      <c r="G274" s="17" t="s">
        <v>89</v>
      </c>
      <c r="H274" s="18" t="n">
        <v>0.3</v>
      </c>
      <c r="I274" s="18" t="n">
        <v>1.5</v>
      </c>
      <c r="J274" s="19" t="n">
        <v>0.970525305767184</v>
      </c>
      <c r="K274" s="19" t="n">
        <v>0.43226268725291</v>
      </c>
      <c r="L274" s="16" t="n">
        <v>14.4638156939787</v>
      </c>
      <c r="M274" s="19" t="n">
        <v>0.903851457762245</v>
      </c>
      <c r="N274" s="19" t="n">
        <v>0.792703240422929</v>
      </c>
      <c r="O274" s="19" t="n">
        <v>1.24602702029184</v>
      </c>
      <c r="P274" s="19" t="n">
        <v>0.385609806866159</v>
      </c>
      <c r="Q274" s="17" t="s">
        <v>31</v>
      </c>
      <c r="R274" s="5" t="str">
        <f aca="false">IF(OR(Q274="Steel plate",Q274="Concrete jacket"),"Steel plate or jacket",Q274)</f>
        <v>Polymer laminate</v>
      </c>
      <c r="S274" s="5" t="str">
        <f aca="false">IF(O274&lt;='Tree rules'!$C$4,IF(N274&lt;='Tree rules'!$C$5,IF(P274&lt;='Tree rules'!$C$6,"Monitor","Polymer laminate"),IF(P274&lt;='Tree rules'!$C$7,"Seal cracks","Polymer laminate")),IF(O274&lt;='Tree rules'!$C$8,IF(M274&lt;='Tree rules'!$C$9,"Steel plate or jacket","Polymer laminate"),IF(L274&lt;='Tree rules'!$C$10,"Steel plate or jacket","Polymer laminate")))</f>
        <v>Polymer laminate</v>
      </c>
      <c r="T274" s="5" t="str">
        <f aca="false">IF(S274=R274,"Yes","No")</f>
        <v>Yes</v>
      </c>
    </row>
    <row r="275" customFormat="false" ht="15" hidden="false" customHeight="false" outlineLevel="0" collapsed="false">
      <c r="A275" s="15" t="n">
        <v>896</v>
      </c>
      <c r="B275" s="16" t="n">
        <v>7.0020338898267</v>
      </c>
      <c r="C275" s="15" t="n">
        <v>300</v>
      </c>
      <c r="D275" s="15" t="n">
        <v>675</v>
      </c>
      <c r="E275" s="15" t="n">
        <v>20</v>
      </c>
      <c r="F275" s="16" t="n">
        <v>0.668068613203571</v>
      </c>
      <c r="G275" s="17" t="s">
        <v>89</v>
      </c>
      <c r="H275" s="18" t="n">
        <v>0.3</v>
      </c>
      <c r="I275" s="18" t="n">
        <v>1</v>
      </c>
      <c r="J275" s="19" t="n">
        <v>0.981363326832474</v>
      </c>
      <c r="K275" s="19" t="n">
        <v>0.425599373175894</v>
      </c>
      <c r="L275" s="16" t="n">
        <v>11.1675181655928</v>
      </c>
      <c r="M275" s="19" t="n">
        <v>0.886031740622138</v>
      </c>
      <c r="N275" s="19" t="n">
        <v>0.613699021971055</v>
      </c>
      <c r="O275" s="19" t="n">
        <v>0.981363326832474</v>
      </c>
      <c r="P275" s="19" t="n">
        <v>0.398149501775237</v>
      </c>
      <c r="Q275" s="17" t="s">
        <v>29</v>
      </c>
      <c r="R275" s="5" t="str">
        <f aca="false">IF(OR(Q275="Steel plate",Q275="Concrete jacket"),"Steel plate or jacket",Q275)</f>
        <v>Monitor</v>
      </c>
      <c r="S275" s="5" t="str">
        <f aca="false">IF(O275&lt;='Tree rules'!$C$4,IF(N275&lt;='Tree rules'!$C$5,IF(P275&lt;='Tree rules'!$C$6,"Monitor","Polymer laminate"),IF(P275&lt;='Tree rules'!$C$7,"Seal cracks","Polymer laminate")),IF(O275&lt;='Tree rules'!$C$8,IF(M275&lt;='Tree rules'!$C$9,"Steel plate or jacket","Polymer laminate"),IF(L275&lt;='Tree rules'!$C$10,"Steel plate or jacket","Polymer laminate")))</f>
        <v>Monitor</v>
      </c>
      <c r="T275" s="5" t="str">
        <f aca="false">IF(S275=R275,"Yes","No")</f>
        <v>Yes</v>
      </c>
    </row>
    <row r="276" customFormat="false" ht="15" hidden="false" customHeight="false" outlineLevel="0" collapsed="false">
      <c r="A276" s="15" t="n">
        <v>900</v>
      </c>
      <c r="B276" s="16" t="n">
        <v>3.34483224931997</v>
      </c>
      <c r="C276" s="15" t="n">
        <v>300</v>
      </c>
      <c r="D276" s="15" t="n">
        <v>300</v>
      </c>
      <c r="E276" s="15" t="n">
        <v>30</v>
      </c>
      <c r="F276" s="16" t="n">
        <v>0.831109167616348</v>
      </c>
      <c r="G276" s="17" t="s">
        <v>89</v>
      </c>
      <c r="H276" s="18" t="n">
        <v>0.3</v>
      </c>
      <c r="I276" s="18" t="n">
        <v>1.5</v>
      </c>
      <c r="J276" s="19" t="n">
        <v>0.917402887655706</v>
      </c>
      <c r="K276" s="19" t="n">
        <v>0.547837647213946</v>
      </c>
      <c r="L276" s="16" t="n">
        <v>13.2731438465078</v>
      </c>
      <c r="M276" s="19" t="n">
        <v>0.584295821824719</v>
      </c>
      <c r="N276" s="19" t="n">
        <v>1.24336740452081</v>
      </c>
      <c r="O276" s="19" t="n">
        <v>1.12481041172327</v>
      </c>
      <c r="P276" s="19" t="n">
        <v>0.631814141599098</v>
      </c>
      <c r="Q276" s="17" t="s">
        <v>31</v>
      </c>
      <c r="R276" s="5" t="str">
        <f aca="false">IF(OR(Q276="Steel plate",Q276="Concrete jacket"),"Steel plate or jacket",Q276)</f>
        <v>Polymer laminate</v>
      </c>
      <c r="S276" s="5" t="str">
        <f aca="false">IF(O276&lt;='Tree rules'!$C$4,IF(N276&lt;='Tree rules'!$C$5,IF(P276&lt;='Tree rules'!$C$6,"Monitor","Polymer laminate"),IF(P276&lt;='Tree rules'!$C$7,"Seal cracks","Polymer laminate")),IF(O276&lt;='Tree rules'!$C$8,IF(M276&lt;='Tree rules'!$C$9,"Steel plate or jacket","Polymer laminate"),IF(L276&lt;='Tree rules'!$C$10,"Steel plate or jacket","Polymer laminate")))</f>
        <v>Polymer laminate</v>
      </c>
      <c r="T276" s="5" t="str">
        <f aca="false">IF(S276=R276,"Yes","No")</f>
        <v>Yes</v>
      </c>
    </row>
    <row r="277" customFormat="false" ht="15" hidden="false" customHeight="false" outlineLevel="0" collapsed="false">
      <c r="A277" s="15" t="n">
        <v>907</v>
      </c>
      <c r="B277" s="16" t="n">
        <v>4.18308975621846</v>
      </c>
      <c r="C277" s="15" t="n">
        <v>300</v>
      </c>
      <c r="D277" s="15" t="n">
        <v>350</v>
      </c>
      <c r="E277" s="15" t="n">
        <v>20</v>
      </c>
      <c r="F277" s="16" t="n">
        <v>0.693508312050727</v>
      </c>
      <c r="G277" s="17" t="s">
        <v>91</v>
      </c>
      <c r="H277" s="18" t="n">
        <v>0.2</v>
      </c>
      <c r="I277" s="18" t="n">
        <v>1</v>
      </c>
      <c r="J277" s="19" t="n">
        <v>0.885784143119742</v>
      </c>
      <c r="K277" s="19" t="n">
        <v>0.498551057250336</v>
      </c>
      <c r="L277" s="16" t="n">
        <v>13.8512905835048</v>
      </c>
      <c r="M277" s="19" t="n">
        <v>0.947269817975334</v>
      </c>
      <c r="N277" s="19" t="n">
        <v>1.29826146187303</v>
      </c>
      <c r="O277" s="19" t="n">
        <v>0.885784143119742</v>
      </c>
      <c r="P277" s="19" t="n">
        <v>0.382415521882596</v>
      </c>
      <c r="Q277" s="17" t="s">
        <v>30</v>
      </c>
      <c r="R277" s="5" t="str">
        <f aca="false">IF(OR(Q277="Steel plate",Q277="Concrete jacket"),"Steel plate or jacket",Q277)</f>
        <v>Seal cracks</v>
      </c>
      <c r="S277" s="5" t="str">
        <f aca="false">IF(O277&lt;='Tree rules'!$C$4,IF(N277&lt;='Tree rules'!$C$5,IF(P277&lt;='Tree rules'!$C$6,"Monitor","Polymer laminate"),IF(P277&lt;='Tree rules'!$C$7,"Seal cracks","Polymer laminate")),IF(O277&lt;='Tree rules'!$C$8,IF(M277&lt;='Tree rules'!$C$9,"Steel plate or jacket","Polymer laminate"),IF(L277&lt;='Tree rules'!$C$10,"Steel plate or jacket","Polymer laminate")))</f>
        <v>Seal cracks</v>
      </c>
      <c r="T277" s="5" t="str">
        <f aca="false">IF(S277=R277,"Yes","No")</f>
        <v>Yes</v>
      </c>
    </row>
    <row r="278" customFormat="false" ht="15" hidden="false" customHeight="false" outlineLevel="0" collapsed="false">
      <c r="A278" s="15" t="n">
        <v>917</v>
      </c>
      <c r="B278" s="16" t="n">
        <v>5.33142667761372</v>
      </c>
      <c r="C278" s="15" t="n">
        <v>300</v>
      </c>
      <c r="D278" s="15" t="n">
        <v>525</v>
      </c>
      <c r="E278" s="15" t="n">
        <v>25</v>
      </c>
      <c r="F278" s="16" t="n">
        <v>0.658614812073332</v>
      </c>
      <c r="G278" s="17" t="s">
        <v>91</v>
      </c>
      <c r="H278" s="18" t="n">
        <v>0.2</v>
      </c>
      <c r="I278" s="18" t="n">
        <v>2</v>
      </c>
      <c r="J278" s="19" t="n">
        <v>0.95621907125875</v>
      </c>
      <c r="K278" s="19" t="n">
        <v>0.464365537689107</v>
      </c>
      <c r="L278" s="16" t="n">
        <v>11.1769951312657</v>
      </c>
      <c r="M278" s="19" t="n">
        <v>0.795924713131611</v>
      </c>
      <c r="N278" s="19" t="n">
        <v>1.78344516043024</v>
      </c>
      <c r="O278" s="19" t="n">
        <v>1.46840295934385</v>
      </c>
      <c r="P278" s="19" t="n">
        <v>0.492816301797396</v>
      </c>
      <c r="Q278" s="17" t="s">
        <v>92</v>
      </c>
      <c r="R278" s="5" t="str">
        <f aca="false">IF(OR(Q278="Steel plate",Q278="Concrete jacket"),"Steel plate or jacket",Q278)</f>
        <v>Steel plate or jacket</v>
      </c>
      <c r="S278" s="5" t="str">
        <f aca="false">IF(O278&lt;='Tree rules'!$C$4,IF(N278&lt;='Tree rules'!$C$5,IF(P278&lt;='Tree rules'!$C$6,"Monitor","Polymer laminate"),IF(P278&lt;='Tree rules'!$C$7,"Seal cracks","Polymer laminate")),IF(O278&lt;='Tree rules'!$C$8,IF(M278&lt;='Tree rules'!$C$9,"Steel plate or jacket","Polymer laminate"),IF(L278&lt;='Tree rules'!$C$10,"Steel plate or jacket","Polymer laminate")))</f>
        <v>Steel plate or jacket</v>
      </c>
      <c r="T278" s="5" t="str">
        <f aca="false">IF(S278=R278,"Yes","No")</f>
        <v>Yes</v>
      </c>
    </row>
    <row r="279" customFormat="false" ht="15" hidden="false" customHeight="false" outlineLevel="0" collapsed="false">
      <c r="A279" s="15" t="n">
        <v>924</v>
      </c>
      <c r="B279" s="16" t="n">
        <v>4.12890312164986</v>
      </c>
      <c r="C279" s="15" t="n">
        <v>230</v>
      </c>
      <c r="D279" s="15" t="n">
        <v>325</v>
      </c>
      <c r="E279" s="15" t="n">
        <v>25</v>
      </c>
      <c r="F279" s="16" t="n">
        <v>0.699968036696473</v>
      </c>
      <c r="G279" s="17" t="s">
        <v>91</v>
      </c>
      <c r="H279" s="18" t="n">
        <v>0.2</v>
      </c>
      <c r="I279" s="18" t="n">
        <v>1</v>
      </c>
      <c r="J279" s="19" t="n">
        <v>0.89791640640842</v>
      </c>
      <c r="K279" s="19" t="n">
        <v>0.559728650803731</v>
      </c>
      <c r="L279" s="16" t="n">
        <v>14.693605415124</v>
      </c>
      <c r="M279" s="19" t="n">
        <v>0.927128602948236</v>
      </c>
      <c r="N279" s="19" t="n">
        <v>0.819991893748823</v>
      </c>
      <c r="O279" s="19" t="n">
        <v>0.89791640640842</v>
      </c>
      <c r="P279" s="19" t="n">
        <v>0.404547561726542</v>
      </c>
      <c r="Q279" s="17" t="s">
        <v>29</v>
      </c>
      <c r="R279" s="5" t="str">
        <f aca="false">IF(OR(Q279="Steel plate",Q279="Concrete jacket"),"Steel plate or jacket",Q279)</f>
        <v>Monitor</v>
      </c>
      <c r="S279" s="5" t="str">
        <f aca="false">IF(O279&lt;='Tree rules'!$C$4,IF(N279&lt;='Tree rules'!$C$5,IF(P279&lt;='Tree rules'!$C$6,"Monitor","Polymer laminate"),IF(P279&lt;='Tree rules'!$C$7,"Seal cracks","Polymer laminate")),IF(O279&lt;='Tree rules'!$C$8,IF(M279&lt;='Tree rules'!$C$9,"Steel plate or jacket","Polymer laminate"),IF(L279&lt;='Tree rules'!$C$10,"Steel plate or jacket","Polymer laminate")))</f>
        <v>Monitor</v>
      </c>
      <c r="T279" s="5" t="str">
        <f aca="false">IF(S279=R279,"Yes","No")</f>
        <v>Yes</v>
      </c>
    </row>
    <row r="280" customFormat="false" ht="15" hidden="false" customHeight="false" outlineLevel="0" collapsed="false">
      <c r="A280" s="15" t="n">
        <v>925</v>
      </c>
      <c r="B280" s="16" t="n">
        <v>7.32808292168251</v>
      </c>
      <c r="C280" s="15" t="n">
        <v>230</v>
      </c>
      <c r="D280" s="15" t="n">
        <v>650</v>
      </c>
      <c r="E280" s="15" t="n">
        <v>25</v>
      </c>
      <c r="F280" s="16" t="n">
        <v>0.680685971455249</v>
      </c>
      <c r="G280" s="17" t="s">
        <v>91</v>
      </c>
      <c r="H280" s="18" t="n">
        <v>0.2</v>
      </c>
      <c r="I280" s="18" t="n">
        <v>1.5</v>
      </c>
      <c r="J280" s="19" t="n">
        <v>0.869171320360366</v>
      </c>
      <c r="K280" s="19" t="n">
        <v>0.511473867783501</v>
      </c>
      <c r="L280" s="16" t="n">
        <v>12.1728952187417</v>
      </c>
      <c r="M280" s="19" t="n">
        <v>0.749282543805928</v>
      </c>
      <c r="N280" s="19" t="n">
        <v>1.0905059703753</v>
      </c>
      <c r="O280" s="19" t="n">
        <v>1.08147777204494</v>
      </c>
      <c r="P280" s="19" t="n">
        <v>0.511802013555327</v>
      </c>
      <c r="Q280" s="17" t="s">
        <v>31</v>
      </c>
      <c r="R280" s="5" t="str">
        <f aca="false">IF(OR(Q280="Steel plate",Q280="Concrete jacket"),"Steel plate or jacket",Q280)</f>
        <v>Polymer laminate</v>
      </c>
      <c r="S280" s="5" t="str">
        <f aca="false">IF(O280&lt;='Tree rules'!$C$4,IF(N280&lt;='Tree rules'!$C$5,IF(P280&lt;='Tree rules'!$C$6,"Monitor","Polymer laminate"),IF(P280&lt;='Tree rules'!$C$7,"Seal cracks","Polymer laminate")),IF(O280&lt;='Tree rules'!$C$8,IF(M280&lt;='Tree rules'!$C$9,"Steel plate or jacket","Polymer laminate"),IF(L280&lt;='Tree rules'!$C$10,"Steel plate or jacket","Polymer laminate")))</f>
        <v>Polymer laminate</v>
      </c>
      <c r="T280" s="5" t="str">
        <f aca="false">IF(S280=R280,"Yes","No")</f>
        <v>Yes</v>
      </c>
    </row>
    <row r="281" customFormat="false" ht="15" hidden="false" customHeight="false" outlineLevel="0" collapsed="false">
      <c r="A281" s="15" t="n">
        <v>930</v>
      </c>
      <c r="B281" s="16" t="n">
        <v>3.07937378725169</v>
      </c>
      <c r="C281" s="15" t="n">
        <v>300</v>
      </c>
      <c r="D281" s="15" t="n">
        <v>300</v>
      </c>
      <c r="E281" s="15" t="n">
        <v>30</v>
      </c>
      <c r="F281" s="16" t="n">
        <v>0.841263304726974</v>
      </c>
      <c r="G281" s="17" t="s">
        <v>90</v>
      </c>
      <c r="H281" s="18" t="n">
        <v>0.1</v>
      </c>
      <c r="I281" s="18" t="n">
        <v>1</v>
      </c>
      <c r="J281" s="19" t="n">
        <v>0.978820888498096</v>
      </c>
      <c r="K281" s="19" t="n">
        <v>0.646470973647395</v>
      </c>
      <c r="L281" s="16" t="n">
        <v>12.8844091516807</v>
      </c>
      <c r="M281" s="19" t="n">
        <v>0.929814349999342</v>
      </c>
      <c r="N281" s="19" t="n">
        <v>2.88176240762027</v>
      </c>
      <c r="O281" s="19" t="n">
        <v>0.978820888498096</v>
      </c>
      <c r="P281" s="19" t="n">
        <v>0.363934948352937</v>
      </c>
      <c r="Q281" s="17" t="s">
        <v>30</v>
      </c>
      <c r="R281" s="5" t="str">
        <f aca="false">IF(OR(Q281="Steel plate",Q281="Concrete jacket"),"Steel plate or jacket",Q281)</f>
        <v>Seal cracks</v>
      </c>
      <c r="S281" s="5" t="str">
        <f aca="false">IF(O281&lt;='Tree rules'!$C$4,IF(N281&lt;='Tree rules'!$C$5,IF(P281&lt;='Tree rules'!$C$6,"Monitor","Polymer laminate"),IF(P281&lt;='Tree rules'!$C$7,"Seal cracks","Polymer laminate")),IF(O281&lt;='Tree rules'!$C$8,IF(M281&lt;='Tree rules'!$C$9,"Steel plate or jacket","Polymer laminate"),IF(L281&lt;='Tree rules'!$C$10,"Steel plate or jacket","Polymer laminate")))</f>
        <v>Seal cracks</v>
      </c>
      <c r="T281" s="5" t="str">
        <f aca="false">IF(S281=R281,"Yes","No")</f>
        <v>Yes</v>
      </c>
    </row>
    <row r="282" customFormat="false" ht="15" hidden="false" customHeight="false" outlineLevel="0" collapsed="false">
      <c r="A282" s="15" t="n">
        <v>933</v>
      </c>
      <c r="B282" s="16" t="n">
        <v>4.91711496743695</v>
      </c>
      <c r="C282" s="15" t="n">
        <v>230</v>
      </c>
      <c r="D282" s="15" t="n">
        <v>375</v>
      </c>
      <c r="E282" s="15" t="n">
        <v>30</v>
      </c>
      <c r="F282" s="16" t="n">
        <v>0.594232683721175</v>
      </c>
      <c r="G282" s="17" t="s">
        <v>89</v>
      </c>
      <c r="H282" s="18" t="n">
        <v>0.3</v>
      </c>
      <c r="I282" s="18" t="n">
        <v>1</v>
      </c>
      <c r="J282" s="19" t="n">
        <v>0.95206046309818</v>
      </c>
      <c r="K282" s="19" t="n">
        <v>0.586127373548585</v>
      </c>
      <c r="L282" s="16" t="n">
        <v>14.8553322279062</v>
      </c>
      <c r="M282" s="19" t="n">
        <v>0.939881516220345</v>
      </c>
      <c r="N282" s="19" t="n">
        <v>0.564170005011498</v>
      </c>
      <c r="O282" s="19" t="n">
        <v>0.95206046309818</v>
      </c>
      <c r="P282" s="19" t="n">
        <v>0.377490564612955</v>
      </c>
      <c r="Q282" s="17" t="s">
        <v>29</v>
      </c>
      <c r="R282" s="5" t="str">
        <f aca="false">IF(OR(Q282="Steel plate",Q282="Concrete jacket"),"Steel plate or jacket",Q282)</f>
        <v>Monitor</v>
      </c>
      <c r="S282" s="5" t="str">
        <f aca="false">IF(O282&lt;='Tree rules'!$C$4,IF(N282&lt;='Tree rules'!$C$5,IF(P282&lt;='Tree rules'!$C$6,"Monitor","Polymer laminate"),IF(P282&lt;='Tree rules'!$C$7,"Seal cracks","Polymer laminate")),IF(O282&lt;='Tree rules'!$C$8,IF(M282&lt;='Tree rules'!$C$9,"Steel plate or jacket","Polymer laminate"),IF(L282&lt;='Tree rules'!$C$10,"Steel plate or jacket","Polymer laminate")))</f>
        <v>Monitor</v>
      </c>
      <c r="T282" s="5" t="str">
        <f aca="false">IF(S282=R282,"Yes","No")</f>
        <v>Yes</v>
      </c>
    </row>
    <row r="283" customFormat="false" ht="15" hidden="false" customHeight="false" outlineLevel="0" collapsed="false">
      <c r="A283" s="15" t="n">
        <v>937</v>
      </c>
      <c r="B283" s="16" t="n">
        <v>6.49323276655844</v>
      </c>
      <c r="C283" s="15" t="n">
        <v>230</v>
      </c>
      <c r="D283" s="15" t="n">
        <v>550</v>
      </c>
      <c r="E283" s="15" t="n">
        <v>30</v>
      </c>
      <c r="F283" s="16" t="n">
        <v>0.693795479053647</v>
      </c>
      <c r="G283" s="17" t="s">
        <v>91</v>
      </c>
      <c r="H283" s="18" t="n">
        <v>0.2</v>
      </c>
      <c r="I283" s="18" t="n">
        <v>1</v>
      </c>
      <c r="J283" s="19" t="n">
        <v>0.917833432890763</v>
      </c>
      <c r="K283" s="19" t="n">
        <v>0.519285294666096</v>
      </c>
      <c r="L283" s="16" t="n">
        <v>12.8833983463461</v>
      </c>
      <c r="M283" s="19" t="n">
        <v>0.501157588617171</v>
      </c>
      <c r="N283" s="19" t="n">
        <v>0.90086890347642</v>
      </c>
      <c r="O283" s="19" t="n">
        <v>0.917833432890763</v>
      </c>
      <c r="P283" s="19" t="n">
        <v>0.684678344556066</v>
      </c>
      <c r="Q283" s="17" t="s">
        <v>29</v>
      </c>
      <c r="R283" s="5" t="str">
        <f aca="false">IF(OR(Q283="Steel plate",Q283="Concrete jacket"),"Steel plate or jacket",Q283)</f>
        <v>Monitor</v>
      </c>
      <c r="S283" s="5" t="str">
        <f aca="false">IF(O283&lt;='Tree rules'!$C$4,IF(N283&lt;='Tree rules'!$C$5,IF(P283&lt;='Tree rules'!$C$6,"Monitor","Polymer laminate"),IF(P283&lt;='Tree rules'!$C$7,"Seal cracks","Polymer laminate")),IF(O283&lt;='Tree rules'!$C$8,IF(M283&lt;='Tree rules'!$C$9,"Steel plate or jacket","Polymer laminate"),IF(L283&lt;='Tree rules'!$C$10,"Steel plate or jacket","Polymer laminate")))</f>
        <v>Monitor</v>
      </c>
      <c r="T283" s="5" t="str">
        <f aca="false">IF(S283=R283,"Yes","No")</f>
        <v>Yes</v>
      </c>
    </row>
    <row r="284" customFormat="false" ht="15" hidden="false" customHeight="false" outlineLevel="0" collapsed="false">
      <c r="A284" s="15" t="n">
        <v>940</v>
      </c>
      <c r="B284" s="16" t="n">
        <v>3.14623776769176</v>
      </c>
      <c r="C284" s="15" t="n">
        <v>300</v>
      </c>
      <c r="D284" s="15" t="n">
        <v>300</v>
      </c>
      <c r="E284" s="15" t="n">
        <v>30</v>
      </c>
      <c r="F284" s="16" t="n">
        <v>0.736310778185108</v>
      </c>
      <c r="G284" s="17" t="s">
        <v>91</v>
      </c>
      <c r="H284" s="18" t="n">
        <v>0.2</v>
      </c>
      <c r="I284" s="18" t="n">
        <v>1</v>
      </c>
      <c r="J284" s="19" t="n">
        <v>0.989503554159026</v>
      </c>
      <c r="K284" s="19" t="n">
        <v>0.569398495630416</v>
      </c>
      <c r="L284" s="16" t="n">
        <v>12.2899912800459</v>
      </c>
      <c r="M284" s="19" t="n">
        <v>0.93305046454918</v>
      </c>
      <c r="N284" s="19" t="n">
        <v>0.956740358250952</v>
      </c>
      <c r="O284" s="19" t="n">
        <v>0.989503554159026</v>
      </c>
      <c r="P284" s="19" t="n">
        <v>0.354647309144749</v>
      </c>
      <c r="Q284" s="17" t="s">
        <v>29</v>
      </c>
      <c r="R284" s="5" t="str">
        <f aca="false">IF(OR(Q284="Steel plate",Q284="Concrete jacket"),"Steel plate or jacket",Q284)</f>
        <v>Monitor</v>
      </c>
      <c r="S284" s="5" t="str">
        <f aca="false">IF(O284&lt;='Tree rules'!$C$4,IF(N284&lt;='Tree rules'!$C$5,IF(P284&lt;='Tree rules'!$C$6,"Monitor","Polymer laminate"),IF(P284&lt;='Tree rules'!$C$7,"Seal cracks","Polymer laminate")),IF(O284&lt;='Tree rules'!$C$8,IF(M284&lt;='Tree rules'!$C$9,"Steel plate or jacket","Polymer laminate"),IF(L284&lt;='Tree rules'!$C$10,"Steel plate or jacket","Polymer laminate")))</f>
        <v>Monitor</v>
      </c>
      <c r="T284" s="5" t="str">
        <f aca="false">IF(S284=R284,"Yes","No")</f>
        <v>Yes</v>
      </c>
    </row>
    <row r="285" customFormat="false" ht="15" hidden="false" customHeight="false" outlineLevel="0" collapsed="false">
      <c r="A285" s="15" t="n">
        <v>941</v>
      </c>
      <c r="B285" s="16" t="n">
        <v>3.86697508194653</v>
      </c>
      <c r="C285" s="15" t="n">
        <v>230</v>
      </c>
      <c r="D285" s="15" t="n">
        <v>375</v>
      </c>
      <c r="E285" s="15" t="n">
        <v>25</v>
      </c>
      <c r="F285" s="16" t="n">
        <v>0.556804015036685</v>
      </c>
      <c r="G285" s="17" t="s">
        <v>90</v>
      </c>
      <c r="H285" s="18" t="n">
        <v>0.1</v>
      </c>
      <c r="I285" s="18" t="n">
        <v>1</v>
      </c>
      <c r="J285" s="19" t="n">
        <v>0.885463938871625</v>
      </c>
      <c r="K285" s="19" t="n">
        <v>0.419698485589185</v>
      </c>
      <c r="L285" s="16" t="n">
        <v>12.3152072673456</v>
      </c>
      <c r="M285" s="19" t="n">
        <v>0.421119068771904</v>
      </c>
      <c r="N285" s="19" t="n">
        <v>2.85979701961581</v>
      </c>
      <c r="O285" s="19" t="n">
        <v>0.885463938871625</v>
      </c>
      <c r="P285" s="19" t="n">
        <v>0.462076616303374</v>
      </c>
      <c r="Q285" s="17" t="s">
        <v>30</v>
      </c>
      <c r="R285" s="5" t="str">
        <f aca="false">IF(OR(Q285="Steel plate",Q285="Concrete jacket"),"Steel plate or jacket",Q285)</f>
        <v>Seal cracks</v>
      </c>
      <c r="S285" s="5" t="str">
        <f aca="false">IF(O285&lt;='Tree rules'!$C$4,IF(N285&lt;='Tree rules'!$C$5,IF(P285&lt;='Tree rules'!$C$6,"Monitor","Polymer laminate"),IF(P285&lt;='Tree rules'!$C$7,"Seal cracks","Polymer laminate")),IF(O285&lt;='Tree rules'!$C$8,IF(M285&lt;='Tree rules'!$C$9,"Steel plate or jacket","Polymer laminate"),IF(L285&lt;='Tree rules'!$C$10,"Steel plate or jacket","Polymer laminate")))</f>
        <v>Seal cracks</v>
      </c>
      <c r="T285" s="5" t="str">
        <f aca="false">IF(S285=R285,"Yes","No")</f>
        <v>Yes</v>
      </c>
    </row>
    <row r="286" customFormat="false" ht="15" hidden="false" customHeight="false" outlineLevel="0" collapsed="false">
      <c r="A286" s="15" t="n">
        <v>948</v>
      </c>
      <c r="B286" s="16" t="n">
        <v>3.02582214560103</v>
      </c>
      <c r="C286" s="15" t="n">
        <v>230</v>
      </c>
      <c r="D286" s="15" t="n">
        <v>300</v>
      </c>
      <c r="E286" s="15" t="n">
        <v>25</v>
      </c>
      <c r="F286" s="16" t="n">
        <v>0.576243217710084</v>
      </c>
      <c r="G286" s="17" t="s">
        <v>89</v>
      </c>
      <c r="H286" s="18" t="n">
        <v>0.3</v>
      </c>
      <c r="I286" s="18" t="n">
        <v>2</v>
      </c>
      <c r="J286" s="19" t="n">
        <v>0.85587270402767</v>
      </c>
      <c r="K286" s="19" t="n">
        <v>0.503247368122312</v>
      </c>
      <c r="L286" s="16" t="n">
        <v>11.819617756254</v>
      </c>
      <c r="M286" s="19" t="n">
        <v>0.908280217048967</v>
      </c>
      <c r="N286" s="19" t="n">
        <v>0.885334616365405</v>
      </c>
      <c r="O286" s="19" t="n">
        <v>1.28102972230569</v>
      </c>
      <c r="P286" s="19" t="n">
        <v>0.303865164215279</v>
      </c>
      <c r="Q286" s="17" t="s">
        <v>31</v>
      </c>
      <c r="R286" s="5" t="str">
        <f aca="false">IF(OR(Q286="Steel plate",Q286="Concrete jacket"),"Steel plate or jacket",Q286)</f>
        <v>Polymer laminate</v>
      </c>
      <c r="S286" s="5" t="str">
        <f aca="false">IF(O286&lt;='Tree rules'!$C$4,IF(N286&lt;='Tree rules'!$C$5,IF(P286&lt;='Tree rules'!$C$6,"Monitor","Polymer laminate"),IF(P286&lt;='Tree rules'!$C$7,"Seal cracks","Polymer laminate")),IF(O286&lt;='Tree rules'!$C$8,IF(M286&lt;='Tree rules'!$C$9,"Steel plate or jacket","Polymer laminate"),IF(L286&lt;='Tree rules'!$C$10,"Steel plate or jacket","Polymer laminate")))</f>
        <v>Polymer laminate</v>
      </c>
      <c r="T286" s="5" t="str">
        <f aca="false">IF(S286=R286,"Yes","No")</f>
        <v>Yes</v>
      </c>
    </row>
    <row r="287" customFormat="false" ht="15" hidden="false" customHeight="false" outlineLevel="0" collapsed="false">
      <c r="A287" s="15" t="n">
        <v>951</v>
      </c>
      <c r="B287" s="16" t="n">
        <v>4.31355508494244</v>
      </c>
      <c r="C287" s="15" t="n">
        <v>300</v>
      </c>
      <c r="D287" s="15" t="n">
        <v>375</v>
      </c>
      <c r="E287" s="15" t="n">
        <v>30</v>
      </c>
      <c r="F287" s="16" t="n">
        <v>0.640487798897002</v>
      </c>
      <c r="G287" s="17" t="s">
        <v>91</v>
      </c>
      <c r="H287" s="18" t="n">
        <v>0.2</v>
      </c>
      <c r="I287" s="18" t="n">
        <v>1</v>
      </c>
      <c r="J287" s="19" t="n">
        <v>0.882553601877428</v>
      </c>
      <c r="K287" s="19" t="n">
        <v>0.500376943041954</v>
      </c>
      <c r="L287" s="16" t="n">
        <v>13.1912999539524</v>
      </c>
      <c r="M287" s="19" t="n">
        <v>0.379854541903245</v>
      </c>
      <c r="N287" s="19" t="n">
        <v>1.55737153152449</v>
      </c>
      <c r="O287" s="19" t="n">
        <v>0.882553601877428</v>
      </c>
      <c r="P287" s="19" t="n">
        <v>0.699507333781392</v>
      </c>
      <c r="Q287" s="17" t="s">
        <v>30</v>
      </c>
      <c r="R287" s="5" t="str">
        <f aca="false">IF(OR(Q287="Steel plate",Q287="Concrete jacket"),"Steel plate or jacket",Q287)</f>
        <v>Seal cracks</v>
      </c>
      <c r="S287" s="5" t="str">
        <f aca="false">IF(O287&lt;='Tree rules'!$C$4,IF(N287&lt;='Tree rules'!$C$5,IF(P287&lt;='Tree rules'!$C$6,"Monitor","Polymer laminate"),IF(P287&lt;='Tree rules'!$C$7,"Seal cracks","Polymer laminate")),IF(O287&lt;='Tree rules'!$C$8,IF(M287&lt;='Tree rules'!$C$9,"Steel plate or jacket","Polymer laminate"),IF(L287&lt;='Tree rules'!$C$10,"Steel plate or jacket","Polymer laminate")))</f>
        <v>Seal cracks</v>
      </c>
      <c r="T287" s="5" t="str">
        <f aca="false">IF(S287=R287,"Yes","No")</f>
        <v>Yes</v>
      </c>
    </row>
    <row r="288" customFormat="false" ht="15" hidden="false" customHeight="false" outlineLevel="0" collapsed="false">
      <c r="A288" s="15" t="n">
        <v>954</v>
      </c>
      <c r="B288" s="16" t="n">
        <v>5.97414048572422</v>
      </c>
      <c r="C288" s="15" t="n">
        <v>300</v>
      </c>
      <c r="D288" s="15" t="n">
        <v>550</v>
      </c>
      <c r="E288" s="15" t="n">
        <v>30</v>
      </c>
      <c r="F288" s="16" t="n">
        <v>0.625815269639401</v>
      </c>
      <c r="G288" s="17" t="s">
        <v>91</v>
      </c>
      <c r="H288" s="18" t="n">
        <v>0.2</v>
      </c>
      <c r="I288" s="18" t="n">
        <v>1</v>
      </c>
      <c r="J288" s="19" t="n">
        <v>0.973003920467006</v>
      </c>
      <c r="K288" s="19" t="n">
        <v>0.615159912917644</v>
      </c>
      <c r="L288" s="16" t="n">
        <v>11.9006782584148</v>
      </c>
      <c r="M288" s="19" t="n">
        <v>0.454389787387591</v>
      </c>
      <c r="N288" s="19" t="n">
        <v>1.23722773425396</v>
      </c>
      <c r="O288" s="19" t="n">
        <v>0.973003920467006</v>
      </c>
      <c r="P288" s="19" t="n">
        <v>0.718176316163441</v>
      </c>
      <c r="Q288" s="17" t="s">
        <v>30</v>
      </c>
      <c r="R288" s="5" t="str">
        <f aca="false">IF(OR(Q288="Steel plate",Q288="Concrete jacket"),"Steel plate or jacket",Q288)</f>
        <v>Seal cracks</v>
      </c>
      <c r="S288" s="5" t="str">
        <f aca="false">IF(O288&lt;='Tree rules'!$C$4,IF(N288&lt;='Tree rules'!$C$5,IF(P288&lt;='Tree rules'!$C$6,"Monitor","Polymer laminate"),IF(P288&lt;='Tree rules'!$C$7,"Seal cracks","Polymer laminate")),IF(O288&lt;='Tree rules'!$C$8,IF(M288&lt;='Tree rules'!$C$9,"Steel plate or jacket","Polymer laminate"),IF(L288&lt;='Tree rules'!$C$10,"Steel plate or jacket","Polymer laminate")))</f>
        <v>Seal cracks</v>
      </c>
      <c r="T288" s="5" t="str">
        <f aca="false">IF(S288=R288,"Yes","No")</f>
        <v>Yes</v>
      </c>
    </row>
    <row r="289" customFormat="false" ht="15" hidden="false" customHeight="false" outlineLevel="0" collapsed="false">
      <c r="A289" s="15" t="n">
        <v>957</v>
      </c>
      <c r="B289" s="16" t="n">
        <v>4.346274119405</v>
      </c>
      <c r="C289" s="15" t="n">
        <v>300</v>
      </c>
      <c r="D289" s="15" t="n">
        <v>375</v>
      </c>
      <c r="E289" s="15" t="n">
        <v>30</v>
      </c>
      <c r="F289" s="16" t="n">
        <v>0.683367586279351</v>
      </c>
      <c r="G289" s="17" t="s">
        <v>89</v>
      </c>
      <c r="H289" s="18" t="n">
        <v>0.3</v>
      </c>
      <c r="I289" s="18" t="n">
        <v>1.5</v>
      </c>
      <c r="J289" s="19" t="n">
        <v>0.916970145904847</v>
      </c>
      <c r="K289" s="19" t="n">
        <v>0.492314862060272</v>
      </c>
      <c r="L289" s="16" t="n">
        <v>13.130737520861</v>
      </c>
      <c r="M289" s="19" t="n">
        <v>0.629800738088051</v>
      </c>
      <c r="N289" s="19" t="n">
        <v>0.750963663302851</v>
      </c>
      <c r="O289" s="19" t="n">
        <v>1.14973620341</v>
      </c>
      <c r="P289" s="19" t="n">
        <v>0.554328528744158</v>
      </c>
      <c r="Q289" s="17" t="s">
        <v>31</v>
      </c>
      <c r="R289" s="5" t="str">
        <f aca="false">IF(OR(Q289="Steel plate",Q289="Concrete jacket"),"Steel plate or jacket",Q289)</f>
        <v>Polymer laminate</v>
      </c>
      <c r="S289" s="5" t="str">
        <f aca="false">IF(O289&lt;='Tree rules'!$C$4,IF(N289&lt;='Tree rules'!$C$5,IF(P289&lt;='Tree rules'!$C$6,"Monitor","Polymer laminate"),IF(P289&lt;='Tree rules'!$C$7,"Seal cracks","Polymer laminate")),IF(O289&lt;='Tree rules'!$C$8,IF(M289&lt;='Tree rules'!$C$9,"Steel plate or jacket","Polymer laminate"),IF(L289&lt;='Tree rules'!$C$10,"Steel plate or jacket","Polymer laminate")))</f>
        <v>Polymer laminate</v>
      </c>
      <c r="T289" s="5" t="str">
        <f aca="false">IF(S289=R289,"Yes","No")</f>
        <v>Yes</v>
      </c>
    </row>
    <row r="290" customFormat="false" ht="15" hidden="false" customHeight="false" outlineLevel="0" collapsed="false">
      <c r="A290" s="15" t="n">
        <v>963</v>
      </c>
      <c r="B290" s="16" t="n">
        <v>3.49397048018977</v>
      </c>
      <c r="C290" s="15" t="n">
        <v>300</v>
      </c>
      <c r="D290" s="15" t="n">
        <v>350</v>
      </c>
      <c r="E290" s="15" t="n">
        <v>20</v>
      </c>
      <c r="F290" s="16" t="n">
        <v>0.61599855952741</v>
      </c>
      <c r="G290" s="17" t="s">
        <v>91</v>
      </c>
      <c r="H290" s="18" t="n">
        <v>0.2</v>
      </c>
      <c r="I290" s="18" t="n">
        <v>2</v>
      </c>
      <c r="J290" s="19" t="n">
        <v>0.965239814748479</v>
      </c>
      <c r="K290" s="19" t="n">
        <v>0.444957648686172</v>
      </c>
      <c r="L290" s="16" t="n">
        <v>11.4182041836267</v>
      </c>
      <c r="M290" s="19" t="n">
        <v>0.674214594637502</v>
      </c>
      <c r="N290" s="19" t="n">
        <v>1.5198391799311</v>
      </c>
      <c r="O290" s="19" t="n">
        <v>1.5009887911082</v>
      </c>
      <c r="P290" s="19" t="n">
        <v>0.534738647142008</v>
      </c>
      <c r="Q290" s="17" t="s">
        <v>31</v>
      </c>
      <c r="R290" s="5" t="str">
        <f aca="false">IF(OR(Q290="Steel plate",Q290="Concrete jacket"),"Steel plate or jacket",Q290)</f>
        <v>Polymer laminate</v>
      </c>
      <c r="S290" s="5" t="str">
        <f aca="false">IF(O290&lt;='Tree rules'!$C$4,IF(N290&lt;='Tree rules'!$C$5,IF(P290&lt;='Tree rules'!$C$6,"Monitor","Polymer laminate"),IF(P290&lt;='Tree rules'!$C$7,"Seal cracks","Polymer laminate")),IF(O290&lt;='Tree rules'!$C$8,IF(M290&lt;='Tree rules'!$C$9,"Steel plate or jacket","Polymer laminate"),IF(L290&lt;='Tree rules'!$C$10,"Steel plate or jacket","Polymer laminate")))</f>
        <v>Steel plate or jacket</v>
      </c>
      <c r="T290" s="5" t="str">
        <f aca="false">IF(S290=R290,"Yes","No")</f>
        <v>No</v>
      </c>
    </row>
    <row r="291" customFormat="false" ht="15" hidden="false" customHeight="false" outlineLevel="0" collapsed="false">
      <c r="A291" s="15" t="n">
        <v>964</v>
      </c>
      <c r="B291" s="16" t="n">
        <v>4.45612335529205</v>
      </c>
      <c r="C291" s="15" t="n">
        <v>300</v>
      </c>
      <c r="D291" s="15" t="n">
        <v>425</v>
      </c>
      <c r="E291" s="15" t="n">
        <v>30</v>
      </c>
      <c r="F291" s="16" t="n">
        <v>0.707341881547042</v>
      </c>
      <c r="G291" s="17" t="s">
        <v>89</v>
      </c>
      <c r="H291" s="18" t="n">
        <v>0.3</v>
      </c>
      <c r="I291" s="18" t="n">
        <v>1</v>
      </c>
      <c r="J291" s="19" t="n">
        <v>0.901156532063138</v>
      </c>
      <c r="K291" s="19" t="n">
        <v>0.415649192545743</v>
      </c>
      <c r="L291" s="16" t="n">
        <v>11.7575814123801</v>
      </c>
      <c r="M291" s="19" t="n">
        <v>0.50868351322703</v>
      </c>
      <c r="N291" s="19" t="n">
        <v>0.658993645902759</v>
      </c>
      <c r="O291" s="19" t="n">
        <v>0.901156532063138</v>
      </c>
      <c r="P291" s="19" t="n">
        <v>0.524250650022952</v>
      </c>
      <c r="Q291" s="17" t="s">
        <v>29</v>
      </c>
      <c r="R291" s="5" t="str">
        <f aca="false">IF(OR(Q291="Steel plate",Q291="Concrete jacket"),"Steel plate or jacket",Q291)</f>
        <v>Monitor</v>
      </c>
      <c r="S291" s="5" t="str">
        <f aca="false">IF(O291&lt;='Tree rules'!$C$4,IF(N291&lt;='Tree rules'!$C$5,IF(P291&lt;='Tree rules'!$C$6,"Monitor","Polymer laminate"),IF(P291&lt;='Tree rules'!$C$7,"Seal cracks","Polymer laminate")),IF(O291&lt;='Tree rules'!$C$8,IF(M291&lt;='Tree rules'!$C$9,"Steel plate or jacket","Polymer laminate"),IF(L291&lt;='Tree rules'!$C$10,"Steel plate or jacket","Polymer laminate")))</f>
        <v>Monitor</v>
      </c>
      <c r="T291" s="5" t="str">
        <f aca="false">IF(S291=R291,"Yes","No")</f>
        <v>Yes</v>
      </c>
    </row>
    <row r="292" customFormat="false" ht="15" hidden="false" customHeight="false" outlineLevel="0" collapsed="false">
      <c r="A292" s="15" t="n">
        <v>970</v>
      </c>
      <c r="B292" s="16" t="n">
        <v>3.500470104581</v>
      </c>
      <c r="C292" s="15" t="n">
        <v>300</v>
      </c>
      <c r="D292" s="15" t="n">
        <v>325</v>
      </c>
      <c r="E292" s="15" t="n">
        <v>30</v>
      </c>
      <c r="F292" s="16" t="n">
        <v>0.756099314943392</v>
      </c>
      <c r="G292" s="17" t="s">
        <v>89</v>
      </c>
      <c r="H292" s="18" t="n">
        <v>0.3</v>
      </c>
      <c r="I292" s="18" t="n">
        <v>1.5</v>
      </c>
      <c r="J292" s="19" t="n">
        <v>0.990532703263545</v>
      </c>
      <c r="K292" s="19" t="n">
        <v>0.630207804101486</v>
      </c>
      <c r="L292" s="16" t="n">
        <v>12.6370761898231</v>
      </c>
      <c r="M292" s="19" t="n">
        <v>0.741065910499929</v>
      </c>
      <c r="N292" s="19" t="n">
        <v>1.28027598730934</v>
      </c>
      <c r="O292" s="19" t="n">
        <v>1.1736783349881</v>
      </c>
      <c r="P292" s="19" t="n">
        <v>0.520057760449073</v>
      </c>
      <c r="Q292" s="17" t="s">
        <v>31</v>
      </c>
      <c r="R292" s="5" t="str">
        <f aca="false">IF(OR(Q292="Steel plate",Q292="Concrete jacket"),"Steel plate or jacket",Q292)</f>
        <v>Polymer laminate</v>
      </c>
      <c r="S292" s="5" t="str">
        <f aca="false">IF(O292&lt;='Tree rules'!$C$4,IF(N292&lt;='Tree rules'!$C$5,IF(P292&lt;='Tree rules'!$C$6,"Monitor","Polymer laminate"),IF(P292&lt;='Tree rules'!$C$7,"Seal cracks","Polymer laminate")),IF(O292&lt;='Tree rules'!$C$8,IF(M292&lt;='Tree rules'!$C$9,"Steel plate or jacket","Polymer laminate"),IF(L292&lt;='Tree rules'!$C$10,"Steel plate or jacket","Polymer laminate")))</f>
        <v>Polymer laminate</v>
      </c>
      <c r="T292" s="5" t="str">
        <f aca="false">IF(S292=R292,"Yes","No")</f>
        <v>Yes</v>
      </c>
    </row>
    <row r="293" customFormat="false" ht="15" hidden="false" customHeight="false" outlineLevel="0" collapsed="false">
      <c r="A293" s="15" t="n">
        <v>973</v>
      </c>
      <c r="B293" s="16" t="n">
        <v>3.70755876885118</v>
      </c>
      <c r="C293" s="15" t="n">
        <v>300</v>
      </c>
      <c r="D293" s="15" t="n">
        <v>300</v>
      </c>
      <c r="E293" s="15" t="n">
        <v>25</v>
      </c>
      <c r="F293" s="16" t="n">
        <v>0.560842203151316</v>
      </c>
      <c r="G293" s="17" t="s">
        <v>90</v>
      </c>
      <c r="H293" s="18" t="n">
        <v>0.1</v>
      </c>
      <c r="I293" s="18" t="n">
        <v>1</v>
      </c>
      <c r="J293" s="19" t="n">
        <v>0.86215917242017</v>
      </c>
      <c r="K293" s="19" t="n">
        <v>0.411144516772989</v>
      </c>
      <c r="L293" s="16" t="n">
        <v>15.5127981960301</v>
      </c>
      <c r="M293" s="19" t="n">
        <v>0.528368093595116</v>
      </c>
      <c r="N293" s="19" t="n">
        <v>3.12356868729027</v>
      </c>
      <c r="O293" s="19" t="n">
        <v>0.86215917242017</v>
      </c>
      <c r="P293" s="19" t="n">
        <v>0.403574365953017</v>
      </c>
      <c r="Q293" s="17" t="s">
        <v>30</v>
      </c>
      <c r="R293" s="5" t="str">
        <f aca="false">IF(OR(Q293="Steel plate",Q293="Concrete jacket"),"Steel plate or jacket",Q293)</f>
        <v>Seal cracks</v>
      </c>
      <c r="S293" s="5" t="str">
        <f aca="false">IF(O293&lt;='Tree rules'!$C$4,IF(N293&lt;='Tree rules'!$C$5,IF(P293&lt;='Tree rules'!$C$6,"Monitor","Polymer laminate"),IF(P293&lt;='Tree rules'!$C$7,"Seal cracks","Polymer laminate")),IF(O293&lt;='Tree rules'!$C$8,IF(M293&lt;='Tree rules'!$C$9,"Steel plate or jacket","Polymer laminate"),IF(L293&lt;='Tree rules'!$C$10,"Steel plate or jacket","Polymer laminate")))</f>
        <v>Seal cracks</v>
      </c>
      <c r="T293" s="5" t="str">
        <f aca="false">IF(S293=R293,"Yes","No")</f>
        <v>Yes</v>
      </c>
    </row>
    <row r="294" customFormat="false" ht="15" hidden="false" customHeight="false" outlineLevel="0" collapsed="false">
      <c r="A294" s="15" t="n">
        <v>975</v>
      </c>
      <c r="B294" s="16" t="n">
        <v>7.28095423757249</v>
      </c>
      <c r="C294" s="15" t="n">
        <v>300</v>
      </c>
      <c r="D294" s="15" t="n">
        <v>650</v>
      </c>
      <c r="E294" s="15" t="n">
        <v>30</v>
      </c>
      <c r="F294" s="16" t="n">
        <v>0.695812326376477</v>
      </c>
      <c r="G294" s="17" t="s">
        <v>91</v>
      </c>
      <c r="H294" s="18" t="n">
        <v>0.2</v>
      </c>
      <c r="I294" s="18" t="n">
        <v>1.5</v>
      </c>
      <c r="J294" s="19" t="n">
        <v>0.852490239757269</v>
      </c>
      <c r="K294" s="19" t="n">
        <v>0.493541358871733</v>
      </c>
      <c r="L294" s="16" t="n">
        <v>12.0946083680606</v>
      </c>
      <c r="M294" s="19" t="n">
        <v>0.524611372974207</v>
      </c>
      <c r="N294" s="19" t="n">
        <v>1.13987703114638</v>
      </c>
      <c r="O294" s="19" t="n">
        <v>1.06836576395856</v>
      </c>
      <c r="P294" s="19" t="n">
        <v>0.658910998116731</v>
      </c>
      <c r="Q294" s="17" t="s">
        <v>31</v>
      </c>
      <c r="R294" s="5" t="str">
        <f aca="false">IF(OR(Q294="Steel plate",Q294="Concrete jacket"),"Steel plate or jacket",Q294)</f>
        <v>Polymer laminate</v>
      </c>
      <c r="S294" s="5" t="str">
        <f aca="false">IF(O294&lt;='Tree rules'!$C$4,IF(N294&lt;='Tree rules'!$C$5,IF(P294&lt;='Tree rules'!$C$6,"Monitor","Polymer laminate"),IF(P294&lt;='Tree rules'!$C$7,"Seal cracks","Polymer laminate")),IF(O294&lt;='Tree rules'!$C$8,IF(M294&lt;='Tree rules'!$C$9,"Steel plate or jacket","Polymer laminate"),IF(L294&lt;='Tree rules'!$C$10,"Steel plate or jacket","Polymer laminate")))</f>
        <v>Polymer laminate</v>
      </c>
      <c r="T294" s="5" t="str">
        <f aca="false">IF(S294=R294,"Yes","No")</f>
        <v>Yes</v>
      </c>
    </row>
    <row r="295" customFormat="false" ht="15" hidden="false" customHeight="false" outlineLevel="0" collapsed="false">
      <c r="A295" s="15" t="n">
        <v>982</v>
      </c>
      <c r="B295" s="16" t="n">
        <v>6.77494770454108</v>
      </c>
      <c r="C295" s="15" t="n">
        <v>230</v>
      </c>
      <c r="D295" s="15" t="n">
        <v>600</v>
      </c>
      <c r="E295" s="15" t="n">
        <v>25</v>
      </c>
      <c r="F295" s="16" t="n">
        <v>0.742342309449384</v>
      </c>
      <c r="G295" s="17" t="s">
        <v>91</v>
      </c>
      <c r="H295" s="18" t="n">
        <v>0.2</v>
      </c>
      <c r="I295" s="18" t="n">
        <v>1</v>
      </c>
      <c r="J295" s="19" t="n">
        <v>0.874443704547238</v>
      </c>
      <c r="K295" s="19" t="n">
        <v>0.526731346243953</v>
      </c>
      <c r="L295" s="16" t="n">
        <v>12.2734559864875</v>
      </c>
      <c r="M295" s="19" t="n">
        <v>0.918956372780602</v>
      </c>
      <c r="N295" s="19" t="n">
        <v>0.834407377151278</v>
      </c>
      <c r="O295" s="19" t="n">
        <v>0.874443704547238</v>
      </c>
      <c r="P295" s="19" t="n">
        <v>0.411947535939047</v>
      </c>
      <c r="Q295" s="17" t="s">
        <v>29</v>
      </c>
      <c r="R295" s="5" t="str">
        <f aca="false">IF(OR(Q295="Steel plate",Q295="Concrete jacket"),"Steel plate or jacket",Q295)</f>
        <v>Monitor</v>
      </c>
      <c r="S295" s="5" t="str">
        <f aca="false">IF(O295&lt;='Tree rules'!$C$4,IF(N295&lt;='Tree rules'!$C$5,IF(P295&lt;='Tree rules'!$C$6,"Monitor","Polymer laminate"),IF(P295&lt;='Tree rules'!$C$7,"Seal cracks","Polymer laminate")),IF(O295&lt;='Tree rules'!$C$8,IF(M295&lt;='Tree rules'!$C$9,"Steel plate or jacket","Polymer laminate"),IF(L295&lt;='Tree rules'!$C$10,"Steel plate or jacket","Polymer laminate")))</f>
        <v>Monitor</v>
      </c>
      <c r="T295" s="5" t="str">
        <f aca="false">IF(S295=R295,"Yes","No")</f>
        <v>Yes</v>
      </c>
    </row>
    <row r="296" customFormat="false" ht="15" hidden="false" customHeight="false" outlineLevel="0" collapsed="false">
      <c r="A296" s="15" t="n">
        <v>985</v>
      </c>
      <c r="B296" s="16" t="n">
        <v>6.33849329363649</v>
      </c>
      <c r="C296" s="15" t="n">
        <v>300</v>
      </c>
      <c r="D296" s="15" t="n">
        <v>525</v>
      </c>
      <c r="E296" s="15" t="n">
        <v>30</v>
      </c>
      <c r="F296" s="16" t="n">
        <v>0.55967134260194</v>
      </c>
      <c r="G296" s="17" t="s">
        <v>91</v>
      </c>
      <c r="H296" s="18" t="n">
        <v>0.2</v>
      </c>
      <c r="I296" s="18" t="n">
        <v>1</v>
      </c>
      <c r="J296" s="19" t="n">
        <v>0.98701074422269</v>
      </c>
      <c r="K296" s="19" t="n">
        <v>0.463382672831511</v>
      </c>
      <c r="L296" s="16" t="n">
        <v>13.2327626171952</v>
      </c>
      <c r="M296" s="19" t="n">
        <v>0.901444577561127</v>
      </c>
      <c r="N296" s="19" t="n">
        <v>0.954404807644961</v>
      </c>
      <c r="O296" s="19" t="n">
        <v>0.98701074422269</v>
      </c>
      <c r="P296" s="19" t="n">
        <v>0.352053382354469</v>
      </c>
      <c r="Q296" s="17" t="s">
        <v>29</v>
      </c>
      <c r="R296" s="5" t="str">
        <f aca="false">IF(OR(Q296="Steel plate",Q296="Concrete jacket"),"Steel plate or jacket",Q296)</f>
        <v>Monitor</v>
      </c>
      <c r="S296" s="5" t="str">
        <f aca="false">IF(O296&lt;='Tree rules'!$C$4,IF(N296&lt;='Tree rules'!$C$5,IF(P296&lt;='Tree rules'!$C$6,"Monitor","Polymer laminate"),IF(P296&lt;='Tree rules'!$C$7,"Seal cracks","Polymer laminate")),IF(O296&lt;='Tree rules'!$C$8,IF(M296&lt;='Tree rules'!$C$9,"Steel plate or jacket","Polymer laminate"),IF(L296&lt;='Tree rules'!$C$10,"Steel plate or jacket","Polymer laminate")))</f>
        <v>Monitor</v>
      </c>
      <c r="T296" s="5" t="str">
        <f aca="false">IF(S296=R296,"Yes","No")</f>
        <v>Yes</v>
      </c>
    </row>
    <row r="297" customFormat="false" ht="15" hidden="false" customHeight="false" outlineLevel="0" collapsed="false">
      <c r="A297" s="15" t="n">
        <v>987</v>
      </c>
      <c r="B297" s="16" t="n">
        <v>5.25884208576326</v>
      </c>
      <c r="C297" s="15" t="n">
        <v>230</v>
      </c>
      <c r="D297" s="15" t="n">
        <v>400</v>
      </c>
      <c r="E297" s="15" t="n">
        <v>25</v>
      </c>
      <c r="F297" s="16" t="n">
        <v>0.552502860426148</v>
      </c>
      <c r="G297" s="17" t="s">
        <v>89</v>
      </c>
      <c r="H297" s="18" t="n">
        <v>0.3</v>
      </c>
      <c r="I297" s="18" t="n">
        <v>1.5</v>
      </c>
      <c r="J297" s="19" t="n">
        <v>0.926766023228137</v>
      </c>
      <c r="K297" s="19" t="n">
        <v>0.444384243469064</v>
      </c>
      <c r="L297" s="16" t="n">
        <v>14.7720283307957</v>
      </c>
      <c r="M297" s="19" t="n">
        <v>0.729964666565653</v>
      </c>
      <c r="N297" s="19" t="n">
        <v>0.751362520793763</v>
      </c>
      <c r="O297" s="19" t="n">
        <v>1.18422892578967</v>
      </c>
      <c r="P297" s="19" t="n">
        <v>0.483465954604861</v>
      </c>
      <c r="Q297" s="17" t="s">
        <v>31</v>
      </c>
      <c r="R297" s="5" t="str">
        <f aca="false">IF(OR(Q297="Steel plate",Q297="Concrete jacket"),"Steel plate or jacket",Q297)</f>
        <v>Polymer laminate</v>
      </c>
      <c r="S297" s="5" t="str">
        <f aca="false">IF(O297&lt;='Tree rules'!$C$4,IF(N297&lt;='Tree rules'!$C$5,IF(P297&lt;='Tree rules'!$C$6,"Monitor","Polymer laminate"),IF(P297&lt;='Tree rules'!$C$7,"Seal cracks","Polymer laminate")),IF(O297&lt;='Tree rules'!$C$8,IF(M297&lt;='Tree rules'!$C$9,"Steel plate or jacket","Polymer laminate"),IF(L297&lt;='Tree rules'!$C$10,"Steel plate or jacket","Polymer laminate")))</f>
        <v>Polymer laminate</v>
      </c>
      <c r="T297" s="5" t="str">
        <f aca="false">IF(S297=R297,"Yes","No")</f>
        <v>Yes</v>
      </c>
    </row>
    <row r="298" customFormat="false" ht="15" hidden="false" customHeight="false" outlineLevel="0" collapsed="false">
      <c r="A298" s="15" t="n">
        <v>991</v>
      </c>
      <c r="B298" s="16" t="n">
        <v>3.22891852744353</v>
      </c>
      <c r="C298" s="15" t="n">
        <v>230</v>
      </c>
      <c r="D298" s="15" t="n">
        <v>300</v>
      </c>
      <c r="E298" s="15" t="n">
        <v>20</v>
      </c>
      <c r="F298" s="16" t="n">
        <v>0.576243217710084</v>
      </c>
      <c r="G298" s="17" t="s">
        <v>89</v>
      </c>
      <c r="H298" s="18" t="n">
        <v>0.3</v>
      </c>
      <c r="I298" s="18" t="n">
        <v>1.5</v>
      </c>
      <c r="J298" s="19" t="n">
        <v>0.904778761549524</v>
      </c>
      <c r="K298" s="19" t="n">
        <v>0.409974812724578</v>
      </c>
      <c r="L298" s="16" t="n">
        <v>12.6129629978263</v>
      </c>
      <c r="M298" s="19" t="n">
        <v>0.461422505954843</v>
      </c>
      <c r="N298" s="19" t="n">
        <v>0.878870654880019</v>
      </c>
      <c r="O298" s="19" t="n">
        <v>1.17169989066257</v>
      </c>
      <c r="P298" s="19" t="n">
        <v>0.595461074025471</v>
      </c>
      <c r="Q298" s="17" t="s">
        <v>31</v>
      </c>
      <c r="R298" s="5" t="str">
        <f aca="false">IF(OR(Q298="Steel plate",Q298="Concrete jacket"),"Steel plate or jacket",Q298)</f>
        <v>Polymer laminate</v>
      </c>
      <c r="S298" s="5" t="str">
        <f aca="false">IF(O298&lt;='Tree rules'!$C$4,IF(N298&lt;='Tree rules'!$C$5,IF(P298&lt;='Tree rules'!$C$6,"Monitor","Polymer laminate"),IF(P298&lt;='Tree rules'!$C$7,"Seal cracks","Polymer laminate")),IF(O298&lt;='Tree rules'!$C$8,IF(M298&lt;='Tree rules'!$C$9,"Steel plate or jacket","Polymer laminate"),IF(L298&lt;='Tree rules'!$C$10,"Steel plate or jacket","Polymer laminate")))</f>
        <v>Polymer laminate</v>
      </c>
      <c r="T298" s="5" t="str">
        <f aca="false">IF(S298=R298,"Yes","No")</f>
        <v>Yes</v>
      </c>
    </row>
    <row r="299" customFormat="false" ht="15" hidden="false" customHeight="false" outlineLevel="0" collapsed="false">
      <c r="A299" s="15" t="n">
        <v>1003</v>
      </c>
      <c r="B299" s="16" t="n">
        <v>4.9075838685902</v>
      </c>
      <c r="C299" s="15" t="n">
        <v>300</v>
      </c>
      <c r="D299" s="15" t="n">
        <v>450</v>
      </c>
      <c r="E299" s="15" t="n">
        <v>20</v>
      </c>
      <c r="F299" s="16" t="n">
        <v>0.557129731671096</v>
      </c>
      <c r="G299" s="17" t="s">
        <v>89</v>
      </c>
      <c r="H299" s="18" t="n">
        <v>0.3</v>
      </c>
      <c r="I299" s="18" t="n">
        <v>1</v>
      </c>
      <c r="J299" s="19" t="n">
        <v>0.893449741654093</v>
      </c>
      <c r="K299" s="19" t="n">
        <v>0.508276046612291</v>
      </c>
      <c r="L299" s="16" t="n">
        <v>12.0876449965276</v>
      </c>
      <c r="M299" s="19" t="n">
        <v>0.578288088075363</v>
      </c>
      <c r="N299" s="19" t="n">
        <v>0.552082304243451</v>
      </c>
      <c r="O299" s="19" t="n">
        <v>0.893449741654093</v>
      </c>
      <c r="P299" s="19" t="n">
        <v>0.500077163735749</v>
      </c>
      <c r="Q299" s="17" t="s">
        <v>29</v>
      </c>
      <c r="R299" s="5" t="str">
        <f aca="false">IF(OR(Q299="Steel plate",Q299="Concrete jacket"),"Steel plate or jacket",Q299)</f>
        <v>Monitor</v>
      </c>
      <c r="S299" s="5" t="str">
        <f aca="false">IF(O299&lt;='Tree rules'!$C$4,IF(N299&lt;='Tree rules'!$C$5,IF(P299&lt;='Tree rules'!$C$6,"Monitor","Polymer laminate"),IF(P299&lt;='Tree rules'!$C$7,"Seal cracks","Polymer laminate")),IF(O299&lt;='Tree rules'!$C$8,IF(M299&lt;='Tree rules'!$C$9,"Steel plate or jacket","Polymer laminate"),IF(L299&lt;='Tree rules'!$C$10,"Steel plate or jacket","Polymer laminate")))</f>
        <v>Monitor</v>
      </c>
      <c r="T299" s="5" t="str">
        <f aca="false">IF(S299=R299,"Yes","No")</f>
        <v>Yes</v>
      </c>
    </row>
    <row r="300" customFormat="false" ht="15" hidden="false" customHeight="false" outlineLevel="0" collapsed="false">
      <c r="A300" s="15" t="n">
        <v>1006</v>
      </c>
      <c r="B300" s="16" t="n">
        <v>6.6302161209052</v>
      </c>
      <c r="C300" s="15" t="n">
        <v>300</v>
      </c>
      <c r="D300" s="15" t="n">
        <v>600</v>
      </c>
      <c r="E300" s="15" t="n">
        <v>30</v>
      </c>
      <c r="F300" s="16" t="n">
        <v>0.948548506518657</v>
      </c>
      <c r="G300" s="17" t="s">
        <v>91</v>
      </c>
      <c r="H300" s="18" t="n">
        <v>0.2</v>
      </c>
      <c r="I300" s="18" t="n">
        <v>1.5</v>
      </c>
      <c r="J300" s="19" t="n">
        <v>0.881837897454432</v>
      </c>
      <c r="K300" s="19" t="n">
        <v>0.507961949312909</v>
      </c>
      <c r="L300" s="16" t="n">
        <v>12.0112610885964</v>
      </c>
      <c r="M300" s="19" t="n">
        <v>0.879502696650277</v>
      </c>
      <c r="N300" s="19" t="n">
        <v>1.02795775027007</v>
      </c>
      <c r="O300" s="19" t="n">
        <v>1.09878679749717</v>
      </c>
      <c r="P300" s="19" t="n">
        <v>0.531275473353297</v>
      </c>
      <c r="Q300" s="17" t="s">
        <v>31</v>
      </c>
      <c r="R300" s="5" t="str">
        <f aca="false">IF(OR(Q300="Steel plate",Q300="Concrete jacket"),"Steel plate or jacket",Q300)</f>
        <v>Polymer laminate</v>
      </c>
      <c r="S300" s="5" t="str">
        <f aca="false">IF(O300&lt;='Tree rules'!$C$4,IF(N300&lt;='Tree rules'!$C$5,IF(P300&lt;='Tree rules'!$C$6,"Monitor","Polymer laminate"),IF(P300&lt;='Tree rules'!$C$7,"Seal cracks","Polymer laminate")),IF(O300&lt;='Tree rules'!$C$8,IF(M300&lt;='Tree rules'!$C$9,"Steel plate or jacket","Polymer laminate"),IF(L300&lt;='Tree rules'!$C$10,"Steel plate or jacket","Polymer laminate")))</f>
        <v>Polymer laminate</v>
      </c>
      <c r="T300" s="5" t="str">
        <f aca="false">IF(S300=R300,"Yes","No")</f>
        <v>Yes</v>
      </c>
    </row>
    <row r="301" customFormat="false" ht="15" hidden="false" customHeight="false" outlineLevel="0" collapsed="false">
      <c r="A301" s="15" t="n">
        <v>1012</v>
      </c>
      <c r="B301" s="16" t="n">
        <v>6.00592962147472</v>
      </c>
      <c r="C301" s="15" t="n">
        <v>230</v>
      </c>
      <c r="D301" s="15" t="n">
        <v>475</v>
      </c>
      <c r="E301" s="15" t="n">
        <v>30</v>
      </c>
      <c r="F301" s="16" t="n">
        <v>0.639770421258486</v>
      </c>
      <c r="G301" s="17" t="s">
        <v>89</v>
      </c>
      <c r="H301" s="18" t="n">
        <v>0.3</v>
      </c>
      <c r="I301" s="18" t="n">
        <v>1.5</v>
      </c>
      <c r="J301" s="19" t="n">
        <v>0.917331683132429</v>
      </c>
      <c r="K301" s="19" t="n">
        <v>0.597081448834947</v>
      </c>
      <c r="L301" s="16" t="n">
        <v>14.0654089495895</v>
      </c>
      <c r="M301" s="19" t="n">
        <v>0.461099698169248</v>
      </c>
      <c r="N301" s="19" t="n">
        <v>1.07239255292834</v>
      </c>
      <c r="O301" s="19" t="n">
        <v>1.10213665948519</v>
      </c>
      <c r="P301" s="19" t="n">
        <v>0.83035642602835</v>
      </c>
      <c r="Q301" s="17" t="s">
        <v>31</v>
      </c>
      <c r="R301" s="5" t="str">
        <f aca="false">IF(OR(Q301="Steel plate",Q301="Concrete jacket"),"Steel plate or jacket",Q301)</f>
        <v>Polymer laminate</v>
      </c>
      <c r="S301" s="5" t="str">
        <f aca="false">IF(O301&lt;='Tree rules'!$C$4,IF(N301&lt;='Tree rules'!$C$5,IF(P301&lt;='Tree rules'!$C$6,"Monitor","Polymer laminate"),IF(P301&lt;='Tree rules'!$C$7,"Seal cracks","Polymer laminate")),IF(O301&lt;='Tree rules'!$C$8,IF(M301&lt;='Tree rules'!$C$9,"Steel plate or jacket","Polymer laminate"),IF(L301&lt;='Tree rules'!$C$10,"Steel plate or jacket","Polymer laminate")))</f>
        <v>Polymer laminate</v>
      </c>
      <c r="T301" s="5" t="str">
        <f aca="false">IF(S301=R301,"Yes","No")</f>
        <v>Yes</v>
      </c>
    </row>
    <row r="302" customFormat="false" ht="15" hidden="false" customHeight="false" outlineLevel="0" collapsed="false">
      <c r="A302" s="15" t="n">
        <v>1015</v>
      </c>
      <c r="B302" s="16" t="n">
        <v>6.24861580937229</v>
      </c>
      <c r="C302" s="15" t="n">
        <v>300</v>
      </c>
      <c r="D302" s="15" t="n">
        <v>475</v>
      </c>
      <c r="E302" s="15" t="n">
        <v>30</v>
      </c>
      <c r="F302" s="16" t="n">
        <v>0.624901102811956</v>
      </c>
      <c r="G302" s="17" t="s">
        <v>91</v>
      </c>
      <c r="H302" s="18" t="n">
        <v>0.2</v>
      </c>
      <c r="I302" s="18" t="n">
        <v>1</v>
      </c>
      <c r="J302" s="19" t="n">
        <v>0.989273451001036</v>
      </c>
      <c r="K302" s="19" t="n">
        <v>0.418360120305989</v>
      </c>
      <c r="L302" s="16" t="n">
        <v>14.5655380171848</v>
      </c>
      <c r="M302" s="19" t="n">
        <v>0.867931399994258</v>
      </c>
      <c r="N302" s="19" t="n">
        <v>0.987014103072407</v>
      </c>
      <c r="O302" s="19" t="n">
        <v>0.989273451001036</v>
      </c>
      <c r="P302" s="19" t="n">
        <v>0.411870242254965</v>
      </c>
      <c r="Q302" s="17" t="s">
        <v>29</v>
      </c>
      <c r="R302" s="5" t="str">
        <f aca="false">IF(OR(Q302="Steel plate",Q302="Concrete jacket"),"Steel plate or jacket",Q302)</f>
        <v>Monitor</v>
      </c>
      <c r="S302" s="5" t="str">
        <f aca="false">IF(O302&lt;='Tree rules'!$C$4,IF(N302&lt;='Tree rules'!$C$5,IF(P302&lt;='Tree rules'!$C$6,"Monitor","Polymer laminate"),IF(P302&lt;='Tree rules'!$C$7,"Seal cracks","Polymer laminate")),IF(O302&lt;='Tree rules'!$C$8,IF(M302&lt;='Tree rules'!$C$9,"Steel plate or jacket","Polymer laminate"),IF(L302&lt;='Tree rules'!$C$10,"Steel plate or jacket","Polymer laminate")))</f>
        <v>Monitor</v>
      </c>
      <c r="T302" s="5" t="str">
        <f aca="false">IF(S302=R302,"Yes","No")</f>
        <v>Yes</v>
      </c>
    </row>
    <row r="303" customFormat="false" ht="15" hidden="false" customHeight="false" outlineLevel="0" collapsed="false">
      <c r="A303" s="15" t="n">
        <v>1019</v>
      </c>
      <c r="B303" s="16" t="n">
        <v>4.47604805092793</v>
      </c>
      <c r="C303" s="15" t="n">
        <v>230</v>
      </c>
      <c r="D303" s="15" t="n">
        <v>400</v>
      </c>
      <c r="E303" s="15" t="n">
        <v>30</v>
      </c>
      <c r="F303" s="16" t="n">
        <v>0.552502860426148</v>
      </c>
      <c r="G303" s="17" t="s">
        <v>91</v>
      </c>
      <c r="H303" s="18" t="n">
        <v>0.2</v>
      </c>
      <c r="I303" s="18" t="n">
        <v>1.5</v>
      </c>
      <c r="J303" s="19" t="n">
        <v>0.988589340294832</v>
      </c>
      <c r="K303" s="19" t="n">
        <v>0.583556695014776</v>
      </c>
      <c r="L303" s="16" t="n">
        <v>12.5731686823818</v>
      </c>
      <c r="M303" s="19" t="n">
        <v>0.319071483747439</v>
      </c>
      <c r="N303" s="19" t="n">
        <v>1.25036609710237</v>
      </c>
      <c r="O303" s="19" t="n">
        <v>1.1944350463676</v>
      </c>
      <c r="P303" s="19" t="n">
        <v>0.952763201160432</v>
      </c>
      <c r="Q303" s="17" t="s">
        <v>31</v>
      </c>
      <c r="R303" s="5" t="str">
        <f aca="false">IF(OR(Q303="Steel plate",Q303="Concrete jacket"),"Steel plate or jacket",Q303)</f>
        <v>Polymer laminate</v>
      </c>
      <c r="S303" s="5" t="str">
        <f aca="false">IF(O303&lt;='Tree rules'!$C$4,IF(N303&lt;='Tree rules'!$C$5,IF(P303&lt;='Tree rules'!$C$6,"Monitor","Polymer laminate"),IF(P303&lt;='Tree rules'!$C$7,"Seal cracks","Polymer laminate")),IF(O303&lt;='Tree rules'!$C$8,IF(M303&lt;='Tree rules'!$C$9,"Steel plate or jacket","Polymer laminate"),IF(L303&lt;='Tree rules'!$C$10,"Steel plate or jacket","Polymer laminate")))</f>
        <v>Polymer laminate</v>
      </c>
      <c r="T303" s="5" t="str">
        <f aca="false">IF(S303=R303,"Yes","No")</f>
        <v>Yes</v>
      </c>
    </row>
    <row r="304" customFormat="false" ht="15" hidden="false" customHeight="false" outlineLevel="0" collapsed="false">
      <c r="A304" s="15" t="n">
        <v>1024</v>
      </c>
      <c r="B304" s="16" t="n">
        <v>4.67128140186289</v>
      </c>
      <c r="C304" s="15" t="n">
        <v>230</v>
      </c>
      <c r="D304" s="15" t="n">
        <v>450</v>
      </c>
      <c r="E304" s="15" t="n">
        <v>25</v>
      </c>
      <c r="F304" s="16" t="n">
        <v>0.679557138998441</v>
      </c>
      <c r="G304" s="17" t="s">
        <v>89</v>
      </c>
      <c r="H304" s="18" t="n">
        <v>0.3</v>
      </c>
      <c r="I304" s="18" t="n">
        <v>1</v>
      </c>
      <c r="J304" s="19" t="n">
        <v>0.914954020251041</v>
      </c>
      <c r="K304" s="19" t="n">
        <v>0.489082448144916</v>
      </c>
      <c r="L304" s="16" t="n">
        <v>11.6201029897087</v>
      </c>
      <c r="M304" s="19" t="n">
        <v>0.516782468827958</v>
      </c>
      <c r="N304" s="19" t="n">
        <v>0.865443837926749</v>
      </c>
      <c r="O304" s="19" t="n">
        <v>0.914954020251041</v>
      </c>
      <c r="P304" s="19" t="n">
        <v>0.568158386623137</v>
      </c>
      <c r="Q304" s="17" t="s">
        <v>29</v>
      </c>
      <c r="R304" s="5" t="str">
        <f aca="false">IF(OR(Q304="Steel plate",Q304="Concrete jacket"),"Steel plate or jacket",Q304)</f>
        <v>Monitor</v>
      </c>
      <c r="S304" s="5" t="str">
        <f aca="false">IF(O304&lt;='Tree rules'!$C$4,IF(N304&lt;='Tree rules'!$C$5,IF(P304&lt;='Tree rules'!$C$6,"Monitor","Polymer laminate"),IF(P304&lt;='Tree rules'!$C$7,"Seal cracks","Polymer laminate")),IF(O304&lt;='Tree rules'!$C$8,IF(M304&lt;='Tree rules'!$C$9,"Steel plate or jacket","Polymer laminate"),IF(L304&lt;='Tree rules'!$C$10,"Steel plate or jacket","Polymer laminate")))</f>
        <v>Monitor</v>
      </c>
      <c r="T304" s="5" t="str">
        <f aca="false">IF(S304=R304,"Yes","No")</f>
        <v>Yes</v>
      </c>
    </row>
    <row r="305" customFormat="false" ht="15" hidden="false" customHeight="false" outlineLevel="0" collapsed="false">
      <c r="A305" s="15" t="n">
        <v>1028</v>
      </c>
      <c r="B305" s="16" t="n">
        <v>3.18630821642524</v>
      </c>
      <c r="C305" s="15" t="n">
        <v>230</v>
      </c>
      <c r="D305" s="15" t="n">
        <v>325</v>
      </c>
      <c r="E305" s="15" t="n">
        <v>25</v>
      </c>
      <c r="F305" s="16" t="n">
        <v>0.939980971621069</v>
      </c>
      <c r="G305" s="17" t="s">
        <v>89</v>
      </c>
      <c r="H305" s="18" t="n">
        <v>0.3</v>
      </c>
      <c r="I305" s="18" t="n">
        <v>2</v>
      </c>
      <c r="J305" s="19" t="n">
        <v>0.91619159077567</v>
      </c>
      <c r="K305" s="19" t="n">
        <v>0.471069097851165</v>
      </c>
      <c r="L305" s="16" t="n">
        <v>11.4204595570797</v>
      </c>
      <c r="M305" s="19" t="n">
        <v>0.922114599659523</v>
      </c>
      <c r="N305" s="19" t="n">
        <v>1.00727102799107</v>
      </c>
      <c r="O305" s="19" t="n">
        <v>1.40079363542582</v>
      </c>
      <c r="P305" s="19" t="n">
        <v>0.47724188195411</v>
      </c>
      <c r="Q305" s="17" t="s">
        <v>31</v>
      </c>
      <c r="R305" s="5" t="str">
        <f aca="false">IF(OR(Q305="Steel plate",Q305="Concrete jacket"),"Steel plate or jacket",Q305)</f>
        <v>Polymer laminate</v>
      </c>
      <c r="S305" s="5" t="str">
        <f aca="false">IF(O305&lt;='Tree rules'!$C$4,IF(N305&lt;='Tree rules'!$C$5,IF(P305&lt;='Tree rules'!$C$6,"Monitor","Polymer laminate"),IF(P305&lt;='Tree rules'!$C$7,"Seal cracks","Polymer laminate")),IF(O305&lt;='Tree rules'!$C$8,IF(M305&lt;='Tree rules'!$C$9,"Steel plate or jacket","Polymer laminate"),IF(L305&lt;='Tree rules'!$C$10,"Steel plate or jacket","Polymer laminate")))</f>
        <v>Steel plate or jacket</v>
      </c>
      <c r="T305" s="5" t="str">
        <f aca="false">IF(S305=R305,"Yes","No")</f>
        <v>No</v>
      </c>
    </row>
    <row r="306" customFormat="false" ht="15" hidden="false" customHeight="false" outlineLevel="0" collapsed="false">
      <c r="A306" s="15" t="n">
        <v>1029</v>
      </c>
      <c r="B306" s="16" t="n">
        <v>3.15272971355194</v>
      </c>
      <c r="C306" s="15" t="n">
        <v>300</v>
      </c>
      <c r="D306" s="15" t="n">
        <v>300</v>
      </c>
      <c r="E306" s="15" t="n">
        <v>30</v>
      </c>
      <c r="F306" s="16" t="n">
        <v>0.791582400904515</v>
      </c>
      <c r="G306" s="17" t="s">
        <v>91</v>
      </c>
      <c r="H306" s="18" t="n">
        <v>0.2</v>
      </c>
      <c r="I306" s="18" t="n">
        <v>1.5</v>
      </c>
      <c r="J306" s="19" t="n">
        <v>0.856069014427067</v>
      </c>
      <c r="K306" s="19" t="n">
        <v>0.642539987715352</v>
      </c>
      <c r="L306" s="16" t="n">
        <v>12.4123217068974</v>
      </c>
      <c r="M306" s="19" t="n">
        <v>0.307285657259227</v>
      </c>
      <c r="N306" s="19" t="n">
        <v>1.34851350144174</v>
      </c>
      <c r="O306" s="19" t="n">
        <v>1.00907423463387</v>
      </c>
      <c r="P306" s="19" t="n">
        <v>1.03776410927978</v>
      </c>
      <c r="Q306" s="17" t="s">
        <v>31</v>
      </c>
      <c r="R306" s="5" t="str">
        <f aca="false">IF(OR(Q306="Steel plate",Q306="Concrete jacket"),"Steel plate or jacket",Q306)</f>
        <v>Polymer laminate</v>
      </c>
      <c r="S306" s="5" t="str">
        <f aca="false">IF(O306&lt;='Tree rules'!$C$4,IF(N306&lt;='Tree rules'!$C$5,IF(P306&lt;='Tree rules'!$C$6,"Monitor","Polymer laminate"),IF(P306&lt;='Tree rules'!$C$7,"Seal cracks","Polymer laminate")),IF(O306&lt;='Tree rules'!$C$8,IF(M306&lt;='Tree rules'!$C$9,"Steel plate or jacket","Polymer laminate"),IF(L306&lt;='Tree rules'!$C$10,"Steel plate or jacket","Polymer laminate")))</f>
        <v>Polymer laminate</v>
      </c>
      <c r="T306" s="5" t="str">
        <f aca="false">IF(S306=R306,"Yes","No")</f>
        <v>Yes</v>
      </c>
    </row>
    <row r="307" customFormat="false" ht="15" hidden="false" customHeight="false" outlineLevel="0" collapsed="false">
      <c r="A307" s="15" t="n">
        <v>1030</v>
      </c>
      <c r="B307" s="16" t="n">
        <v>3.52388557617148</v>
      </c>
      <c r="C307" s="15" t="n">
        <v>300</v>
      </c>
      <c r="D307" s="15" t="n">
        <v>350</v>
      </c>
      <c r="E307" s="15" t="n">
        <v>20</v>
      </c>
      <c r="F307" s="16" t="n">
        <v>0.695716020172134</v>
      </c>
      <c r="G307" s="17" t="s">
        <v>90</v>
      </c>
      <c r="H307" s="18" t="n">
        <v>0.1</v>
      </c>
      <c r="I307" s="18" t="n">
        <v>2</v>
      </c>
      <c r="J307" s="19" t="n">
        <v>0.989810426399466</v>
      </c>
      <c r="K307" s="19" t="n">
        <v>0.524010781170964</v>
      </c>
      <c r="L307" s="16" t="n">
        <v>12.1933756960951</v>
      </c>
      <c r="M307" s="19" t="n">
        <v>0.241392681903192</v>
      </c>
      <c r="N307" s="19" t="n">
        <v>4.72406599542896</v>
      </c>
      <c r="O307" s="19" t="n">
        <v>1.46094951805018</v>
      </c>
      <c r="P307" s="19" t="n">
        <v>1.49107438878343</v>
      </c>
      <c r="Q307" s="17" t="s">
        <v>31</v>
      </c>
      <c r="R307" s="5" t="str">
        <f aca="false">IF(OR(Q307="Steel plate",Q307="Concrete jacket"),"Steel plate or jacket",Q307)</f>
        <v>Polymer laminate</v>
      </c>
      <c r="S307" s="5" t="str">
        <f aca="false">IF(O307&lt;='Tree rules'!$C$4,IF(N307&lt;='Tree rules'!$C$5,IF(P307&lt;='Tree rules'!$C$6,"Monitor","Polymer laminate"),IF(P307&lt;='Tree rules'!$C$7,"Seal cracks","Polymer laminate")),IF(O307&lt;='Tree rules'!$C$8,IF(M307&lt;='Tree rules'!$C$9,"Steel plate or jacket","Polymer laminate"),IF(L307&lt;='Tree rules'!$C$10,"Steel plate or jacket","Polymer laminate")))</f>
        <v>Steel plate or jacket</v>
      </c>
      <c r="T307" s="5" t="str">
        <f aca="false">IF(S307=R307,"Yes","No")</f>
        <v>No</v>
      </c>
    </row>
    <row r="308" customFormat="false" ht="15" hidden="false" customHeight="false" outlineLevel="0" collapsed="false">
      <c r="A308" s="15" t="n">
        <v>1032</v>
      </c>
      <c r="B308" s="16" t="n">
        <v>4.62212868346218</v>
      </c>
      <c r="C308" s="15" t="n">
        <v>300</v>
      </c>
      <c r="D308" s="15" t="n">
        <v>375</v>
      </c>
      <c r="E308" s="15" t="n">
        <v>25</v>
      </c>
      <c r="F308" s="16" t="n">
        <v>0.569472988566126</v>
      </c>
      <c r="G308" s="17" t="s">
        <v>89</v>
      </c>
      <c r="H308" s="18" t="n">
        <v>0.3</v>
      </c>
      <c r="I308" s="18" t="n">
        <v>1</v>
      </c>
      <c r="J308" s="19" t="n">
        <v>0.880881042416845</v>
      </c>
      <c r="K308" s="19" t="n">
        <v>0.552526829822349</v>
      </c>
      <c r="L308" s="16" t="n">
        <v>13.964134995354</v>
      </c>
      <c r="M308" s="19" t="n">
        <v>0.528616399433689</v>
      </c>
      <c r="N308" s="19" t="n">
        <v>0.587747286207334</v>
      </c>
      <c r="O308" s="19" t="n">
        <v>0.880881042416845</v>
      </c>
      <c r="P308" s="19" t="n">
        <v>0.565011881104565</v>
      </c>
      <c r="Q308" s="17" t="s">
        <v>29</v>
      </c>
      <c r="R308" s="5" t="str">
        <f aca="false">IF(OR(Q308="Steel plate",Q308="Concrete jacket"),"Steel plate or jacket",Q308)</f>
        <v>Monitor</v>
      </c>
      <c r="S308" s="5" t="str">
        <f aca="false">IF(O308&lt;='Tree rules'!$C$4,IF(N308&lt;='Tree rules'!$C$5,IF(P308&lt;='Tree rules'!$C$6,"Monitor","Polymer laminate"),IF(P308&lt;='Tree rules'!$C$7,"Seal cracks","Polymer laminate")),IF(O308&lt;='Tree rules'!$C$8,IF(M308&lt;='Tree rules'!$C$9,"Steel plate or jacket","Polymer laminate"),IF(L308&lt;='Tree rules'!$C$10,"Steel plate or jacket","Polymer laminate")))</f>
        <v>Monitor</v>
      </c>
      <c r="T308" s="5" t="str">
        <f aca="false">IF(S308=R308,"Yes","No")</f>
        <v>Yes</v>
      </c>
    </row>
    <row r="309" customFormat="false" ht="15" hidden="false" customHeight="false" outlineLevel="0" collapsed="false">
      <c r="A309" s="15" t="n">
        <v>1035</v>
      </c>
      <c r="B309" s="16" t="n">
        <v>4.05933640166727</v>
      </c>
      <c r="C309" s="15" t="n">
        <v>230</v>
      </c>
      <c r="D309" s="15" t="n">
        <v>400</v>
      </c>
      <c r="E309" s="15" t="n">
        <v>25</v>
      </c>
      <c r="F309" s="16" t="n">
        <v>0.552502860426148</v>
      </c>
      <c r="G309" s="17" t="s">
        <v>91</v>
      </c>
      <c r="H309" s="18" t="n">
        <v>0.2</v>
      </c>
      <c r="I309" s="18" t="n">
        <v>1</v>
      </c>
      <c r="J309" s="19" t="n">
        <v>0.960537037378373</v>
      </c>
      <c r="K309" s="19" t="n">
        <v>0.429393777029446</v>
      </c>
      <c r="L309" s="16" t="n">
        <v>11.402630341762</v>
      </c>
      <c r="M309" s="19" t="n">
        <v>0.9388538586988</v>
      </c>
      <c r="N309" s="19" t="n">
        <v>0.834107199581886</v>
      </c>
      <c r="O309" s="19" t="n">
        <v>0.960537037378373</v>
      </c>
      <c r="P309" s="19" t="n">
        <v>0.265614896792144</v>
      </c>
      <c r="Q309" s="17" t="s">
        <v>29</v>
      </c>
      <c r="R309" s="5" t="str">
        <f aca="false">IF(OR(Q309="Steel plate",Q309="Concrete jacket"),"Steel plate or jacket",Q309)</f>
        <v>Monitor</v>
      </c>
      <c r="S309" s="5" t="str">
        <f aca="false">IF(O309&lt;='Tree rules'!$C$4,IF(N309&lt;='Tree rules'!$C$5,IF(P309&lt;='Tree rules'!$C$6,"Monitor","Polymer laminate"),IF(P309&lt;='Tree rules'!$C$7,"Seal cracks","Polymer laminate")),IF(O309&lt;='Tree rules'!$C$8,IF(M309&lt;='Tree rules'!$C$9,"Steel plate or jacket","Polymer laminate"),IF(L309&lt;='Tree rules'!$C$10,"Steel plate or jacket","Polymer laminate")))</f>
        <v>Monitor</v>
      </c>
      <c r="T309" s="5" t="str">
        <f aca="false">IF(S309=R309,"Yes","No")</f>
        <v>Yes</v>
      </c>
    </row>
    <row r="310" customFormat="false" ht="15" hidden="false" customHeight="false" outlineLevel="0" collapsed="false">
      <c r="A310" s="15" t="n">
        <v>1038</v>
      </c>
      <c r="B310" s="16" t="n">
        <v>6.21216143104835</v>
      </c>
      <c r="C310" s="15" t="n">
        <v>230</v>
      </c>
      <c r="D310" s="15" t="n">
        <v>600</v>
      </c>
      <c r="E310" s="15" t="n">
        <v>25</v>
      </c>
      <c r="F310" s="16" t="n">
        <v>0.742342309449384</v>
      </c>
      <c r="G310" s="17" t="s">
        <v>89</v>
      </c>
      <c r="H310" s="18" t="n">
        <v>0.3</v>
      </c>
      <c r="I310" s="18" t="n">
        <v>1.5</v>
      </c>
      <c r="J310" s="19" t="n">
        <v>0.893455886885694</v>
      </c>
      <c r="K310" s="19" t="n">
        <v>0.547475244040579</v>
      </c>
      <c r="L310" s="16" t="n">
        <v>11.2539156359572</v>
      </c>
      <c r="M310" s="19" t="n">
        <v>0.418554693104344</v>
      </c>
      <c r="N310" s="19" t="n">
        <v>0.790224604086021</v>
      </c>
      <c r="O310" s="19" t="n">
        <v>1.09561134047242</v>
      </c>
      <c r="P310" s="19" t="n">
        <v>0.888417824474225</v>
      </c>
      <c r="Q310" s="17" t="s">
        <v>31</v>
      </c>
      <c r="R310" s="5" t="str">
        <f aca="false">IF(OR(Q310="Steel plate",Q310="Concrete jacket"),"Steel plate or jacket",Q310)</f>
        <v>Polymer laminate</v>
      </c>
      <c r="S310" s="5" t="str">
        <f aca="false">IF(O310&lt;='Tree rules'!$C$4,IF(N310&lt;='Tree rules'!$C$5,IF(P310&lt;='Tree rules'!$C$6,"Monitor","Polymer laminate"),IF(P310&lt;='Tree rules'!$C$7,"Seal cracks","Polymer laminate")),IF(O310&lt;='Tree rules'!$C$8,IF(M310&lt;='Tree rules'!$C$9,"Steel plate or jacket","Polymer laminate"),IF(L310&lt;='Tree rules'!$C$10,"Steel plate or jacket","Polymer laminate")))</f>
        <v>Polymer laminate</v>
      </c>
      <c r="T310" s="5" t="str">
        <f aca="false">IF(S310=R310,"Yes","No")</f>
        <v>Yes</v>
      </c>
    </row>
    <row r="311" customFormat="false" ht="15" hidden="false" customHeight="false" outlineLevel="0" collapsed="false">
      <c r="A311" s="15" t="n">
        <v>1055</v>
      </c>
      <c r="B311" s="16" t="n">
        <v>6.48759901088593</v>
      </c>
      <c r="C311" s="15" t="n">
        <v>230</v>
      </c>
      <c r="D311" s="15" t="n">
        <v>625</v>
      </c>
      <c r="E311" s="15" t="n">
        <v>30</v>
      </c>
      <c r="F311" s="16" t="n">
        <v>0.603925598347216</v>
      </c>
      <c r="G311" s="17" t="s">
        <v>91</v>
      </c>
      <c r="H311" s="18" t="n">
        <v>0.2</v>
      </c>
      <c r="I311" s="18" t="n">
        <v>2</v>
      </c>
      <c r="J311" s="19" t="n">
        <v>0.883400640012766</v>
      </c>
      <c r="K311" s="19" t="n">
        <v>0.508417087562458</v>
      </c>
      <c r="L311" s="16" t="n">
        <v>11.2048342156925</v>
      </c>
      <c r="M311" s="19" t="n">
        <v>0.924571524362363</v>
      </c>
      <c r="N311" s="19" t="n">
        <v>1.20043274965274</v>
      </c>
      <c r="O311" s="19" t="n">
        <v>1.31766529947943</v>
      </c>
      <c r="P311" s="19" t="n">
        <v>0.374616081542986</v>
      </c>
      <c r="Q311" s="17" t="s">
        <v>31</v>
      </c>
      <c r="R311" s="5" t="str">
        <f aca="false">IF(OR(Q311="Steel plate",Q311="Concrete jacket"),"Steel plate or jacket",Q311)</f>
        <v>Polymer laminate</v>
      </c>
      <c r="S311" s="5" t="str">
        <f aca="false">IF(O311&lt;='Tree rules'!$C$4,IF(N311&lt;='Tree rules'!$C$5,IF(P311&lt;='Tree rules'!$C$6,"Monitor","Polymer laminate"),IF(P311&lt;='Tree rules'!$C$7,"Seal cracks","Polymer laminate")),IF(O311&lt;='Tree rules'!$C$8,IF(M311&lt;='Tree rules'!$C$9,"Steel plate or jacket","Polymer laminate"),IF(L311&lt;='Tree rules'!$C$10,"Steel plate or jacket","Polymer laminate")))</f>
        <v>Steel plate or jacket</v>
      </c>
      <c r="T311" s="5" t="str">
        <f aca="false">IF(S311=R311,"Yes","No")</f>
        <v>No</v>
      </c>
    </row>
    <row r="312" customFormat="false" ht="15" hidden="false" customHeight="false" outlineLevel="0" collapsed="false">
      <c r="A312" s="15" t="n">
        <v>1058</v>
      </c>
      <c r="B312" s="16" t="n">
        <v>4.98602447091344</v>
      </c>
      <c r="C312" s="15" t="n">
        <v>300</v>
      </c>
      <c r="D312" s="15" t="n">
        <v>475</v>
      </c>
      <c r="E312" s="15" t="n">
        <v>30</v>
      </c>
      <c r="F312" s="16" t="n">
        <v>0.781126378514945</v>
      </c>
      <c r="G312" s="17" t="s">
        <v>89</v>
      </c>
      <c r="H312" s="18" t="n">
        <v>0.3</v>
      </c>
      <c r="I312" s="18" t="n">
        <v>1</v>
      </c>
      <c r="J312" s="19" t="n">
        <v>0.879154793273923</v>
      </c>
      <c r="K312" s="19" t="n">
        <v>0.595344268875647</v>
      </c>
      <c r="L312" s="16" t="n">
        <v>11.6224346641339</v>
      </c>
      <c r="M312" s="19" t="n">
        <v>0.943832762220603</v>
      </c>
      <c r="N312" s="19" t="n">
        <v>0.537970030589522</v>
      </c>
      <c r="O312" s="19" t="n">
        <v>0.879154793273923</v>
      </c>
      <c r="P312" s="19" t="n">
        <v>0.379607621687789</v>
      </c>
      <c r="Q312" s="17" t="s">
        <v>29</v>
      </c>
      <c r="R312" s="5" t="str">
        <f aca="false">IF(OR(Q312="Steel plate",Q312="Concrete jacket"),"Steel plate or jacket",Q312)</f>
        <v>Monitor</v>
      </c>
      <c r="S312" s="5" t="str">
        <f aca="false">IF(O312&lt;='Tree rules'!$C$4,IF(N312&lt;='Tree rules'!$C$5,IF(P312&lt;='Tree rules'!$C$6,"Monitor","Polymer laminate"),IF(P312&lt;='Tree rules'!$C$7,"Seal cracks","Polymer laminate")),IF(O312&lt;='Tree rules'!$C$8,IF(M312&lt;='Tree rules'!$C$9,"Steel plate or jacket","Polymer laminate"),IF(L312&lt;='Tree rules'!$C$10,"Steel plate or jacket","Polymer laminate")))</f>
        <v>Monitor</v>
      </c>
      <c r="T312" s="5" t="str">
        <f aca="false">IF(S312=R312,"Yes","No")</f>
        <v>Yes</v>
      </c>
    </row>
    <row r="313" customFormat="false" ht="15" hidden="false" customHeight="false" outlineLevel="0" collapsed="false">
      <c r="A313" s="15" t="n">
        <v>1059</v>
      </c>
      <c r="B313" s="16" t="n">
        <v>4.82780412546188</v>
      </c>
      <c r="C313" s="15" t="n">
        <v>300</v>
      </c>
      <c r="D313" s="15" t="n">
        <v>400</v>
      </c>
      <c r="E313" s="15" t="n">
        <v>30</v>
      </c>
      <c r="F313" s="16" t="n">
        <v>0.757295404255167</v>
      </c>
      <c r="G313" s="17" t="s">
        <v>89</v>
      </c>
      <c r="H313" s="18" t="n">
        <v>0.3</v>
      </c>
      <c r="I313" s="18" t="n">
        <v>1.5</v>
      </c>
      <c r="J313" s="19" t="n">
        <v>0.925628400418806</v>
      </c>
      <c r="K313" s="19" t="n">
        <v>0.523456391376557</v>
      </c>
      <c r="L313" s="16" t="n">
        <v>13.6378647611918</v>
      </c>
      <c r="M313" s="19" t="n">
        <v>0.623486459689094</v>
      </c>
      <c r="N313" s="19" t="n">
        <v>0.836622653371775</v>
      </c>
      <c r="O313" s="19" t="n">
        <v>1.14617954950877</v>
      </c>
      <c r="P313" s="19" t="n">
        <v>0.655116678517567</v>
      </c>
      <c r="Q313" s="17" t="s">
        <v>31</v>
      </c>
      <c r="R313" s="5" t="str">
        <f aca="false">IF(OR(Q313="Steel plate",Q313="Concrete jacket"),"Steel plate or jacket",Q313)</f>
        <v>Polymer laminate</v>
      </c>
      <c r="S313" s="5" t="str">
        <f aca="false">IF(O313&lt;='Tree rules'!$C$4,IF(N313&lt;='Tree rules'!$C$5,IF(P313&lt;='Tree rules'!$C$6,"Monitor","Polymer laminate"),IF(P313&lt;='Tree rules'!$C$7,"Seal cracks","Polymer laminate")),IF(O313&lt;='Tree rules'!$C$8,IF(M313&lt;='Tree rules'!$C$9,"Steel plate or jacket","Polymer laminate"),IF(L313&lt;='Tree rules'!$C$10,"Steel plate or jacket","Polymer laminate")))</f>
        <v>Polymer laminate</v>
      </c>
      <c r="T313" s="5" t="str">
        <f aca="false">IF(S313=R313,"Yes","No")</f>
        <v>Yes</v>
      </c>
    </row>
    <row r="314" customFormat="false" ht="15" hidden="false" customHeight="false" outlineLevel="0" collapsed="false">
      <c r="A314" s="15" t="n">
        <v>1064</v>
      </c>
      <c r="B314" s="16" t="n">
        <v>7.57978809341091</v>
      </c>
      <c r="C314" s="15" t="n">
        <v>300</v>
      </c>
      <c r="D314" s="15" t="n">
        <v>725</v>
      </c>
      <c r="E314" s="15" t="n">
        <v>25</v>
      </c>
      <c r="F314" s="16" t="n">
        <v>0.592229542944762</v>
      </c>
      <c r="G314" s="17" t="s">
        <v>91</v>
      </c>
      <c r="H314" s="18" t="n">
        <v>0.2</v>
      </c>
      <c r="I314" s="18" t="n">
        <v>2</v>
      </c>
      <c r="J314" s="19" t="n">
        <v>0.933882287398728</v>
      </c>
      <c r="K314" s="19" t="n">
        <v>0.497691149034849</v>
      </c>
      <c r="L314" s="16" t="n">
        <v>11.1631636132709</v>
      </c>
      <c r="M314" s="19" t="n">
        <v>0.552618734395552</v>
      </c>
      <c r="N314" s="19" t="n">
        <v>1.31235875494889</v>
      </c>
      <c r="O314" s="19" t="n">
        <v>1.40297962611869</v>
      </c>
      <c r="P314" s="19" t="n">
        <v>0.675373226429759</v>
      </c>
      <c r="Q314" s="17" t="s">
        <v>92</v>
      </c>
      <c r="R314" s="5" t="str">
        <f aca="false">IF(OR(Q314="Steel plate",Q314="Concrete jacket"),"Steel plate or jacket",Q314)</f>
        <v>Steel plate or jacket</v>
      </c>
      <c r="S314" s="5" t="str">
        <f aca="false">IF(O314&lt;='Tree rules'!$C$4,IF(N314&lt;='Tree rules'!$C$5,IF(P314&lt;='Tree rules'!$C$6,"Monitor","Polymer laminate"),IF(P314&lt;='Tree rules'!$C$7,"Seal cracks","Polymer laminate")),IF(O314&lt;='Tree rules'!$C$8,IF(M314&lt;='Tree rules'!$C$9,"Steel plate or jacket","Polymer laminate"),IF(L314&lt;='Tree rules'!$C$10,"Steel plate or jacket","Polymer laminate")))</f>
        <v>Steel plate or jacket</v>
      </c>
      <c r="T314" s="5" t="str">
        <f aca="false">IF(S314=R314,"Yes","No")</f>
        <v>Yes</v>
      </c>
    </row>
    <row r="315" customFormat="false" ht="15" hidden="false" customHeight="false" outlineLevel="0" collapsed="false">
      <c r="A315" s="15" t="n">
        <v>1065</v>
      </c>
      <c r="B315" s="16" t="n">
        <v>4.93800735122072</v>
      </c>
      <c r="C315" s="15" t="n">
        <v>300</v>
      </c>
      <c r="D315" s="15" t="n">
        <v>450</v>
      </c>
      <c r="E315" s="15" t="n">
        <v>20</v>
      </c>
      <c r="F315" s="16" t="n">
        <v>0.557129731671096</v>
      </c>
      <c r="G315" s="17" t="s">
        <v>89</v>
      </c>
      <c r="H315" s="18" t="n">
        <v>0.3</v>
      </c>
      <c r="I315" s="18" t="n">
        <v>2</v>
      </c>
      <c r="J315" s="19" t="n">
        <v>0.905719807072981</v>
      </c>
      <c r="K315" s="19" t="n">
        <v>0.531858151011393</v>
      </c>
      <c r="L315" s="16" t="n">
        <v>12.1625796828097</v>
      </c>
      <c r="M315" s="19" t="n">
        <v>0.820824790343167</v>
      </c>
      <c r="N315" s="19" t="n">
        <v>0.80678822098698</v>
      </c>
      <c r="O315" s="19" t="n">
        <v>1.32972515222173</v>
      </c>
      <c r="P315" s="19" t="n">
        <v>0.463304035793495</v>
      </c>
      <c r="Q315" s="17" t="s">
        <v>31</v>
      </c>
      <c r="R315" s="5" t="str">
        <f aca="false">IF(OR(Q315="Steel plate",Q315="Concrete jacket"),"Steel plate or jacket",Q315)</f>
        <v>Polymer laminate</v>
      </c>
      <c r="S315" s="5" t="str">
        <f aca="false">IF(O315&lt;='Tree rules'!$C$4,IF(N315&lt;='Tree rules'!$C$5,IF(P315&lt;='Tree rules'!$C$6,"Monitor","Polymer laminate"),IF(P315&lt;='Tree rules'!$C$7,"Seal cracks","Polymer laminate")),IF(O315&lt;='Tree rules'!$C$8,IF(M315&lt;='Tree rules'!$C$9,"Steel plate or jacket","Polymer laminate"),IF(L315&lt;='Tree rules'!$C$10,"Steel plate or jacket","Polymer laminate")))</f>
        <v>Steel plate or jacket</v>
      </c>
      <c r="T315" s="5" t="str">
        <f aca="false">IF(S315=R315,"Yes","No")</f>
        <v>No</v>
      </c>
    </row>
    <row r="316" customFormat="false" ht="15" hidden="false" customHeight="false" outlineLevel="0" collapsed="false">
      <c r="A316" s="15" t="n">
        <v>1070</v>
      </c>
      <c r="B316" s="16" t="n">
        <v>4.94977092439852</v>
      </c>
      <c r="C316" s="15" t="n">
        <v>300</v>
      </c>
      <c r="D316" s="15" t="n">
        <v>450</v>
      </c>
      <c r="E316" s="15" t="n">
        <v>20</v>
      </c>
      <c r="F316" s="16" t="n">
        <v>0.663570725510715</v>
      </c>
      <c r="G316" s="17" t="s">
        <v>91</v>
      </c>
      <c r="H316" s="18" t="n">
        <v>0.2</v>
      </c>
      <c r="I316" s="18" t="n">
        <v>1</v>
      </c>
      <c r="J316" s="19" t="n">
        <v>0.892249363632917</v>
      </c>
      <c r="K316" s="19" t="n">
        <v>0.559028883017677</v>
      </c>
      <c r="L316" s="16" t="n">
        <v>12.2519082287092</v>
      </c>
      <c r="M316" s="19" t="n">
        <v>0.328142121569462</v>
      </c>
      <c r="N316" s="19" t="n">
        <v>0.996459477316926</v>
      </c>
      <c r="O316" s="19" t="n">
        <v>0.892249363632917</v>
      </c>
      <c r="P316" s="19" t="n">
        <v>1.01700674217747</v>
      </c>
      <c r="Q316" s="17" t="s">
        <v>31</v>
      </c>
      <c r="R316" s="5" t="str">
        <f aca="false">IF(OR(Q316="Steel plate",Q316="Concrete jacket"),"Steel plate or jacket",Q316)</f>
        <v>Polymer laminate</v>
      </c>
      <c r="S316" s="5" t="str">
        <f aca="false">IF(O316&lt;='Tree rules'!$C$4,IF(N316&lt;='Tree rules'!$C$5,IF(P316&lt;='Tree rules'!$C$6,"Monitor","Polymer laminate"),IF(P316&lt;='Tree rules'!$C$7,"Seal cracks","Polymer laminate")),IF(O316&lt;='Tree rules'!$C$8,IF(M316&lt;='Tree rules'!$C$9,"Steel plate or jacket","Polymer laminate"),IF(L316&lt;='Tree rules'!$C$10,"Steel plate or jacket","Polymer laminate")))</f>
        <v>Polymer laminate</v>
      </c>
      <c r="T316" s="5" t="str">
        <f aca="false">IF(S316=R316,"Yes","No")</f>
        <v>Yes</v>
      </c>
    </row>
    <row r="317" customFormat="false" ht="15" hidden="false" customHeight="false" outlineLevel="0" collapsed="false">
      <c r="A317" s="15" t="n">
        <v>1072</v>
      </c>
      <c r="B317" s="16" t="n">
        <v>7.04455151648426</v>
      </c>
      <c r="C317" s="15" t="n">
        <v>300</v>
      </c>
      <c r="D317" s="15" t="n">
        <v>550</v>
      </c>
      <c r="E317" s="15" t="n">
        <v>25</v>
      </c>
      <c r="F317" s="16" t="n">
        <v>0.625815269639401</v>
      </c>
      <c r="G317" s="17" t="s">
        <v>89</v>
      </c>
      <c r="H317" s="18" t="n">
        <v>0.3</v>
      </c>
      <c r="I317" s="18" t="n">
        <v>2</v>
      </c>
      <c r="J317" s="19" t="n">
        <v>0.924564530911186</v>
      </c>
      <c r="K317" s="19" t="n">
        <v>0.471478520188157</v>
      </c>
      <c r="L317" s="16" t="n">
        <v>14.032971148375</v>
      </c>
      <c r="M317" s="19" t="n">
        <v>0.926939050632164</v>
      </c>
      <c r="N317" s="19" t="n">
        <v>1.11215265166736</v>
      </c>
      <c r="O317" s="19" t="n">
        <v>1.41321674496991</v>
      </c>
      <c r="P317" s="19" t="n">
        <v>0.509810807266481</v>
      </c>
      <c r="Q317" s="17" t="s">
        <v>31</v>
      </c>
      <c r="R317" s="5" t="str">
        <f aca="false">IF(OR(Q317="Steel plate",Q317="Concrete jacket"),"Steel plate or jacket",Q317)</f>
        <v>Polymer laminate</v>
      </c>
      <c r="S317" s="5" t="str">
        <f aca="false">IF(O317&lt;='Tree rules'!$C$4,IF(N317&lt;='Tree rules'!$C$5,IF(P317&lt;='Tree rules'!$C$6,"Monitor","Polymer laminate"),IF(P317&lt;='Tree rules'!$C$7,"Seal cracks","Polymer laminate")),IF(O317&lt;='Tree rules'!$C$8,IF(M317&lt;='Tree rules'!$C$9,"Steel plate or jacket","Polymer laminate"),IF(L317&lt;='Tree rules'!$C$10,"Steel plate or jacket","Polymer laminate")))</f>
        <v>Polymer laminate</v>
      </c>
      <c r="T317" s="5" t="str">
        <f aca="false">IF(S317=R317,"Yes","No")</f>
        <v>Yes</v>
      </c>
    </row>
    <row r="318" customFormat="false" ht="15" hidden="false" customHeight="false" outlineLevel="0" collapsed="false">
      <c r="A318" s="15" t="n">
        <v>1082</v>
      </c>
      <c r="B318" s="16" t="n">
        <v>6.18039412578273</v>
      </c>
      <c r="C318" s="15" t="n">
        <v>300</v>
      </c>
      <c r="D318" s="15" t="n">
        <v>525</v>
      </c>
      <c r="E318" s="15" t="n">
        <v>30</v>
      </c>
      <c r="F318" s="16" t="n">
        <v>0.699589178252424</v>
      </c>
      <c r="G318" s="17" t="s">
        <v>89</v>
      </c>
      <c r="H318" s="18" t="n">
        <v>0.3</v>
      </c>
      <c r="I318" s="18" t="n">
        <v>1</v>
      </c>
      <c r="J318" s="19" t="n">
        <v>0.86957191240582</v>
      </c>
      <c r="K318" s="19" t="n">
        <v>0.50767499620556</v>
      </c>
      <c r="L318" s="16" t="n">
        <v>12.9027017239723</v>
      </c>
      <c r="M318" s="19" t="n">
        <v>0.658839402973631</v>
      </c>
      <c r="N318" s="19" t="n">
        <v>0.559507662510189</v>
      </c>
      <c r="O318" s="19" t="n">
        <v>0.86957191240582</v>
      </c>
      <c r="P318" s="19" t="n">
        <v>0.504262867714154</v>
      </c>
      <c r="Q318" s="17" t="s">
        <v>29</v>
      </c>
      <c r="R318" s="5" t="str">
        <f aca="false">IF(OR(Q318="Steel plate",Q318="Concrete jacket"),"Steel plate or jacket",Q318)</f>
        <v>Monitor</v>
      </c>
      <c r="S318" s="5" t="str">
        <f aca="false">IF(O318&lt;='Tree rules'!$C$4,IF(N318&lt;='Tree rules'!$C$5,IF(P318&lt;='Tree rules'!$C$6,"Monitor","Polymer laminate"),IF(P318&lt;='Tree rules'!$C$7,"Seal cracks","Polymer laminate")),IF(O318&lt;='Tree rules'!$C$8,IF(M318&lt;='Tree rules'!$C$9,"Steel plate or jacket","Polymer laminate"),IF(L318&lt;='Tree rules'!$C$10,"Steel plate or jacket","Polymer laminate")))</f>
        <v>Monitor</v>
      </c>
      <c r="T318" s="5" t="str">
        <f aca="false">IF(S318=R318,"Yes","No")</f>
        <v>Yes</v>
      </c>
    </row>
    <row r="319" customFormat="false" ht="15" hidden="false" customHeight="false" outlineLevel="0" collapsed="false">
      <c r="A319" s="15" t="n">
        <v>1086</v>
      </c>
      <c r="B319" s="16" t="n">
        <v>4.73719264254914</v>
      </c>
      <c r="C319" s="15" t="n">
        <v>300</v>
      </c>
      <c r="D319" s="15" t="n">
        <v>450</v>
      </c>
      <c r="E319" s="15" t="n">
        <v>20</v>
      </c>
      <c r="F319" s="16" t="n">
        <v>0.663570725510715</v>
      </c>
      <c r="G319" s="17" t="s">
        <v>89</v>
      </c>
      <c r="H319" s="18" t="n">
        <v>0.3</v>
      </c>
      <c r="I319" s="18" t="n">
        <v>1</v>
      </c>
      <c r="J319" s="19" t="n">
        <v>0.910060235381579</v>
      </c>
      <c r="K319" s="19" t="n">
        <v>0.559212169324233</v>
      </c>
      <c r="L319" s="16" t="n">
        <v>11.7257243627454</v>
      </c>
      <c r="M319" s="19" t="n">
        <v>0.349911935750877</v>
      </c>
      <c r="N319" s="19" t="n">
        <v>0.67408125883931</v>
      </c>
      <c r="O319" s="19" t="n">
        <v>0.910060235381579</v>
      </c>
      <c r="P319" s="19" t="n">
        <v>0.933157180618174</v>
      </c>
      <c r="Q319" s="17" t="s">
        <v>29</v>
      </c>
      <c r="R319" s="5" t="str">
        <f aca="false">IF(OR(Q319="Steel plate",Q319="Concrete jacket"),"Steel plate or jacket",Q319)</f>
        <v>Monitor</v>
      </c>
      <c r="S319" s="5" t="str">
        <f aca="false">IF(O319&lt;='Tree rules'!$C$4,IF(N319&lt;='Tree rules'!$C$5,IF(P319&lt;='Tree rules'!$C$6,"Monitor","Polymer laminate"),IF(P319&lt;='Tree rules'!$C$7,"Seal cracks","Polymer laminate")),IF(O319&lt;='Tree rules'!$C$8,IF(M319&lt;='Tree rules'!$C$9,"Steel plate or jacket","Polymer laminate"),IF(L319&lt;='Tree rules'!$C$10,"Steel plate or jacket","Polymer laminate")))</f>
        <v>Monitor</v>
      </c>
      <c r="T319" s="5" t="str">
        <f aca="false">IF(S319=R319,"Yes","No")</f>
        <v>Yes</v>
      </c>
    </row>
    <row r="320" customFormat="false" ht="15" hidden="false" customHeight="false" outlineLevel="0" collapsed="false">
      <c r="A320" s="15" t="n">
        <v>1092</v>
      </c>
      <c r="B320" s="16" t="n">
        <v>7.0036370984096</v>
      </c>
      <c r="C320" s="15" t="n">
        <v>300</v>
      </c>
      <c r="D320" s="15" t="n">
        <v>600</v>
      </c>
      <c r="E320" s="15" t="n">
        <v>25</v>
      </c>
      <c r="F320" s="16" t="n">
        <v>0.604879451954714</v>
      </c>
      <c r="G320" s="17" t="s">
        <v>89</v>
      </c>
      <c r="H320" s="18" t="n">
        <v>0.3</v>
      </c>
      <c r="I320" s="18" t="n">
        <v>1</v>
      </c>
      <c r="J320" s="19" t="n">
        <v>0.868735589743378</v>
      </c>
      <c r="K320" s="19" t="n">
        <v>0.52678519293041</v>
      </c>
      <c r="L320" s="16" t="n">
        <v>12.641944220956</v>
      </c>
      <c r="M320" s="19" t="n">
        <v>0.936201877797586</v>
      </c>
      <c r="N320" s="19" t="n">
        <v>0.497979690107798</v>
      </c>
      <c r="O320" s="19" t="n">
        <v>0.868735589743378</v>
      </c>
      <c r="P320" s="19" t="n">
        <v>0.358840974296549</v>
      </c>
      <c r="Q320" s="17" t="s">
        <v>29</v>
      </c>
      <c r="R320" s="5" t="str">
        <f aca="false">IF(OR(Q320="Steel plate",Q320="Concrete jacket"),"Steel plate or jacket",Q320)</f>
        <v>Monitor</v>
      </c>
      <c r="S320" s="5" t="str">
        <f aca="false">IF(O320&lt;='Tree rules'!$C$4,IF(N320&lt;='Tree rules'!$C$5,IF(P320&lt;='Tree rules'!$C$6,"Monitor","Polymer laminate"),IF(P320&lt;='Tree rules'!$C$7,"Seal cracks","Polymer laminate")),IF(O320&lt;='Tree rules'!$C$8,IF(M320&lt;='Tree rules'!$C$9,"Steel plate or jacket","Polymer laminate"),IF(L320&lt;='Tree rules'!$C$10,"Steel plate or jacket","Polymer laminate")))</f>
        <v>Monitor</v>
      </c>
      <c r="T320" s="5" t="str">
        <f aca="false">IF(S320=R320,"Yes","No")</f>
        <v>Yes</v>
      </c>
    </row>
    <row r="321" customFormat="false" ht="15" hidden="false" customHeight="false" outlineLevel="0" collapsed="false">
      <c r="A321" s="15" t="n">
        <v>1097</v>
      </c>
      <c r="B321" s="16" t="n">
        <v>5.14879823621055</v>
      </c>
      <c r="C321" s="15" t="n">
        <v>300</v>
      </c>
      <c r="D321" s="15" t="n">
        <v>400</v>
      </c>
      <c r="E321" s="15" t="n">
        <v>30</v>
      </c>
      <c r="F321" s="16" t="n">
        <v>0.757295404255167</v>
      </c>
      <c r="G321" s="17" t="s">
        <v>89</v>
      </c>
      <c r="H321" s="18" t="n">
        <v>0.3</v>
      </c>
      <c r="I321" s="18" t="n">
        <v>1</v>
      </c>
      <c r="J321" s="19" t="n">
        <v>0.862831276156627</v>
      </c>
      <c r="K321" s="19" t="n">
        <v>0.591823230384094</v>
      </c>
      <c r="L321" s="16" t="n">
        <v>14.5446277859055</v>
      </c>
      <c r="M321" s="19" t="n">
        <v>0.483511819004192</v>
      </c>
      <c r="N321" s="19" t="n">
        <v>0.637383465526601</v>
      </c>
      <c r="O321" s="19" t="n">
        <v>0.862831276156627</v>
      </c>
      <c r="P321" s="19" t="n">
        <v>0.779922076669746</v>
      </c>
      <c r="Q321" s="17" t="s">
        <v>29</v>
      </c>
      <c r="R321" s="5" t="str">
        <f aca="false">IF(OR(Q321="Steel plate",Q321="Concrete jacket"),"Steel plate or jacket",Q321)</f>
        <v>Monitor</v>
      </c>
      <c r="S321" s="5" t="str">
        <f aca="false">IF(O321&lt;='Tree rules'!$C$4,IF(N321&lt;='Tree rules'!$C$5,IF(P321&lt;='Tree rules'!$C$6,"Monitor","Polymer laminate"),IF(P321&lt;='Tree rules'!$C$7,"Seal cracks","Polymer laminate")),IF(O321&lt;='Tree rules'!$C$8,IF(M321&lt;='Tree rules'!$C$9,"Steel plate or jacket","Polymer laminate"),IF(L321&lt;='Tree rules'!$C$10,"Steel plate or jacket","Polymer laminate")))</f>
        <v>Monitor</v>
      </c>
      <c r="T321" s="5" t="str">
        <f aca="false">IF(S321=R321,"Yes","No")</f>
        <v>Yes</v>
      </c>
    </row>
    <row r="322" customFormat="false" ht="15" hidden="false" customHeight="false" outlineLevel="0" collapsed="false">
      <c r="A322" s="15" t="n">
        <v>1098</v>
      </c>
      <c r="B322" s="16" t="n">
        <v>6.3538242105668</v>
      </c>
      <c r="C322" s="15" t="n">
        <v>230</v>
      </c>
      <c r="D322" s="15" t="n">
        <v>600</v>
      </c>
      <c r="E322" s="15" t="n">
        <v>30</v>
      </c>
      <c r="F322" s="16" t="n">
        <v>0.742342309449384</v>
      </c>
      <c r="G322" s="17" t="s">
        <v>91</v>
      </c>
      <c r="H322" s="18" t="n">
        <v>0.2</v>
      </c>
      <c r="I322" s="18" t="n">
        <v>1.5</v>
      </c>
      <c r="J322" s="19" t="n">
        <v>0.896001599909138</v>
      </c>
      <c r="K322" s="19" t="n">
        <v>0.596755011716675</v>
      </c>
      <c r="L322" s="16" t="n">
        <v>11.5105511060993</v>
      </c>
      <c r="M322" s="19" t="n">
        <v>0.295640515216787</v>
      </c>
      <c r="N322" s="19" t="n">
        <v>1.20431745019524</v>
      </c>
      <c r="O322" s="19" t="n">
        <v>1.07665567723774</v>
      </c>
      <c r="P322" s="19" t="n">
        <v>1.22522532032114</v>
      </c>
      <c r="Q322" s="17" t="s">
        <v>31</v>
      </c>
      <c r="R322" s="5" t="str">
        <f aca="false">IF(OR(Q322="Steel plate",Q322="Concrete jacket"),"Steel plate or jacket",Q322)</f>
        <v>Polymer laminate</v>
      </c>
      <c r="S322" s="5" t="str">
        <f aca="false">IF(O322&lt;='Tree rules'!$C$4,IF(N322&lt;='Tree rules'!$C$5,IF(P322&lt;='Tree rules'!$C$6,"Monitor","Polymer laminate"),IF(P322&lt;='Tree rules'!$C$7,"Seal cracks","Polymer laminate")),IF(O322&lt;='Tree rules'!$C$8,IF(M322&lt;='Tree rules'!$C$9,"Steel plate or jacket","Polymer laminate"),IF(L322&lt;='Tree rules'!$C$10,"Steel plate or jacket","Polymer laminate")))</f>
        <v>Polymer laminate</v>
      </c>
      <c r="T322" s="5" t="str">
        <f aca="false">IF(S322=R322,"Yes","No")</f>
        <v>Yes</v>
      </c>
    </row>
    <row r="323" customFormat="false" ht="15" hidden="false" customHeight="false" outlineLevel="0" collapsed="false">
      <c r="A323" s="15" t="n">
        <v>1099</v>
      </c>
      <c r="B323" s="16" t="n">
        <v>3.21388111736875</v>
      </c>
      <c r="C323" s="15" t="n">
        <v>230</v>
      </c>
      <c r="D323" s="15" t="n">
        <v>300</v>
      </c>
      <c r="E323" s="15" t="n">
        <v>20</v>
      </c>
      <c r="F323" s="16" t="n">
        <v>0.731533308458238</v>
      </c>
      <c r="G323" s="17" t="s">
        <v>90</v>
      </c>
      <c r="H323" s="18" t="n">
        <v>0.1</v>
      </c>
      <c r="I323" s="18" t="n">
        <v>1</v>
      </c>
      <c r="J323" s="19" t="n">
        <v>0.986326441310202</v>
      </c>
      <c r="K323" s="19" t="n">
        <v>0.608708902315499</v>
      </c>
      <c r="L323" s="16" t="n">
        <v>13.4472013279027</v>
      </c>
      <c r="M323" s="19" t="n">
        <v>0.296982345278407</v>
      </c>
      <c r="N323" s="19" t="n">
        <v>3.33920281946522</v>
      </c>
      <c r="O323" s="19" t="n">
        <v>0.986326441310202</v>
      </c>
      <c r="P323" s="19" t="n">
        <v>1.06915888190783</v>
      </c>
      <c r="Q323" s="17" t="s">
        <v>31</v>
      </c>
      <c r="R323" s="5" t="str">
        <f aca="false">IF(OR(Q323="Steel plate",Q323="Concrete jacket"),"Steel plate or jacket",Q323)</f>
        <v>Polymer laminate</v>
      </c>
      <c r="S323" s="5" t="str">
        <f aca="false">IF(O323&lt;='Tree rules'!$C$4,IF(N323&lt;='Tree rules'!$C$5,IF(P323&lt;='Tree rules'!$C$6,"Monitor","Polymer laminate"),IF(P323&lt;='Tree rules'!$C$7,"Seal cracks","Polymer laminate")),IF(O323&lt;='Tree rules'!$C$8,IF(M323&lt;='Tree rules'!$C$9,"Steel plate or jacket","Polymer laminate"),IF(L323&lt;='Tree rules'!$C$10,"Steel plate or jacket","Polymer laminate")))</f>
        <v>Polymer laminate</v>
      </c>
      <c r="T323" s="5" t="str">
        <f aca="false">IF(S323=R323,"Yes","No")</f>
        <v>Yes</v>
      </c>
    </row>
    <row r="324" customFormat="false" ht="15" hidden="false" customHeight="false" outlineLevel="0" collapsed="false">
      <c r="A324" s="15" t="n">
        <v>1100</v>
      </c>
      <c r="B324" s="16" t="n">
        <v>5.08259876138666</v>
      </c>
      <c r="C324" s="15" t="n">
        <v>300</v>
      </c>
      <c r="D324" s="15" t="n">
        <v>500</v>
      </c>
      <c r="E324" s="15" t="n">
        <v>25</v>
      </c>
      <c r="F324" s="16" t="n">
        <v>0.763333066931461</v>
      </c>
      <c r="G324" s="17" t="s">
        <v>90</v>
      </c>
      <c r="H324" s="18" t="n">
        <v>0.1</v>
      </c>
      <c r="I324" s="18" t="n">
        <v>1</v>
      </c>
      <c r="J324" s="19" t="n">
        <v>0.927821917054431</v>
      </c>
      <c r="K324" s="19" t="n">
        <v>0.444710391713083</v>
      </c>
      <c r="L324" s="16" t="n">
        <v>11.5776737161427</v>
      </c>
      <c r="M324" s="19" t="n">
        <v>0.321116944120073</v>
      </c>
      <c r="N324" s="19" t="n">
        <v>2.57045041812464</v>
      </c>
      <c r="O324" s="19" t="n">
        <v>0.927821917054431</v>
      </c>
      <c r="P324" s="19" t="n">
        <v>0.904849832166668</v>
      </c>
      <c r="Q324" s="17" t="s">
        <v>30</v>
      </c>
      <c r="R324" s="5" t="str">
        <f aca="false">IF(OR(Q324="Steel plate",Q324="Concrete jacket"),"Steel plate or jacket",Q324)</f>
        <v>Seal cracks</v>
      </c>
      <c r="S324" s="5" t="str">
        <f aca="false">IF(O324&lt;='Tree rules'!$C$4,IF(N324&lt;='Tree rules'!$C$5,IF(P324&lt;='Tree rules'!$C$6,"Monitor","Polymer laminate"),IF(P324&lt;='Tree rules'!$C$7,"Seal cracks","Polymer laminate")),IF(O324&lt;='Tree rules'!$C$8,IF(M324&lt;='Tree rules'!$C$9,"Steel plate or jacket","Polymer laminate"),IF(L324&lt;='Tree rules'!$C$10,"Steel plate or jacket","Polymer laminate")))</f>
        <v>Seal cracks</v>
      </c>
      <c r="T324" s="5" t="str">
        <f aca="false">IF(S324=R324,"Yes","No")</f>
        <v>Yes</v>
      </c>
    </row>
    <row r="325" customFormat="false" ht="15" hidden="false" customHeight="false" outlineLevel="0" collapsed="false">
      <c r="A325" s="15" t="n">
        <v>1101</v>
      </c>
      <c r="B325" s="16" t="n">
        <v>5.62322890429001</v>
      </c>
      <c r="C325" s="15" t="n">
        <v>300</v>
      </c>
      <c r="D325" s="15" t="n">
        <v>550</v>
      </c>
      <c r="E325" s="15" t="n">
        <v>25</v>
      </c>
      <c r="F325" s="16" t="n">
        <v>0.625815269639401</v>
      </c>
      <c r="G325" s="17" t="s">
        <v>89</v>
      </c>
      <c r="H325" s="18" t="n">
        <v>0.3</v>
      </c>
      <c r="I325" s="18" t="n">
        <v>2</v>
      </c>
      <c r="J325" s="19" t="n">
        <v>0.993657085114791</v>
      </c>
      <c r="K325" s="19" t="n">
        <v>0.589895710895815</v>
      </c>
      <c r="L325" s="16" t="n">
        <v>11.201651203765</v>
      </c>
      <c r="M325" s="19" t="n">
        <v>0.774028187631606</v>
      </c>
      <c r="N325" s="19" t="n">
        <v>1.13129818628922</v>
      </c>
      <c r="O325" s="19" t="n">
        <v>1.40116011761913</v>
      </c>
      <c r="P325" s="19" t="n">
        <v>0.525182845556697</v>
      </c>
      <c r="Q325" s="17" t="s">
        <v>31</v>
      </c>
      <c r="R325" s="5" t="str">
        <f aca="false">IF(OR(Q325="Steel plate",Q325="Concrete jacket"),"Steel plate or jacket",Q325)</f>
        <v>Polymer laminate</v>
      </c>
      <c r="S325" s="5" t="str">
        <f aca="false">IF(O325&lt;='Tree rules'!$C$4,IF(N325&lt;='Tree rules'!$C$5,IF(P325&lt;='Tree rules'!$C$6,"Monitor","Polymer laminate"),IF(P325&lt;='Tree rules'!$C$7,"Seal cracks","Polymer laminate")),IF(O325&lt;='Tree rules'!$C$8,IF(M325&lt;='Tree rules'!$C$9,"Steel plate or jacket","Polymer laminate"),IF(L325&lt;='Tree rules'!$C$10,"Steel plate or jacket","Polymer laminate")))</f>
        <v>Steel plate or jacket</v>
      </c>
      <c r="T325" s="5" t="str">
        <f aca="false">IF(S325=R325,"Yes","No")</f>
        <v>No</v>
      </c>
    </row>
    <row r="326" customFormat="false" ht="15" hidden="false" customHeight="false" outlineLevel="0" collapsed="false">
      <c r="A326" s="15" t="n">
        <v>1107</v>
      </c>
      <c r="B326" s="16" t="n">
        <v>5.91532386117259</v>
      </c>
      <c r="C326" s="15" t="n">
        <v>300</v>
      </c>
      <c r="D326" s="15" t="n">
        <v>475</v>
      </c>
      <c r="E326" s="15" t="n">
        <v>30</v>
      </c>
      <c r="F326" s="16" t="n">
        <v>0.781126378514945</v>
      </c>
      <c r="G326" s="17" t="s">
        <v>91</v>
      </c>
      <c r="H326" s="18" t="n">
        <v>0.2</v>
      </c>
      <c r="I326" s="18" t="n">
        <v>2</v>
      </c>
      <c r="J326" s="19" t="n">
        <v>0.861740088353125</v>
      </c>
      <c r="K326" s="19" t="n">
        <v>0.460778782188491</v>
      </c>
      <c r="L326" s="16" t="n">
        <v>13.788633709027</v>
      </c>
      <c r="M326" s="19" t="n">
        <v>0.832178870160276</v>
      </c>
      <c r="N326" s="19" t="n">
        <v>1.30343282894973</v>
      </c>
      <c r="O326" s="19" t="n">
        <v>1.32640862823189</v>
      </c>
      <c r="P326" s="19" t="n">
        <v>0.56516097239673</v>
      </c>
      <c r="Q326" s="17" t="s">
        <v>31</v>
      </c>
      <c r="R326" s="5" t="str">
        <f aca="false">IF(OR(Q326="Steel plate",Q326="Concrete jacket"),"Steel plate or jacket",Q326)</f>
        <v>Polymer laminate</v>
      </c>
      <c r="S326" s="5" t="str">
        <f aca="false">IF(O326&lt;='Tree rules'!$C$4,IF(N326&lt;='Tree rules'!$C$5,IF(P326&lt;='Tree rules'!$C$6,"Monitor","Polymer laminate"),IF(P326&lt;='Tree rules'!$C$7,"Seal cracks","Polymer laminate")),IF(O326&lt;='Tree rules'!$C$8,IF(M326&lt;='Tree rules'!$C$9,"Steel plate or jacket","Polymer laminate"),IF(L326&lt;='Tree rules'!$C$10,"Steel plate or jacket","Polymer laminate")))</f>
        <v>Polymer laminate</v>
      </c>
      <c r="T326" s="5" t="str">
        <f aca="false">IF(S326=R326,"Yes","No")</f>
        <v>Yes</v>
      </c>
    </row>
    <row r="327" customFormat="false" ht="15" hidden="false" customHeight="false" outlineLevel="0" collapsed="false">
      <c r="A327" s="15" t="n">
        <v>1108</v>
      </c>
      <c r="B327" s="16" t="n">
        <v>4.7512579887194</v>
      </c>
      <c r="C327" s="15" t="n">
        <v>230</v>
      </c>
      <c r="D327" s="15" t="n">
        <v>425</v>
      </c>
      <c r="E327" s="15" t="n">
        <v>30</v>
      </c>
      <c r="F327" s="16" t="n">
        <v>0.724620609754306</v>
      </c>
      <c r="G327" s="17" t="s">
        <v>89</v>
      </c>
      <c r="H327" s="18" t="n">
        <v>0.3</v>
      </c>
      <c r="I327" s="18" t="n">
        <v>1</v>
      </c>
      <c r="J327" s="19" t="n">
        <v>0.856285693690706</v>
      </c>
      <c r="K327" s="19" t="n">
        <v>0.540180655198473</v>
      </c>
      <c r="L327" s="16" t="n">
        <v>12.6028063361257</v>
      </c>
      <c r="M327" s="19" t="n">
        <v>0.653270235873092</v>
      </c>
      <c r="N327" s="19" t="n">
        <v>0.785774309484222</v>
      </c>
      <c r="O327" s="19" t="n">
        <v>0.856285693690706</v>
      </c>
      <c r="P327" s="19" t="n">
        <v>0.473561687423917</v>
      </c>
      <c r="Q327" s="17" t="s">
        <v>29</v>
      </c>
      <c r="R327" s="5" t="str">
        <f aca="false">IF(OR(Q327="Steel plate",Q327="Concrete jacket"),"Steel plate or jacket",Q327)</f>
        <v>Monitor</v>
      </c>
      <c r="S327" s="5" t="str">
        <f aca="false">IF(O327&lt;='Tree rules'!$C$4,IF(N327&lt;='Tree rules'!$C$5,IF(P327&lt;='Tree rules'!$C$6,"Monitor","Polymer laminate"),IF(P327&lt;='Tree rules'!$C$7,"Seal cracks","Polymer laminate")),IF(O327&lt;='Tree rules'!$C$8,IF(M327&lt;='Tree rules'!$C$9,"Steel plate or jacket","Polymer laminate"),IF(L327&lt;='Tree rules'!$C$10,"Steel plate or jacket","Polymer laminate")))</f>
        <v>Monitor</v>
      </c>
      <c r="T327" s="5" t="str">
        <f aca="false">IF(S327=R327,"Yes","No")</f>
        <v>Yes</v>
      </c>
    </row>
    <row r="328" customFormat="false" ht="15" hidden="false" customHeight="false" outlineLevel="0" collapsed="false">
      <c r="A328" s="15" t="n">
        <v>1114</v>
      </c>
      <c r="B328" s="16" t="n">
        <v>7.67366674085623</v>
      </c>
      <c r="C328" s="15" t="n">
        <v>230</v>
      </c>
      <c r="D328" s="15" t="n">
        <v>600</v>
      </c>
      <c r="E328" s="15" t="n">
        <v>30</v>
      </c>
      <c r="F328" s="16" t="n">
        <v>0.63117855856144</v>
      </c>
      <c r="G328" s="17" t="s">
        <v>91</v>
      </c>
      <c r="H328" s="18" t="n">
        <v>0.2</v>
      </c>
      <c r="I328" s="18" t="n">
        <v>1.5</v>
      </c>
      <c r="J328" s="19" t="n">
        <v>0.874383632737605</v>
      </c>
      <c r="K328" s="19" t="n">
        <v>0.51818570127453</v>
      </c>
      <c r="L328" s="16" t="n">
        <v>13.8513840087658</v>
      </c>
      <c r="M328" s="19" t="n">
        <v>0.416469626157688</v>
      </c>
      <c r="N328" s="19" t="n">
        <v>1.08124975259082</v>
      </c>
      <c r="O328" s="19" t="n">
        <v>1.08502890114985</v>
      </c>
      <c r="P328" s="19" t="n">
        <v>0.885129978352176</v>
      </c>
      <c r="Q328" s="17" t="s">
        <v>31</v>
      </c>
      <c r="R328" s="5" t="str">
        <f aca="false">IF(OR(Q328="Steel plate",Q328="Concrete jacket"),"Steel plate or jacket",Q328)</f>
        <v>Polymer laminate</v>
      </c>
      <c r="S328" s="5" t="str">
        <f aca="false">IF(O328&lt;='Tree rules'!$C$4,IF(N328&lt;='Tree rules'!$C$5,IF(P328&lt;='Tree rules'!$C$6,"Monitor","Polymer laminate"),IF(P328&lt;='Tree rules'!$C$7,"Seal cracks","Polymer laminate")),IF(O328&lt;='Tree rules'!$C$8,IF(M328&lt;='Tree rules'!$C$9,"Steel plate or jacket","Polymer laminate"),IF(L328&lt;='Tree rules'!$C$10,"Steel plate or jacket","Polymer laminate")))</f>
        <v>Polymer laminate</v>
      </c>
      <c r="T328" s="5" t="str">
        <f aca="false">IF(S328=R328,"Yes","No")</f>
        <v>Yes</v>
      </c>
    </row>
    <row r="329" customFormat="false" ht="15" hidden="false" customHeight="false" outlineLevel="0" collapsed="false">
      <c r="A329" s="15" t="n">
        <v>1119</v>
      </c>
      <c r="B329" s="16" t="n">
        <v>3.35355436674901</v>
      </c>
      <c r="C329" s="15" t="n">
        <v>230</v>
      </c>
      <c r="D329" s="15" t="n">
        <v>300</v>
      </c>
      <c r="E329" s="15" t="n">
        <v>20</v>
      </c>
      <c r="F329" s="16" t="n">
        <v>0.688332522525665</v>
      </c>
      <c r="G329" s="17" t="s">
        <v>91</v>
      </c>
      <c r="H329" s="18" t="n">
        <v>0.2</v>
      </c>
      <c r="I329" s="18" t="n">
        <v>1</v>
      </c>
      <c r="J329" s="19" t="n">
        <v>0.892743403116379</v>
      </c>
      <c r="K329" s="19" t="n">
        <v>0.475390667989628</v>
      </c>
      <c r="L329" s="16" t="n">
        <v>13.2029699478307</v>
      </c>
      <c r="M329" s="19" t="n">
        <v>0.296221493269926</v>
      </c>
      <c r="N329" s="19" t="n">
        <v>1.30637920596654</v>
      </c>
      <c r="O329" s="19" t="n">
        <v>0.892743403116379</v>
      </c>
      <c r="P329" s="19" t="n">
        <v>0.97416403695777</v>
      </c>
      <c r="Q329" s="17" t="s">
        <v>31</v>
      </c>
      <c r="R329" s="5" t="str">
        <f aca="false">IF(OR(Q329="Steel plate",Q329="Concrete jacket"),"Steel plate or jacket",Q329)</f>
        <v>Polymer laminate</v>
      </c>
      <c r="S329" s="5" t="str">
        <f aca="false">IF(O329&lt;='Tree rules'!$C$4,IF(N329&lt;='Tree rules'!$C$5,IF(P329&lt;='Tree rules'!$C$6,"Monitor","Polymer laminate"),IF(P329&lt;='Tree rules'!$C$7,"Seal cracks","Polymer laminate")),IF(O329&lt;='Tree rules'!$C$8,IF(M329&lt;='Tree rules'!$C$9,"Steel plate or jacket","Polymer laminate"),IF(L329&lt;='Tree rules'!$C$10,"Steel plate or jacket","Polymer laminate")))</f>
        <v>Seal cracks</v>
      </c>
      <c r="T329" s="5" t="str">
        <f aca="false">IF(S329=R329,"Yes","No")</f>
        <v>No</v>
      </c>
    </row>
    <row r="330" customFormat="false" ht="15" hidden="false" customHeight="false" outlineLevel="0" collapsed="false">
      <c r="A330" s="15" t="n">
        <v>1126</v>
      </c>
      <c r="B330" s="16" t="n">
        <v>3.15568518211273</v>
      </c>
      <c r="C330" s="15" t="n">
        <v>300</v>
      </c>
      <c r="D330" s="15" t="n">
        <v>300</v>
      </c>
      <c r="E330" s="15" t="n">
        <v>30</v>
      </c>
      <c r="F330" s="16" t="n">
        <v>0.831109167616348</v>
      </c>
      <c r="G330" s="17" t="s">
        <v>89</v>
      </c>
      <c r="H330" s="18" t="n">
        <v>0.3</v>
      </c>
      <c r="I330" s="18" t="n">
        <v>1</v>
      </c>
      <c r="J330" s="19" t="n">
        <v>0.855034566802652</v>
      </c>
      <c r="K330" s="19" t="n">
        <v>0.505403017175381</v>
      </c>
      <c r="L330" s="16" t="n">
        <v>12.5225602464791</v>
      </c>
      <c r="M330" s="19" t="n">
        <v>0.89334194156912</v>
      </c>
      <c r="N330" s="19" t="n">
        <v>0.863841094739864</v>
      </c>
      <c r="O330" s="19" t="n">
        <v>0.855034566802652</v>
      </c>
      <c r="P330" s="19" t="n">
        <v>0.335655432823804</v>
      </c>
      <c r="Q330" s="17" t="s">
        <v>29</v>
      </c>
      <c r="R330" s="5" t="str">
        <f aca="false">IF(OR(Q330="Steel plate",Q330="Concrete jacket"),"Steel plate or jacket",Q330)</f>
        <v>Monitor</v>
      </c>
      <c r="S330" s="5" t="str">
        <f aca="false">IF(O330&lt;='Tree rules'!$C$4,IF(N330&lt;='Tree rules'!$C$5,IF(P330&lt;='Tree rules'!$C$6,"Monitor","Polymer laminate"),IF(P330&lt;='Tree rules'!$C$7,"Seal cracks","Polymer laminate")),IF(O330&lt;='Tree rules'!$C$8,IF(M330&lt;='Tree rules'!$C$9,"Steel plate or jacket","Polymer laminate"),IF(L330&lt;='Tree rules'!$C$10,"Steel plate or jacket","Polymer laminate")))</f>
        <v>Monitor</v>
      </c>
      <c r="T330" s="5" t="str">
        <f aca="false">IF(S330=R330,"Yes","No")</f>
        <v>Yes</v>
      </c>
    </row>
    <row r="331" customFormat="false" ht="15" hidden="false" customHeight="false" outlineLevel="0" collapsed="false">
      <c r="A331" s="15" t="n">
        <v>1131</v>
      </c>
      <c r="B331" s="16" t="n">
        <v>6.58607367527286</v>
      </c>
      <c r="C331" s="15" t="n">
        <v>300</v>
      </c>
      <c r="D331" s="15" t="n">
        <v>500</v>
      </c>
      <c r="E331" s="15" t="n">
        <v>30</v>
      </c>
      <c r="F331" s="16" t="n">
        <v>0.590490249132883</v>
      </c>
      <c r="G331" s="17" t="s">
        <v>89</v>
      </c>
      <c r="H331" s="18" t="n">
        <v>0.3</v>
      </c>
      <c r="I331" s="18" t="n">
        <v>2</v>
      </c>
      <c r="J331" s="19" t="n">
        <v>0.958237222505726</v>
      </c>
      <c r="K331" s="19" t="n">
        <v>0.64430723806431</v>
      </c>
      <c r="L331" s="16" t="n">
        <v>14.5067702098521</v>
      </c>
      <c r="M331" s="19" t="n">
        <v>0.723055149307842</v>
      </c>
      <c r="N331" s="19" t="n">
        <v>0.914787510574863</v>
      </c>
      <c r="O331" s="19" t="n">
        <v>1.29907526676837</v>
      </c>
      <c r="P331" s="19" t="n">
        <v>0.624117732647676</v>
      </c>
      <c r="Q331" s="17" t="s">
        <v>31</v>
      </c>
      <c r="R331" s="5" t="str">
        <f aca="false">IF(OR(Q331="Steel plate",Q331="Concrete jacket"),"Steel plate or jacket",Q331)</f>
        <v>Polymer laminate</v>
      </c>
      <c r="S331" s="5" t="str">
        <f aca="false">IF(O331&lt;='Tree rules'!$C$4,IF(N331&lt;='Tree rules'!$C$5,IF(P331&lt;='Tree rules'!$C$6,"Monitor","Polymer laminate"),IF(P331&lt;='Tree rules'!$C$7,"Seal cracks","Polymer laminate")),IF(O331&lt;='Tree rules'!$C$8,IF(M331&lt;='Tree rules'!$C$9,"Steel plate or jacket","Polymer laminate"),IF(L331&lt;='Tree rules'!$C$10,"Steel plate or jacket","Polymer laminate")))</f>
        <v>Polymer laminate</v>
      </c>
      <c r="T331" s="5" t="str">
        <f aca="false">IF(S331=R331,"Yes","No")</f>
        <v>Yes</v>
      </c>
    </row>
    <row r="332" customFormat="false" ht="15" hidden="false" customHeight="false" outlineLevel="0" collapsed="false">
      <c r="A332" s="15" t="n">
        <v>1133</v>
      </c>
      <c r="B332" s="16" t="n">
        <v>4.53673792228751</v>
      </c>
      <c r="C332" s="15" t="n">
        <v>300</v>
      </c>
      <c r="D332" s="15" t="n">
        <v>425</v>
      </c>
      <c r="E332" s="15" t="n">
        <v>20</v>
      </c>
      <c r="F332" s="16" t="n">
        <v>0.593686800678386</v>
      </c>
      <c r="G332" s="17" t="s">
        <v>91</v>
      </c>
      <c r="H332" s="18" t="n">
        <v>0.2</v>
      </c>
      <c r="I332" s="18" t="n">
        <v>2</v>
      </c>
      <c r="J332" s="19" t="n">
        <v>0.850312421224474</v>
      </c>
      <c r="K332" s="19" t="n">
        <v>0.46962483968649</v>
      </c>
      <c r="L332" s="16" t="n">
        <v>11.9074486149278</v>
      </c>
      <c r="M332" s="19" t="n">
        <v>0.773392043899885</v>
      </c>
      <c r="N332" s="19" t="n">
        <v>1.20471202180456</v>
      </c>
      <c r="O332" s="19" t="n">
        <v>1.30129700794797</v>
      </c>
      <c r="P332" s="19" t="n">
        <v>0.460530550452551</v>
      </c>
      <c r="Q332" s="17" t="s">
        <v>31</v>
      </c>
      <c r="R332" s="5" t="str">
        <f aca="false">IF(OR(Q332="Steel plate",Q332="Concrete jacket"),"Steel plate or jacket",Q332)</f>
        <v>Polymer laminate</v>
      </c>
      <c r="S332" s="5" t="str">
        <f aca="false">IF(O332&lt;='Tree rules'!$C$4,IF(N332&lt;='Tree rules'!$C$5,IF(P332&lt;='Tree rules'!$C$6,"Monitor","Polymer laminate"),IF(P332&lt;='Tree rules'!$C$7,"Seal cracks","Polymer laminate")),IF(O332&lt;='Tree rules'!$C$8,IF(M332&lt;='Tree rules'!$C$9,"Steel plate or jacket","Polymer laminate"),IF(L332&lt;='Tree rules'!$C$10,"Steel plate or jacket","Polymer laminate")))</f>
        <v>Steel plate or jacket</v>
      </c>
      <c r="T332" s="5" t="str">
        <f aca="false">IF(S332=R332,"Yes","No")</f>
        <v>No</v>
      </c>
    </row>
    <row r="333" customFormat="false" ht="15" hidden="false" customHeight="false" outlineLevel="0" collapsed="false">
      <c r="A333" s="15" t="n">
        <v>1134</v>
      </c>
      <c r="B333" s="16" t="n">
        <v>4.16732561980248</v>
      </c>
      <c r="C333" s="15" t="n">
        <v>300</v>
      </c>
      <c r="D333" s="15" t="n">
        <v>375</v>
      </c>
      <c r="E333" s="15" t="n">
        <v>30</v>
      </c>
      <c r="F333" s="16" t="n">
        <v>0.814840647739602</v>
      </c>
      <c r="G333" s="17" t="s">
        <v>89</v>
      </c>
      <c r="H333" s="18" t="n">
        <v>0.3</v>
      </c>
      <c r="I333" s="18" t="n">
        <v>1.5</v>
      </c>
      <c r="J333" s="19" t="n">
        <v>0.908228561291304</v>
      </c>
      <c r="K333" s="19" t="n">
        <v>0.461889964747125</v>
      </c>
      <c r="L333" s="16" t="n">
        <v>12.6666432212841</v>
      </c>
      <c r="M333" s="19" t="n">
        <v>0.920059778869576</v>
      </c>
      <c r="N333" s="19" t="n">
        <v>0.80639737018626</v>
      </c>
      <c r="O333" s="19" t="n">
        <v>1.15259201285837</v>
      </c>
      <c r="P333" s="19" t="n">
        <v>0.424855129417377</v>
      </c>
      <c r="Q333" s="17" t="s">
        <v>31</v>
      </c>
      <c r="R333" s="5" t="str">
        <f aca="false">IF(OR(Q333="Steel plate",Q333="Concrete jacket"),"Steel plate or jacket",Q333)</f>
        <v>Polymer laminate</v>
      </c>
      <c r="S333" s="5" t="str">
        <f aca="false">IF(O333&lt;='Tree rules'!$C$4,IF(N333&lt;='Tree rules'!$C$5,IF(P333&lt;='Tree rules'!$C$6,"Monitor","Polymer laminate"),IF(P333&lt;='Tree rules'!$C$7,"Seal cracks","Polymer laminate")),IF(O333&lt;='Tree rules'!$C$8,IF(M333&lt;='Tree rules'!$C$9,"Steel plate or jacket","Polymer laminate"),IF(L333&lt;='Tree rules'!$C$10,"Steel plate or jacket","Polymer laminate")))</f>
        <v>Polymer laminate</v>
      </c>
      <c r="T333" s="5" t="str">
        <f aca="false">IF(S333=R333,"Yes","No")</f>
        <v>Yes</v>
      </c>
    </row>
    <row r="334" customFormat="false" ht="15" hidden="false" customHeight="false" outlineLevel="0" collapsed="false">
      <c r="A334" s="15" t="n">
        <v>1144</v>
      </c>
      <c r="B334" s="16" t="n">
        <v>6.43665539790437</v>
      </c>
      <c r="C334" s="15" t="n">
        <v>230</v>
      </c>
      <c r="D334" s="15" t="n">
        <v>625</v>
      </c>
      <c r="E334" s="15" t="n">
        <v>30</v>
      </c>
      <c r="F334" s="16" t="n">
        <v>0.603925598347216</v>
      </c>
      <c r="G334" s="17" t="s">
        <v>89</v>
      </c>
      <c r="H334" s="18" t="n">
        <v>0.3</v>
      </c>
      <c r="I334" s="18" t="n">
        <v>2</v>
      </c>
      <c r="J334" s="19" t="n">
        <v>0.861070237707805</v>
      </c>
      <c r="K334" s="19" t="n">
        <v>0.635188392683896</v>
      </c>
      <c r="L334" s="16" t="n">
        <v>11.1168487010438</v>
      </c>
      <c r="M334" s="19" t="n">
        <v>0.315094005826957</v>
      </c>
      <c r="N334" s="19" t="n">
        <v>0.79476638516218</v>
      </c>
      <c r="O334" s="19" t="n">
        <v>1.17519865513805</v>
      </c>
      <c r="P334" s="19" t="n">
        <v>1.01314035051042</v>
      </c>
      <c r="Q334" s="17" t="s">
        <v>31</v>
      </c>
      <c r="R334" s="5" t="str">
        <f aca="false">IF(OR(Q334="Steel plate",Q334="Concrete jacket"),"Steel plate or jacket",Q334)</f>
        <v>Polymer laminate</v>
      </c>
      <c r="S334" s="5" t="str">
        <f aca="false">IF(O334&lt;='Tree rules'!$C$4,IF(N334&lt;='Tree rules'!$C$5,IF(P334&lt;='Tree rules'!$C$6,"Monitor","Polymer laminate"),IF(P334&lt;='Tree rules'!$C$7,"Seal cracks","Polymer laminate")),IF(O334&lt;='Tree rules'!$C$8,IF(M334&lt;='Tree rules'!$C$9,"Steel plate or jacket","Polymer laminate"),IF(L334&lt;='Tree rules'!$C$10,"Steel plate or jacket","Polymer laminate")))</f>
        <v>Polymer laminate</v>
      </c>
      <c r="T334" s="5" t="str">
        <f aca="false">IF(S334=R334,"Yes","No")</f>
        <v>Yes</v>
      </c>
    </row>
    <row r="335" customFormat="false" ht="15" hidden="false" customHeight="false" outlineLevel="0" collapsed="false">
      <c r="A335" s="15" t="n">
        <v>1151</v>
      </c>
      <c r="B335" s="16" t="n">
        <v>3.68477414589211</v>
      </c>
      <c r="C335" s="15" t="n">
        <v>230</v>
      </c>
      <c r="D335" s="15" t="n">
        <v>350</v>
      </c>
      <c r="E335" s="15" t="n">
        <v>30</v>
      </c>
      <c r="F335" s="16" t="n">
        <v>0.862679904875916</v>
      </c>
      <c r="G335" s="17" t="s">
        <v>91</v>
      </c>
      <c r="H335" s="18" t="n">
        <v>0.2</v>
      </c>
      <c r="I335" s="18" t="n">
        <v>2</v>
      </c>
      <c r="J335" s="19" t="n">
        <v>0.91334849663639</v>
      </c>
      <c r="K335" s="19" t="n">
        <v>0.625877543725704</v>
      </c>
      <c r="L335" s="16" t="n">
        <v>12.1209675851714</v>
      </c>
      <c r="M335" s="19" t="n">
        <v>0.329149517085263</v>
      </c>
      <c r="N335" s="19" t="n">
        <v>1.46227509215955</v>
      </c>
      <c r="O335" s="19" t="n">
        <v>1.25505267963243</v>
      </c>
      <c r="P335" s="19" t="n">
        <v>1.24848932839526</v>
      </c>
      <c r="Q335" s="17" t="s">
        <v>31</v>
      </c>
      <c r="R335" s="5" t="str">
        <f aca="false">IF(OR(Q335="Steel plate",Q335="Concrete jacket"),"Steel plate or jacket",Q335)</f>
        <v>Polymer laminate</v>
      </c>
      <c r="S335" s="5" t="str">
        <f aca="false">IF(O335&lt;='Tree rules'!$C$4,IF(N335&lt;='Tree rules'!$C$5,IF(P335&lt;='Tree rules'!$C$6,"Monitor","Polymer laminate"),IF(P335&lt;='Tree rules'!$C$7,"Seal cracks","Polymer laminate")),IF(O335&lt;='Tree rules'!$C$8,IF(M335&lt;='Tree rules'!$C$9,"Steel plate or jacket","Polymer laminate"),IF(L335&lt;='Tree rules'!$C$10,"Steel plate or jacket","Polymer laminate")))</f>
        <v>Polymer laminate</v>
      </c>
      <c r="T335" s="5" t="str">
        <f aca="false">IF(S335=R335,"Yes","No")</f>
        <v>Yes</v>
      </c>
    </row>
    <row r="336" customFormat="false" ht="15" hidden="false" customHeight="false" outlineLevel="0" collapsed="false">
      <c r="A336" s="15" t="n">
        <v>1153</v>
      </c>
      <c r="B336" s="16" t="n">
        <v>4.60769680580327</v>
      </c>
      <c r="C336" s="15" t="n">
        <v>230</v>
      </c>
      <c r="D336" s="15" t="n">
        <v>425</v>
      </c>
      <c r="E336" s="15" t="n">
        <v>20</v>
      </c>
      <c r="F336" s="16" t="n">
        <v>0.754646325628103</v>
      </c>
      <c r="G336" s="17" t="s">
        <v>90</v>
      </c>
      <c r="H336" s="18" t="n">
        <v>0.1</v>
      </c>
      <c r="I336" s="18" t="n">
        <v>1</v>
      </c>
      <c r="J336" s="19" t="n">
        <v>0.861151542380985</v>
      </c>
      <c r="K336" s="19" t="n">
        <v>0.594910615728394</v>
      </c>
      <c r="L336" s="16" t="n">
        <v>12.7284442149262</v>
      </c>
      <c r="M336" s="19" t="n">
        <v>0.370651977001321</v>
      </c>
      <c r="N336" s="19" t="n">
        <v>2.77814428295648</v>
      </c>
      <c r="O336" s="19" t="n">
        <v>0.861151542380985</v>
      </c>
      <c r="P336" s="19" t="n">
        <v>0.895010330054867</v>
      </c>
      <c r="Q336" s="17" t="s">
        <v>30</v>
      </c>
      <c r="R336" s="5" t="str">
        <f aca="false">IF(OR(Q336="Steel plate",Q336="Concrete jacket"),"Steel plate or jacket",Q336)</f>
        <v>Seal cracks</v>
      </c>
      <c r="S336" s="5" t="str">
        <f aca="false">IF(O336&lt;='Tree rules'!$C$4,IF(N336&lt;='Tree rules'!$C$5,IF(P336&lt;='Tree rules'!$C$6,"Monitor","Polymer laminate"),IF(P336&lt;='Tree rules'!$C$7,"Seal cracks","Polymer laminate")),IF(O336&lt;='Tree rules'!$C$8,IF(M336&lt;='Tree rules'!$C$9,"Steel plate or jacket","Polymer laminate"),IF(L336&lt;='Tree rules'!$C$10,"Steel plate or jacket","Polymer laminate")))</f>
        <v>Seal cracks</v>
      </c>
      <c r="T336" s="5" t="str">
        <f aca="false">IF(S336=R336,"Yes","No")</f>
        <v>Yes</v>
      </c>
    </row>
    <row r="337" customFormat="false" ht="15" hidden="false" customHeight="false" outlineLevel="0" collapsed="false">
      <c r="A337" s="15" t="n">
        <v>1161</v>
      </c>
      <c r="B337" s="16" t="n">
        <v>4.89320032409549</v>
      </c>
      <c r="C337" s="15" t="n">
        <v>230</v>
      </c>
      <c r="D337" s="15" t="n">
        <v>375</v>
      </c>
      <c r="E337" s="15" t="n">
        <v>20</v>
      </c>
      <c r="F337" s="16" t="n">
        <v>0.594232683721175</v>
      </c>
      <c r="G337" s="17" t="s">
        <v>91</v>
      </c>
      <c r="H337" s="18" t="n">
        <v>0.2</v>
      </c>
      <c r="I337" s="18" t="n">
        <v>1.5</v>
      </c>
      <c r="J337" s="19" t="n">
        <v>0.865355619792505</v>
      </c>
      <c r="K337" s="19" t="n">
        <v>0.44941253967434</v>
      </c>
      <c r="L337" s="16" t="n">
        <v>14.7830825501374</v>
      </c>
      <c r="M337" s="19" t="n">
        <v>0.61040125908843</v>
      </c>
      <c r="N337" s="19" t="n">
        <v>1.07908913543468</v>
      </c>
      <c r="O337" s="19" t="n">
        <v>1.10358259628255</v>
      </c>
      <c r="P337" s="19" t="n">
        <v>0.603178482895919</v>
      </c>
      <c r="Q337" s="17" t="s">
        <v>31</v>
      </c>
      <c r="R337" s="5" t="str">
        <f aca="false">IF(OR(Q337="Steel plate",Q337="Concrete jacket"),"Steel plate or jacket",Q337)</f>
        <v>Polymer laminate</v>
      </c>
      <c r="S337" s="5" t="str">
        <f aca="false">IF(O337&lt;='Tree rules'!$C$4,IF(N337&lt;='Tree rules'!$C$5,IF(P337&lt;='Tree rules'!$C$6,"Monitor","Polymer laminate"),IF(P337&lt;='Tree rules'!$C$7,"Seal cracks","Polymer laminate")),IF(O337&lt;='Tree rules'!$C$8,IF(M337&lt;='Tree rules'!$C$9,"Steel plate or jacket","Polymer laminate"),IF(L337&lt;='Tree rules'!$C$10,"Steel plate or jacket","Polymer laminate")))</f>
        <v>Polymer laminate</v>
      </c>
      <c r="T337" s="5" t="str">
        <f aca="false">IF(S337=R337,"Yes","No")</f>
        <v>Yes</v>
      </c>
    </row>
    <row r="338" customFormat="false" ht="15" hidden="false" customHeight="false" outlineLevel="0" collapsed="false">
      <c r="A338" s="15" t="n">
        <v>1163</v>
      </c>
      <c r="B338" s="16" t="n">
        <v>5.62429499620697</v>
      </c>
      <c r="C338" s="15" t="n">
        <v>300</v>
      </c>
      <c r="D338" s="15" t="n">
        <v>425</v>
      </c>
      <c r="E338" s="15" t="n">
        <v>30</v>
      </c>
      <c r="F338" s="16" t="n">
        <v>0.707341881547042</v>
      </c>
      <c r="G338" s="17" t="s">
        <v>89</v>
      </c>
      <c r="H338" s="18" t="n">
        <v>0.3</v>
      </c>
      <c r="I338" s="18" t="n">
        <v>1</v>
      </c>
      <c r="J338" s="19" t="n">
        <v>0.886585321183575</v>
      </c>
      <c r="K338" s="19" t="n">
        <v>0.511319357695416</v>
      </c>
      <c r="L338" s="16" t="n">
        <v>14.8398284860342</v>
      </c>
      <c r="M338" s="19" t="n">
        <v>0.90337967345691</v>
      </c>
      <c r="N338" s="19" t="n">
        <v>0.587316353558637</v>
      </c>
      <c r="O338" s="19" t="n">
        <v>0.886585321183575</v>
      </c>
      <c r="P338" s="19" t="n">
        <v>0.42414578269446</v>
      </c>
      <c r="Q338" s="17" t="s">
        <v>29</v>
      </c>
      <c r="R338" s="5" t="str">
        <f aca="false">IF(OR(Q338="Steel plate",Q338="Concrete jacket"),"Steel plate or jacket",Q338)</f>
        <v>Monitor</v>
      </c>
      <c r="S338" s="5" t="str">
        <f aca="false">IF(O338&lt;='Tree rules'!$C$4,IF(N338&lt;='Tree rules'!$C$5,IF(P338&lt;='Tree rules'!$C$6,"Monitor","Polymer laminate"),IF(P338&lt;='Tree rules'!$C$7,"Seal cracks","Polymer laminate")),IF(O338&lt;='Tree rules'!$C$8,IF(M338&lt;='Tree rules'!$C$9,"Steel plate or jacket","Polymer laminate"),IF(L338&lt;='Tree rules'!$C$10,"Steel plate or jacket","Polymer laminate")))</f>
        <v>Monitor</v>
      </c>
      <c r="T338" s="5" t="str">
        <f aca="false">IF(S338=R338,"Yes","No")</f>
        <v>Yes</v>
      </c>
    </row>
    <row r="339" customFormat="false" ht="15" hidden="false" customHeight="false" outlineLevel="0" collapsed="false">
      <c r="A339" s="15" t="n">
        <v>1164</v>
      </c>
      <c r="B339" s="16" t="n">
        <v>3.44480026240062</v>
      </c>
      <c r="C339" s="15" t="n">
        <v>300</v>
      </c>
      <c r="D339" s="15" t="n">
        <v>325</v>
      </c>
      <c r="E339" s="15" t="n">
        <v>30</v>
      </c>
      <c r="F339" s="16" t="n">
        <v>0.804963242200943</v>
      </c>
      <c r="G339" s="17" t="s">
        <v>91</v>
      </c>
      <c r="H339" s="18" t="n">
        <v>0.2</v>
      </c>
      <c r="I339" s="18" t="n">
        <v>1</v>
      </c>
      <c r="J339" s="19" t="n">
        <v>0.995456402731596</v>
      </c>
      <c r="K339" s="19" t="n">
        <v>0.435454204853775</v>
      </c>
      <c r="L339" s="16" t="n">
        <v>12.2590756669061</v>
      </c>
      <c r="M339" s="19" t="n">
        <v>0.30402833241644</v>
      </c>
      <c r="N339" s="19" t="n">
        <v>1.05289573745844</v>
      </c>
      <c r="O339" s="19" t="n">
        <v>0.995456402731596</v>
      </c>
      <c r="P339" s="19" t="n">
        <v>1.00142512248029</v>
      </c>
      <c r="Q339" s="17" t="s">
        <v>31</v>
      </c>
      <c r="R339" s="5" t="str">
        <f aca="false">IF(OR(Q339="Steel plate",Q339="Concrete jacket"),"Steel plate or jacket",Q339)</f>
        <v>Polymer laminate</v>
      </c>
      <c r="S339" s="5" t="str">
        <f aca="false">IF(O339&lt;='Tree rules'!$C$4,IF(N339&lt;='Tree rules'!$C$5,IF(P339&lt;='Tree rules'!$C$6,"Monitor","Polymer laminate"),IF(P339&lt;='Tree rules'!$C$7,"Seal cracks","Polymer laminate")),IF(O339&lt;='Tree rules'!$C$8,IF(M339&lt;='Tree rules'!$C$9,"Steel plate or jacket","Polymer laminate"),IF(L339&lt;='Tree rules'!$C$10,"Steel plate or jacket","Polymer laminate")))</f>
        <v>Polymer laminate</v>
      </c>
      <c r="T339" s="5" t="str">
        <f aca="false">IF(S339=R339,"Yes","No")</f>
        <v>Yes</v>
      </c>
    </row>
    <row r="340" customFormat="false" ht="15" hidden="false" customHeight="false" outlineLevel="0" collapsed="false">
      <c r="A340" s="15" t="n">
        <v>1173</v>
      </c>
      <c r="B340" s="16" t="n">
        <v>5.42022193581885</v>
      </c>
      <c r="C340" s="15" t="n">
        <v>300</v>
      </c>
      <c r="D340" s="15" t="n">
        <v>425</v>
      </c>
      <c r="E340" s="15" t="n">
        <v>30</v>
      </c>
      <c r="F340" s="16" t="n">
        <v>0.707341881547042</v>
      </c>
      <c r="G340" s="17" t="s">
        <v>89</v>
      </c>
      <c r="H340" s="18" t="n">
        <v>0.3</v>
      </c>
      <c r="I340" s="18" t="n">
        <v>1</v>
      </c>
      <c r="J340" s="19" t="n">
        <v>0.920548307106714</v>
      </c>
      <c r="K340" s="19" t="n">
        <v>0.468119499991936</v>
      </c>
      <c r="L340" s="16" t="n">
        <v>14.3013771393637</v>
      </c>
      <c r="M340" s="19" t="n">
        <v>0.810097326900497</v>
      </c>
      <c r="N340" s="19" t="n">
        <v>0.627863281362026</v>
      </c>
      <c r="O340" s="19" t="n">
        <v>0.920548307106714</v>
      </c>
      <c r="P340" s="19" t="n">
        <v>0.448659629286584</v>
      </c>
      <c r="Q340" s="17" t="s">
        <v>29</v>
      </c>
      <c r="R340" s="5" t="str">
        <f aca="false">IF(OR(Q340="Steel plate",Q340="Concrete jacket"),"Steel plate or jacket",Q340)</f>
        <v>Monitor</v>
      </c>
      <c r="S340" s="5" t="str">
        <f aca="false">IF(O340&lt;='Tree rules'!$C$4,IF(N340&lt;='Tree rules'!$C$5,IF(P340&lt;='Tree rules'!$C$6,"Monitor","Polymer laminate"),IF(P340&lt;='Tree rules'!$C$7,"Seal cracks","Polymer laminate")),IF(O340&lt;='Tree rules'!$C$8,IF(M340&lt;='Tree rules'!$C$9,"Steel plate or jacket","Polymer laminate"),IF(L340&lt;='Tree rules'!$C$10,"Steel plate or jacket","Polymer laminate")))</f>
        <v>Monitor</v>
      </c>
      <c r="T340" s="5" t="str">
        <f aca="false">IF(S340=R340,"Yes","No")</f>
        <v>Yes</v>
      </c>
    </row>
    <row r="341" customFormat="false" ht="15" hidden="false" customHeight="false" outlineLevel="0" collapsed="false">
      <c r="A341" s="15" t="n">
        <v>1174</v>
      </c>
      <c r="B341" s="16" t="n">
        <v>7.93439634003555</v>
      </c>
      <c r="C341" s="15" t="n">
        <v>300</v>
      </c>
      <c r="D341" s="15" t="n">
        <v>725</v>
      </c>
      <c r="E341" s="15" t="n">
        <v>25</v>
      </c>
      <c r="F341" s="16" t="n">
        <v>0.592229542944762</v>
      </c>
      <c r="G341" s="17" t="s">
        <v>89</v>
      </c>
      <c r="H341" s="18" t="n">
        <v>0.3</v>
      </c>
      <c r="I341" s="18" t="n">
        <v>1.5</v>
      </c>
      <c r="J341" s="19" t="n">
        <v>0.920523678671119</v>
      </c>
      <c r="K341" s="19" t="n">
        <v>0.46020924746797</v>
      </c>
      <c r="L341" s="16" t="n">
        <v>11.6854143446768</v>
      </c>
      <c r="M341" s="19" t="n">
        <v>0.801072221910196</v>
      </c>
      <c r="N341" s="19" t="n">
        <v>0.684748821118241</v>
      </c>
      <c r="O341" s="19" t="n">
        <v>1.16896876328784</v>
      </c>
      <c r="P341" s="19" t="n">
        <v>0.439678158209604</v>
      </c>
      <c r="Q341" s="17" t="s">
        <v>31</v>
      </c>
      <c r="R341" s="5" t="str">
        <f aca="false">IF(OR(Q341="Steel plate",Q341="Concrete jacket"),"Steel plate or jacket",Q341)</f>
        <v>Polymer laminate</v>
      </c>
      <c r="S341" s="5" t="str">
        <f aca="false">IF(O341&lt;='Tree rules'!$C$4,IF(N341&lt;='Tree rules'!$C$5,IF(P341&lt;='Tree rules'!$C$6,"Monitor","Polymer laminate"),IF(P341&lt;='Tree rules'!$C$7,"Seal cracks","Polymer laminate")),IF(O341&lt;='Tree rules'!$C$8,IF(M341&lt;='Tree rules'!$C$9,"Steel plate or jacket","Polymer laminate"),IF(L341&lt;='Tree rules'!$C$10,"Steel plate or jacket","Polymer laminate")))</f>
        <v>Polymer laminate</v>
      </c>
      <c r="T341" s="5" t="str">
        <f aca="false">IF(S341=R341,"Yes","No")</f>
        <v>Yes</v>
      </c>
    </row>
    <row r="342" customFormat="false" ht="15" hidden="false" customHeight="false" outlineLevel="0" collapsed="false">
      <c r="A342" s="15" t="n">
        <v>1177</v>
      </c>
      <c r="B342" s="16" t="n">
        <v>3.86061207500144</v>
      </c>
      <c r="C342" s="15" t="n">
        <v>230</v>
      </c>
      <c r="D342" s="15" t="n">
        <v>350</v>
      </c>
      <c r="E342" s="15" t="n">
        <v>25</v>
      </c>
      <c r="F342" s="16" t="n">
        <v>0.907455678485392</v>
      </c>
      <c r="G342" s="17" t="s">
        <v>90</v>
      </c>
      <c r="H342" s="18" t="n">
        <v>0.1</v>
      </c>
      <c r="I342" s="18" t="n">
        <v>1.5</v>
      </c>
      <c r="J342" s="19" t="n">
        <v>0.89946892991614</v>
      </c>
      <c r="K342" s="19" t="n">
        <v>0.566425612015109</v>
      </c>
      <c r="L342" s="16" t="n">
        <v>13.3585192906624</v>
      </c>
      <c r="M342" s="19" t="n">
        <v>0.409313937392036</v>
      </c>
      <c r="N342" s="19" t="n">
        <v>3.22450782149061</v>
      </c>
      <c r="O342" s="19" t="n">
        <v>1.09446227531605</v>
      </c>
      <c r="P342" s="19" t="n">
        <v>0.949416966068625</v>
      </c>
      <c r="Q342" s="17" t="s">
        <v>31</v>
      </c>
      <c r="R342" s="5" t="str">
        <f aca="false">IF(OR(Q342="Steel plate",Q342="Concrete jacket"),"Steel plate or jacket",Q342)</f>
        <v>Polymer laminate</v>
      </c>
      <c r="S342" s="5" t="str">
        <f aca="false">IF(O342&lt;='Tree rules'!$C$4,IF(N342&lt;='Tree rules'!$C$5,IF(P342&lt;='Tree rules'!$C$6,"Monitor","Polymer laminate"),IF(P342&lt;='Tree rules'!$C$7,"Seal cracks","Polymer laminate")),IF(O342&lt;='Tree rules'!$C$8,IF(M342&lt;='Tree rules'!$C$9,"Steel plate or jacket","Polymer laminate"),IF(L342&lt;='Tree rules'!$C$10,"Steel plate or jacket","Polymer laminate")))</f>
        <v>Polymer laminate</v>
      </c>
      <c r="T342" s="5" t="str">
        <f aca="false">IF(S342=R342,"Yes","No")</f>
        <v>Yes</v>
      </c>
    </row>
    <row r="343" customFormat="false" ht="15" hidden="false" customHeight="false" outlineLevel="0" collapsed="false">
      <c r="A343" s="15" t="n">
        <v>1182</v>
      </c>
      <c r="B343" s="16" t="n">
        <v>4.01205714788442</v>
      </c>
      <c r="C343" s="15" t="n">
        <v>230</v>
      </c>
      <c r="D343" s="15" t="n">
        <v>325</v>
      </c>
      <c r="E343" s="15" t="n">
        <v>30</v>
      </c>
      <c r="F343" s="16" t="n">
        <v>0.699968036696473</v>
      </c>
      <c r="G343" s="17" t="s">
        <v>89</v>
      </c>
      <c r="H343" s="18" t="n">
        <v>0.3</v>
      </c>
      <c r="I343" s="18" t="n">
        <v>1</v>
      </c>
      <c r="J343" s="19" t="n">
        <v>0.923119632867174</v>
      </c>
      <c r="K343" s="19" t="n">
        <v>0.57367608793037</v>
      </c>
      <c r="L343" s="16" t="n">
        <v>14.2777834444285</v>
      </c>
      <c r="M343" s="19" t="n">
        <v>0.572798744038421</v>
      </c>
      <c r="N343" s="19" t="n">
        <v>0.621575036824826</v>
      </c>
      <c r="O343" s="19" t="n">
        <v>0.923119632867174</v>
      </c>
      <c r="P343" s="19" t="n">
        <v>0.591726112311252</v>
      </c>
      <c r="Q343" s="17" t="s">
        <v>29</v>
      </c>
      <c r="R343" s="5" t="str">
        <f aca="false">IF(OR(Q343="Steel plate",Q343="Concrete jacket"),"Steel plate or jacket",Q343)</f>
        <v>Monitor</v>
      </c>
      <c r="S343" s="5" t="str">
        <f aca="false">IF(O343&lt;='Tree rules'!$C$4,IF(N343&lt;='Tree rules'!$C$5,IF(P343&lt;='Tree rules'!$C$6,"Monitor","Polymer laminate"),IF(P343&lt;='Tree rules'!$C$7,"Seal cracks","Polymer laminate")),IF(O343&lt;='Tree rules'!$C$8,IF(M343&lt;='Tree rules'!$C$9,"Steel plate or jacket","Polymer laminate"),IF(L343&lt;='Tree rules'!$C$10,"Steel plate or jacket","Polymer laminate")))</f>
        <v>Monitor</v>
      </c>
      <c r="T343" s="5" t="str">
        <f aca="false">IF(S343=R343,"Yes","No")</f>
        <v>Yes</v>
      </c>
    </row>
    <row r="344" customFormat="false" ht="15" hidden="false" customHeight="false" outlineLevel="0" collapsed="false">
      <c r="A344" s="15" t="n">
        <v>1183</v>
      </c>
      <c r="B344" s="16" t="n">
        <v>3.77230788571451</v>
      </c>
      <c r="C344" s="15" t="n">
        <v>300</v>
      </c>
      <c r="D344" s="15" t="n">
        <v>325</v>
      </c>
      <c r="E344" s="15" t="n">
        <v>25</v>
      </c>
      <c r="F344" s="16" t="n">
        <v>0.67080270183412</v>
      </c>
      <c r="G344" s="17" t="s">
        <v>89</v>
      </c>
      <c r="H344" s="18" t="n">
        <v>0.3</v>
      </c>
      <c r="I344" s="18" t="n">
        <v>1</v>
      </c>
      <c r="J344" s="19" t="n">
        <v>0.913348339241608</v>
      </c>
      <c r="K344" s="19" t="n">
        <v>0.600771560115824</v>
      </c>
      <c r="L344" s="16" t="n">
        <v>13.4245832231833</v>
      </c>
      <c r="M344" s="19" t="n">
        <v>0.319645621014812</v>
      </c>
      <c r="N344" s="19" t="n">
        <v>0.659448353633782</v>
      </c>
      <c r="O344" s="19" t="n">
        <v>0.913348339241608</v>
      </c>
      <c r="P344" s="19" t="n">
        <v>1.01093540096014</v>
      </c>
      <c r="Q344" s="17" t="s">
        <v>31</v>
      </c>
      <c r="R344" s="5" t="str">
        <f aca="false">IF(OR(Q344="Steel plate",Q344="Concrete jacket"),"Steel plate or jacket",Q344)</f>
        <v>Polymer laminate</v>
      </c>
      <c r="S344" s="5" t="str">
        <f aca="false">IF(O344&lt;='Tree rules'!$C$4,IF(N344&lt;='Tree rules'!$C$5,IF(P344&lt;='Tree rules'!$C$6,"Monitor","Polymer laminate"),IF(P344&lt;='Tree rules'!$C$7,"Seal cracks","Polymer laminate")),IF(O344&lt;='Tree rules'!$C$8,IF(M344&lt;='Tree rules'!$C$9,"Steel plate or jacket","Polymer laminate"),IF(L344&lt;='Tree rules'!$C$10,"Steel plate or jacket","Polymer laminate")))</f>
        <v>Polymer laminate</v>
      </c>
      <c r="T344" s="5" t="str">
        <f aca="false">IF(S344=R344,"Yes","No")</f>
        <v>Yes</v>
      </c>
    </row>
    <row r="345" customFormat="false" ht="15" hidden="false" customHeight="false" outlineLevel="0" collapsed="false">
      <c r="A345" s="15" t="n">
        <v>1185</v>
      </c>
      <c r="B345" s="16" t="n">
        <v>3.71055830501742</v>
      </c>
      <c r="C345" s="15" t="n">
        <v>230</v>
      </c>
      <c r="D345" s="15" t="n">
        <v>300</v>
      </c>
      <c r="E345" s="15" t="n">
        <v>30</v>
      </c>
      <c r="F345" s="16" t="n">
        <v>0.688332522525665</v>
      </c>
      <c r="G345" s="17" t="s">
        <v>89</v>
      </c>
      <c r="H345" s="18" t="n">
        <v>0.3</v>
      </c>
      <c r="I345" s="18" t="n">
        <v>1</v>
      </c>
      <c r="J345" s="19" t="n">
        <v>0.921429599397156</v>
      </c>
      <c r="K345" s="19" t="n">
        <v>0.603869153440394</v>
      </c>
      <c r="L345" s="16" t="n">
        <v>14.6084972638481</v>
      </c>
      <c r="M345" s="19" t="n">
        <v>0.951125549166375</v>
      </c>
      <c r="N345" s="19" t="n">
        <v>0.776830824578397</v>
      </c>
      <c r="O345" s="19" t="n">
        <v>0.921429599397156</v>
      </c>
      <c r="P345" s="19" t="n">
        <v>0.361618348144128</v>
      </c>
      <c r="Q345" s="17" t="s">
        <v>29</v>
      </c>
      <c r="R345" s="5" t="str">
        <f aca="false">IF(OR(Q345="Steel plate",Q345="Concrete jacket"),"Steel plate or jacket",Q345)</f>
        <v>Monitor</v>
      </c>
      <c r="S345" s="5" t="str">
        <f aca="false">IF(O345&lt;='Tree rules'!$C$4,IF(N345&lt;='Tree rules'!$C$5,IF(P345&lt;='Tree rules'!$C$6,"Monitor","Polymer laminate"),IF(P345&lt;='Tree rules'!$C$7,"Seal cracks","Polymer laminate")),IF(O345&lt;='Tree rules'!$C$8,IF(M345&lt;='Tree rules'!$C$9,"Steel plate or jacket","Polymer laminate"),IF(L345&lt;='Tree rules'!$C$10,"Steel plate or jacket","Polymer laminate")))</f>
        <v>Monitor</v>
      </c>
      <c r="T345" s="5" t="str">
        <f aca="false">IF(S345=R345,"Yes","No")</f>
        <v>Yes</v>
      </c>
    </row>
    <row r="346" customFormat="false" ht="15" hidden="false" customHeight="false" outlineLevel="0" collapsed="false">
      <c r="A346" s="15" t="n">
        <v>1191</v>
      </c>
      <c r="B346" s="16" t="n">
        <v>5.3710749171904</v>
      </c>
      <c r="C346" s="15" t="n">
        <v>300</v>
      </c>
      <c r="D346" s="15" t="n">
        <v>450</v>
      </c>
      <c r="E346" s="15" t="n">
        <v>20</v>
      </c>
      <c r="F346" s="16" t="n">
        <v>0.557129731671096</v>
      </c>
      <c r="G346" s="17" t="s">
        <v>91</v>
      </c>
      <c r="H346" s="18" t="n">
        <v>0.2</v>
      </c>
      <c r="I346" s="18" t="n">
        <v>1</v>
      </c>
      <c r="J346" s="19" t="n">
        <v>0.993001266270474</v>
      </c>
      <c r="K346" s="19" t="n">
        <v>0.411469020534125</v>
      </c>
      <c r="L346" s="16" t="n">
        <v>13.2292485645084</v>
      </c>
      <c r="M346" s="19" t="n">
        <v>0.932443662260948</v>
      </c>
      <c r="N346" s="19" t="n">
        <v>0.838852902508042</v>
      </c>
      <c r="O346" s="19" t="n">
        <v>0.993001266270474</v>
      </c>
      <c r="P346" s="19" t="n">
        <v>0.362107247760054</v>
      </c>
      <c r="Q346" s="17" t="s">
        <v>29</v>
      </c>
      <c r="R346" s="5" t="str">
        <f aca="false">IF(OR(Q346="Steel plate",Q346="Concrete jacket"),"Steel plate or jacket",Q346)</f>
        <v>Monitor</v>
      </c>
      <c r="S346" s="5" t="str">
        <f aca="false">IF(O346&lt;='Tree rules'!$C$4,IF(N346&lt;='Tree rules'!$C$5,IF(P346&lt;='Tree rules'!$C$6,"Monitor","Polymer laminate"),IF(P346&lt;='Tree rules'!$C$7,"Seal cracks","Polymer laminate")),IF(O346&lt;='Tree rules'!$C$8,IF(M346&lt;='Tree rules'!$C$9,"Steel plate or jacket","Polymer laminate"),IF(L346&lt;='Tree rules'!$C$10,"Steel plate or jacket","Polymer laminate")))</f>
        <v>Monitor</v>
      </c>
      <c r="T346" s="5" t="str">
        <f aca="false">IF(S346=R346,"Yes","No")</f>
        <v>Yes</v>
      </c>
    </row>
    <row r="347" customFormat="false" ht="15" hidden="false" customHeight="false" outlineLevel="0" collapsed="false">
      <c r="A347" s="15" t="n">
        <v>1192</v>
      </c>
      <c r="B347" s="16" t="n">
        <v>3.04959692580688</v>
      </c>
      <c r="C347" s="15" t="n">
        <v>230</v>
      </c>
      <c r="D347" s="15" t="n">
        <v>300</v>
      </c>
      <c r="E347" s="15" t="n">
        <v>20</v>
      </c>
      <c r="F347" s="16" t="n">
        <v>0.576243217710084</v>
      </c>
      <c r="G347" s="17" t="s">
        <v>91</v>
      </c>
      <c r="H347" s="18" t="n">
        <v>0.2</v>
      </c>
      <c r="I347" s="18" t="n">
        <v>1.5</v>
      </c>
      <c r="J347" s="19" t="n">
        <v>0.858000332606727</v>
      </c>
      <c r="K347" s="19" t="n">
        <v>0.537413984200971</v>
      </c>
      <c r="L347" s="16" t="n">
        <v>11.9124879914331</v>
      </c>
      <c r="M347" s="19" t="n">
        <v>0.336888633159337</v>
      </c>
      <c r="N347" s="19" t="n">
        <v>1.21895423778782</v>
      </c>
      <c r="O347" s="19" t="n">
        <v>1.05644981031412</v>
      </c>
      <c r="P347" s="19" t="n">
        <v>0.771975241501418</v>
      </c>
      <c r="Q347" s="17" t="s">
        <v>31</v>
      </c>
      <c r="R347" s="5" t="str">
        <f aca="false">IF(OR(Q347="Steel plate",Q347="Concrete jacket"),"Steel plate or jacket",Q347)</f>
        <v>Polymer laminate</v>
      </c>
      <c r="S347" s="5" t="str">
        <f aca="false">IF(O347&lt;='Tree rules'!$C$4,IF(N347&lt;='Tree rules'!$C$5,IF(P347&lt;='Tree rules'!$C$6,"Monitor","Polymer laminate"),IF(P347&lt;='Tree rules'!$C$7,"Seal cracks","Polymer laminate")),IF(O347&lt;='Tree rules'!$C$8,IF(M347&lt;='Tree rules'!$C$9,"Steel plate or jacket","Polymer laminate"),IF(L347&lt;='Tree rules'!$C$10,"Steel plate or jacket","Polymer laminate")))</f>
        <v>Polymer laminate</v>
      </c>
      <c r="T347" s="5" t="str">
        <f aca="false">IF(S347=R347,"Yes","No")</f>
        <v>Yes</v>
      </c>
    </row>
    <row r="348" customFormat="false" ht="15" hidden="false" customHeight="false" outlineLevel="0" collapsed="false">
      <c r="A348" s="15" t="n">
        <v>1195</v>
      </c>
      <c r="B348" s="16" t="n">
        <v>3.31751473243376</v>
      </c>
      <c r="C348" s="15" t="n">
        <v>300</v>
      </c>
      <c r="D348" s="15" t="n">
        <v>300</v>
      </c>
      <c r="E348" s="15" t="n">
        <v>30</v>
      </c>
      <c r="F348" s="16" t="n">
        <v>0.791582400904515</v>
      </c>
      <c r="G348" s="17" t="s">
        <v>91</v>
      </c>
      <c r="H348" s="18" t="n">
        <v>0.2</v>
      </c>
      <c r="I348" s="18" t="n">
        <v>1.5</v>
      </c>
      <c r="J348" s="19" t="n">
        <v>0.916845276514216</v>
      </c>
      <c r="K348" s="19" t="n">
        <v>0.628262097314515</v>
      </c>
      <c r="L348" s="16" t="n">
        <v>13.061081623755</v>
      </c>
      <c r="M348" s="19" t="n">
        <v>0.346109839222261</v>
      </c>
      <c r="N348" s="19" t="n">
        <v>1.44447348729097</v>
      </c>
      <c r="O348" s="19" t="n">
        <v>1.08725834660346</v>
      </c>
      <c r="P348" s="19" t="n">
        <v>1.03369815907115</v>
      </c>
      <c r="Q348" s="17" t="s">
        <v>31</v>
      </c>
      <c r="R348" s="5" t="str">
        <f aca="false">IF(OR(Q348="Steel plate",Q348="Concrete jacket"),"Steel plate or jacket",Q348)</f>
        <v>Polymer laminate</v>
      </c>
      <c r="S348" s="5" t="str">
        <f aca="false">IF(O348&lt;='Tree rules'!$C$4,IF(N348&lt;='Tree rules'!$C$5,IF(P348&lt;='Tree rules'!$C$6,"Monitor","Polymer laminate"),IF(P348&lt;='Tree rules'!$C$7,"Seal cracks","Polymer laminate")),IF(O348&lt;='Tree rules'!$C$8,IF(M348&lt;='Tree rules'!$C$9,"Steel plate or jacket","Polymer laminate"),IF(L348&lt;='Tree rules'!$C$10,"Steel plate or jacket","Polymer laminate")))</f>
        <v>Polymer laminate</v>
      </c>
      <c r="T348" s="5" t="str">
        <f aca="false">IF(S348=R348,"Yes","No")</f>
        <v>Yes</v>
      </c>
    </row>
    <row r="349" customFormat="false" ht="15" hidden="false" customHeight="false" outlineLevel="0" collapsed="false">
      <c r="A349" s="15" t="n">
        <v>1196</v>
      </c>
      <c r="B349" s="16" t="n">
        <v>7.07555269565246</v>
      </c>
      <c r="C349" s="15" t="n">
        <v>230</v>
      </c>
      <c r="D349" s="15" t="n">
        <v>650</v>
      </c>
      <c r="E349" s="15" t="n">
        <v>30</v>
      </c>
      <c r="F349" s="16" t="n">
        <v>0.680685971455249</v>
      </c>
      <c r="G349" s="17" t="s">
        <v>91</v>
      </c>
      <c r="H349" s="18" t="n">
        <v>0.2</v>
      </c>
      <c r="I349" s="18" t="n">
        <v>2</v>
      </c>
      <c r="J349" s="19" t="n">
        <v>0.907339939945247</v>
      </c>
      <c r="K349" s="19" t="n">
        <v>0.403706365615637</v>
      </c>
      <c r="L349" s="16" t="n">
        <v>11.7534097934426</v>
      </c>
      <c r="M349" s="19" t="n">
        <v>0.361068535601125</v>
      </c>
      <c r="N349" s="19" t="n">
        <v>1.60115590548842</v>
      </c>
      <c r="O349" s="19" t="n">
        <v>1.44838097035729</v>
      </c>
      <c r="P349" s="19" t="n">
        <v>1.03057393685808</v>
      </c>
      <c r="Q349" s="17" t="s">
        <v>92</v>
      </c>
      <c r="R349" s="5" t="str">
        <f aca="false">IF(OR(Q349="Steel plate",Q349="Concrete jacket"),"Steel plate or jacket",Q349)</f>
        <v>Steel plate or jacket</v>
      </c>
      <c r="S349" s="5" t="str">
        <f aca="false">IF(O349&lt;='Tree rules'!$C$4,IF(N349&lt;='Tree rules'!$C$5,IF(P349&lt;='Tree rules'!$C$6,"Monitor","Polymer laminate"),IF(P349&lt;='Tree rules'!$C$7,"Seal cracks","Polymer laminate")),IF(O349&lt;='Tree rules'!$C$8,IF(M349&lt;='Tree rules'!$C$9,"Steel plate or jacket","Polymer laminate"),IF(L349&lt;='Tree rules'!$C$10,"Steel plate or jacket","Polymer laminate")))</f>
        <v>Steel plate or jacket</v>
      </c>
      <c r="T349" s="5" t="str">
        <f aca="false">IF(S349=R349,"Yes","No")</f>
        <v>Yes</v>
      </c>
    </row>
    <row r="350" customFormat="false" ht="15" hidden="false" customHeight="false" outlineLevel="0" collapsed="false">
      <c r="A350" s="15" t="n">
        <v>1197</v>
      </c>
      <c r="B350" s="16" t="n">
        <v>4.90296427379204</v>
      </c>
      <c r="C350" s="15" t="n">
        <v>230</v>
      </c>
      <c r="D350" s="15" t="n">
        <v>475</v>
      </c>
      <c r="E350" s="15" t="n">
        <v>25</v>
      </c>
      <c r="F350" s="16" t="n">
        <v>0.639770421258486</v>
      </c>
      <c r="G350" s="17" t="s">
        <v>89</v>
      </c>
      <c r="H350" s="18" t="n">
        <v>0.3</v>
      </c>
      <c r="I350" s="18" t="n">
        <v>1.5</v>
      </c>
      <c r="J350" s="19" t="n">
        <v>0.866266769326341</v>
      </c>
      <c r="K350" s="19" t="n">
        <v>0.562443965651992</v>
      </c>
      <c r="L350" s="16" t="n">
        <v>11.4823519292554</v>
      </c>
      <c r="M350" s="19" t="n">
        <v>0.321471146997978</v>
      </c>
      <c r="N350" s="19" t="n">
        <v>1.04989154062076</v>
      </c>
      <c r="O350" s="19" t="n">
        <v>1.05578689546329</v>
      </c>
      <c r="P350" s="19" t="n">
        <v>0.950067364091311</v>
      </c>
      <c r="Q350" s="17" t="s">
        <v>31</v>
      </c>
      <c r="R350" s="5" t="str">
        <f aca="false">IF(OR(Q350="Steel plate",Q350="Concrete jacket"),"Steel plate or jacket",Q350)</f>
        <v>Polymer laminate</v>
      </c>
      <c r="S350" s="5" t="str">
        <f aca="false">IF(O350&lt;='Tree rules'!$C$4,IF(N350&lt;='Tree rules'!$C$5,IF(P350&lt;='Tree rules'!$C$6,"Monitor","Polymer laminate"),IF(P350&lt;='Tree rules'!$C$7,"Seal cracks","Polymer laminate")),IF(O350&lt;='Tree rules'!$C$8,IF(M350&lt;='Tree rules'!$C$9,"Steel plate or jacket","Polymer laminate"),IF(L350&lt;='Tree rules'!$C$10,"Steel plate or jacket","Polymer laminate")))</f>
        <v>Polymer laminate</v>
      </c>
      <c r="T350" s="5" t="str">
        <f aca="false">IF(S350=R350,"Yes","No")</f>
        <v>Yes</v>
      </c>
    </row>
    <row r="351" customFormat="false" ht="15" hidden="false" customHeight="false" outlineLevel="0" collapsed="false">
      <c r="A351" s="15" t="n">
        <v>1208</v>
      </c>
      <c r="B351" s="16" t="n">
        <v>3.43180994190742</v>
      </c>
      <c r="C351" s="15" t="n">
        <v>300</v>
      </c>
      <c r="D351" s="15" t="n">
        <v>325</v>
      </c>
      <c r="E351" s="15" t="n">
        <v>30</v>
      </c>
      <c r="F351" s="16" t="n">
        <v>0.72065207824282</v>
      </c>
      <c r="G351" s="17" t="s">
        <v>89</v>
      </c>
      <c r="H351" s="18" t="n">
        <v>0.3</v>
      </c>
      <c r="I351" s="18" t="n">
        <v>1.5</v>
      </c>
      <c r="J351" s="19" t="n">
        <v>0.880724571171421</v>
      </c>
      <c r="K351" s="19" t="n">
        <v>0.624058205534268</v>
      </c>
      <c r="L351" s="16" t="n">
        <v>12.3003940570159</v>
      </c>
      <c r="M351" s="19" t="n">
        <v>0.713618234000709</v>
      </c>
      <c r="N351" s="19" t="n">
        <v>0.858615278443821</v>
      </c>
      <c r="O351" s="19" t="n">
        <v>1.04627515902954</v>
      </c>
      <c r="P351" s="19" t="n">
        <v>0.459258462855409</v>
      </c>
      <c r="Q351" s="17" t="s">
        <v>31</v>
      </c>
      <c r="R351" s="5" t="str">
        <f aca="false">IF(OR(Q351="Steel plate",Q351="Concrete jacket"),"Steel plate or jacket",Q351)</f>
        <v>Polymer laminate</v>
      </c>
      <c r="S351" s="5" t="str">
        <f aca="false">IF(O351&lt;='Tree rules'!$C$4,IF(N351&lt;='Tree rules'!$C$5,IF(P351&lt;='Tree rules'!$C$6,"Monitor","Polymer laminate"),IF(P351&lt;='Tree rules'!$C$7,"Seal cracks","Polymer laminate")),IF(O351&lt;='Tree rules'!$C$8,IF(M351&lt;='Tree rules'!$C$9,"Steel plate or jacket","Polymer laminate"),IF(L351&lt;='Tree rules'!$C$10,"Steel plate or jacket","Polymer laminate")))</f>
        <v>Polymer laminate</v>
      </c>
      <c r="T351" s="5" t="str">
        <f aca="false">IF(S351=R351,"Yes","No")</f>
        <v>Yes</v>
      </c>
    </row>
    <row r="352" customFormat="false" ht="15" hidden="false" customHeight="false" outlineLevel="0" collapsed="false">
      <c r="A352" s="15" t="n">
        <v>1209</v>
      </c>
      <c r="B352" s="16" t="n">
        <v>6.66273913567271</v>
      </c>
      <c r="C352" s="15" t="n">
        <v>230</v>
      </c>
      <c r="D352" s="15" t="n">
        <v>625</v>
      </c>
      <c r="E352" s="15" t="n">
        <v>30</v>
      </c>
      <c r="F352" s="16" t="n">
        <v>0.710178431223674</v>
      </c>
      <c r="G352" s="17" t="s">
        <v>89</v>
      </c>
      <c r="H352" s="18" t="n">
        <v>0.3</v>
      </c>
      <c r="I352" s="18" t="n">
        <v>1.5</v>
      </c>
      <c r="J352" s="19" t="n">
        <v>0.994182555559729</v>
      </c>
      <c r="K352" s="19" t="n">
        <v>0.510459659679415</v>
      </c>
      <c r="L352" s="16" t="n">
        <v>11.5472082074051</v>
      </c>
      <c r="M352" s="19" t="n">
        <v>0.562935509260486</v>
      </c>
      <c r="N352" s="19" t="n">
        <v>0.882763905282616</v>
      </c>
      <c r="O352" s="19" t="n">
        <v>1.23752878885448</v>
      </c>
      <c r="P352" s="19" t="n">
        <v>0.689224427739973</v>
      </c>
      <c r="Q352" s="17" t="s">
        <v>31</v>
      </c>
      <c r="R352" s="5" t="str">
        <f aca="false">IF(OR(Q352="Steel plate",Q352="Concrete jacket"),"Steel plate or jacket",Q352)</f>
        <v>Polymer laminate</v>
      </c>
      <c r="S352" s="5" t="str">
        <f aca="false">IF(O352&lt;='Tree rules'!$C$4,IF(N352&lt;='Tree rules'!$C$5,IF(P352&lt;='Tree rules'!$C$6,"Monitor","Polymer laminate"),IF(P352&lt;='Tree rules'!$C$7,"Seal cracks","Polymer laminate")),IF(O352&lt;='Tree rules'!$C$8,IF(M352&lt;='Tree rules'!$C$9,"Steel plate or jacket","Polymer laminate"),IF(L352&lt;='Tree rules'!$C$10,"Steel plate or jacket","Polymer laminate")))</f>
        <v>Polymer laminate</v>
      </c>
      <c r="T352" s="5" t="str">
        <f aca="false">IF(S352=R352,"Yes","No")</f>
        <v>Yes</v>
      </c>
    </row>
    <row r="353" customFormat="false" ht="15" hidden="false" customHeight="false" outlineLevel="0" collapsed="false">
      <c r="A353" s="15" t="n">
        <v>1210</v>
      </c>
      <c r="B353" s="16" t="n">
        <v>7.46989016928555</v>
      </c>
      <c r="C353" s="15" t="n">
        <v>230</v>
      </c>
      <c r="D353" s="15" t="n">
        <v>675</v>
      </c>
      <c r="E353" s="15" t="n">
        <v>20</v>
      </c>
      <c r="F353" s="16" t="n">
        <v>0.653545382481754</v>
      </c>
      <c r="G353" s="17" t="s">
        <v>91</v>
      </c>
      <c r="H353" s="18" t="n">
        <v>0.2</v>
      </c>
      <c r="I353" s="18" t="n">
        <v>1</v>
      </c>
      <c r="J353" s="19" t="n">
        <v>0.854019831395645</v>
      </c>
      <c r="K353" s="19" t="n">
        <v>0.412173381309688</v>
      </c>
      <c r="L353" s="16" t="n">
        <v>11.9137004294825</v>
      </c>
      <c r="M353" s="19" t="n">
        <v>0.755288793686988</v>
      </c>
      <c r="N353" s="19" t="n">
        <v>0.818009245204982</v>
      </c>
      <c r="O353" s="19" t="n">
        <v>0.854019831395645</v>
      </c>
      <c r="P353" s="19" t="n">
        <v>0.420532505122041</v>
      </c>
      <c r="Q353" s="17" t="s">
        <v>29</v>
      </c>
      <c r="R353" s="5" t="str">
        <f aca="false">IF(OR(Q353="Steel plate",Q353="Concrete jacket"),"Steel plate or jacket",Q353)</f>
        <v>Monitor</v>
      </c>
      <c r="S353" s="5" t="str">
        <f aca="false">IF(O353&lt;='Tree rules'!$C$4,IF(N353&lt;='Tree rules'!$C$5,IF(P353&lt;='Tree rules'!$C$6,"Monitor","Polymer laminate"),IF(P353&lt;='Tree rules'!$C$7,"Seal cracks","Polymer laminate")),IF(O353&lt;='Tree rules'!$C$8,IF(M353&lt;='Tree rules'!$C$9,"Steel plate or jacket","Polymer laminate"),IF(L353&lt;='Tree rules'!$C$10,"Steel plate or jacket","Polymer laminate")))</f>
        <v>Monitor</v>
      </c>
      <c r="T353" s="5" t="str">
        <f aca="false">IF(S353=R353,"Yes","No")</f>
        <v>Yes</v>
      </c>
    </row>
    <row r="354" customFormat="false" ht="15" hidden="false" customHeight="false" outlineLevel="0" collapsed="false">
      <c r="A354" s="15" t="n">
        <v>1211</v>
      </c>
      <c r="B354" s="16" t="n">
        <v>4.95404415802713</v>
      </c>
      <c r="C354" s="15" t="n">
        <v>300</v>
      </c>
      <c r="D354" s="15" t="n">
        <v>475</v>
      </c>
      <c r="E354" s="15" t="n">
        <v>25</v>
      </c>
      <c r="F354" s="16" t="n">
        <v>0.735735984447258</v>
      </c>
      <c r="G354" s="17" t="s">
        <v>89</v>
      </c>
      <c r="H354" s="18" t="n">
        <v>0.3</v>
      </c>
      <c r="I354" s="18" t="n">
        <v>1.5</v>
      </c>
      <c r="J354" s="19" t="n">
        <v>0.885840873216068</v>
      </c>
      <c r="K354" s="19" t="n">
        <v>0.632597950433424</v>
      </c>
      <c r="L354" s="16" t="n">
        <v>11.6019769508832</v>
      </c>
      <c r="M354" s="19" t="n">
        <v>0.920328839766121</v>
      </c>
      <c r="N354" s="19" t="n">
        <v>0.806422423540753</v>
      </c>
      <c r="O354" s="19" t="n">
        <v>1.04857074942078</v>
      </c>
      <c r="P354" s="19" t="n">
        <v>0.430297585590618</v>
      </c>
      <c r="Q354" s="17" t="s">
        <v>31</v>
      </c>
      <c r="R354" s="5" t="str">
        <f aca="false">IF(OR(Q354="Steel plate",Q354="Concrete jacket"),"Steel plate or jacket",Q354)</f>
        <v>Polymer laminate</v>
      </c>
      <c r="S354" s="5" t="str">
        <f aca="false">IF(O354&lt;='Tree rules'!$C$4,IF(N354&lt;='Tree rules'!$C$5,IF(P354&lt;='Tree rules'!$C$6,"Monitor","Polymer laminate"),IF(P354&lt;='Tree rules'!$C$7,"Seal cracks","Polymer laminate")),IF(O354&lt;='Tree rules'!$C$8,IF(M354&lt;='Tree rules'!$C$9,"Steel plate or jacket","Polymer laminate"),IF(L354&lt;='Tree rules'!$C$10,"Steel plate or jacket","Polymer laminate")))</f>
        <v>Polymer laminate</v>
      </c>
      <c r="T354" s="5" t="str">
        <f aca="false">IF(S354=R354,"Yes","No")</f>
        <v>Yes</v>
      </c>
    </row>
    <row r="355" customFormat="false" ht="15" hidden="false" customHeight="false" outlineLevel="0" collapsed="false">
      <c r="A355" s="15" t="n">
        <v>1214</v>
      </c>
      <c r="B355" s="16" t="n">
        <v>7.42330230946691</v>
      </c>
      <c r="C355" s="15" t="n">
        <v>300</v>
      </c>
      <c r="D355" s="15" t="n">
        <v>625</v>
      </c>
      <c r="E355" s="15" t="n">
        <v>30</v>
      </c>
      <c r="F355" s="16" t="n">
        <v>0.578762031749415</v>
      </c>
      <c r="G355" s="17" t="s">
        <v>91</v>
      </c>
      <c r="H355" s="18" t="n">
        <v>0.2</v>
      </c>
      <c r="I355" s="18" t="n">
        <v>1.5</v>
      </c>
      <c r="J355" s="19" t="n">
        <v>0.975955949300558</v>
      </c>
      <c r="K355" s="19" t="n">
        <v>0.569921459608854</v>
      </c>
      <c r="L355" s="16" t="n">
        <v>12.8209020888893</v>
      </c>
      <c r="M355" s="19" t="n">
        <v>0.883090056135572</v>
      </c>
      <c r="N355" s="19" t="n">
        <v>1.09331894394288</v>
      </c>
      <c r="O355" s="19" t="n">
        <v>1.18582480438118</v>
      </c>
      <c r="P355" s="19" t="n">
        <v>0.440804831136236</v>
      </c>
      <c r="Q355" s="17" t="s">
        <v>31</v>
      </c>
      <c r="R355" s="5" t="str">
        <f aca="false">IF(OR(Q355="Steel plate",Q355="Concrete jacket"),"Steel plate or jacket",Q355)</f>
        <v>Polymer laminate</v>
      </c>
      <c r="S355" s="5" t="str">
        <f aca="false">IF(O355&lt;='Tree rules'!$C$4,IF(N355&lt;='Tree rules'!$C$5,IF(P355&lt;='Tree rules'!$C$6,"Monitor","Polymer laminate"),IF(P355&lt;='Tree rules'!$C$7,"Seal cracks","Polymer laminate")),IF(O355&lt;='Tree rules'!$C$8,IF(M355&lt;='Tree rules'!$C$9,"Steel plate or jacket","Polymer laminate"),IF(L355&lt;='Tree rules'!$C$10,"Steel plate or jacket","Polymer laminate")))</f>
        <v>Polymer laminate</v>
      </c>
      <c r="T355" s="5" t="str">
        <f aca="false">IF(S355=R355,"Yes","No")</f>
        <v>Yes</v>
      </c>
    </row>
    <row r="356" customFormat="false" ht="15" hidden="false" customHeight="false" outlineLevel="0" collapsed="false">
      <c r="A356" s="15" t="n">
        <v>1219</v>
      </c>
      <c r="B356" s="16" t="n">
        <v>3.05835676757331</v>
      </c>
      <c r="C356" s="15" t="n">
        <v>300</v>
      </c>
      <c r="D356" s="15" t="n">
        <v>300</v>
      </c>
      <c r="E356" s="15" t="n">
        <v>25</v>
      </c>
      <c r="F356" s="16" t="n">
        <v>0.883572933822129</v>
      </c>
      <c r="G356" s="17" t="s">
        <v>91</v>
      </c>
      <c r="H356" s="18" t="n">
        <v>0.2</v>
      </c>
      <c r="I356" s="18" t="n">
        <v>1</v>
      </c>
      <c r="J356" s="19" t="n">
        <v>0.922131088084057</v>
      </c>
      <c r="K356" s="19" t="n">
        <v>0.473836353008517</v>
      </c>
      <c r="L356" s="16" t="n">
        <v>11.9467061233332</v>
      </c>
      <c r="M356" s="19" t="n">
        <v>0.59076374667229</v>
      </c>
      <c r="N356" s="19" t="n">
        <v>0.922058279288175</v>
      </c>
      <c r="O356" s="19" t="n">
        <v>0.922131088084057</v>
      </c>
      <c r="P356" s="19" t="n">
        <v>0.55720855516684</v>
      </c>
      <c r="Q356" s="17" t="s">
        <v>29</v>
      </c>
      <c r="R356" s="5" t="str">
        <f aca="false">IF(OR(Q356="Steel plate",Q356="Concrete jacket"),"Steel plate or jacket",Q356)</f>
        <v>Monitor</v>
      </c>
      <c r="S356" s="5" t="str">
        <f aca="false">IF(O356&lt;='Tree rules'!$C$4,IF(N356&lt;='Tree rules'!$C$5,IF(P356&lt;='Tree rules'!$C$6,"Monitor","Polymer laminate"),IF(P356&lt;='Tree rules'!$C$7,"Seal cracks","Polymer laminate")),IF(O356&lt;='Tree rules'!$C$8,IF(M356&lt;='Tree rules'!$C$9,"Steel plate or jacket","Polymer laminate"),IF(L356&lt;='Tree rules'!$C$10,"Steel plate or jacket","Polymer laminate")))</f>
        <v>Monitor</v>
      </c>
      <c r="T356" s="5" t="str">
        <f aca="false">IF(S356=R356,"Yes","No")</f>
        <v>Yes</v>
      </c>
    </row>
    <row r="357" customFormat="false" ht="15" hidden="false" customHeight="false" outlineLevel="0" collapsed="false">
      <c r="A357" s="15" t="n">
        <v>1223</v>
      </c>
      <c r="B357" s="16" t="n">
        <v>5.52858910217638</v>
      </c>
      <c r="C357" s="15" t="n">
        <v>300</v>
      </c>
      <c r="D357" s="15" t="n">
        <v>525</v>
      </c>
      <c r="E357" s="15" t="n">
        <v>25</v>
      </c>
      <c r="F357" s="16" t="n">
        <v>0.658614812073332</v>
      </c>
      <c r="G357" s="17" t="s">
        <v>89</v>
      </c>
      <c r="H357" s="18" t="n">
        <v>0.3</v>
      </c>
      <c r="I357" s="18" t="n">
        <v>1.5</v>
      </c>
      <c r="J357" s="19" t="n">
        <v>0.946111805870451</v>
      </c>
      <c r="K357" s="19" t="n">
        <v>0.544085615041425</v>
      </c>
      <c r="L357" s="16" t="n">
        <v>11.5903335475396</v>
      </c>
      <c r="M357" s="19" t="n">
        <v>0.939197187701698</v>
      </c>
      <c r="N357" s="19" t="n">
        <v>0.893715837681368</v>
      </c>
      <c r="O357" s="19" t="n">
        <v>1.16178479690819</v>
      </c>
      <c r="P357" s="19" t="n">
        <v>0.405582184650421</v>
      </c>
      <c r="Q357" s="17" t="s">
        <v>31</v>
      </c>
      <c r="R357" s="5" t="str">
        <f aca="false">IF(OR(Q357="Steel plate",Q357="Concrete jacket"),"Steel plate or jacket",Q357)</f>
        <v>Polymer laminate</v>
      </c>
      <c r="S357" s="5" t="str">
        <f aca="false">IF(O357&lt;='Tree rules'!$C$4,IF(N357&lt;='Tree rules'!$C$5,IF(P357&lt;='Tree rules'!$C$6,"Monitor","Polymer laminate"),IF(P357&lt;='Tree rules'!$C$7,"Seal cracks","Polymer laminate")),IF(O357&lt;='Tree rules'!$C$8,IF(M357&lt;='Tree rules'!$C$9,"Steel plate or jacket","Polymer laminate"),IF(L357&lt;='Tree rules'!$C$10,"Steel plate or jacket","Polymer laminate")))</f>
        <v>Polymer laminate</v>
      </c>
      <c r="T357" s="5" t="str">
        <f aca="false">IF(S357=R357,"Yes","No")</f>
        <v>Yes</v>
      </c>
    </row>
    <row r="358" customFormat="false" ht="15" hidden="false" customHeight="false" outlineLevel="0" collapsed="false">
      <c r="A358" s="15" t="n">
        <v>1225</v>
      </c>
      <c r="B358" s="16" t="n">
        <v>7.06127533206235</v>
      </c>
      <c r="C358" s="15" t="n">
        <v>230</v>
      </c>
      <c r="D358" s="15" t="n">
        <v>650</v>
      </c>
      <c r="E358" s="15" t="n">
        <v>30</v>
      </c>
      <c r="F358" s="16" t="n">
        <v>0.680685971455249</v>
      </c>
      <c r="G358" s="17" t="s">
        <v>91</v>
      </c>
      <c r="H358" s="18" t="n">
        <v>0.2</v>
      </c>
      <c r="I358" s="18" t="n">
        <v>2</v>
      </c>
      <c r="J358" s="19" t="n">
        <v>0.89136460058628</v>
      </c>
      <c r="K358" s="19" t="n">
        <v>0.461183378362248</v>
      </c>
      <c r="L358" s="16" t="n">
        <v>11.7296932426285</v>
      </c>
      <c r="M358" s="19" t="n">
        <v>0.938279271175541</v>
      </c>
      <c r="N358" s="19" t="n">
        <v>1.38587727618018</v>
      </c>
      <c r="O358" s="19" t="n">
        <v>1.37164666332166</v>
      </c>
      <c r="P358" s="19" t="n">
        <v>0.425859925605348</v>
      </c>
      <c r="Q358" s="17" t="s">
        <v>92</v>
      </c>
      <c r="R358" s="5" t="str">
        <f aca="false">IF(OR(Q358="Steel plate",Q358="Concrete jacket"),"Steel plate or jacket",Q358)</f>
        <v>Steel plate or jacket</v>
      </c>
      <c r="S358" s="5" t="str">
        <f aca="false">IF(O358&lt;='Tree rules'!$C$4,IF(N358&lt;='Tree rules'!$C$5,IF(P358&lt;='Tree rules'!$C$6,"Monitor","Polymer laminate"),IF(P358&lt;='Tree rules'!$C$7,"Seal cracks","Polymer laminate")),IF(O358&lt;='Tree rules'!$C$8,IF(M358&lt;='Tree rules'!$C$9,"Steel plate or jacket","Polymer laminate"),IF(L358&lt;='Tree rules'!$C$10,"Steel plate or jacket","Polymer laminate")))</f>
        <v>Steel plate or jacket</v>
      </c>
      <c r="T358" s="5" t="str">
        <f aca="false">IF(S358=R358,"Yes","No")</f>
        <v>Yes</v>
      </c>
    </row>
    <row r="359" customFormat="false" ht="15" hidden="false" customHeight="false" outlineLevel="0" collapsed="false">
      <c r="A359" s="15" t="n">
        <v>1229</v>
      </c>
      <c r="B359" s="16" t="n">
        <v>5.56556796738309</v>
      </c>
      <c r="C359" s="15" t="n">
        <v>300</v>
      </c>
      <c r="D359" s="15" t="n">
        <v>450</v>
      </c>
      <c r="E359" s="15" t="n">
        <v>30</v>
      </c>
      <c r="F359" s="16" t="n">
        <v>0.663570725510715</v>
      </c>
      <c r="G359" s="17" t="s">
        <v>89</v>
      </c>
      <c r="H359" s="18" t="n">
        <v>0.3</v>
      </c>
      <c r="I359" s="18" t="n">
        <v>2</v>
      </c>
      <c r="J359" s="19" t="n">
        <v>0.992921835128625</v>
      </c>
      <c r="K359" s="19" t="n">
        <v>0.411673260214614</v>
      </c>
      <c r="L359" s="16" t="n">
        <v>13.7761583351067</v>
      </c>
      <c r="M359" s="19" t="n">
        <v>0.948182426546368</v>
      </c>
      <c r="N359" s="19" t="n">
        <v>1.10598774440256</v>
      </c>
      <c r="O359" s="19" t="n">
        <v>1.57708430125157</v>
      </c>
      <c r="P359" s="19" t="n">
        <v>0.484759103545494</v>
      </c>
      <c r="Q359" s="17" t="s">
        <v>31</v>
      </c>
      <c r="R359" s="5" t="str">
        <f aca="false">IF(OR(Q359="Steel plate",Q359="Concrete jacket"),"Steel plate or jacket",Q359)</f>
        <v>Polymer laminate</v>
      </c>
      <c r="S359" s="5" t="str">
        <f aca="false">IF(O359&lt;='Tree rules'!$C$4,IF(N359&lt;='Tree rules'!$C$5,IF(P359&lt;='Tree rules'!$C$6,"Monitor","Polymer laminate"),IF(P359&lt;='Tree rules'!$C$7,"Seal cracks","Polymer laminate")),IF(O359&lt;='Tree rules'!$C$8,IF(M359&lt;='Tree rules'!$C$9,"Steel plate or jacket","Polymer laminate"),IF(L359&lt;='Tree rules'!$C$10,"Steel plate or jacket","Polymer laminate")))</f>
        <v>Polymer laminate</v>
      </c>
      <c r="T359" s="5" t="str">
        <f aca="false">IF(S359=R359,"Yes","No")</f>
        <v>Yes</v>
      </c>
    </row>
    <row r="360" customFormat="false" ht="15" hidden="false" customHeight="false" outlineLevel="0" collapsed="false">
      <c r="A360" s="15" t="n">
        <v>1232</v>
      </c>
      <c r="B360" s="16" t="n">
        <v>3.71561431899964</v>
      </c>
      <c r="C360" s="15" t="n">
        <v>300</v>
      </c>
      <c r="D360" s="15" t="n">
        <v>375</v>
      </c>
      <c r="E360" s="15" t="n">
        <v>20</v>
      </c>
      <c r="F360" s="16" t="n">
        <v>0.569472988566126</v>
      </c>
      <c r="G360" s="17" t="s">
        <v>91</v>
      </c>
      <c r="H360" s="18" t="n">
        <v>0.2</v>
      </c>
      <c r="I360" s="18" t="n">
        <v>1.5</v>
      </c>
      <c r="J360" s="19" t="n">
        <v>0.889371594740746</v>
      </c>
      <c r="K360" s="19" t="n">
        <v>0.490527963071453</v>
      </c>
      <c r="L360" s="16" t="n">
        <v>11.2254209033222</v>
      </c>
      <c r="M360" s="19" t="n">
        <v>0.649945996739793</v>
      </c>
      <c r="N360" s="19" t="n">
        <v>1.09659069681327</v>
      </c>
      <c r="O360" s="19" t="n">
        <v>1.11592657372023</v>
      </c>
      <c r="P360" s="19" t="n">
        <v>0.440863534884701</v>
      </c>
      <c r="Q360" s="17" t="s">
        <v>31</v>
      </c>
      <c r="R360" s="5" t="str">
        <f aca="false">IF(OR(Q360="Steel plate",Q360="Concrete jacket"),"Steel plate or jacket",Q360)</f>
        <v>Polymer laminate</v>
      </c>
      <c r="S360" s="5" t="str">
        <f aca="false">IF(O360&lt;='Tree rules'!$C$4,IF(N360&lt;='Tree rules'!$C$5,IF(P360&lt;='Tree rules'!$C$6,"Monitor","Polymer laminate"),IF(P360&lt;='Tree rules'!$C$7,"Seal cracks","Polymer laminate")),IF(O360&lt;='Tree rules'!$C$8,IF(M360&lt;='Tree rules'!$C$9,"Steel plate or jacket","Polymer laminate"),IF(L360&lt;='Tree rules'!$C$10,"Steel plate or jacket","Polymer laminate")))</f>
        <v>Polymer laminate</v>
      </c>
      <c r="T360" s="5" t="str">
        <f aca="false">IF(S360=R360,"Yes","No")</f>
        <v>Yes</v>
      </c>
    </row>
    <row r="361" customFormat="false" ht="15" hidden="false" customHeight="false" outlineLevel="0" collapsed="false">
      <c r="A361" s="15" t="n">
        <v>1234</v>
      </c>
      <c r="B361" s="16" t="n">
        <v>5.22701473814834</v>
      </c>
      <c r="C361" s="15" t="n">
        <v>300</v>
      </c>
      <c r="D361" s="15" t="n">
        <v>475</v>
      </c>
      <c r="E361" s="15" t="n">
        <v>20</v>
      </c>
      <c r="F361" s="16" t="n">
        <v>0.624901102811956</v>
      </c>
      <c r="G361" s="17" t="s">
        <v>89</v>
      </c>
      <c r="H361" s="18" t="n">
        <v>0.3</v>
      </c>
      <c r="I361" s="18" t="n">
        <v>1.5</v>
      </c>
      <c r="J361" s="19" t="n">
        <v>0.959658355132454</v>
      </c>
      <c r="K361" s="19" t="n">
        <v>0.609423432787985</v>
      </c>
      <c r="L361" s="16" t="n">
        <v>12.1841835388073</v>
      </c>
      <c r="M361" s="19" t="n">
        <v>0.340780913896143</v>
      </c>
      <c r="N361" s="19" t="n">
        <v>0.852198209989788</v>
      </c>
      <c r="O361" s="19" t="n">
        <v>1.14706838815444</v>
      </c>
      <c r="P361" s="19" t="n">
        <v>1.15486541553558</v>
      </c>
      <c r="Q361" s="17" t="s">
        <v>31</v>
      </c>
      <c r="R361" s="5" t="str">
        <f aca="false">IF(OR(Q361="Steel plate",Q361="Concrete jacket"),"Steel plate or jacket",Q361)</f>
        <v>Polymer laminate</v>
      </c>
      <c r="S361" s="5" t="str">
        <f aca="false">IF(O361&lt;='Tree rules'!$C$4,IF(N361&lt;='Tree rules'!$C$5,IF(P361&lt;='Tree rules'!$C$6,"Monitor","Polymer laminate"),IF(P361&lt;='Tree rules'!$C$7,"Seal cracks","Polymer laminate")),IF(O361&lt;='Tree rules'!$C$8,IF(M361&lt;='Tree rules'!$C$9,"Steel plate or jacket","Polymer laminate"),IF(L361&lt;='Tree rules'!$C$10,"Steel plate or jacket","Polymer laminate")))</f>
        <v>Polymer laminate</v>
      </c>
      <c r="T361" s="5" t="str">
        <f aca="false">IF(S361=R361,"Yes","No")</f>
        <v>Yes</v>
      </c>
    </row>
    <row r="362" customFormat="false" ht="15" hidden="false" customHeight="false" outlineLevel="0" collapsed="false">
      <c r="A362" s="15" t="n">
        <v>1235</v>
      </c>
      <c r="B362" s="16" t="n">
        <v>5.93405587740752</v>
      </c>
      <c r="C362" s="15" t="n">
        <v>230</v>
      </c>
      <c r="D362" s="15" t="n">
        <v>550</v>
      </c>
      <c r="E362" s="15" t="n">
        <v>30</v>
      </c>
      <c r="F362" s="16" t="n">
        <v>0.693795479053647</v>
      </c>
      <c r="G362" s="17" t="s">
        <v>91</v>
      </c>
      <c r="H362" s="18" t="n">
        <v>0.2</v>
      </c>
      <c r="I362" s="18" t="n">
        <v>1</v>
      </c>
      <c r="J362" s="19" t="n">
        <v>0.902974073726181</v>
      </c>
      <c r="K362" s="19" t="n">
        <v>0.607083073829946</v>
      </c>
      <c r="L362" s="16" t="n">
        <v>11.7739203916816</v>
      </c>
      <c r="M362" s="19" t="n">
        <v>0.34092168920008</v>
      </c>
      <c r="N362" s="19" t="n">
        <v>0.918267512496923</v>
      </c>
      <c r="O362" s="19" t="n">
        <v>0.902974073726181</v>
      </c>
      <c r="P362" s="19" t="n">
        <v>0.947150530021081</v>
      </c>
      <c r="Q362" s="17" t="s">
        <v>29</v>
      </c>
      <c r="R362" s="5" t="str">
        <f aca="false">IF(OR(Q362="Steel plate",Q362="Concrete jacket"),"Steel plate or jacket",Q362)</f>
        <v>Monitor</v>
      </c>
      <c r="S362" s="5" t="str">
        <f aca="false">IF(O362&lt;='Tree rules'!$C$4,IF(N362&lt;='Tree rules'!$C$5,IF(P362&lt;='Tree rules'!$C$6,"Monitor","Polymer laminate"),IF(P362&lt;='Tree rules'!$C$7,"Seal cracks","Polymer laminate")),IF(O362&lt;='Tree rules'!$C$8,IF(M362&lt;='Tree rules'!$C$9,"Steel plate or jacket","Polymer laminate"),IF(L362&lt;='Tree rules'!$C$10,"Steel plate or jacket","Polymer laminate")))</f>
        <v>Monitor</v>
      </c>
      <c r="T362" s="5" t="str">
        <f aca="false">IF(S362=R362,"Yes","No")</f>
        <v>Yes</v>
      </c>
    </row>
    <row r="363" customFormat="false" ht="15" hidden="false" customHeight="false" outlineLevel="0" collapsed="false">
      <c r="A363" s="15" t="n">
        <v>1237</v>
      </c>
      <c r="B363" s="16" t="n">
        <v>3.58802068590867</v>
      </c>
      <c r="C363" s="15" t="n">
        <v>300</v>
      </c>
      <c r="D363" s="15" t="n">
        <v>325</v>
      </c>
      <c r="E363" s="15" t="n">
        <v>25</v>
      </c>
      <c r="F363" s="16" t="n">
        <v>0.67080270183412</v>
      </c>
      <c r="G363" s="17" t="s">
        <v>89</v>
      </c>
      <c r="H363" s="18" t="n">
        <v>0.3</v>
      </c>
      <c r="I363" s="18" t="n">
        <v>1</v>
      </c>
      <c r="J363" s="19" t="n">
        <v>0.894791994841595</v>
      </c>
      <c r="K363" s="19" t="n">
        <v>0.638769046166564</v>
      </c>
      <c r="L363" s="16" t="n">
        <v>12.7687568893547</v>
      </c>
      <c r="M363" s="19" t="n">
        <v>0.480728554559142</v>
      </c>
      <c r="N363" s="19" t="n">
        <v>0.62034952552405</v>
      </c>
      <c r="O363" s="19" t="n">
        <v>0.894791994841595</v>
      </c>
      <c r="P363" s="19" t="n">
        <v>0.660254734934243</v>
      </c>
      <c r="Q363" s="17" t="s">
        <v>29</v>
      </c>
      <c r="R363" s="5" t="str">
        <f aca="false">IF(OR(Q363="Steel plate",Q363="Concrete jacket"),"Steel plate or jacket",Q363)</f>
        <v>Monitor</v>
      </c>
      <c r="S363" s="5" t="str">
        <f aca="false">IF(O363&lt;='Tree rules'!$C$4,IF(N363&lt;='Tree rules'!$C$5,IF(P363&lt;='Tree rules'!$C$6,"Monitor","Polymer laminate"),IF(P363&lt;='Tree rules'!$C$7,"Seal cracks","Polymer laminate")),IF(O363&lt;='Tree rules'!$C$8,IF(M363&lt;='Tree rules'!$C$9,"Steel plate or jacket","Polymer laminate"),IF(L363&lt;='Tree rules'!$C$10,"Steel plate or jacket","Polymer laminate")))</f>
        <v>Monitor</v>
      </c>
      <c r="T363" s="5" t="str">
        <f aca="false">IF(S363=R363,"Yes","No")</f>
        <v>Yes</v>
      </c>
    </row>
    <row r="364" customFormat="false" ht="15" hidden="false" customHeight="false" outlineLevel="0" collapsed="false">
      <c r="A364" s="15" t="n">
        <v>1238</v>
      </c>
      <c r="B364" s="16" t="n">
        <v>3.73229958107507</v>
      </c>
      <c r="C364" s="15" t="n">
        <v>300</v>
      </c>
      <c r="D364" s="15" t="n">
        <v>300</v>
      </c>
      <c r="E364" s="15" t="n">
        <v>30</v>
      </c>
      <c r="F364" s="16" t="n">
        <v>0.736310778185108</v>
      </c>
      <c r="G364" s="17" t="s">
        <v>91</v>
      </c>
      <c r="H364" s="18" t="n">
        <v>0.2</v>
      </c>
      <c r="I364" s="18" t="n">
        <v>1</v>
      </c>
      <c r="J364" s="19" t="n">
        <v>0.925556315986344</v>
      </c>
      <c r="K364" s="19" t="n">
        <v>0.592511761272233</v>
      </c>
      <c r="L364" s="16" t="n">
        <v>14.5792952385745</v>
      </c>
      <c r="M364" s="19" t="n">
        <v>0.927962491929107</v>
      </c>
      <c r="N364" s="19" t="n">
        <v>0.886137519417619</v>
      </c>
      <c r="O364" s="19" t="n">
        <v>0.925556315986344</v>
      </c>
      <c r="P364" s="19" t="n">
        <v>0.405484052207282</v>
      </c>
      <c r="Q364" s="17" t="s">
        <v>29</v>
      </c>
      <c r="R364" s="5" t="str">
        <f aca="false">IF(OR(Q364="Steel plate",Q364="Concrete jacket"),"Steel plate or jacket",Q364)</f>
        <v>Monitor</v>
      </c>
      <c r="S364" s="5" t="str">
        <f aca="false">IF(O364&lt;='Tree rules'!$C$4,IF(N364&lt;='Tree rules'!$C$5,IF(P364&lt;='Tree rules'!$C$6,"Monitor","Polymer laminate"),IF(P364&lt;='Tree rules'!$C$7,"Seal cracks","Polymer laminate")),IF(O364&lt;='Tree rules'!$C$8,IF(M364&lt;='Tree rules'!$C$9,"Steel plate or jacket","Polymer laminate"),IF(L364&lt;='Tree rules'!$C$10,"Steel plate or jacket","Polymer laminate")))</f>
        <v>Monitor</v>
      </c>
      <c r="T364" s="5" t="str">
        <f aca="false">IF(S364=R364,"Yes","No")</f>
        <v>Yes</v>
      </c>
    </row>
    <row r="365" customFormat="false" ht="15" hidden="false" customHeight="false" outlineLevel="0" collapsed="false">
      <c r="A365" s="15" t="n">
        <v>1247</v>
      </c>
      <c r="B365" s="16" t="n">
        <v>7.37809552948864</v>
      </c>
      <c r="C365" s="15" t="n">
        <v>300</v>
      </c>
      <c r="D365" s="15" t="n">
        <v>700</v>
      </c>
      <c r="E365" s="15" t="n">
        <v>25</v>
      </c>
      <c r="F365" s="16" t="n">
        <v>0.642452485396686</v>
      </c>
      <c r="G365" s="17" t="s">
        <v>91</v>
      </c>
      <c r="H365" s="18" t="n">
        <v>0.2</v>
      </c>
      <c r="I365" s="18" t="n">
        <v>1</v>
      </c>
      <c r="J365" s="19" t="n">
        <v>0.905582641008418</v>
      </c>
      <c r="K365" s="19" t="n">
        <v>0.617042879463962</v>
      </c>
      <c r="L365" s="16" t="n">
        <v>11.316097437866</v>
      </c>
      <c r="M365" s="19" t="n">
        <v>0.694430052579311</v>
      </c>
      <c r="N365" s="19" t="n">
        <v>0.900593224352532</v>
      </c>
      <c r="O365" s="19" t="n">
        <v>0.905582641008418</v>
      </c>
      <c r="P365" s="19" t="n">
        <v>0.496869895150251</v>
      </c>
      <c r="Q365" s="17" t="s">
        <v>29</v>
      </c>
      <c r="R365" s="5" t="str">
        <f aca="false">IF(OR(Q365="Steel plate",Q365="Concrete jacket"),"Steel plate or jacket",Q365)</f>
        <v>Monitor</v>
      </c>
      <c r="S365" s="5" t="str">
        <f aca="false">IF(O365&lt;='Tree rules'!$C$4,IF(N365&lt;='Tree rules'!$C$5,IF(P365&lt;='Tree rules'!$C$6,"Monitor","Polymer laminate"),IF(P365&lt;='Tree rules'!$C$7,"Seal cracks","Polymer laminate")),IF(O365&lt;='Tree rules'!$C$8,IF(M365&lt;='Tree rules'!$C$9,"Steel plate or jacket","Polymer laminate"),IF(L365&lt;='Tree rules'!$C$10,"Steel plate or jacket","Polymer laminate")))</f>
        <v>Monitor</v>
      </c>
      <c r="T365" s="5" t="str">
        <f aca="false">IF(S365=R365,"Yes","No")</f>
        <v>Yes</v>
      </c>
    </row>
    <row r="366" customFormat="false" ht="15" hidden="false" customHeight="false" outlineLevel="0" collapsed="false">
      <c r="A366" s="15" t="n">
        <v>1249</v>
      </c>
      <c r="B366" s="16" t="n">
        <v>4.1235862254846</v>
      </c>
      <c r="C366" s="15" t="n">
        <v>300</v>
      </c>
      <c r="D366" s="15" t="n">
        <v>325</v>
      </c>
      <c r="E366" s="15" t="n">
        <v>25</v>
      </c>
      <c r="F366" s="16" t="n">
        <v>0.67080270183412</v>
      </c>
      <c r="G366" s="17" t="s">
        <v>89</v>
      </c>
      <c r="H366" s="18" t="n">
        <v>0.3</v>
      </c>
      <c r="I366" s="18" t="n">
        <v>1.5</v>
      </c>
      <c r="J366" s="19" t="n">
        <v>0.94160508473769</v>
      </c>
      <c r="K366" s="19" t="n">
        <v>0.479161945867649</v>
      </c>
      <c r="L366" s="16" t="n">
        <v>14.6746840764577</v>
      </c>
      <c r="M366" s="19" t="n">
        <v>0.538695228807669</v>
      </c>
      <c r="N366" s="19" t="n">
        <v>0.82579811447316</v>
      </c>
      <c r="O366" s="19" t="n">
        <v>1.18681696478564</v>
      </c>
      <c r="P366" s="19" t="n">
        <v>0.717328698061771</v>
      </c>
      <c r="Q366" s="17" t="s">
        <v>31</v>
      </c>
      <c r="R366" s="5" t="str">
        <f aca="false">IF(OR(Q366="Steel plate",Q366="Concrete jacket"),"Steel plate or jacket",Q366)</f>
        <v>Polymer laminate</v>
      </c>
      <c r="S366" s="5" t="str">
        <f aca="false">IF(O366&lt;='Tree rules'!$C$4,IF(N366&lt;='Tree rules'!$C$5,IF(P366&lt;='Tree rules'!$C$6,"Monitor","Polymer laminate"),IF(P366&lt;='Tree rules'!$C$7,"Seal cracks","Polymer laminate")),IF(O366&lt;='Tree rules'!$C$8,IF(M366&lt;='Tree rules'!$C$9,"Steel plate or jacket","Polymer laminate"),IF(L366&lt;='Tree rules'!$C$10,"Steel plate or jacket","Polymer laminate")))</f>
        <v>Polymer laminate</v>
      </c>
      <c r="T366" s="5" t="str">
        <f aca="false">IF(S366=R366,"Yes","No")</f>
        <v>Yes</v>
      </c>
    </row>
    <row r="367" customFormat="false" ht="15" hidden="false" customHeight="false" outlineLevel="0" collapsed="false">
      <c r="A367" s="15" t="n">
        <v>1253</v>
      </c>
      <c r="B367" s="16" t="n">
        <v>6.31701283043647</v>
      </c>
      <c r="C367" s="15" t="n">
        <v>230</v>
      </c>
      <c r="D367" s="15" t="n">
        <v>550</v>
      </c>
      <c r="E367" s="15" t="n">
        <v>30</v>
      </c>
      <c r="F367" s="16" t="n">
        <v>0.816280786486175</v>
      </c>
      <c r="G367" s="17" t="s">
        <v>91</v>
      </c>
      <c r="H367" s="18" t="n">
        <v>0.2</v>
      </c>
      <c r="I367" s="18" t="n">
        <v>2</v>
      </c>
      <c r="J367" s="19" t="n">
        <v>0.857886221625379</v>
      </c>
      <c r="K367" s="19" t="n">
        <v>0.586204869341811</v>
      </c>
      <c r="L367" s="16" t="n">
        <v>12.5836908972838</v>
      </c>
      <c r="M367" s="19" t="n">
        <v>0.655937463684291</v>
      </c>
      <c r="N367" s="19" t="n">
        <v>1.29017602021561</v>
      </c>
      <c r="O367" s="19" t="n">
        <v>1.21287536279271</v>
      </c>
      <c r="P367" s="19" t="n">
        <v>0.696636446947029</v>
      </c>
      <c r="Q367" s="17" t="s">
        <v>31</v>
      </c>
      <c r="R367" s="5" t="str">
        <f aca="false">IF(OR(Q367="Steel plate",Q367="Concrete jacket"),"Steel plate or jacket",Q367)</f>
        <v>Polymer laminate</v>
      </c>
      <c r="S367" s="5" t="str">
        <f aca="false">IF(O367&lt;='Tree rules'!$C$4,IF(N367&lt;='Tree rules'!$C$5,IF(P367&lt;='Tree rules'!$C$6,"Monitor","Polymer laminate"),IF(P367&lt;='Tree rules'!$C$7,"Seal cracks","Polymer laminate")),IF(O367&lt;='Tree rules'!$C$8,IF(M367&lt;='Tree rules'!$C$9,"Steel plate or jacket","Polymer laminate"),IF(L367&lt;='Tree rules'!$C$10,"Steel plate or jacket","Polymer laminate")))</f>
        <v>Polymer laminate</v>
      </c>
      <c r="T367" s="5" t="str">
        <f aca="false">IF(S367=R367,"Yes","No")</f>
        <v>Yes</v>
      </c>
    </row>
    <row r="368" customFormat="false" ht="15" hidden="false" customHeight="false" outlineLevel="0" collapsed="false">
      <c r="A368" s="15" t="n">
        <v>1263</v>
      </c>
      <c r="B368" s="16" t="n">
        <v>3.22762237101231</v>
      </c>
      <c r="C368" s="15" t="n">
        <v>300</v>
      </c>
      <c r="D368" s="15" t="n">
        <v>300</v>
      </c>
      <c r="E368" s="15" t="n">
        <v>30</v>
      </c>
      <c r="F368" s="16" t="n">
        <v>0.883572933822129</v>
      </c>
      <c r="G368" s="17" t="s">
        <v>91</v>
      </c>
      <c r="H368" s="18" t="n">
        <v>0.2</v>
      </c>
      <c r="I368" s="18" t="n">
        <v>1</v>
      </c>
      <c r="J368" s="19" t="n">
        <v>0.923649095247404</v>
      </c>
      <c r="K368" s="19" t="n">
        <v>0.475887643641838</v>
      </c>
      <c r="L368" s="16" t="n">
        <v>12.6078998867668</v>
      </c>
      <c r="M368" s="19" t="n">
        <v>0.580955327028407</v>
      </c>
      <c r="N368" s="19" t="n">
        <v>0.936188435276908</v>
      </c>
      <c r="O368" s="19" t="n">
        <v>0.923649095247404</v>
      </c>
      <c r="P368" s="19" t="n">
        <v>0.565795369032229</v>
      </c>
      <c r="Q368" s="17" t="s">
        <v>29</v>
      </c>
      <c r="R368" s="5" t="str">
        <f aca="false">IF(OR(Q368="Steel plate",Q368="Concrete jacket"),"Steel plate or jacket",Q368)</f>
        <v>Monitor</v>
      </c>
      <c r="S368" s="5" t="str">
        <f aca="false">IF(O368&lt;='Tree rules'!$C$4,IF(N368&lt;='Tree rules'!$C$5,IF(P368&lt;='Tree rules'!$C$6,"Monitor","Polymer laminate"),IF(P368&lt;='Tree rules'!$C$7,"Seal cracks","Polymer laminate")),IF(O368&lt;='Tree rules'!$C$8,IF(M368&lt;='Tree rules'!$C$9,"Steel plate or jacket","Polymer laminate"),IF(L368&lt;='Tree rules'!$C$10,"Steel plate or jacket","Polymer laminate")))</f>
        <v>Monitor</v>
      </c>
      <c r="T368" s="5" t="str">
        <f aca="false">IF(S368=R368,"Yes","No")</f>
        <v>Yes</v>
      </c>
    </row>
    <row r="369" customFormat="false" ht="15" hidden="false" customHeight="false" outlineLevel="0" collapsed="false">
      <c r="A369" s="15" t="n">
        <v>1264</v>
      </c>
      <c r="B369" s="16" t="n">
        <v>7.59527287086936</v>
      </c>
      <c r="C369" s="15" t="n">
        <v>230</v>
      </c>
      <c r="D369" s="15" t="n">
        <v>700</v>
      </c>
      <c r="E369" s="15" t="n">
        <v>25</v>
      </c>
      <c r="F369" s="16" t="n">
        <v>0.628486127018497</v>
      </c>
      <c r="G369" s="17" t="s">
        <v>91</v>
      </c>
      <c r="H369" s="18" t="n">
        <v>0.2</v>
      </c>
      <c r="I369" s="18" t="n">
        <v>1</v>
      </c>
      <c r="J369" s="19" t="n">
        <v>0.96205210912285</v>
      </c>
      <c r="K369" s="19" t="n">
        <v>0.508491755409468</v>
      </c>
      <c r="L369" s="16" t="n">
        <v>11.6491915197383</v>
      </c>
      <c r="M369" s="19" t="n">
        <v>0.690163279395706</v>
      </c>
      <c r="N369" s="19" t="n">
        <v>0.964079829785064</v>
      </c>
      <c r="O369" s="19" t="n">
        <v>0.96205210912285</v>
      </c>
      <c r="P369" s="19" t="n">
        <v>0.490784381025208</v>
      </c>
      <c r="Q369" s="17" t="s">
        <v>29</v>
      </c>
      <c r="R369" s="5" t="str">
        <f aca="false">IF(OR(Q369="Steel plate",Q369="Concrete jacket"),"Steel plate or jacket",Q369)</f>
        <v>Monitor</v>
      </c>
      <c r="S369" s="5" t="str">
        <f aca="false">IF(O369&lt;='Tree rules'!$C$4,IF(N369&lt;='Tree rules'!$C$5,IF(P369&lt;='Tree rules'!$C$6,"Monitor","Polymer laminate"),IF(P369&lt;='Tree rules'!$C$7,"Seal cracks","Polymer laminate")),IF(O369&lt;='Tree rules'!$C$8,IF(M369&lt;='Tree rules'!$C$9,"Steel plate or jacket","Polymer laminate"),IF(L369&lt;='Tree rules'!$C$10,"Steel plate or jacket","Polymer laminate")))</f>
        <v>Monitor</v>
      </c>
      <c r="T369" s="5" t="str">
        <f aca="false">IF(S369=R369,"Yes","No")</f>
        <v>Yes</v>
      </c>
    </row>
    <row r="370" customFormat="false" ht="15" hidden="false" customHeight="false" outlineLevel="0" collapsed="false">
      <c r="A370" s="15" t="n">
        <v>1269</v>
      </c>
      <c r="B370" s="16" t="n">
        <v>4.1462064810991</v>
      </c>
      <c r="C370" s="15" t="n">
        <v>300</v>
      </c>
      <c r="D370" s="15" t="n">
        <v>350</v>
      </c>
      <c r="E370" s="15" t="n">
        <v>25</v>
      </c>
      <c r="F370" s="16" t="n">
        <v>0.739198271432892</v>
      </c>
      <c r="G370" s="17" t="s">
        <v>91</v>
      </c>
      <c r="H370" s="18" t="n">
        <v>0.2</v>
      </c>
      <c r="I370" s="18" t="n">
        <v>1.5</v>
      </c>
      <c r="J370" s="19" t="n">
        <v>0.882907692374013</v>
      </c>
      <c r="K370" s="19" t="n">
        <v>0.548444538218543</v>
      </c>
      <c r="L370" s="16" t="n">
        <v>13.5496943826768</v>
      </c>
      <c r="M370" s="19" t="n">
        <v>0.795774595444667</v>
      </c>
      <c r="N370" s="19" t="n">
        <v>1.02461471656161</v>
      </c>
      <c r="O370" s="19" t="n">
        <v>1.08224858774419</v>
      </c>
      <c r="P370" s="19" t="n">
        <v>0.507134549430917</v>
      </c>
      <c r="Q370" s="17" t="s">
        <v>31</v>
      </c>
      <c r="R370" s="5" t="str">
        <f aca="false">IF(OR(Q370="Steel plate",Q370="Concrete jacket"),"Steel plate or jacket",Q370)</f>
        <v>Polymer laminate</v>
      </c>
      <c r="S370" s="5" t="str">
        <f aca="false">IF(O370&lt;='Tree rules'!$C$4,IF(N370&lt;='Tree rules'!$C$5,IF(P370&lt;='Tree rules'!$C$6,"Monitor","Polymer laminate"),IF(P370&lt;='Tree rules'!$C$7,"Seal cracks","Polymer laminate")),IF(O370&lt;='Tree rules'!$C$8,IF(M370&lt;='Tree rules'!$C$9,"Steel plate or jacket","Polymer laminate"),IF(L370&lt;='Tree rules'!$C$10,"Steel plate or jacket","Polymer laminate")))</f>
        <v>Polymer laminate</v>
      </c>
      <c r="T370" s="5" t="str">
        <f aca="false">IF(S370=R370,"Yes","No")</f>
        <v>Yes</v>
      </c>
    </row>
    <row r="371" customFormat="false" ht="15" hidden="false" customHeight="false" outlineLevel="0" collapsed="false">
      <c r="A371" s="15" t="n">
        <v>1271</v>
      </c>
      <c r="B371" s="16" t="n">
        <v>3.2014650127959</v>
      </c>
      <c r="C371" s="15" t="n">
        <v>230</v>
      </c>
      <c r="D371" s="15" t="n">
        <v>300</v>
      </c>
      <c r="E371" s="15" t="n">
        <v>30</v>
      </c>
      <c r="F371" s="16" t="n">
        <v>0.816145304197962</v>
      </c>
      <c r="G371" s="17" t="s">
        <v>90</v>
      </c>
      <c r="H371" s="18" t="n">
        <v>0.1</v>
      </c>
      <c r="I371" s="18" t="n">
        <v>2</v>
      </c>
      <c r="J371" s="19" t="n">
        <v>0.889253548611494</v>
      </c>
      <c r="K371" s="19" t="n">
        <v>0.443916143160869</v>
      </c>
      <c r="L371" s="16" t="n">
        <v>13.2840871900245</v>
      </c>
      <c r="M371" s="19" t="n">
        <v>0.720062609743969</v>
      </c>
      <c r="N371" s="19" t="n">
        <v>3.94906617276567</v>
      </c>
      <c r="O371" s="19" t="n">
        <v>1.38375309163126</v>
      </c>
      <c r="P371" s="19" t="n">
        <v>0.467110607874755</v>
      </c>
      <c r="Q371" s="17" t="s">
        <v>31</v>
      </c>
      <c r="R371" s="5" t="str">
        <f aca="false">IF(OR(Q371="Steel plate",Q371="Concrete jacket"),"Steel plate or jacket",Q371)</f>
        <v>Polymer laminate</v>
      </c>
      <c r="S371" s="5" t="str">
        <f aca="false">IF(O371&lt;='Tree rules'!$C$4,IF(N371&lt;='Tree rules'!$C$5,IF(P371&lt;='Tree rules'!$C$6,"Monitor","Polymer laminate"),IF(P371&lt;='Tree rules'!$C$7,"Seal cracks","Polymer laminate")),IF(O371&lt;='Tree rules'!$C$8,IF(M371&lt;='Tree rules'!$C$9,"Steel plate or jacket","Polymer laminate"),IF(L371&lt;='Tree rules'!$C$10,"Steel plate or jacket","Polymer laminate")))</f>
        <v>Polymer laminate</v>
      </c>
      <c r="T371" s="5" t="str">
        <f aca="false">IF(S371=R371,"Yes","No")</f>
        <v>Yes</v>
      </c>
    </row>
    <row r="372" customFormat="false" ht="15" hidden="false" customHeight="false" outlineLevel="0" collapsed="false">
      <c r="A372" s="15" t="n">
        <v>1275</v>
      </c>
      <c r="B372" s="16" t="n">
        <v>4.60771678847524</v>
      </c>
      <c r="C372" s="15" t="n">
        <v>300</v>
      </c>
      <c r="D372" s="15" t="n">
        <v>450</v>
      </c>
      <c r="E372" s="15" t="n">
        <v>30</v>
      </c>
      <c r="F372" s="16" t="n">
        <v>0.663570725510715</v>
      </c>
      <c r="G372" s="17" t="s">
        <v>89</v>
      </c>
      <c r="H372" s="18" t="n">
        <v>0.3</v>
      </c>
      <c r="I372" s="18" t="n">
        <v>2</v>
      </c>
      <c r="J372" s="19" t="n">
        <v>0.865876089632754</v>
      </c>
      <c r="K372" s="19" t="n">
        <v>0.52311507997974</v>
      </c>
      <c r="L372" s="16" t="n">
        <v>11.4052395754338</v>
      </c>
      <c r="M372" s="19" t="n">
        <v>0.252571830336386</v>
      </c>
      <c r="N372" s="19" t="n">
        <v>0.987276564543784</v>
      </c>
      <c r="O372" s="19" t="n">
        <v>1.27879933938473</v>
      </c>
      <c r="P372" s="19" t="n">
        <v>1.24553276501992</v>
      </c>
      <c r="Q372" s="17" t="s">
        <v>31</v>
      </c>
      <c r="R372" s="5" t="str">
        <f aca="false">IF(OR(Q372="Steel plate",Q372="Concrete jacket"),"Steel plate or jacket",Q372)</f>
        <v>Polymer laminate</v>
      </c>
      <c r="S372" s="5" t="str">
        <f aca="false">IF(O372&lt;='Tree rules'!$C$4,IF(N372&lt;='Tree rules'!$C$5,IF(P372&lt;='Tree rules'!$C$6,"Monitor","Polymer laminate"),IF(P372&lt;='Tree rules'!$C$7,"Seal cracks","Polymer laminate")),IF(O372&lt;='Tree rules'!$C$8,IF(M372&lt;='Tree rules'!$C$9,"Steel plate or jacket","Polymer laminate"),IF(L372&lt;='Tree rules'!$C$10,"Steel plate or jacket","Polymer laminate")))</f>
        <v>Steel plate or jacket</v>
      </c>
      <c r="T372" s="5" t="str">
        <f aca="false">IF(S372=R372,"Yes","No")</f>
        <v>No</v>
      </c>
    </row>
    <row r="373" customFormat="false" ht="15" hidden="false" customHeight="false" outlineLevel="0" collapsed="false">
      <c r="A373" s="15" t="n">
        <v>1277</v>
      </c>
      <c r="B373" s="16" t="n">
        <v>6.5406665524024</v>
      </c>
      <c r="C373" s="15" t="n">
        <v>300</v>
      </c>
      <c r="D373" s="15" t="n">
        <v>575</v>
      </c>
      <c r="E373" s="15" t="n">
        <v>20</v>
      </c>
      <c r="F373" s="16" t="n">
        <v>0.596127638252333</v>
      </c>
      <c r="G373" s="17" t="s">
        <v>89</v>
      </c>
      <c r="H373" s="18" t="n">
        <v>0.3</v>
      </c>
      <c r="I373" s="18" t="n">
        <v>1.5</v>
      </c>
      <c r="J373" s="19" t="n">
        <v>0.998129818084117</v>
      </c>
      <c r="K373" s="19" t="n">
        <v>0.488816447144595</v>
      </c>
      <c r="L373" s="16" t="n">
        <v>12.4111319779932</v>
      </c>
      <c r="M373" s="19" t="n">
        <v>0.471444815910172</v>
      </c>
      <c r="N373" s="19" t="n">
        <v>1.04287231659899</v>
      </c>
      <c r="O373" s="19" t="n">
        <v>1.2532435913937</v>
      </c>
      <c r="P373" s="19" t="n">
        <v>0.846048130422737</v>
      </c>
      <c r="Q373" s="17" t="s">
        <v>31</v>
      </c>
      <c r="R373" s="5" t="str">
        <f aca="false">IF(OR(Q373="Steel plate",Q373="Concrete jacket"),"Steel plate or jacket",Q373)</f>
        <v>Polymer laminate</v>
      </c>
      <c r="S373" s="5" t="str">
        <f aca="false">IF(O373&lt;='Tree rules'!$C$4,IF(N373&lt;='Tree rules'!$C$5,IF(P373&lt;='Tree rules'!$C$6,"Monitor","Polymer laminate"),IF(P373&lt;='Tree rules'!$C$7,"Seal cracks","Polymer laminate")),IF(O373&lt;='Tree rules'!$C$8,IF(M373&lt;='Tree rules'!$C$9,"Steel plate or jacket","Polymer laminate"),IF(L373&lt;='Tree rules'!$C$10,"Steel plate or jacket","Polymer laminate")))</f>
        <v>Polymer laminate</v>
      </c>
      <c r="T373" s="5" t="str">
        <f aca="false">IF(S373=R373,"Yes","No")</f>
        <v>Yes</v>
      </c>
    </row>
    <row r="374" customFormat="false" ht="15" hidden="false" customHeight="false" outlineLevel="0" collapsed="false">
      <c r="A374" s="15" t="n">
        <v>1278</v>
      </c>
      <c r="B374" s="16" t="n">
        <v>3.08004797118582</v>
      </c>
      <c r="C374" s="15" t="n">
        <v>300</v>
      </c>
      <c r="D374" s="15" t="n">
        <v>300</v>
      </c>
      <c r="E374" s="15" t="n">
        <v>30</v>
      </c>
      <c r="F374" s="16" t="n">
        <v>0.831109167616348</v>
      </c>
      <c r="G374" s="17" t="s">
        <v>91</v>
      </c>
      <c r="H374" s="18" t="n">
        <v>0.2</v>
      </c>
      <c r="I374" s="18" t="n">
        <v>1.5</v>
      </c>
      <c r="J374" s="19" t="n">
        <v>0.965812603303057</v>
      </c>
      <c r="K374" s="19" t="n">
        <v>0.471392128227311</v>
      </c>
      <c r="L374" s="16" t="n">
        <v>12.2224125840707</v>
      </c>
      <c r="M374" s="19" t="n">
        <v>0.587935374533869</v>
      </c>
      <c r="N374" s="19" t="n">
        <v>2.0325294769981</v>
      </c>
      <c r="O374" s="19" t="n">
        <v>1.22108067568469</v>
      </c>
      <c r="P374" s="19" t="n">
        <v>0.584154298251306</v>
      </c>
      <c r="Q374" s="17" t="s">
        <v>31</v>
      </c>
      <c r="R374" s="5" t="str">
        <f aca="false">IF(OR(Q374="Steel plate",Q374="Concrete jacket"),"Steel plate or jacket",Q374)</f>
        <v>Polymer laminate</v>
      </c>
      <c r="S374" s="5" t="str">
        <f aca="false">IF(O374&lt;='Tree rules'!$C$4,IF(N374&lt;='Tree rules'!$C$5,IF(P374&lt;='Tree rules'!$C$6,"Monitor","Polymer laminate"),IF(P374&lt;='Tree rules'!$C$7,"Seal cracks","Polymer laminate")),IF(O374&lt;='Tree rules'!$C$8,IF(M374&lt;='Tree rules'!$C$9,"Steel plate or jacket","Polymer laminate"),IF(L374&lt;='Tree rules'!$C$10,"Steel plate or jacket","Polymer laminate")))</f>
        <v>Polymer laminate</v>
      </c>
      <c r="T374" s="5" t="str">
        <f aca="false">IF(S374=R374,"Yes","No")</f>
        <v>Yes</v>
      </c>
    </row>
    <row r="375" customFormat="false" ht="15" hidden="false" customHeight="false" outlineLevel="0" collapsed="false">
      <c r="A375" s="15" t="n">
        <v>1280</v>
      </c>
      <c r="B375" s="16" t="n">
        <v>7.55841279546266</v>
      </c>
      <c r="C375" s="15" t="n">
        <v>300</v>
      </c>
      <c r="D375" s="15" t="n">
        <v>725</v>
      </c>
      <c r="E375" s="15" t="n">
        <v>25</v>
      </c>
      <c r="F375" s="16" t="n">
        <v>0.6187282429522</v>
      </c>
      <c r="G375" s="17" t="s">
        <v>91</v>
      </c>
      <c r="H375" s="18" t="n">
        <v>0.2</v>
      </c>
      <c r="I375" s="18" t="n">
        <v>1</v>
      </c>
      <c r="J375" s="19" t="n">
        <v>0.892157614734717</v>
      </c>
      <c r="K375" s="19" t="n">
        <v>0.451823400276958</v>
      </c>
      <c r="L375" s="16" t="n">
        <v>11.1645683832536</v>
      </c>
      <c r="M375" s="19" t="n">
        <v>0.648611890070868</v>
      </c>
      <c r="N375" s="19" t="n">
        <v>0.893313163833492</v>
      </c>
      <c r="O375" s="19" t="n">
        <v>0.892157614734717</v>
      </c>
      <c r="P375" s="19" t="n">
        <v>0.442351686517664</v>
      </c>
      <c r="Q375" s="17" t="s">
        <v>29</v>
      </c>
      <c r="R375" s="5" t="str">
        <f aca="false">IF(OR(Q375="Steel plate",Q375="Concrete jacket"),"Steel plate or jacket",Q375)</f>
        <v>Monitor</v>
      </c>
      <c r="S375" s="5" t="str">
        <f aca="false">IF(O375&lt;='Tree rules'!$C$4,IF(N375&lt;='Tree rules'!$C$5,IF(P375&lt;='Tree rules'!$C$6,"Monitor","Polymer laminate"),IF(P375&lt;='Tree rules'!$C$7,"Seal cracks","Polymer laminate")),IF(O375&lt;='Tree rules'!$C$8,IF(M375&lt;='Tree rules'!$C$9,"Steel plate or jacket","Polymer laminate"),IF(L375&lt;='Tree rules'!$C$10,"Steel plate or jacket","Polymer laminate")))</f>
        <v>Monitor</v>
      </c>
      <c r="T375" s="5" t="str">
        <f aca="false">IF(S375=R375,"Yes","No")</f>
        <v>Yes</v>
      </c>
    </row>
    <row r="376" customFormat="false" ht="15" hidden="false" customHeight="false" outlineLevel="0" collapsed="false">
      <c r="A376" s="15" t="n">
        <v>1285</v>
      </c>
      <c r="B376" s="16" t="n">
        <v>7.16366322371835</v>
      </c>
      <c r="C376" s="15" t="n">
        <v>230</v>
      </c>
      <c r="D376" s="15" t="n">
        <v>650</v>
      </c>
      <c r="E376" s="15" t="n">
        <v>30</v>
      </c>
      <c r="F376" s="16" t="n">
        <v>0.578928677885824</v>
      </c>
      <c r="G376" s="17" t="s">
        <v>91</v>
      </c>
      <c r="H376" s="18" t="n">
        <v>0.2</v>
      </c>
      <c r="I376" s="18" t="n">
        <v>2</v>
      </c>
      <c r="J376" s="19" t="n">
        <v>0.863681045016745</v>
      </c>
      <c r="K376" s="19" t="n">
        <v>0.482486180610698</v>
      </c>
      <c r="L376" s="16" t="n">
        <v>11.8603695756926</v>
      </c>
      <c r="M376" s="19" t="n">
        <v>0.718009270991371</v>
      </c>
      <c r="N376" s="19" t="n">
        <v>1.23294253877177</v>
      </c>
      <c r="O376" s="19" t="n">
        <v>1.31064792135751</v>
      </c>
      <c r="P376" s="19" t="n">
        <v>0.471545328412994</v>
      </c>
      <c r="Q376" s="17" t="s">
        <v>31</v>
      </c>
      <c r="R376" s="5" t="str">
        <f aca="false">IF(OR(Q376="Steel plate",Q376="Concrete jacket"),"Steel plate or jacket",Q376)</f>
        <v>Polymer laminate</v>
      </c>
      <c r="S376" s="5" t="str">
        <f aca="false">IF(O376&lt;='Tree rules'!$C$4,IF(N376&lt;='Tree rules'!$C$5,IF(P376&lt;='Tree rules'!$C$6,"Monitor","Polymer laminate"),IF(P376&lt;='Tree rules'!$C$7,"Seal cracks","Polymer laminate")),IF(O376&lt;='Tree rules'!$C$8,IF(M376&lt;='Tree rules'!$C$9,"Steel plate or jacket","Polymer laminate"),IF(L376&lt;='Tree rules'!$C$10,"Steel plate or jacket","Polymer laminate")))</f>
        <v>Steel plate or jacket</v>
      </c>
      <c r="T376" s="5" t="str">
        <f aca="false">IF(S376=R376,"Yes","No")</f>
        <v>No</v>
      </c>
    </row>
    <row r="377" customFormat="false" ht="15" hidden="false" customHeight="false" outlineLevel="0" collapsed="false">
      <c r="A377" s="15" t="n">
        <v>1287</v>
      </c>
      <c r="B377" s="16" t="n">
        <v>6.67081051744123</v>
      </c>
      <c r="C377" s="15" t="n">
        <v>300</v>
      </c>
      <c r="D377" s="15" t="n">
        <v>600</v>
      </c>
      <c r="E377" s="15" t="n">
        <v>25</v>
      </c>
      <c r="F377" s="16" t="n">
        <v>0.725855342345656</v>
      </c>
      <c r="G377" s="17" t="s">
        <v>89</v>
      </c>
      <c r="H377" s="18" t="n">
        <v>0.3</v>
      </c>
      <c r="I377" s="18" t="n">
        <v>1.5</v>
      </c>
      <c r="J377" s="19" t="n">
        <v>0.953173852657762</v>
      </c>
      <c r="K377" s="19" t="n">
        <v>0.512825864696813</v>
      </c>
      <c r="L377" s="16" t="n">
        <v>12.041174219208</v>
      </c>
      <c r="M377" s="19" t="n">
        <v>0.931834571273326</v>
      </c>
      <c r="N377" s="19" t="n">
        <v>0.694932549725615</v>
      </c>
      <c r="O377" s="19" t="n">
        <v>1.18535467638884</v>
      </c>
      <c r="P377" s="19" t="n">
        <v>0.472636508121311</v>
      </c>
      <c r="Q377" s="17" t="s">
        <v>31</v>
      </c>
      <c r="R377" s="5" t="str">
        <f aca="false">IF(OR(Q377="Steel plate",Q377="Concrete jacket"),"Steel plate or jacket",Q377)</f>
        <v>Polymer laminate</v>
      </c>
      <c r="S377" s="5" t="str">
        <f aca="false">IF(O377&lt;='Tree rules'!$C$4,IF(N377&lt;='Tree rules'!$C$5,IF(P377&lt;='Tree rules'!$C$6,"Monitor","Polymer laminate"),IF(P377&lt;='Tree rules'!$C$7,"Seal cracks","Polymer laminate")),IF(O377&lt;='Tree rules'!$C$8,IF(M377&lt;='Tree rules'!$C$9,"Steel plate or jacket","Polymer laminate"),IF(L377&lt;='Tree rules'!$C$10,"Steel plate or jacket","Polymer laminate")))</f>
        <v>Polymer laminate</v>
      </c>
      <c r="T377" s="5" t="str">
        <f aca="false">IF(S377=R377,"Yes","No")</f>
        <v>Yes</v>
      </c>
    </row>
    <row r="378" customFormat="false" ht="15" hidden="false" customHeight="false" outlineLevel="0" collapsed="false">
      <c r="A378" s="15" t="n">
        <v>1288</v>
      </c>
      <c r="B378" s="16" t="n">
        <v>5.70038833785136</v>
      </c>
      <c r="C378" s="15" t="n">
        <v>300</v>
      </c>
      <c r="D378" s="15" t="n">
        <v>450</v>
      </c>
      <c r="E378" s="15" t="n">
        <v>25</v>
      </c>
      <c r="F378" s="16" t="n">
        <v>0.541187364959482</v>
      </c>
      <c r="G378" s="17" t="s">
        <v>90</v>
      </c>
      <c r="H378" s="18" t="n">
        <v>0.1</v>
      </c>
      <c r="I378" s="18" t="n">
        <v>2</v>
      </c>
      <c r="J378" s="19" t="n">
        <v>0.936813175292656</v>
      </c>
      <c r="K378" s="19" t="n">
        <v>0.424672059938713</v>
      </c>
      <c r="L378" s="16" t="n">
        <v>14.7296856275229</v>
      </c>
      <c r="M378" s="19" t="n">
        <v>0.638134330746452</v>
      </c>
      <c r="N378" s="19" t="n">
        <v>5.52379785417069</v>
      </c>
      <c r="O378" s="19" t="n">
        <v>1.47578796965605</v>
      </c>
      <c r="P378" s="19" t="n">
        <v>0.561362268232364</v>
      </c>
      <c r="Q378" s="17" t="s">
        <v>31</v>
      </c>
      <c r="R378" s="5" t="str">
        <f aca="false">IF(OR(Q378="Steel plate",Q378="Concrete jacket"),"Steel plate or jacket",Q378)</f>
        <v>Polymer laminate</v>
      </c>
      <c r="S378" s="5" t="str">
        <f aca="false">IF(O378&lt;='Tree rules'!$C$4,IF(N378&lt;='Tree rules'!$C$5,IF(P378&lt;='Tree rules'!$C$6,"Monitor","Polymer laminate"),IF(P378&lt;='Tree rules'!$C$7,"Seal cracks","Polymer laminate")),IF(O378&lt;='Tree rules'!$C$8,IF(M378&lt;='Tree rules'!$C$9,"Steel plate or jacket","Polymer laminate"),IF(L378&lt;='Tree rules'!$C$10,"Steel plate or jacket","Polymer laminate")))</f>
        <v>Polymer laminate</v>
      </c>
      <c r="T378" s="5" t="str">
        <f aca="false">IF(S378=R378,"Yes","No")</f>
        <v>Yes</v>
      </c>
    </row>
    <row r="379" customFormat="false" ht="15" hidden="false" customHeight="false" outlineLevel="0" collapsed="false">
      <c r="A379" s="15" t="n">
        <v>1290</v>
      </c>
      <c r="B379" s="16" t="n">
        <v>3.79440730455876</v>
      </c>
      <c r="C379" s="15" t="n">
        <v>300</v>
      </c>
      <c r="D379" s="15" t="n">
        <v>375</v>
      </c>
      <c r="E379" s="15" t="n">
        <v>20</v>
      </c>
      <c r="F379" s="16" t="n">
        <v>0.683367586279351</v>
      </c>
      <c r="G379" s="17" t="s">
        <v>91</v>
      </c>
      <c r="H379" s="18" t="n">
        <v>0.2</v>
      </c>
      <c r="I379" s="18" t="n">
        <v>1</v>
      </c>
      <c r="J379" s="19" t="n">
        <v>0.905060317098902</v>
      </c>
      <c r="K379" s="19" t="n">
        <v>0.466138270180196</v>
      </c>
      <c r="L379" s="16" t="n">
        <v>11.4634661769147</v>
      </c>
      <c r="M379" s="19" t="n">
        <v>0.930437626109648</v>
      </c>
      <c r="N379" s="19" t="n">
        <v>0.786255182737295</v>
      </c>
      <c r="O379" s="19" t="n">
        <v>0.905060317098902</v>
      </c>
      <c r="P379" s="19" t="n">
        <v>0.335321724124908</v>
      </c>
      <c r="Q379" s="17" t="s">
        <v>29</v>
      </c>
      <c r="R379" s="5" t="str">
        <f aca="false">IF(OR(Q379="Steel plate",Q379="Concrete jacket"),"Steel plate or jacket",Q379)</f>
        <v>Monitor</v>
      </c>
      <c r="S379" s="5" t="str">
        <f aca="false">IF(O379&lt;='Tree rules'!$C$4,IF(N379&lt;='Tree rules'!$C$5,IF(P379&lt;='Tree rules'!$C$6,"Monitor","Polymer laminate"),IF(P379&lt;='Tree rules'!$C$7,"Seal cracks","Polymer laminate")),IF(O379&lt;='Tree rules'!$C$8,IF(M379&lt;='Tree rules'!$C$9,"Steel plate or jacket","Polymer laminate"),IF(L379&lt;='Tree rules'!$C$10,"Steel plate or jacket","Polymer laminate")))</f>
        <v>Monitor</v>
      </c>
      <c r="T379" s="5" t="str">
        <f aca="false">IF(S379=R379,"Yes","No")</f>
        <v>Yes</v>
      </c>
    </row>
    <row r="380" customFormat="false" ht="15" hidden="false" customHeight="false" outlineLevel="0" collapsed="false">
      <c r="A380" s="15" t="n">
        <v>1292</v>
      </c>
      <c r="B380" s="16" t="n">
        <v>3.70503888869277</v>
      </c>
      <c r="C380" s="15" t="n">
        <v>300</v>
      </c>
      <c r="D380" s="15" t="n">
        <v>300</v>
      </c>
      <c r="E380" s="15" t="n">
        <v>30</v>
      </c>
      <c r="F380" s="16" t="n">
        <v>0.791582400904515</v>
      </c>
      <c r="G380" s="17" t="s">
        <v>91</v>
      </c>
      <c r="H380" s="18" t="n">
        <v>0.2</v>
      </c>
      <c r="I380" s="18" t="n">
        <v>1</v>
      </c>
      <c r="J380" s="19" t="n">
        <v>0.887518474034072</v>
      </c>
      <c r="K380" s="19" t="n">
        <v>0.478847437807466</v>
      </c>
      <c r="L380" s="16" t="n">
        <v>14.586767278318</v>
      </c>
      <c r="M380" s="19" t="n">
        <v>0.353014957080497</v>
      </c>
      <c r="N380" s="19" t="n">
        <v>1.17272974821542</v>
      </c>
      <c r="O380" s="19" t="n">
        <v>0.887518474034072</v>
      </c>
      <c r="P380" s="19" t="n">
        <v>0.896061198874803</v>
      </c>
      <c r="Q380" s="17" t="s">
        <v>30</v>
      </c>
      <c r="R380" s="5" t="str">
        <f aca="false">IF(OR(Q380="Steel plate",Q380="Concrete jacket"),"Steel plate or jacket",Q380)</f>
        <v>Seal cracks</v>
      </c>
      <c r="S380" s="5" t="str">
        <f aca="false">IF(O380&lt;='Tree rules'!$C$4,IF(N380&lt;='Tree rules'!$C$5,IF(P380&lt;='Tree rules'!$C$6,"Monitor","Polymer laminate"),IF(P380&lt;='Tree rules'!$C$7,"Seal cracks","Polymer laminate")),IF(O380&lt;='Tree rules'!$C$8,IF(M380&lt;='Tree rules'!$C$9,"Steel plate or jacket","Polymer laminate"),IF(L380&lt;='Tree rules'!$C$10,"Steel plate or jacket","Polymer laminate")))</f>
        <v>Seal cracks</v>
      </c>
      <c r="T380" s="5" t="str">
        <f aca="false">IF(S380=R380,"Yes","No")</f>
        <v>Yes</v>
      </c>
    </row>
    <row r="381" customFormat="false" ht="15" hidden="false" customHeight="false" outlineLevel="0" collapsed="false">
      <c r="A381" s="15" t="n">
        <v>1295</v>
      </c>
      <c r="B381" s="16" t="n">
        <v>3.07515532902061</v>
      </c>
      <c r="C381" s="15" t="n">
        <v>230</v>
      </c>
      <c r="D381" s="15" t="n">
        <v>300</v>
      </c>
      <c r="E381" s="15" t="n">
        <v>30</v>
      </c>
      <c r="F381" s="16" t="n">
        <v>1.0324987837885</v>
      </c>
      <c r="G381" s="17" t="s">
        <v>89</v>
      </c>
      <c r="H381" s="18" t="n">
        <v>0.3</v>
      </c>
      <c r="I381" s="18" t="n">
        <v>1</v>
      </c>
      <c r="J381" s="19" t="n">
        <v>0.883300219049586</v>
      </c>
      <c r="K381" s="19" t="n">
        <v>0.549767790431027</v>
      </c>
      <c r="L381" s="16" t="n">
        <v>12.1069107441757</v>
      </c>
      <c r="M381" s="19" t="n">
        <v>0.758074513489793</v>
      </c>
      <c r="N381" s="19" t="n">
        <v>0.641661134852233</v>
      </c>
      <c r="O381" s="19" t="n">
        <v>0.883300219049586</v>
      </c>
      <c r="P381" s="19" t="n">
        <v>0.480297485316832</v>
      </c>
      <c r="Q381" s="17" t="s">
        <v>29</v>
      </c>
      <c r="R381" s="5" t="str">
        <f aca="false">IF(OR(Q381="Steel plate",Q381="Concrete jacket"),"Steel plate or jacket",Q381)</f>
        <v>Monitor</v>
      </c>
      <c r="S381" s="5" t="str">
        <f aca="false">IF(O381&lt;='Tree rules'!$C$4,IF(N381&lt;='Tree rules'!$C$5,IF(P381&lt;='Tree rules'!$C$6,"Monitor","Polymer laminate"),IF(P381&lt;='Tree rules'!$C$7,"Seal cracks","Polymer laminate")),IF(O381&lt;='Tree rules'!$C$8,IF(M381&lt;='Tree rules'!$C$9,"Steel plate or jacket","Polymer laminate"),IF(L381&lt;='Tree rules'!$C$10,"Steel plate or jacket","Polymer laminate")))</f>
        <v>Monitor</v>
      </c>
      <c r="T381" s="5" t="str">
        <f aca="false">IF(S381=R381,"Yes","No")</f>
        <v>Yes</v>
      </c>
    </row>
    <row r="382" customFormat="false" ht="15" hidden="false" customHeight="false" outlineLevel="0" collapsed="false">
      <c r="A382" s="15" t="n">
        <v>1298</v>
      </c>
      <c r="B382" s="16" t="n">
        <v>3.7386685396461</v>
      </c>
      <c r="C382" s="15" t="n">
        <v>230</v>
      </c>
      <c r="D382" s="15" t="n">
        <v>375</v>
      </c>
      <c r="E382" s="15" t="n">
        <v>25</v>
      </c>
      <c r="F382" s="16" t="n">
        <v>0.797126720614828</v>
      </c>
      <c r="G382" s="17" t="s">
        <v>91</v>
      </c>
      <c r="H382" s="18" t="n">
        <v>0.2</v>
      </c>
      <c r="I382" s="18" t="n">
        <v>1</v>
      </c>
      <c r="J382" s="19" t="n">
        <v>0.959930356544248</v>
      </c>
      <c r="K382" s="19" t="n">
        <v>0.624817784375406</v>
      </c>
      <c r="L382" s="16" t="n">
        <v>11.3637341630581</v>
      </c>
      <c r="M382" s="19" t="n">
        <v>0.854866679578319</v>
      </c>
      <c r="N382" s="19" t="n">
        <v>0.989997126824633</v>
      </c>
      <c r="O382" s="19" t="n">
        <v>0.959930356544248</v>
      </c>
      <c r="P382" s="19" t="n">
        <v>0.439223768894875</v>
      </c>
      <c r="Q382" s="17" t="s">
        <v>29</v>
      </c>
      <c r="R382" s="5" t="str">
        <f aca="false">IF(OR(Q382="Steel plate",Q382="Concrete jacket"),"Steel plate or jacket",Q382)</f>
        <v>Monitor</v>
      </c>
      <c r="S382" s="5" t="str">
        <f aca="false">IF(O382&lt;='Tree rules'!$C$4,IF(N382&lt;='Tree rules'!$C$5,IF(P382&lt;='Tree rules'!$C$6,"Monitor","Polymer laminate"),IF(P382&lt;='Tree rules'!$C$7,"Seal cracks","Polymer laminate")),IF(O382&lt;='Tree rules'!$C$8,IF(M382&lt;='Tree rules'!$C$9,"Steel plate or jacket","Polymer laminate"),IF(L382&lt;='Tree rules'!$C$10,"Steel plate or jacket","Polymer laminate")))</f>
        <v>Monitor</v>
      </c>
      <c r="T382" s="5" t="str">
        <f aca="false">IF(S382=R382,"Yes","No")</f>
        <v>Yes</v>
      </c>
    </row>
    <row r="383" customFormat="false" ht="15" hidden="false" customHeight="false" outlineLevel="0" collapsed="false">
      <c r="A383" s="15" t="n">
        <v>1300</v>
      </c>
      <c r="B383" s="16" t="n">
        <v>3.3979655601903</v>
      </c>
      <c r="C383" s="15" t="n">
        <v>300</v>
      </c>
      <c r="D383" s="15" t="n">
        <v>300</v>
      </c>
      <c r="E383" s="15" t="n">
        <v>30</v>
      </c>
      <c r="F383" s="16" t="n">
        <v>0.589048622548086</v>
      </c>
      <c r="G383" s="17" t="s">
        <v>89</v>
      </c>
      <c r="H383" s="18" t="n">
        <v>0.3</v>
      </c>
      <c r="I383" s="18" t="n">
        <v>1</v>
      </c>
      <c r="J383" s="19" t="n">
        <v>0.896017977653069</v>
      </c>
      <c r="K383" s="19" t="n">
        <v>0.480893374599461</v>
      </c>
      <c r="L383" s="16" t="n">
        <v>13.2733029694933</v>
      </c>
      <c r="M383" s="19" t="n">
        <v>0.902790758617625</v>
      </c>
      <c r="N383" s="19" t="n">
        <v>0.586399835524863</v>
      </c>
      <c r="O383" s="19" t="n">
        <v>0.896017977653069</v>
      </c>
      <c r="P383" s="19" t="n">
        <v>0.278153964678526</v>
      </c>
      <c r="Q383" s="17" t="s">
        <v>29</v>
      </c>
      <c r="R383" s="5" t="str">
        <f aca="false">IF(OR(Q383="Steel plate",Q383="Concrete jacket"),"Steel plate or jacket",Q383)</f>
        <v>Monitor</v>
      </c>
      <c r="S383" s="5" t="str">
        <f aca="false">IF(O383&lt;='Tree rules'!$C$4,IF(N383&lt;='Tree rules'!$C$5,IF(P383&lt;='Tree rules'!$C$6,"Monitor","Polymer laminate"),IF(P383&lt;='Tree rules'!$C$7,"Seal cracks","Polymer laminate")),IF(O383&lt;='Tree rules'!$C$8,IF(M383&lt;='Tree rules'!$C$9,"Steel plate or jacket","Polymer laminate"),IF(L383&lt;='Tree rules'!$C$10,"Steel plate or jacket","Polymer laminate")))</f>
        <v>Monitor</v>
      </c>
      <c r="T383" s="5" t="str">
        <f aca="false">IF(S383=R383,"Yes","No")</f>
        <v>Yes</v>
      </c>
    </row>
    <row r="384" customFormat="false" ht="15" hidden="false" customHeight="false" outlineLevel="0" collapsed="false">
      <c r="A384" s="15" t="n">
        <v>1301</v>
      </c>
      <c r="B384" s="16" t="n">
        <v>4.27992550915677</v>
      </c>
      <c r="C384" s="15" t="n">
        <v>300</v>
      </c>
      <c r="D384" s="15" t="n">
        <v>400</v>
      </c>
      <c r="E384" s="15" t="n">
        <v>20</v>
      </c>
      <c r="F384" s="16" t="n">
        <v>0.593103037845861</v>
      </c>
      <c r="G384" s="17" t="s">
        <v>90</v>
      </c>
      <c r="H384" s="18" t="n">
        <v>0.1</v>
      </c>
      <c r="I384" s="18" t="n">
        <v>1</v>
      </c>
      <c r="J384" s="19" t="n">
        <v>0.919784796554025</v>
      </c>
      <c r="K384" s="19" t="n">
        <v>0.544255470099927</v>
      </c>
      <c r="L384" s="16" t="n">
        <v>12.6251489945628</v>
      </c>
      <c r="M384" s="19" t="n">
        <v>0.45635126326814</v>
      </c>
      <c r="N384" s="19" t="n">
        <v>2.77164975753158</v>
      </c>
      <c r="O384" s="19" t="n">
        <v>0.919784796554025</v>
      </c>
      <c r="P384" s="19" t="n">
        <v>0.605553895810687</v>
      </c>
      <c r="Q384" s="17" t="s">
        <v>30</v>
      </c>
      <c r="R384" s="5" t="str">
        <f aca="false">IF(OR(Q384="Steel plate",Q384="Concrete jacket"),"Steel plate or jacket",Q384)</f>
        <v>Seal cracks</v>
      </c>
      <c r="S384" s="5" t="str">
        <f aca="false">IF(O384&lt;='Tree rules'!$C$4,IF(N384&lt;='Tree rules'!$C$5,IF(P384&lt;='Tree rules'!$C$6,"Monitor","Polymer laminate"),IF(P384&lt;='Tree rules'!$C$7,"Seal cracks","Polymer laminate")),IF(O384&lt;='Tree rules'!$C$8,IF(M384&lt;='Tree rules'!$C$9,"Steel plate or jacket","Polymer laminate"),IF(L384&lt;='Tree rules'!$C$10,"Steel plate or jacket","Polymer laminate")))</f>
        <v>Seal cracks</v>
      </c>
      <c r="T384" s="5" t="str">
        <f aca="false">IF(S384=R384,"Yes","No")</f>
        <v>Yes</v>
      </c>
    </row>
    <row r="385" customFormat="false" ht="15" hidden="false" customHeight="false" outlineLevel="0" collapsed="false">
      <c r="A385" s="15" t="n">
        <v>1309</v>
      </c>
      <c r="B385" s="16" t="n">
        <v>3.64650954133862</v>
      </c>
      <c r="C385" s="15" t="n">
        <v>300</v>
      </c>
      <c r="D385" s="15" t="n">
        <v>300</v>
      </c>
      <c r="E385" s="15" t="n">
        <v>25</v>
      </c>
      <c r="F385" s="16" t="n">
        <v>0.625711399885104</v>
      </c>
      <c r="G385" s="17" t="s">
        <v>90</v>
      </c>
      <c r="H385" s="18" t="n">
        <v>0.1</v>
      </c>
      <c r="I385" s="18" t="n">
        <v>1</v>
      </c>
      <c r="J385" s="19" t="n">
        <v>0.987095193883796</v>
      </c>
      <c r="K385" s="19" t="n">
        <v>0.553546538061319</v>
      </c>
      <c r="L385" s="16" t="n">
        <v>15.1307449848076</v>
      </c>
      <c r="M385" s="19" t="n">
        <v>0.379932957041949</v>
      </c>
      <c r="N385" s="19" t="n">
        <v>2.98942729803394</v>
      </c>
      <c r="O385" s="19" t="n">
        <v>0.987095193883796</v>
      </c>
      <c r="P385" s="19" t="n">
        <v>0.766990184403241</v>
      </c>
      <c r="Q385" s="17" t="s">
        <v>30</v>
      </c>
      <c r="R385" s="5" t="str">
        <f aca="false">IF(OR(Q385="Steel plate",Q385="Concrete jacket"),"Steel plate or jacket",Q385)</f>
        <v>Seal cracks</v>
      </c>
      <c r="S385" s="5" t="str">
        <f aca="false">IF(O385&lt;='Tree rules'!$C$4,IF(N385&lt;='Tree rules'!$C$5,IF(P385&lt;='Tree rules'!$C$6,"Monitor","Polymer laminate"),IF(P385&lt;='Tree rules'!$C$7,"Seal cracks","Polymer laminate")),IF(O385&lt;='Tree rules'!$C$8,IF(M385&lt;='Tree rules'!$C$9,"Steel plate or jacket","Polymer laminate"),IF(L385&lt;='Tree rules'!$C$10,"Steel plate or jacket","Polymer laminate")))</f>
        <v>Seal cracks</v>
      </c>
      <c r="T385" s="5" t="str">
        <f aca="false">IF(S385=R385,"Yes","No")</f>
        <v>Yes</v>
      </c>
    </row>
    <row r="386" customFormat="false" ht="15" hidden="false" customHeight="false" outlineLevel="0" collapsed="false">
      <c r="A386" s="15" t="n">
        <v>1310</v>
      </c>
      <c r="B386" s="16" t="n">
        <v>4.96552390043797</v>
      </c>
      <c r="C386" s="15" t="n">
        <v>230</v>
      </c>
      <c r="D386" s="15" t="n">
        <v>475</v>
      </c>
      <c r="E386" s="15" t="n">
        <v>30</v>
      </c>
      <c r="F386" s="16" t="n">
        <v>0.815088394972116</v>
      </c>
      <c r="G386" s="17" t="s">
        <v>89</v>
      </c>
      <c r="H386" s="18" t="n">
        <v>0.3</v>
      </c>
      <c r="I386" s="18" t="n">
        <v>1.5</v>
      </c>
      <c r="J386" s="19" t="n">
        <v>0.989355608460765</v>
      </c>
      <c r="K386" s="19" t="n">
        <v>0.415226500077208</v>
      </c>
      <c r="L386" s="16" t="n">
        <v>11.5746477865687</v>
      </c>
      <c r="M386" s="19" t="n">
        <v>0.944125710289471</v>
      </c>
      <c r="N386" s="19" t="n">
        <v>0.807333850767477</v>
      </c>
      <c r="O386" s="19" t="n">
        <v>1.27863007937469</v>
      </c>
      <c r="P386" s="19" t="n">
        <v>0.431637134107042</v>
      </c>
      <c r="Q386" s="17" t="s">
        <v>31</v>
      </c>
      <c r="R386" s="5" t="str">
        <f aca="false">IF(OR(Q386="Steel plate",Q386="Concrete jacket"),"Steel plate or jacket",Q386)</f>
        <v>Polymer laminate</v>
      </c>
      <c r="S386" s="5" t="str">
        <f aca="false">IF(O386&lt;='Tree rules'!$C$4,IF(N386&lt;='Tree rules'!$C$5,IF(P386&lt;='Tree rules'!$C$6,"Monitor","Polymer laminate"),IF(P386&lt;='Tree rules'!$C$7,"Seal cracks","Polymer laminate")),IF(O386&lt;='Tree rules'!$C$8,IF(M386&lt;='Tree rules'!$C$9,"Steel plate or jacket","Polymer laminate"),IF(L386&lt;='Tree rules'!$C$10,"Steel plate or jacket","Polymer laminate")))</f>
        <v>Polymer laminate</v>
      </c>
      <c r="T386" s="5" t="str">
        <f aca="false">IF(S386=R386,"Yes","No")</f>
        <v>Yes</v>
      </c>
    </row>
    <row r="387" customFormat="false" ht="15" hidden="false" customHeight="false" outlineLevel="0" collapsed="false">
      <c r="A387" s="15" t="n">
        <v>1313</v>
      </c>
      <c r="B387" s="16" t="n">
        <v>4.99066287002462</v>
      </c>
      <c r="C387" s="15" t="n">
        <v>230</v>
      </c>
      <c r="D387" s="15" t="n">
        <v>425</v>
      </c>
      <c r="E387" s="15" t="n">
        <v>30</v>
      </c>
      <c r="F387" s="16" t="n">
        <v>0.691964884122107</v>
      </c>
      <c r="G387" s="17" t="s">
        <v>91</v>
      </c>
      <c r="H387" s="18" t="n">
        <v>0.2</v>
      </c>
      <c r="I387" s="18" t="n">
        <v>1.5</v>
      </c>
      <c r="J387" s="19" t="n">
        <v>0.942321392867329</v>
      </c>
      <c r="K387" s="19" t="n">
        <v>0.599312433587169</v>
      </c>
      <c r="L387" s="16" t="n">
        <v>13.1679759103552</v>
      </c>
      <c r="M387" s="19" t="n">
        <v>0.297647591043383</v>
      </c>
      <c r="N387" s="19" t="n">
        <v>1.30562876746533</v>
      </c>
      <c r="O387" s="19" t="n">
        <v>1.13110962571071</v>
      </c>
      <c r="P387" s="19" t="n">
        <v>1.26107618081797</v>
      </c>
      <c r="Q387" s="17" t="s">
        <v>31</v>
      </c>
      <c r="R387" s="5" t="str">
        <f aca="false">IF(OR(Q387="Steel plate",Q387="Concrete jacket"),"Steel plate or jacket",Q387)</f>
        <v>Polymer laminate</v>
      </c>
      <c r="S387" s="5" t="str">
        <f aca="false">IF(O387&lt;='Tree rules'!$C$4,IF(N387&lt;='Tree rules'!$C$5,IF(P387&lt;='Tree rules'!$C$6,"Monitor","Polymer laminate"),IF(P387&lt;='Tree rules'!$C$7,"Seal cracks","Polymer laminate")),IF(O387&lt;='Tree rules'!$C$8,IF(M387&lt;='Tree rules'!$C$9,"Steel plate or jacket","Polymer laminate"),IF(L387&lt;='Tree rules'!$C$10,"Steel plate or jacket","Polymer laminate")))</f>
        <v>Polymer laminate</v>
      </c>
      <c r="T387" s="5" t="str">
        <f aca="false">IF(S387=R387,"Yes","No")</f>
        <v>Yes</v>
      </c>
    </row>
    <row r="388" customFormat="false" ht="15" hidden="false" customHeight="false" outlineLevel="0" collapsed="false">
      <c r="A388" s="15" t="n">
        <v>1314</v>
      </c>
      <c r="B388" s="16" t="n">
        <v>3.10239765051251</v>
      </c>
      <c r="C388" s="15" t="n">
        <v>230</v>
      </c>
      <c r="D388" s="15" t="n">
        <v>300</v>
      </c>
      <c r="E388" s="15" t="n">
        <v>20</v>
      </c>
      <c r="F388" s="16" t="n">
        <v>0.576243217710084</v>
      </c>
      <c r="G388" s="17" t="s">
        <v>89</v>
      </c>
      <c r="H388" s="18" t="n">
        <v>0.3</v>
      </c>
      <c r="I388" s="18" t="n">
        <v>2</v>
      </c>
      <c r="J388" s="19" t="n">
        <v>0.970531939918365</v>
      </c>
      <c r="K388" s="19" t="n">
        <v>0.48950178256148</v>
      </c>
      <c r="L388" s="16" t="n">
        <v>12.1187408223145</v>
      </c>
      <c r="M388" s="19" t="n">
        <v>0.891395843175649</v>
      </c>
      <c r="N388" s="19" t="n">
        <v>1.02570648578492</v>
      </c>
      <c r="O388" s="19" t="n">
        <v>1.46598676521384</v>
      </c>
      <c r="P388" s="19" t="n">
        <v>0.383366815135294</v>
      </c>
      <c r="Q388" s="17" t="s">
        <v>31</v>
      </c>
      <c r="R388" s="5" t="str">
        <f aca="false">IF(OR(Q388="Steel plate",Q388="Concrete jacket"),"Steel plate or jacket",Q388)</f>
        <v>Polymer laminate</v>
      </c>
      <c r="S388" s="5" t="str">
        <f aca="false">IF(O388&lt;='Tree rules'!$C$4,IF(N388&lt;='Tree rules'!$C$5,IF(P388&lt;='Tree rules'!$C$6,"Monitor","Polymer laminate"),IF(P388&lt;='Tree rules'!$C$7,"Seal cracks","Polymer laminate")),IF(O388&lt;='Tree rules'!$C$8,IF(M388&lt;='Tree rules'!$C$9,"Steel plate or jacket","Polymer laminate"),IF(L388&lt;='Tree rules'!$C$10,"Steel plate or jacket","Polymer laminate")))</f>
        <v>Steel plate or jacket</v>
      </c>
      <c r="T388" s="5" t="str">
        <f aca="false">IF(S388=R388,"Yes","No")</f>
        <v>No</v>
      </c>
    </row>
    <row r="389" customFormat="false" ht="15" hidden="false" customHeight="false" outlineLevel="0" collapsed="false">
      <c r="A389" s="15" t="n">
        <v>1319</v>
      </c>
      <c r="B389" s="16" t="n">
        <v>3.49271577011265</v>
      </c>
      <c r="C389" s="15" t="n">
        <v>300</v>
      </c>
      <c r="D389" s="15" t="n">
        <v>300</v>
      </c>
      <c r="E389" s="15" t="n">
        <v>30</v>
      </c>
      <c r="F389" s="16" t="n">
        <v>0.831109167616348</v>
      </c>
      <c r="G389" s="17" t="s">
        <v>89</v>
      </c>
      <c r="H389" s="18" t="n">
        <v>0.3</v>
      </c>
      <c r="I389" s="18" t="n">
        <v>1</v>
      </c>
      <c r="J389" s="19" t="n">
        <v>0.865329177748511</v>
      </c>
      <c r="K389" s="19" t="n">
        <v>0.541925784929572</v>
      </c>
      <c r="L389" s="16" t="n">
        <v>13.8599832147328</v>
      </c>
      <c r="M389" s="19" t="n">
        <v>0.634203981717722</v>
      </c>
      <c r="N389" s="19" t="n">
        <v>0.929959691688255</v>
      </c>
      <c r="O389" s="19" t="n">
        <v>0.865329177748511</v>
      </c>
      <c r="P389" s="19" t="n">
        <v>0.521371886163579</v>
      </c>
      <c r="Q389" s="17" t="s">
        <v>29</v>
      </c>
      <c r="R389" s="5" t="str">
        <f aca="false">IF(OR(Q389="Steel plate",Q389="Concrete jacket"),"Steel plate or jacket",Q389)</f>
        <v>Monitor</v>
      </c>
      <c r="S389" s="5" t="str">
        <f aca="false">IF(O389&lt;='Tree rules'!$C$4,IF(N389&lt;='Tree rules'!$C$5,IF(P389&lt;='Tree rules'!$C$6,"Monitor","Polymer laminate"),IF(P389&lt;='Tree rules'!$C$7,"Seal cracks","Polymer laminate")),IF(O389&lt;='Tree rules'!$C$8,IF(M389&lt;='Tree rules'!$C$9,"Steel plate or jacket","Polymer laminate"),IF(L389&lt;='Tree rules'!$C$10,"Steel plate or jacket","Polymer laminate")))</f>
        <v>Monitor</v>
      </c>
      <c r="T389" s="5" t="str">
        <f aca="false">IF(S389=R389,"Yes","No")</f>
        <v>Yes</v>
      </c>
    </row>
    <row r="390" customFormat="false" ht="15" hidden="false" customHeight="false" outlineLevel="0" collapsed="false">
      <c r="A390" s="15" t="n">
        <v>1321</v>
      </c>
      <c r="B390" s="16" t="n">
        <v>4.08867358197619</v>
      </c>
      <c r="C390" s="15" t="n">
        <v>230</v>
      </c>
      <c r="D390" s="15" t="n">
        <v>400</v>
      </c>
      <c r="E390" s="15" t="n">
        <v>30</v>
      </c>
      <c r="F390" s="16" t="n">
        <v>0.98777661424587</v>
      </c>
      <c r="G390" s="17" t="s">
        <v>89</v>
      </c>
      <c r="H390" s="18" t="n">
        <v>0.3</v>
      </c>
      <c r="I390" s="18" t="n">
        <v>1</v>
      </c>
      <c r="J390" s="19" t="n">
        <v>0.86936296976707</v>
      </c>
      <c r="K390" s="19" t="n">
        <v>0.447148989892582</v>
      </c>
      <c r="L390" s="16" t="n">
        <v>11.5499253728141</v>
      </c>
      <c r="M390" s="19" t="n">
        <v>0.631799892183969</v>
      </c>
      <c r="N390" s="19" t="n">
        <v>0.575053970366167</v>
      </c>
      <c r="O390" s="19" t="n">
        <v>0.86936296976707</v>
      </c>
      <c r="P390" s="19" t="n">
        <v>0.536946327126559</v>
      </c>
      <c r="Q390" s="17" t="s">
        <v>29</v>
      </c>
      <c r="R390" s="5" t="str">
        <f aca="false">IF(OR(Q390="Steel plate",Q390="Concrete jacket"),"Steel plate or jacket",Q390)</f>
        <v>Monitor</v>
      </c>
      <c r="S390" s="5" t="str">
        <f aca="false">IF(O390&lt;='Tree rules'!$C$4,IF(N390&lt;='Tree rules'!$C$5,IF(P390&lt;='Tree rules'!$C$6,"Monitor","Polymer laminate"),IF(P390&lt;='Tree rules'!$C$7,"Seal cracks","Polymer laminate")),IF(O390&lt;='Tree rules'!$C$8,IF(M390&lt;='Tree rules'!$C$9,"Steel plate or jacket","Polymer laminate"),IF(L390&lt;='Tree rules'!$C$10,"Steel plate or jacket","Polymer laminate")))</f>
        <v>Monitor</v>
      </c>
      <c r="T390" s="5" t="str">
        <f aca="false">IF(S390=R390,"Yes","No")</f>
        <v>Yes</v>
      </c>
    </row>
    <row r="391" customFormat="false" ht="15" hidden="false" customHeight="false" outlineLevel="0" collapsed="false">
      <c r="A391" s="15" t="n">
        <v>1322</v>
      </c>
      <c r="B391" s="16" t="n">
        <v>6.99726611228455</v>
      </c>
      <c r="C391" s="15" t="n">
        <v>230</v>
      </c>
      <c r="D391" s="15" t="n">
        <v>600</v>
      </c>
      <c r="E391" s="15" t="n">
        <v>20</v>
      </c>
      <c r="F391" s="16" t="n">
        <v>0.742342309449384</v>
      </c>
      <c r="G391" s="17" t="s">
        <v>91</v>
      </c>
      <c r="H391" s="18" t="n">
        <v>0.2</v>
      </c>
      <c r="I391" s="18" t="n">
        <v>1.5</v>
      </c>
      <c r="J391" s="19" t="n">
        <v>0.850077314206017</v>
      </c>
      <c r="K391" s="19" t="n">
        <v>0.524539406580093</v>
      </c>
      <c r="L391" s="16" t="n">
        <v>12.6762067251532</v>
      </c>
      <c r="M391" s="19" t="n">
        <v>0.769675719079157</v>
      </c>
      <c r="N391" s="19" t="n">
        <v>1.03795195040368</v>
      </c>
      <c r="O391" s="19" t="n">
        <v>1.05216644633861</v>
      </c>
      <c r="P391" s="19" t="n">
        <v>0.573358237308459</v>
      </c>
      <c r="Q391" s="17" t="s">
        <v>31</v>
      </c>
      <c r="R391" s="5" t="str">
        <f aca="false">IF(OR(Q391="Steel plate",Q391="Concrete jacket"),"Steel plate or jacket",Q391)</f>
        <v>Polymer laminate</v>
      </c>
      <c r="S391" s="5" t="str">
        <f aca="false">IF(O391&lt;='Tree rules'!$C$4,IF(N391&lt;='Tree rules'!$C$5,IF(P391&lt;='Tree rules'!$C$6,"Monitor","Polymer laminate"),IF(P391&lt;='Tree rules'!$C$7,"Seal cracks","Polymer laminate")),IF(O391&lt;='Tree rules'!$C$8,IF(M391&lt;='Tree rules'!$C$9,"Steel plate or jacket","Polymer laminate"),IF(L391&lt;='Tree rules'!$C$10,"Steel plate or jacket","Polymer laminate")))</f>
        <v>Polymer laminate</v>
      </c>
      <c r="T391" s="5" t="str">
        <f aca="false">IF(S391=R391,"Yes","No")</f>
        <v>Yes</v>
      </c>
    </row>
    <row r="392" customFormat="false" ht="15" hidden="false" customHeight="false" outlineLevel="0" collapsed="false">
      <c r="A392" s="15" t="n">
        <v>1328</v>
      </c>
      <c r="B392" s="16" t="n">
        <v>4.16698271528601</v>
      </c>
      <c r="C392" s="15" t="n">
        <v>300</v>
      </c>
      <c r="D392" s="15" t="n">
        <v>400</v>
      </c>
      <c r="E392" s="15" t="n">
        <v>20</v>
      </c>
      <c r="F392" s="16" t="n">
        <v>0.594998608634431</v>
      </c>
      <c r="G392" s="17" t="s">
        <v>89</v>
      </c>
      <c r="H392" s="18" t="n">
        <v>0.3</v>
      </c>
      <c r="I392" s="18" t="n">
        <v>2</v>
      </c>
      <c r="J392" s="19" t="n">
        <v>0.934805876533145</v>
      </c>
      <c r="K392" s="19" t="n">
        <v>0.447108186191742</v>
      </c>
      <c r="L392" s="16" t="n">
        <v>11.8380190775171</v>
      </c>
      <c r="M392" s="19" t="n">
        <v>0.604859129584001</v>
      </c>
      <c r="N392" s="19" t="n">
        <v>1.64998567873246</v>
      </c>
      <c r="O392" s="19" t="n">
        <v>1.45165239316817</v>
      </c>
      <c r="P392" s="19" t="n">
        <v>0.59327283869917</v>
      </c>
      <c r="Q392" s="17" t="s">
        <v>31</v>
      </c>
      <c r="R392" s="5" t="str">
        <f aca="false">IF(OR(Q392="Steel plate",Q392="Concrete jacket"),"Steel plate or jacket",Q392)</f>
        <v>Polymer laminate</v>
      </c>
      <c r="S392" s="5" t="str">
        <f aca="false">IF(O392&lt;='Tree rules'!$C$4,IF(N392&lt;='Tree rules'!$C$5,IF(P392&lt;='Tree rules'!$C$6,"Monitor","Polymer laminate"),IF(P392&lt;='Tree rules'!$C$7,"Seal cracks","Polymer laminate")),IF(O392&lt;='Tree rules'!$C$8,IF(M392&lt;='Tree rules'!$C$9,"Steel plate or jacket","Polymer laminate"),IF(L392&lt;='Tree rules'!$C$10,"Steel plate or jacket","Polymer laminate")))</f>
        <v>Steel plate or jacket</v>
      </c>
      <c r="T392" s="5" t="str">
        <f aca="false">IF(S392=R392,"Yes","No")</f>
        <v>No</v>
      </c>
    </row>
    <row r="393" customFormat="false" ht="15" hidden="false" customHeight="false" outlineLevel="0" collapsed="false">
      <c r="A393" s="15" t="n">
        <v>1332</v>
      </c>
      <c r="B393" s="16" t="n">
        <v>3.87410535984027</v>
      </c>
      <c r="C393" s="15" t="n">
        <v>230</v>
      </c>
      <c r="D393" s="15" t="n">
        <v>300</v>
      </c>
      <c r="E393" s="15" t="n">
        <v>30</v>
      </c>
      <c r="F393" s="16" t="n">
        <v>0.688332522525665</v>
      </c>
      <c r="G393" s="17" t="s">
        <v>91</v>
      </c>
      <c r="H393" s="18" t="n">
        <v>0.2</v>
      </c>
      <c r="I393" s="18" t="n">
        <v>1</v>
      </c>
      <c r="J393" s="19" t="n">
        <v>0.949567472686227</v>
      </c>
      <c r="K393" s="19" t="n">
        <v>0.566535773649155</v>
      </c>
      <c r="L393" s="16" t="n">
        <v>15.2523833064577</v>
      </c>
      <c r="M393" s="19" t="n">
        <v>0.467718791054099</v>
      </c>
      <c r="N393" s="19" t="n">
        <v>1.36024400989141</v>
      </c>
      <c r="O393" s="19" t="n">
        <v>0.949567472686227</v>
      </c>
      <c r="P393" s="19" t="n">
        <v>0.721707639496116</v>
      </c>
      <c r="Q393" s="17" t="s">
        <v>30</v>
      </c>
      <c r="R393" s="5" t="str">
        <f aca="false">IF(OR(Q393="Steel plate",Q393="Concrete jacket"),"Steel plate or jacket",Q393)</f>
        <v>Seal cracks</v>
      </c>
      <c r="S393" s="5" t="str">
        <f aca="false">IF(O393&lt;='Tree rules'!$C$4,IF(N393&lt;='Tree rules'!$C$5,IF(P393&lt;='Tree rules'!$C$6,"Monitor","Polymer laminate"),IF(P393&lt;='Tree rules'!$C$7,"Seal cracks","Polymer laminate")),IF(O393&lt;='Tree rules'!$C$8,IF(M393&lt;='Tree rules'!$C$9,"Steel plate or jacket","Polymer laminate"),IF(L393&lt;='Tree rules'!$C$10,"Steel plate or jacket","Polymer laminate")))</f>
        <v>Seal cracks</v>
      </c>
      <c r="T393" s="5" t="str">
        <f aca="false">IF(S393=R393,"Yes","No")</f>
        <v>Yes</v>
      </c>
    </row>
    <row r="394" customFormat="false" ht="15" hidden="false" customHeight="false" outlineLevel="0" collapsed="false">
      <c r="A394" s="15" t="n">
        <v>1333</v>
      </c>
      <c r="B394" s="16" t="n">
        <v>4.12537827112718</v>
      </c>
      <c r="C394" s="15" t="n">
        <v>230</v>
      </c>
      <c r="D394" s="15" t="n">
        <v>350</v>
      </c>
      <c r="E394" s="15" t="n">
        <v>30</v>
      </c>
      <c r="F394" s="16" t="n">
        <v>0.64278110559382</v>
      </c>
      <c r="G394" s="17" t="s">
        <v>89</v>
      </c>
      <c r="H394" s="18" t="n">
        <v>0.3</v>
      </c>
      <c r="I394" s="18" t="n">
        <v>2</v>
      </c>
      <c r="J394" s="19" t="n">
        <v>0.907462620853229</v>
      </c>
      <c r="K394" s="19" t="n">
        <v>0.449692431449357</v>
      </c>
      <c r="L394" s="16" t="n">
        <v>13.4816283370169</v>
      </c>
      <c r="M394" s="19" t="n">
        <v>0.884493731551272</v>
      </c>
      <c r="N394" s="19" t="n">
        <v>0.912954365752217</v>
      </c>
      <c r="O394" s="19" t="n">
        <v>1.40684616928556</v>
      </c>
      <c r="P394" s="19" t="n">
        <v>0.414758587566601</v>
      </c>
      <c r="Q394" s="17" t="s">
        <v>31</v>
      </c>
      <c r="R394" s="5" t="str">
        <f aca="false">IF(OR(Q394="Steel plate",Q394="Concrete jacket"),"Steel plate or jacket",Q394)</f>
        <v>Polymer laminate</v>
      </c>
      <c r="S394" s="5" t="str">
        <f aca="false">IF(O394&lt;='Tree rules'!$C$4,IF(N394&lt;='Tree rules'!$C$5,IF(P394&lt;='Tree rules'!$C$6,"Monitor","Polymer laminate"),IF(P394&lt;='Tree rules'!$C$7,"Seal cracks","Polymer laminate")),IF(O394&lt;='Tree rules'!$C$8,IF(M394&lt;='Tree rules'!$C$9,"Steel plate or jacket","Polymer laminate"),IF(L394&lt;='Tree rules'!$C$10,"Steel plate or jacket","Polymer laminate")))</f>
        <v>Polymer laminate</v>
      </c>
      <c r="T394" s="5" t="str">
        <f aca="false">IF(S394=R394,"Yes","No")</f>
        <v>Yes</v>
      </c>
    </row>
    <row r="395" customFormat="false" ht="15" hidden="false" customHeight="false" outlineLevel="0" collapsed="false">
      <c r="A395" s="15" t="n">
        <v>1334</v>
      </c>
      <c r="B395" s="16" t="n">
        <v>4.44821221044116</v>
      </c>
      <c r="C395" s="15" t="n">
        <v>230</v>
      </c>
      <c r="D395" s="15" t="n">
        <v>425</v>
      </c>
      <c r="E395" s="15" t="n">
        <v>20</v>
      </c>
      <c r="F395" s="16" t="n">
        <v>0.724620609754306</v>
      </c>
      <c r="G395" s="17" t="s">
        <v>89</v>
      </c>
      <c r="H395" s="18" t="n">
        <v>0.3</v>
      </c>
      <c r="I395" s="18" t="n">
        <v>2</v>
      </c>
      <c r="J395" s="19" t="n">
        <v>0.973676073306366</v>
      </c>
      <c r="K395" s="19" t="n">
        <v>0.441385198414945</v>
      </c>
      <c r="L395" s="16" t="n">
        <v>11.7989713804805</v>
      </c>
      <c r="M395" s="19" t="n">
        <v>0.376579237788113</v>
      </c>
      <c r="N395" s="19" t="n">
        <v>1.47308085914665</v>
      </c>
      <c r="O395" s="19" t="n">
        <v>1.51758593980452</v>
      </c>
      <c r="P395" s="19" t="n">
        <v>1.15065308101617</v>
      </c>
      <c r="Q395" s="17" t="s">
        <v>92</v>
      </c>
      <c r="R395" s="5" t="str">
        <f aca="false">IF(OR(Q395="Steel plate",Q395="Concrete jacket"),"Steel plate or jacket",Q395)</f>
        <v>Steel plate or jacket</v>
      </c>
      <c r="S395" s="5" t="str">
        <f aca="false">IF(O395&lt;='Tree rules'!$C$4,IF(N395&lt;='Tree rules'!$C$5,IF(P395&lt;='Tree rules'!$C$6,"Monitor","Polymer laminate"),IF(P395&lt;='Tree rules'!$C$7,"Seal cracks","Polymer laminate")),IF(O395&lt;='Tree rules'!$C$8,IF(M395&lt;='Tree rules'!$C$9,"Steel plate or jacket","Polymer laminate"),IF(L395&lt;='Tree rules'!$C$10,"Steel plate or jacket","Polymer laminate")))</f>
        <v>Steel plate or jacket</v>
      </c>
      <c r="T395" s="5" t="str">
        <f aca="false">IF(S395=R395,"Yes","No")</f>
        <v>Yes</v>
      </c>
    </row>
    <row r="396" customFormat="false" ht="15" hidden="false" customHeight="false" outlineLevel="0" collapsed="false">
      <c r="A396" s="15" t="n">
        <v>1337</v>
      </c>
      <c r="B396" s="16" t="n">
        <v>4.92924703188869</v>
      </c>
      <c r="C396" s="15" t="n">
        <v>230</v>
      </c>
      <c r="D396" s="15" t="n">
        <v>425</v>
      </c>
      <c r="E396" s="15" t="n">
        <v>20</v>
      </c>
      <c r="F396" s="16" t="n">
        <v>0.516249391894249</v>
      </c>
      <c r="G396" s="17" t="s">
        <v>91</v>
      </c>
      <c r="H396" s="18" t="n">
        <v>0.2</v>
      </c>
      <c r="I396" s="18" t="n">
        <v>1</v>
      </c>
      <c r="J396" s="19" t="n">
        <v>0.852280766890868</v>
      </c>
      <c r="K396" s="19" t="n">
        <v>0.596006842526575</v>
      </c>
      <c r="L396" s="16" t="n">
        <v>12.9376562516764</v>
      </c>
      <c r="M396" s="19" t="n">
        <v>0.612981283981402</v>
      </c>
      <c r="N396" s="19" t="n">
        <v>0.791308388385642</v>
      </c>
      <c r="O396" s="19" t="n">
        <v>0.852280766890867</v>
      </c>
      <c r="P396" s="19" t="n">
        <v>0.47361316212775</v>
      </c>
      <c r="Q396" s="17" t="s">
        <v>29</v>
      </c>
      <c r="R396" s="5" t="str">
        <f aca="false">IF(OR(Q396="Steel plate",Q396="Concrete jacket"),"Steel plate or jacket",Q396)</f>
        <v>Monitor</v>
      </c>
      <c r="S396" s="5" t="str">
        <f aca="false">IF(O396&lt;='Tree rules'!$C$4,IF(N396&lt;='Tree rules'!$C$5,IF(P396&lt;='Tree rules'!$C$6,"Monitor","Polymer laminate"),IF(P396&lt;='Tree rules'!$C$7,"Seal cracks","Polymer laminate")),IF(O396&lt;='Tree rules'!$C$8,IF(M396&lt;='Tree rules'!$C$9,"Steel plate or jacket","Polymer laminate"),IF(L396&lt;='Tree rules'!$C$10,"Steel plate or jacket","Polymer laminate")))</f>
        <v>Monitor</v>
      </c>
      <c r="T396" s="5" t="str">
        <f aca="false">IF(S396=R396,"Yes","No")</f>
        <v>Yes</v>
      </c>
    </row>
    <row r="397" customFormat="false" ht="15" hidden="false" customHeight="false" outlineLevel="0" collapsed="false">
      <c r="A397" s="15" t="n">
        <v>1338</v>
      </c>
      <c r="B397" s="16" t="n">
        <v>6.49598765003878</v>
      </c>
      <c r="C397" s="15" t="n">
        <v>230</v>
      </c>
      <c r="D397" s="15" t="n">
        <v>525</v>
      </c>
      <c r="E397" s="15" t="n">
        <v>30</v>
      </c>
      <c r="F397" s="16" t="n">
        <v>0.57270853223768</v>
      </c>
      <c r="G397" s="17" t="s">
        <v>91</v>
      </c>
      <c r="H397" s="18" t="n">
        <v>0.2</v>
      </c>
      <c r="I397" s="18" t="n">
        <v>1</v>
      </c>
      <c r="J397" s="19" t="n">
        <v>0.884578122640416</v>
      </c>
      <c r="K397" s="19" t="n">
        <v>0.410433194793588</v>
      </c>
      <c r="L397" s="16" t="n">
        <v>13.6184227464125</v>
      </c>
      <c r="M397" s="19" t="n">
        <v>0.885316666534676</v>
      </c>
      <c r="N397" s="19" t="n">
        <v>1.12312658487983</v>
      </c>
      <c r="O397" s="19" t="n">
        <v>0.884578122640416</v>
      </c>
      <c r="P397" s="19" t="n">
        <v>0.320218148503577</v>
      </c>
      <c r="Q397" s="17" t="s">
        <v>30</v>
      </c>
      <c r="R397" s="5" t="str">
        <f aca="false">IF(OR(Q397="Steel plate",Q397="Concrete jacket"),"Steel plate or jacket",Q397)</f>
        <v>Seal cracks</v>
      </c>
      <c r="S397" s="5" t="str">
        <f aca="false">IF(O397&lt;='Tree rules'!$C$4,IF(N397&lt;='Tree rules'!$C$5,IF(P397&lt;='Tree rules'!$C$6,"Monitor","Polymer laminate"),IF(P397&lt;='Tree rules'!$C$7,"Seal cracks","Polymer laminate")),IF(O397&lt;='Tree rules'!$C$8,IF(M397&lt;='Tree rules'!$C$9,"Steel plate or jacket","Polymer laminate"),IF(L397&lt;='Tree rules'!$C$10,"Steel plate or jacket","Polymer laminate")))</f>
        <v>Seal cracks</v>
      </c>
      <c r="T397" s="5" t="str">
        <f aca="false">IF(S397=R397,"Yes","No")</f>
        <v>Yes</v>
      </c>
    </row>
    <row r="398" customFormat="false" ht="15" hidden="false" customHeight="false" outlineLevel="0" collapsed="false">
      <c r="A398" s="15" t="n">
        <v>1340</v>
      </c>
      <c r="B398" s="16" t="n">
        <v>5.75584488083471</v>
      </c>
      <c r="C398" s="15" t="n">
        <v>300</v>
      </c>
      <c r="D398" s="15" t="n">
        <v>475</v>
      </c>
      <c r="E398" s="15" t="n">
        <v>25</v>
      </c>
      <c r="F398" s="16" t="n">
        <v>0.624901102811956</v>
      </c>
      <c r="G398" s="17" t="s">
        <v>89</v>
      </c>
      <c r="H398" s="18" t="n">
        <v>0.3</v>
      </c>
      <c r="I398" s="18" t="n">
        <v>1</v>
      </c>
      <c r="J398" s="19" t="n">
        <v>0.923364582738654</v>
      </c>
      <c r="K398" s="19" t="n">
        <v>0.595823893006082</v>
      </c>
      <c r="L398" s="16" t="n">
        <v>13.4168878341136</v>
      </c>
      <c r="M398" s="19" t="n">
        <v>0.298869835118953</v>
      </c>
      <c r="N398" s="19" t="n">
        <v>0.698950294744046</v>
      </c>
      <c r="O398" s="19" t="n">
        <v>0.923364582738654</v>
      </c>
      <c r="P398" s="19" t="n">
        <v>1.1649205650562</v>
      </c>
      <c r="Q398" s="17" t="s">
        <v>31</v>
      </c>
      <c r="R398" s="5" t="str">
        <f aca="false">IF(OR(Q398="Steel plate",Q398="Concrete jacket"),"Steel plate or jacket",Q398)</f>
        <v>Polymer laminate</v>
      </c>
      <c r="S398" s="5" t="str">
        <f aca="false">IF(O398&lt;='Tree rules'!$C$4,IF(N398&lt;='Tree rules'!$C$5,IF(P398&lt;='Tree rules'!$C$6,"Monitor","Polymer laminate"),IF(P398&lt;='Tree rules'!$C$7,"Seal cracks","Polymer laminate")),IF(O398&lt;='Tree rules'!$C$8,IF(M398&lt;='Tree rules'!$C$9,"Steel plate or jacket","Polymer laminate"),IF(L398&lt;='Tree rules'!$C$10,"Steel plate or jacket","Polymer laminate")))</f>
        <v>Polymer laminate</v>
      </c>
      <c r="T398" s="5" t="str">
        <f aca="false">IF(S398=R398,"Yes","No")</f>
        <v>Yes</v>
      </c>
    </row>
    <row r="399" customFormat="false" ht="15" hidden="false" customHeight="false" outlineLevel="0" collapsed="false">
      <c r="A399" s="15" t="n">
        <v>1342</v>
      </c>
      <c r="B399" s="16" t="n">
        <v>6.00500472140334</v>
      </c>
      <c r="C399" s="15" t="n">
        <v>300</v>
      </c>
      <c r="D399" s="15" t="n">
        <v>525</v>
      </c>
      <c r="E399" s="15" t="n">
        <v>20</v>
      </c>
      <c r="F399" s="16" t="n">
        <v>0.658614812073332</v>
      </c>
      <c r="G399" s="17" t="s">
        <v>89</v>
      </c>
      <c r="H399" s="18" t="n">
        <v>0.3</v>
      </c>
      <c r="I399" s="18" t="n">
        <v>2</v>
      </c>
      <c r="J399" s="19" t="n">
        <v>0.88551463256835</v>
      </c>
      <c r="K399" s="19" t="n">
        <v>0.520181647240697</v>
      </c>
      <c r="L399" s="16" t="n">
        <v>12.589108430615</v>
      </c>
      <c r="M399" s="19" t="n">
        <v>0.911077472288476</v>
      </c>
      <c r="N399" s="19" t="n">
        <v>1.00734970744618</v>
      </c>
      <c r="O399" s="19" t="n">
        <v>1.31040080491156</v>
      </c>
      <c r="P399" s="19" t="n">
        <v>0.496769614299745</v>
      </c>
      <c r="Q399" s="17" t="s">
        <v>31</v>
      </c>
      <c r="R399" s="5" t="str">
        <f aca="false">IF(OR(Q399="Steel plate",Q399="Concrete jacket"),"Steel plate or jacket",Q399)</f>
        <v>Polymer laminate</v>
      </c>
      <c r="S399" s="5" t="str">
        <f aca="false">IF(O399&lt;='Tree rules'!$C$4,IF(N399&lt;='Tree rules'!$C$5,IF(P399&lt;='Tree rules'!$C$6,"Monitor","Polymer laminate"),IF(P399&lt;='Tree rules'!$C$7,"Seal cracks","Polymer laminate")),IF(O399&lt;='Tree rules'!$C$8,IF(M399&lt;='Tree rules'!$C$9,"Steel plate or jacket","Polymer laminate"),IF(L399&lt;='Tree rules'!$C$10,"Steel plate or jacket","Polymer laminate")))</f>
        <v>Steel plate or jacket</v>
      </c>
      <c r="T399" s="5" t="str">
        <f aca="false">IF(S399=R399,"Yes","No")</f>
        <v>No</v>
      </c>
    </row>
    <row r="400" customFormat="false" ht="15" hidden="false" customHeight="false" outlineLevel="0" collapsed="false">
      <c r="A400" s="15" t="n">
        <v>1343</v>
      </c>
      <c r="B400" s="16" t="n">
        <v>3.03573686419101</v>
      </c>
      <c r="C400" s="15" t="n">
        <v>230</v>
      </c>
      <c r="D400" s="15" t="n">
        <v>300</v>
      </c>
      <c r="E400" s="15" t="n">
        <v>30</v>
      </c>
      <c r="F400" s="16" t="n">
        <v>0.768324290280112</v>
      </c>
      <c r="G400" s="17" t="s">
        <v>91</v>
      </c>
      <c r="H400" s="18" t="n">
        <v>0.2</v>
      </c>
      <c r="I400" s="18" t="n">
        <v>2</v>
      </c>
      <c r="J400" s="19" t="n">
        <v>0.905557383497563</v>
      </c>
      <c r="K400" s="19" t="n">
        <v>0.440084982509714</v>
      </c>
      <c r="L400" s="16" t="n">
        <v>11.8583471257461</v>
      </c>
      <c r="M400" s="19" t="n">
        <v>0.362214852915648</v>
      </c>
      <c r="N400" s="19" t="n">
        <v>1.52931306045069</v>
      </c>
      <c r="O400" s="19" t="n">
        <v>1.41259256171706</v>
      </c>
      <c r="P400" s="19" t="n">
        <v>0.904510296132191</v>
      </c>
      <c r="Q400" s="17" t="s">
        <v>31</v>
      </c>
      <c r="R400" s="5" t="str">
        <f aca="false">IF(OR(Q400="Steel plate",Q400="Concrete jacket"),"Steel plate or jacket",Q400)</f>
        <v>Polymer laminate</v>
      </c>
      <c r="S400" s="5" t="str">
        <f aca="false">IF(O400&lt;='Tree rules'!$C$4,IF(N400&lt;='Tree rules'!$C$5,IF(P400&lt;='Tree rules'!$C$6,"Monitor","Polymer laminate"),IF(P400&lt;='Tree rules'!$C$7,"Seal cracks","Polymer laminate")),IF(O400&lt;='Tree rules'!$C$8,IF(M400&lt;='Tree rules'!$C$9,"Steel plate or jacket","Polymer laminate"),IF(L400&lt;='Tree rules'!$C$10,"Steel plate or jacket","Polymer laminate")))</f>
        <v>Steel plate or jacket</v>
      </c>
      <c r="T400" s="5" t="str">
        <f aca="false">IF(S400=R400,"Yes","No")</f>
        <v>No</v>
      </c>
    </row>
    <row r="401" customFormat="false" ht="15" hidden="false" customHeight="false" outlineLevel="0" collapsed="false">
      <c r="A401" s="15" t="n">
        <v>1351</v>
      </c>
      <c r="B401" s="16" t="n">
        <v>4.76432698890221</v>
      </c>
      <c r="C401" s="15" t="n">
        <v>300</v>
      </c>
      <c r="D401" s="15" t="n">
        <v>400</v>
      </c>
      <c r="E401" s="15" t="n">
        <v>30</v>
      </c>
      <c r="F401" s="16" t="n">
        <v>0.567971553191375</v>
      </c>
      <c r="G401" s="17" t="s">
        <v>91</v>
      </c>
      <c r="H401" s="18" t="n">
        <v>0.2</v>
      </c>
      <c r="I401" s="18" t="n">
        <v>1</v>
      </c>
      <c r="J401" s="19" t="n">
        <v>0.984449663618555</v>
      </c>
      <c r="K401" s="19" t="n">
        <v>0.426376389192631</v>
      </c>
      <c r="L401" s="16" t="n">
        <v>13.458550816108</v>
      </c>
      <c r="M401" s="19" t="n">
        <v>0.93788871458724</v>
      </c>
      <c r="N401" s="19" t="n">
        <v>1.10210710995106</v>
      </c>
      <c r="O401" s="19" t="n">
        <v>0.984449663618555</v>
      </c>
      <c r="P401" s="19" t="n">
        <v>0.308933964116856</v>
      </c>
      <c r="Q401" s="17" t="s">
        <v>30</v>
      </c>
      <c r="R401" s="5" t="str">
        <f aca="false">IF(OR(Q401="Steel plate",Q401="Concrete jacket"),"Steel plate or jacket",Q401)</f>
        <v>Seal cracks</v>
      </c>
      <c r="S401" s="5" t="str">
        <f aca="false">IF(O401&lt;='Tree rules'!$C$4,IF(N401&lt;='Tree rules'!$C$5,IF(P401&lt;='Tree rules'!$C$6,"Monitor","Polymer laminate"),IF(P401&lt;='Tree rules'!$C$7,"Seal cracks","Polymer laminate")),IF(O401&lt;='Tree rules'!$C$8,IF(M401&lt;='Tree rules'!$C$9,"Steel plate or jacket","Polymer laminate"),IF(L401&lt;='Tree rules'!$C$10,"Steel plate or jacket","Polymer laminate")))</f>
        <v>Seal cracks</v>
      </c>
      <c r="T401" s="5" t="str">
        <f aca="false">IF(S401=R401,"Yes","No")</f>
        <v>Yes</v>
      </c>
    </row>
    <row r="402" customFormat="false" ht="15" hidden="false" customHeight="false" outlineLevel="0" collapsed="false">
      <c r="A402" s="15" t="n">
        <v>1359</v>
      </c>
      <c r="B402" s="16" t="n">
        <v>5.83542341438646</v>
      </c>
      <c r="C402" s="15" t="n">
        <v>230</v>
      </c>
      <c r="D402" s="15" t="n">
        <v>450</v>
      </c>
      <c r="E402" s="15" t="n">
        <v>25</v>
      </c>
      <c r="F402" s="16" t="n">
        <v>0.649145274956135</v>
      </c>
      <c r="G402" s="17" t="s">
        <v>89</v>
      </c>
      <c r="H402" s="18" t="n">
        <v>0.3</v>
      </c>
      <c r="I402" s="18" t="n">
        <v>2</v>
      </c>
      <c r="J402" s="19" t="n">
        <v>0.906072577419304</v>
      </c>
      <c r="K402" s="19" t="n">
        <v>0.469221711584192</v>
      </c>
      <c r="L402" s="16" t="n">
        <v>14.4441173623427</v>
      </c>
      <c r="M402" s="19" t="n">
        <v>0.605464590527625</v>
      </c>
      <c r="N402" s="19" t="n">
        <v>1.00851315792792</v>
      </c>
      <c r="O402" s="19" t="n">
        <v>1.38699622924242</v>
      </c>
      <c r="P402" s="19" t="n">
        <v>0.740270773658308</v>
      </c>
      <c r="Q402" s="17" t="s">
        <v>31</v>
      </c>
      <c r="R402" s="5" t="str">
        <f aca="false">IF(OR(Q402="Steel plate",Q402="Concrete jacket"),"Steel plate or jacket",Q402)</f>
        <v>Polymer laminate</v>
      </c>
      <c r="S402" s="5" t="str">
        <f aca="false">IF(O402&lt;='Tree rules'!$C$4,IF(N402&lt;='Tree rules'!$C$5,IF(P402&lt;='Tree rules'!$C$6,"Monitor","Polymer laminate"),IF(P402&lt;='Tree rules'!$C$7,"Seal cracks","Polymer laminate")),IF(O402&lt;='Tree rules'!$C$8,IF(M402&lt;='Tree rules'!$C$9,"Steel plate or jacket","Polymer laminate"),IF(L402&lt;='Tree rules'!$C$10,"Steel plate or jacket","Polymer laminate")))</f>
        <v>Polymer laminate</v>
      </c>
      <c r="T402" s="5" t="str">
        <f aca="false">IF(S402=R402,"Yes","No")</f>
        <v>Yes</v>
      </c>
    </row>
    <row r="403" customFormat="false" ht="15" hidden="false" customHeight="false" outlineLevel="0" collapsed="false">
      <c r="A403" s="15" t="n">
        <v>1362</v>
      </c>
      <c r="B403" s="16" t="n">
        <v>3.06108755666899</v>
      </c>
      <c r="C403" s="15" t="n">
        <v>230</v>
      </c>
      <c r="D403" s="15" t="n">
        <v>300</v>
      </c>
      <c r="E403" s="15" t="n">
        <v>20</v>
      </c>
      <c r="F403" s="16" t="n">
        <v>0.688332522525665</v>
      </c>
      <c r="G403" s="17" t="s">
        <v>91</v>
      </c>
      <c r="H403" s="18" t="n">
        <v>0.2</v>
      </c>
      <c r="I403" s="18" t="n">
        <v>1</v>
      </c>
      <c r="J403" s="19" t="n">
        <v>0.997101788047958</v>
      </c>
      <c r="K403" s="19" t="n">
        <v>0.604134906339972</v>
      </c>
      <c r="L403" s="16" t="n">
        <v>12.0515258136575</v>
      </c>
      <c r="M403" s="19" t="n">
        <v>0.254442684663472</v>
      </c>
      <c r="N403" s="19" t="n">
        <v>1.47414537807189</v>
      </c>
      <c r="O403" s="19" t="n">
        <v>0.997101788047958</v>
      </c>
      <c r="P403" s="19" t="n">
        <v>1.27574680252944</v>
      </c>
      <c r="Q403" s="17" t="s">
        <v>31</v>
      </c>
      <c r="R403" s="5" t="str">
        <f aca="false">IF(OR(Q403="Steel plate",Q403="Concrete jacket"),"Steel plate or jacket",Q403)</f>
        <v>Polymer laminate</v>
      </c>
      <c r="S403" s="5" t="str">
        <f aca="false">IF(O403&lt;='Tree rules'!$C$4,IF(N403&lt;='Tree rules'!$C$5,IF(P403&lt;='Tree rules'!$C$6,"Monitor","Polymer laminate"),IF(P403&lt;='Tree rules'!$C$7,"Seal cracks","Polymer laminate")),IF(O403&lt;='Tree rules'!$C$8,IF(M403&lt;='Tree rules'!$C$9,"Steel plate or jacket","Polymer laminate"),IF(L403&lt;='Tree rules'!$C$10,"Steel plate or jacket","Polymer laminate")))</f>
        <v>Polymer laminate</v>
      </c>
      <c r="T403" s="5" t="str">
        <f aca="false">IF(S403=R403,"Yes","No")</f>
        <v>Yes</v>
      </c>
    </row>
    <row r="404" customFormat="false" ht="15" hidden="false" customHeight="false" outlineLevel="0" collapsed="false">
      <c r="A404" s="15" t="n">
        <v>1363</v>
      </c>
      <c r="B404" s="16" t="n">
        <v>3.91075963088109</v>
      </c>
      <c r="C404" s="15" t="n">
        <v>300</v>
      </c>
      <c r="D404" s="15" t="n">
        <v>325</v>
      </c>
      <c r="E404" s="15" t="n">
        <v>30</v>
      </c>
      <c r="F404" s="16" t="n">
        <v>0.804963242200943</v>
      </c>
      <c r="G404" s="17" t="s">
        <v>91</v>
      </c>
      <c r="H404" s="18" t="n">
        <v>0.2</v>
      </c>
      <c r="I404" s="18" t="n">
        <v>2</v>
      </c>
      <c r="J404" s="19" t="n">
        <v>0.901537488598145</v>
      </c>
      <c r="K404" s="19" t="n">
        <v>0.529374423328481</v>
      </c>
      <c r="L404" s="16" t="n">
        <v>13.917294060075</v>
      </c>
      <c r="M404" s="19" t="n">
        <v>0.613738900849441</v>
      </c>
      <c r="N404" s="19" t="n">
        <v>1.34520184598798</v>
      </c>
      <c r="O404" s="19" t="n">
        <v>1.32582408906064</v>
      </c>
      <c r="P404" s="19" t="n">
        <v>0.718373258758215</v>
      </c>
      <c r="Q404" s="17" t="s">
        <v>31</v>
      </c>
      <c r="R404" s="5" t="str">
        <f aca="false">IF(OR(Q404="Steel plate",Q404="Concrete jacket"),"Steel plate or jacket",Q404)</f>
        <v>Polymer laminate</v>
      </c>
      <c r="S404" s="5" t="str">
        <f aca="false">IF(O404&lt;='Tree rules'!$C$4,IF(N404&lt;='Tree rules'!$C$5,IF(P404&lt;='Tree rules'!$C$6,"Monitor","Polymer laminate"),IF(P404&lt;='Tree rules'!$C$7,"Seal cracks","Polymer laminate")),IF(O404&lt;='Tree rules'!$C$8,IF(M404&lt;='Tree rules'!$C$9,"Steel plate or jacket","Polymer laminate"),IF(L404&lt;='Tree rules'!$C$10,"Steel plate or jacket","Polymer laminate")))</f>
        <v>Polymer laminate</v>
      </c>
      <c r="T404" s="5" t="str">
        <f aca="false">IF(S404=R404,"Yes","No")</f>
        <v>Yes</v>
      </c>
    </row>
    <row r="405" customFormat="false" ht="15" hidden="false" customHeight="false" outlineLevel="0" collapsed="false">
      <c r="A405" s="15" t="n">
        <v>1364</v>
      </c>
      <c r="B405" s="16" t="n">
        <v>3.19982734685474</v>
      </c>
      <c r="C405" s="15" t="n">
        <v>230</v>
      </c>
      <c r="D405" s="15" t="n">
        <v>300</v>
      </c>
      <c r="E405" s="15" t="n">
        <v>30</v>
      </c>
      <c r="F405" s="16" t="n">
        <v>0.816145304197962</v>
      </c>
      <c r="G405" s="17" t="s">
        <v>90</v>
      </c>
      <c r="H405" s="18" t="n">
        <v>0.1</v>
      </c>
      <c r="I405" s="18" t="n">
        <v>2</v>
      </c>
      <c r="J405" s="19" t="n">
        <v>0.900745782890749</v>
      </c>
      <c r="K405" s="19" t="n">
        <v>0.548070982049501</v>
      </c>
      <c r="L405" s="16" t="n">
        <v>13.2772918956628</v>
      </c>
      <c r="M405" s="19" t="n">
        <v>0.945774792354175</v>
      </c>
      <c r="N405" s="19" t="n">
        <v>3.58748922665707</v>
      </c>
      <c r="O405" s="19" t="n">
        <v>1.30781893997562</v>
      </c>
      <c r="P405" s="19" t="n">
        <v>0.37878496823009</v>
      </c>
      <c r="Q405" s="17" t="s">
        <v>31</v>
      </c>
      <c r="R405" s="5" t="str">
        <f aca="false">IF(OR(Q405="Steel plate",Q405="Concrete jacket"),"Steel plate or jacket",Q405)</f>
        <v>Polymer laminate</v>
      </c>
      <c r="S405" s="5" t="str">
        <f aca="false">IF(O405&lt;='Tree rules'!$C$4,IF(N405&lt;='Tree rules'!$C$5,IF(P405&lt;='Tree rules'!$C$6,"Monitor","Polymer laminate"),IF(P405&lt;='Tree rules'!$C$7,"Seal cracks","Polymer laminate")),IF(O405&lt;='Tree rules'!$C$8,IF(M405&lt;='Tree rules'!$C$9,"Steel plate or jacket","Polymer laminate"),IF(L405&lt;='Tree rules'!$C$10,"Steel plate or jacket","Polymer laminate")))</f>
        <v>Polymer laminate</v>
      </c>
      <c r="T405" s="5" t="str">
        <f aca="false">IF(S405=R405,"Yes","No")</f>
        <v>Yes</v>
      </c>
    </row>
    <row r="406" customFormat="false" ht="15" hidden="false" customHeight="false" outlineLevel="0" collapsed="false">
      <c r="A406" s="15" t="n">
        <v>1366</v>
      </c>
      <c r="B406" s="16" t="n">
        <v>5.22991205020011</v>
      </c>
      <c r="C406" s="15" t="n">
        <v>230</v>
      </c>
      <c r="D406" s="15" t="n">
        <v>500</v>
      </c>
      <c r="E406" s="15" t="n">
        <v>25</v>
      </c>
      <c r="F406" s="16" t="n">
        <v>0.90657733366385</v>
      </c>
      <c r="G406" s="17" t="s">
        <v>91</v>
      </c>
      <c r="H406" s="18" t="n">
        <v>0.2</v>
      </c>
      <c r="I406" s="18" t="n">
        <v>2</v>
      </c>
      <c r="J406" s="19" t="n">
        <v>0.87407570289194</v>
      </c>
      <c r="K406" s="19" t="n">
        <v>0.426098538196982</v>
      </c>
      <c r="L406" s="16" t="n">
        <v>11.5706018809737</v>
      </c>
      <c r="M406" s="19" t="n">
        <v>0.582618093754079</v>
      </c>
      <c r="N406" s="19" t="n">
        <v>1.46880369209507</v>
      </c>
      <c r="O406" s="19" t="n">
        <v>1.37570902650813</v>
      </c>
      <c r="P406" s="19" t="n">
        <v>0.779135675888451</v>
      </c>
      <c r="Q406" s="17" t="s">
        <v>92</v>
      </c>
      <c r="R406" s="5" t="str">
        <f aca="false">IF(OR(Q406="Steel plate",Q406="Concrete jacket"),"Steel plate or jacket",Q406)</f>
        <v>Steel plate or jacket</v>
      </c>
      <c r="S406" s="5" t="str">
        <f aca="false">IF(O406&lt;='Tree rules'!$C$4,IF(N406&lt;='Tree rules'!$C$5,IF(P406&lt;='Tree rules'!$C$6,"Monitor","Polymer laminate"),IF(P406&lt;='Tree rules'!$C$7,"Seal cracks","Polymer laminate")),IF(O406&lt;='Tree rules'!$C$8,IF(M406&lt;='Tree rules'!$C$9,"Steel plate or jacket","Polymer laminate"),IF(L406&lt;='Tree rules'!$C$10,"Steel plate or jacket","Polymer laminate")))</f>
        <v>Steel plate or jacket</v>
      </c>
      <c r="T406" s="5" t="str">
        <f aca="false">IF(S406=R406,"Yes","No")</f>
        <v>Yes</v>
      </c>
    </row>
    <row r="407" customFormat="false" ht="15" hidden="false" customHeight="false" outlineLevel="0" collapsed="false">
      <c r="A407" s="15" t="n">
        <v>1370</v>
      </c>
      <c r="B407" s="16" t="n">
        <v>5.98718407526864</v>
      </c>
      <c r="C407" s="15" t="n">
        <v>300</v>
      </c>
      <c r="D407" s="15" t="n">
        <v>575</v>
      </c>
      <c r="E407" s="15" t="n">
        <v>30</v>
      </c>
      <c r="F407" s="16" t="n">
        <v>0.651951782846131</v>
      </c>
      <c r="G407" s="17" t="s">
        <v>90</v>
      </c>
      <c r="H407" s="18" t="n">
        <v>0.1</v>
      </c>
      <c r="I407" s="18" t="n">
        <v>1.5</v>
      </c>
      <c r="J407" s="19" t="n">
        <v>0.890121562867186</v>
      </c>
      <c r="K407" s="19" t="n">
        <v>0.632646220071082</v>
      </c>
      <c r="L407" s="16" t="n">
        <v>11.6482180452697</v>
      </c>
      <c r="M407" s="19" t="n">
        <v>0.458365489883235</v>
      </c>
      <c r="N407" s="19" t="n">
        <v>2.81949815011601</v>
      </c>
      <c r="O407" s="19" t="n">
        <v>1.05361632322493</v>
      </c>
      <c r="P407" s="19" t="n">
        <v>0.689068024913528</v>
      </c>
      <c r="Q407" s="17" t="s">
        <v>31</v>
      </c>
      <c r="R407" s="5" t="str">
        <f aca="false">IF(OR(Q407="Steel plate",Q407="Concrete jacket"),"Steel plate or jacket",Q407)</f>
        <v>Polymer laminate</v>
      </c>
      <c r="S407" s="5" t="str">
        <f aca="false">IF(O407&lt;='Tree rules'!$C$4,IF(N407&lt;='Tree rules'!$C$5,IF(P407&lt;='Tree rules'!$C$6,"Monitor","Polymer laminate"),IF(P407&lt;='Tree rules'!$C$7,"Seal cracks","Polymer laminate")),IF(O407&lt;='Tree rules'!$C$8,IF(M407&lt;='Tree rules'!$C$9,"Steel plate or jacket","Polymer laminate"),IF(L407&lt;='Tree rules'!$C$10,"Steel plate or jacket","Polymer laminate")))</f>
        <v>Polymer laminate</v>
      </c>
      <c r="T407" s="5" t="str">
        <f aca="false">IF(S407=R407,"Yes","No")</f>
        <v>Yes</v>
      </c>
    </row>
    <row r="408" customFormat="false" ht="15" hidden="false" customHeight="false" outlineLevel="0" collapsed="false">
      <c r="A408" s="15" t="n">
        <v>1372</v>
      </c>
      <c r="B408" s="16" t="n">
        <v>5.05539215741105</v>
      </c>
      <c r="C408" s="15" t="n">
        <v>300</v>
      </c>
      <c r="D408" s="15" t="n">
        <v>425</v>
      </c>
      <c r="E408" s="15" t="n">
        <v>25</v>
      </c>
      <c r="F408" s="16" t="n">
        <v>0.707341881547042</v>
      </c>
      <c r="G408" s="17" t="s">
        <v>91</v>
      </c>
      <c r="H408" s="18" t="n">
        <v>0.2</v>
      </c>
      <c r="I408" s="18" t="n">
        <v>2</v>
      </c>
      <c r="J408" s="19" t="n">
        <v>0.930891531221718</v>
      </c>
      <c r="K408" s="19" t="n">
        <v>0.451423762096555</v>
      </c>
      <c r="L408" s="16" t="n">
        <v>13.3387655868365</v>
      </c>
      <c r="M408" s="19" t="n">
        <v>0.444397546992791</v>
      </c>
      <c r="N408" s="19" t="n">
        <v>1.61585811761101</v>
      </c>
      <c r="O408" s="19" t="n">
        <v>1.44155650531551</v>
      </c>
      <c r="P408" s="19" t="n">
        <v>0.986250030445814</v>
      </c>
      <c r="Q408" s="17" t="s">
        <v>31</v>
      </c>
      <c r="R408" s="5" t="str">
        <f aca="false">IF(OR(Q408="Steel plate",Q408="Concrete jacket"),"Steel plate or jacket",Q408)</f>
        <v>Polymer laminate</v>
      </c>
      <c r="S408" s="5" t="str">
        <f aca="false">IF(O408&lt;='Tree rules'!$C$4,IF(N408&lt;='Tree rules'!$C$5,IF(P408&lt;='Tree rules'!$C$6,"Monitor","Polymer laminate"),IF(P408&lt;='Tree rules'!$C$7,"Seal cracks","Polymer laminate")),IF(O408&lt;='Tree rules'!$C$8,IF(M408&lt;='Tree rules'!$C$9,"Steel plate or jacket","Polymer laminate"),IF(L408&lt;='Tree rules'!$C$10,"Steel plate or jacket","Polymer laminate")))</f>
        <v>Polymer laminate</v>
      </c>
      <c r="T408" s="5" t="str">
        <f aca="false">IF(S408=R408,"Yes","No")</f>
        <v>Yes</v>
      </c>
    </row>
    <row r="409" customFormat="false" ht="15" hidden="false" customHeight="false" outlineLevel="0" collapsed="false">
      <c r="A409" s="15" t="n">
        <v>1373</v>
      </c>
      <c r="B409" s="16" t="n">
        <v>3.22062497896623</v>
      </c>
      <c r="C409" s="15" t="n">
        <v>300</v>
      </c>
      <c r="D409" s="15" t="n">
        <v>300</v>
      </c>
      <c r="E409" s="15" t="n">
        <v>30</v>
      </c>
      <c r="F409" s="16" t="n">
        <v>0.791582400904515</v>
      </c>
      <c r="G409" s="17" t="s">
        <v>89</v>
      </c>
      <c r="H409" s="18" t="n">
        <v>0.3</v>
      </c>
      <c r="I409" s="18" t="n">
        <v>1</v>
      </c>
      <c r="J409" s="19" t="n">
        <v>0.852855720301648</v>
      </c>
      <c r="K409" s="19" t="n">
        <v>0.524476089844447</v>
      </c>
      <c r="L409" s="16" t="n">
        <v>12.6796259014419</v>
      </c>
      <c r="M409" s="19" t="n">
        <v>0.505494145212639</v>
      </c>
      <c r="N409" s="19" t="n">
        <v>0.725102388321593</v>
      </c>
      <c r="O409" s="19" t="n">
        <v>0.852855720301648</v>
      </c>
      <c r="P409" s="19" t="n">
        <v>0.55867690722559</v>
      </c>
      <c r="Q409" s="17" t="s">
        <v>29</v>
      </c>
      <c r="R409" s="5" t="str">
        <f aca="false">IF(OR(Q409="Steel plate",Q409="Concrete jacket"),"Steel plate or jacket",Q409)</f>
        <v>Monitor</v>
      </c>
      <c r="S409" s="5" t="str">
        <f aca="false">IF(O409&lt;='Tree rules'!$C$4,IF(N409&lt;='Tree rules'!$C$5,IF(P409&lt;='Tree rules'!$C$6,"Monitor","Polymer laminate"),IF(P409&lt;='Tree rules'!$C$7,"Seal cracks","Polymer laminate")),IF(O409&lt;='Tree rules'!$C$8,IF(M409&lt;='Tree rules'!$C$9,"Steel plate or jacket","Polymer laminate"),IF(L409&lt;='Tree rules'!$C$10,"Steel plate or jacket","Polymer laminate")))</f>
        <v>Monitor</v>
      </c>
      <c r="T409" s="5" t="str">
        <f aca="false">IF(S409=R409,"Yes","No")</f>
        <v>Yes</v>
      </c>
    </row>
    <row r="410" customFormat="false" ht="15" hidden="false" customHeight="false" outlineLevel="0" collapsed="false">
      <c r="A410" s="15" t="n">
        <v>1374</v>
      </c>
      <c r="B410" s="16" t="n">
        <v>3.68990998205636</v>
      </c>
      <c r="C410" s="15" t="n">
        <v>230</v>
      </c>
      <c r="D410" s="15" t="n">
        <v>325</v>
      </c>
      <c r="E410" s="15" t="n">
        <v>30</v>
      </c>
      <c r="F410" s="16" t="n">
        <v>0.993388981372267</v>
      </c>
      <c r="G410" s="17" t="s">
        <v>90</v>
      </c>
      <c r="H410" s="18" t="n">
        <v>0.1</v>
      </c>
      <c r="I410" s="18" t="n">
        <v>2</v>
      </c>
      <c r="J410" s="19" t="n">
        <v>0.869117631335188</v>
      </c>
      <c r="K410" s="19" t="n">
        <v>0.435788015146727</v>
      </c>
      <c r="L410" s="16" t="n">
        <v>13.9769317502135</v>
      </c>
      <c r="M410" s="19" t="n">
        <v>0.910379244799158</v>
      </c>
      <c r="N410" s="19" t="n">
        <v>3.88302879857082</v>
      </c>
      <c r="O410" s="19" t="n">
        <v>1.35948421518179</v>
      </c>
      <c r="P410" s="19" t="n">
        <v>0.475646232701682</v>
      </c>
      <c r="Q410" s="17" t="s">
        <v>31</v>
      </c>
      <c r="R410" s="5" t="str">
        <f aca="false">IF(OR(Q410="Steel plate",Q410="Concrete jacket"),"Steel plate or jacket",Q410)</f>
        <v>Polymer laminate</v>
      </c>
      <c r="S410" s="5" t="str">
        <f aca="false">IF(O410&lt;='Tree rules'!$C$4,IF(N410&lt;='Tree rules'!$C$5,IF(P410&lt;='Tree rules'!$C$6,"Monitor","Polymer laminate"),IF(P410&lt;='Tree rules'!$C$7,"Seal cracks","Polymer laminate")),IF(O410&lt;='Tree rules'!$C$8,IF(M410&lt;='Tree rules'!$C$9,"Steel plate or jacket","Polymer laminate"),IF(L410&lt;='Tree rules'!$C$10,"Steel plate or jacket","Polymer laminate")))</f>
        <v>Polymer laminate</v>
      </c>
      <c r="T410" s="5" t="str">
        <f aca="false">IF(S410=R410,"Yes","No")</f>
        <v>Yes</v>
      </c>
    </row>
    <row r="411" customFormat="false" ht="15" hidden="false" customHeight="false" outlineLevel="0" collapsed="false">
      <c r="A411" s="15" t="n">
        <v>1380</v>
      </c>
      <c r="B411" s="16" t="n">
        <v>4.72284748646752</v>
      </c>
      <c r="C411" s="15" t="n">
        <v>300</v>
      </c>
      <c r="D411" s="15" t="n">
        <v>450</v>
      </c>
      <c r="E411" s="15" t="n">
        <v>25</v>
      </c>
      <c r="F411" s="16" t="n">
        <v>0.781490709848207</v>
      </c>
      <c r="G411" s="17" t="s">
        <v>89</v>
      </c>
      <c r="H411" s="18" t="n">
        <v>0.3</v>
      </c>
      <c r="I411" s="18" t="n">
        <v>1</v>
      </c>
      <c r="J411" s="19" t="n">
        <v>0.857734669587731</v>
      </c>
      <c r="K411" s="19" t="n">
        <v>0.558940280822942</v>
      </c>
      <c r="L411" s="16" t="n">
        <v>11.7483768320088</v>
      </c>
      <c r="M411" s="19" t="n">
        <v>0.919211046481715</v>
      </c>
      <c r="N411" s="19" t="n">
        <v>0.644348179886876</v>
      </c>
      <c r="O411" s="19" t="n">
        <v>0.857734669587731</v>
      </c>
      <c r="P411" s="19" t="n">
        <v>0.384033837635403</v>
      </c>
      <c r="Q411" s="17" t="s">
        <v>29</v>
      </c>
      <c r="R411" s="5" t="str">
        <f aca="false">IF(OR(Q411="Steel plate",Q411="Concrete jacket"),"Steel plate or jacket",Q411)</f>
        <v>Monitor</v>
      </c>
      <c r="S411" s="5" t="str">
        <f aca="false">IF(O411&lt;='Tree rules'!$C$4,IF(N411&lt;='Tree rules'!$C$5,IF(P411&lt;='Tree rules'!$C$6,"Monitor","Polymer laminate"),IF(P411&lt;='Tree rules'!$C$7,"Seal cracks","Polymer laminate")),IF(O411&lt;='Tree rules'!$C$8,IF(M411&lt;='Tree rules'!$C$9,"Steel plate or jacket","Polymer laminate"),IF(L411&lt;='Tree rules'!$C$10,"Steel plate or jacket","Polymer laminate")))</f>
        <v>Monitor</v>
      </c>
      <c r="T411" s="5" t="str">
        <f aca="false">IF(S411=R411,"Yes","No")</f>
        <v>Yes</v>
      </c>
    </row>
    <row r="412" customFormat="false" ht="15" hidden="false" customHeight="false" outlineLevel="0" collapsed="false">
      <c r="A412" s="15" t="n">
        <v>1382</v>
      </c>
      <c r="B412" s="16" t="n">
        <v>3.32081415827432</v>
      </c>
      <c r="C412" s="15" t="n">
        <v>230</v>
      </c>
      <c r="D412" s="15" t="n">
        <v>300</v>
      </c>
      <c r="E412" s="15" t="n">
        <v>30</v>
      </c>
      <c r="F412" s="16" t="n">
        <v>0.576243217710084</v>
      </c>
      <c r="G412" s="17" t="s">
        <v>91</v>
      </c>
      <c r="H412" s="18" t="n">
        <v>0.2</v>
      </c>
      <c r="I412" s="18" t="n">
        <v>1</v>
      </c>
      <c r="J412" s="19" t="n">
        <v>0.924724382854778</v>
      </c>
      <c r="K412" s="19" t="n">
        <v>0.528444947691181</v>
      </c>
      <c r="L412" s="16" t="n">
        <v>12.9719303057591</v>
      </c>
      <c r="M412" s="19" t="n">
        <v>0.371743054704614</v>
      </c>
      <c r="N412" s="19" t="n">
        <v>1.0663959441442</v>
      </c>
      <c r="O412" s="19" t="n">
        <v>0.924724382854778</v>
      </c>
      <c r="P412" s="19" t="n">
        <v>0.628615569815402</v>
      </c>
      <c r="Q412" s="17" t="s">
        <v>30</v>
      </c>
      <c r="R412" s="5" t="str">
        <f aca="false">IF(OR(Q412="Steel plate",Q412="Concrete jacket"),"Steel plate or jacket",Q412)</f>
        <v>Seal cracks</v>
      </c>
      <c r="S412" s="5" t="str">
        <f aca="false">IF(O412&lt;='Tree rules'!$C$4,IF(N412&lt;='Tree rules'!$C$5,IF(P412&lt;='Tree rules'!$C$6,"Monitor","Polymer laminate"),IF(P412&lt;='Tree rules'!$C$7,"Seal cracks","Polymer laminate")),IF(O412&lt;='Tree rules'!$C$8,IF(M412&lt;='Tree rules'!$C$9,"Steel plate or jacket","Polymer laminate"),IF(L412&lt;='Tree rules'!$C$10,"Steel plate or jacket","Polymer laminate")))</f>
        <v>Seal cracks</v>
      </c>
      <c r="T412" s="5" t="str">
        <f aca="false">IF(S412=R412,"Yes","No")</f>
        <v>Yes</v>
      </c>
    </row>
    <row r="413" customFormat="false" ht="15" hidden="false" customHeight="false" outlineLevel="0" collapsed="false">
      <c r="A413" s="15" t="n">
        <v>1384</v>
      </c>
      <c r="B413" s="16" t="n">
        <v>3.34541036227716</v>
      </c>
      <c r="C413" s="15" t="n">
        <v>230</v>
      </c>
      <c r="D413" s="15" t="n">
        <v>325</v>
      </c>
      <c r="E413" s="15" t="n">
        <v>20</v>
      </c>
      <c r="F413" s="16" t="n">
        <v>0.699968036696473</v>
      </c>
      <c r="G413" s="17" t="s">
        <v>89</v>
      </c>
      <c r="H413" s="18" t="n">
        <v>0.3</v>
      </c>
      <c r="I413" s="18" t="n">
        <v>1</v>
      </c>
      <c r="J413" s="19" t="n">
        <v>0.96435181639215</v>
      </c>
      <c r="K413" s="19" t="n">
        <v>0.632223236301241</v>
      </c>
      <c r="L413" s="16" t="n">
        <v>11.905374954723</v>
      </c>
      <c r="M413" s="19" t="n">
        <v>0.280312636071245</v>
      </c>
      <c r="N413" s="19" t="n">
        <v>0.686849837380676</v>
      </c>
      <c r="O413" s="19" t="n">
        <v>0.96435181639215</v>
      </c>
      <c r="P413" s="19" t="n">
        <v>1.2247965620816</v>
      </c>
      <c r="Q413" s="17" t="s">
        <v>31</v>
      </c>
      <c r="R413" s="5" t="str">
        <f aca="false">IF(OR(Q413="Steel plate",Q413="Concrete jacket"),"Steel plate or jacket",Q413)</f>
        <v>Polymer laminate</v>
      </c>
      <c r="S413" s="5" t="str">
        <f aca="false">IF(O413&lt;='Tree rules'!$C$4,IF(N413&lt;='Tree rules'!$C$5,IF(P413&lt;='Tree rules'!$C$6,"Monitor","Polymer laminate"),IF(P413&lt;='Tree rules'!$C$7,"Seal cracks","Polymer laminate")),IF(O413&lt;='Tree rules'!$C$8,IF(M413&lt;='Tree rules'!$C$9,"Steel plate or jacket","Polymer laminate"),IF(L413&lt;='Tree rules'!$C$10,"Steel plate or jacket","Polymer laminate")))</f>
        <v>Polymer laminate</v>
      </c>
      <c r="T413" s="5" t="str">
        <f aca="false">IF(S413=R413,"Yes","No")</f>
        <v>Yes</v>
      </c>
    </row>
    <row r="414" customFormat="false" ht="15" hidden="false" customHeight="false" outlineLevel="0" collapsed="false">
      <c r="A414" s="15" t="n">
        <v>1385</v>
      </c>
      <c r="B414" s="16" t="n">
        <v>4.73951605982814</v>
      </c>
      <c r="C414" s="15" t="n">
        <v>230</v>
      </c>
      <c r="D414" s="15" t="n">
        <v>375</v>
      </c>
      <c r="E414" s="15" t="n">
        <v>30</v>
      </c>
      <c r="F414" s="16" t="n">
        <v>0.797126720614828</v>
      </c>
      <c r="G414" s="17" t="s">
        <v>89</v>
      </c>
      <c r="H414" s="18" t="n">
        <v>0.3</v>
      </c>
      <c r="I414" s="18" t="n">
        <v>1</v>
      </c>
      <c r="J414" s="19" t="n">
        <v>0.86768572659472</v>
      </c>
      <c r="K414" s="19" t="n">
        <v>0.559780505920944</v>
      </c>
      <c r="L414" s="16" t="n">
        <v>14.4058238900551</v>
      </c>
      <c r="M414" s="19" t="n">
        <v>0.564968691636526</v>
      </c>
      <c r="N414" s="19" t="n">
        <v>0.635011831195148</v>
      </c>
      <c r="O414" s="19" t="n">
        <v>0.86768572659472</v>
      </c>
      <c r="P414" s="19" t="n">
        <v>0.663367180440906</v>
      </c>
      <c r="Q414" s="17" t="s">
        <v>29</v>
      </c>
      <c r="R414" s="5" t="str">
        <f aca="false">IF(OR(Q414="Steel plate",Q414="Concrete jacket"),"Steel plate or jacket",Q414)</f>
        <v>Monitor</v>
      </c>
      <c r="S414" s="5" t="str">
        <f aca="false">IF(O414&lt;='Tree rules'!$C$4,IF(N414&lt;='Tree rules'!$C$5,IF(P414&lt;='Tree rules'!$C$6,"Monitor","Polymer laminate"),IF(P414&lt;='Tree rules'!$C$7,"Seal cracks","Polymer laminate")),IF(O414&lt;='Tree rules'!$C$8,IF(M414&lt;='Tree rules'!$C$9,"Steel plate or jacket","Polymer laminate"),IF(L414&lt;='Tree rules'!$C$10,"Steel plate or jacket","Polymer laminate")))</f>
        <v>Monitor</v>
      </c>
      <c r="T414" s="5" t="str">
        <f aca="false">IF(S414=R414,"Yes","No")</f>
        <v>Yes</v>
      </c>
    </row>
    <row r="415" customFormat="false" ht="15" hidden="false" customHeight="false" outlineLevel="0" collapsed="false">
      <c r="A415" s="15" t="n">
        <v>1387</v>
      </c>
      <c r="B415" s="16" t="n">
        <v>3.39979882913967</v>
      </c>
      <c r="C415" s="15" t="n">
        <v>300</v>
      </c>
      <c r="D415" s="15" t="n">
        <v>325</v>
      </c>
      <c r="E415" s="15" t="n">
        <v>20</v>
      </c>
      <c r="F415" s="16" t="n">
        <v>0.67080270183412</v>
      </c>
      <c r="G415" s="17" t="s">
        <v>89</v>
      </c>
      <c r="H415" s="18" t="n">
        <v>0.3</v>
      </c>
      <c r="I415" s="18" t="n">
        <v>2</v>
      </c>
      <c r="J415" s="19" t="n">
        <v>0.940333856870179</v>
      </c>
      <c r="K415" s="19" t="n">
        <v>0.512815071842621</v>
      </c>
      <c r="L415" s="16" t="n">
        <v>12.0989282175789</v>
      </c>
      <c r="M415" s="19" t="n">
        <v>0.624568765296415</v>
      </c>
      <c r="N415" s="19" t="n">
        <v>0.95662554367969</v>
      </c>
      <c r="O415" s="19" t="n">
        <v>1.39845033937343</v>
      </c>
      <c r="P415" s="19" t="n">
        <v>0.626498127183393</v>
      </c>
      <c r="Q415" s="17" t="s">
        <v>31</v>
      </c>
      <c r="R415" s="5" t="str">
        <f aca="false">IF(OR(Q415="Steel plate",Q415="Concrete jacket"),"Steel plate or jacket",Q415)</f>
        <v>Polymer laminate</v>
      </c>
      <c r="S415" s="5" t="str">
        <f aca="false">IF(O415&lt;='Tree rules'!$C$4,IF(N415&lt;='Tree rules'!$C$5,IF(P415&lt;='Tree rules'!$C$6,"Monitor","Polymer laminate"),IF(P415&lt;='Tree rules'!$C$7,"Seal cracks","Polymer laminate")),IF(O415&lt;='Tree rules'!$C$8,IF(M415&lt;='Tree rules'!$C$9,"Steel plate or jacket","Polymer laminate"),IF(L415&lt;='Tree rules'!$C$10,"Steel plate or jacket","Polymer laminate")))</f>
        <v>Steel plate or jacket</v>
      </c>
      <c r="T415" s="5" t="str">
        <f aca="false">IF(S415=R415,"Yes","No")</f>
        <v>No</v>
      </c>
    </row>
    <row r="416" customFormat="false" ht="15" hidden="false" customHeight="false" outlineLevel="0" collapsed="false">
      <c r="A416" s="15" t="n">
        <v>1390</v>
      </c>
      <c r="B416" s="16" t="n">
        <v>4.27563149032163</v>
      </c>
      <c r="C416" s="15" t="n">
        <v>300</v>
      </c>
      <c r="D416" s="15" t="n">
        <v>400</v>
      </c>
      <c r="E416" s="15" t="n">
        <v>30</v>
      </c>
      <c r="F416" s="16" t="n">
        <v>0.790804050461148</v>
      </c>
      <c r="G416" s="17" t="s">
        <v>90</v>
      </c>
      <c r="H416" s="18" t="n">
        <v>0.1</v>
      </c>
      <c r="I416" s="18" t="n">
        <v>1</v>
      </c>
      <c r="J416" s="19" t="n">
        <v>0.956380034440136</v>
      </c>
      <c r="K416" s="19" t="n">
        <v>0.514836784249257</v>
      </c>
      <c r="L416" s="16" t="n">
        <v>12.6124822723352</v>
      </c>
      <c r="M416" s="19" t="n">
        <v>0.748771697597419</v>
      </c>
      <c r="N416" s="19" t="n">
        <v>2.61153459192348</v>
      </c>
      <c r="O416" s="19" t="n">
        <v>0.956380034440136</v>
      </c>
      <c r="P416" s="19" t="n">
        <v>0.434575314867607</v>
      </c>
      <c r="Q416" s="17" t="s">
        <v>30</v>
      </c>
      <c r="R416" s="5" t="str">
        <f aca="false">IF(OR(Q416="Steel plate",Q416="Concrete jacket"),"Steel plate or jacket",Q416)</f>
        <v>Seal cracks</v>
      </c>
      <c r="S416" s="5" t="str">
        <f aca="false">IF(O416&lt;='Tree rules'!$C$4,IF(N416&lt;='Tree rules'!$C$5,IF(P416&lt;='Tree rules'!$C$6,"Monitor","Polymer laminate"),IF(P416&lt;='Tree rules'!$C$7,"Seal cracks","Polymer laminate")),IF(O416&lt;='Tree rules'!$C$8,IF(M416&lt;='Tree rules'!$C$9,"Steel plate or jacket","Polymer laminate"),IF(L416&lt;='Tree rules'!$C$10,"Steel plate or jacket","Polymer laminate")))</f>
        <v>Seal cracks</v>
      </c>
      <c r="T416" s="5" t="str">
        <f aca="false">IF(S416=R416,"Yes","No")</f>
        <v>Yes</v>
      </c>
    </row>
    <row r="417" customFormat="false" ht="15" hidden="false" customHeight="false" outlineLevel="0" collapsed="false">
      <c r="A417" s="15" t="n">
        <v>1391</v>
      </c>
      <c r="B417" s="16" t="n">
        <v>3.98925096603674</v>
      </c>
      <c r="C417" s="15" t="n">
        <v>300</v>
      </c>
      <c r="D417" s="15" t="n">
        <v>375</v>
      </c>
      <c r="E417" s="15" t="n">
        <v>20</v>
      </c>
      <c r="F417" s="16" t="n">
        <v>0.611130485804701</v>
      </c>
      <c r="G417" s="17" t="s">
        <v>89</v>
      </c>
      <c r="H417" s="18" t="n">
        <v>0.3</v>
      </c>
      <c r="I417" s="18" t="n">
        <v>1</v>
      </c>
      <c r="J417" s="19" t="n">
        <v>0.951541831186553</v>
      </c>
      <c r="K417" s="19" t="n">
        <v>0.405489162569682</v>
      </c>
      <c r="L417" s="16" t="n">
        <v>12.1253828754916</v>
      </c>
      <c r="M417" s="19" t="n">
        <v>0.339242815205228</v>
      </c>
      <c r="N417" s="19" t="n">
        <v>0.824506860386346</v>
      </c>
      <c r="O417" s="19" t="n">
        <v>0.951541831186553</v>
      </c>
      <c r="P417" s="19" t="n">
        <v>0.797036118718245</v>
      </c>
      <c r="Q417" s="17" t="s">
        <v>29</v>
      </c>
      <c r="R417" s="5" t="str">
        <f aca="false">IF(OR(Q417="Steel plate",Q417="Concrete jacket"),"Steel plate or jacket",Q417)</f>
        <v>Monitor</v>
      </c>
      <c r="S417" s="5" t="str">
        <f aca="false">IF(O417&lt;='Tree rules'!$C$4,IF(N417&lt;='Tree rules'!$C$5,IF(P417&lt;='Tree rules'!$C$6,"Monitor","Polymer laminate"),IF(P417&lt;='Tree rules'!$C$7,"Seal cracks","Polymer laminate")),IF(O417&lt;='Tree rules'!$C$8,IF(M417&lt;='Tree rules'!$C$9,"Steel plate or jacket","Polymer laminate"),IF(L417&lt;='Tree rules'!$C$10,"Steel plate or jacket","Polymer laminate")))</f>
        <v>Monitor</v>
      </c>
      <c r="T417" s="5" t="str">
        <f aca="false">IF(S417=R417,"Yes","No")</f>
        <v>Yes</v>
      </c>
    </row>
    <row r="418" customFormat="false" ht="15" hidden="false" customHeight="false" outlineLevel="0" collapsed="false">
      <c r="A418" s="15" t="n">
        <v>1393</v>
      </c>
      <c r="B418" s="16" t="n">
        <v>6.52827312018263</v>
      </c>
      <c r="C418" s="15" t="n">
        <v>230</v>
      </c>
      <c r="D418" s="15" t="n">
        <v>550</v>
      </c>
      <c r="E418" s="15" t="n">
        <v>30</v>
      </c>
      <c r="F418" s="16" t="n">
        <v>0.816280786486175</v>
      </c>
      <c r="G418" s="17" t="s">
        <v>89</v>
      </c>
      <c r="H418" s="18" t="n">
        <v>0.3</v>
      </c>
      <c r="I418" s="18" t="n">
        <v>2</v>
      </c>
      <c r="J418" s="19" t="n">
        <v>0.855113052316893</v>
      </c>
      <c r="K418" s="19" t="n">
        <v>0.598424402924948</v>
      </c>
      <c r="L418" s="16" t="n">
        <v>13.0045281278539</v>
      </c>
      <c r="M418" s="19" t="n">
        <v>0.949000621723637</v>
      </c>
      <c r="N418" s="19" t="n">
        <v>0.811036535624083</v>
      </c>
      <c r="O418" s="19" t="n">
        <v>1.19850558686772</v>
      </c>
      <c r="P418" s="19" t="n">
        <v>0.516180795771145</v>
      </c>
      <c r="Q418" s="17" t="s">
        <v>31</v>
      </c>
      <c r="R418" s="5" t="str">
        <f aca="false">IF(OR(Q418="Steel plate",Q418="Concrete jacket"),"Steel plate or jacket",Q418)</f>
        <v>Polymer laminate</v>
      </c>
      <c r="S418" s="5" t="str">
        <f aca="false">IF(O418&lt;='Tree rules'!$C$4,IF(N418&lt;='Tree rules'!$C$5,IF(P418&lt;='Tree rules'!$C$6,"Monitor","Polymer laminate"),IF(P418&lt;='Tree rules'!$C$7,"Seal cracks","Polymer laminate")),IF(O418&lt;='Tree rules'!$C$8,IF(M418&lt;='Tree rules'!$C$9,"Steel plate or jacket","Polymer laminate"),IF(L418&lt;='Tree rules'!$C$10,"Steel plate or jacket","Polymer laminate")))</f>
        <v>Polymer laminate</v>
      </c>
      <c r="T418" s="5" t="str">
        <f aca="false">IF(S418=R418,"Yes","No")</f>
        <v>Yes</v>
      </c>
    </row>
    <row r="419" customFormat="false" ht="15" hidden="false" customHeight="false" outlineLevel="0" collapsed="false">
      <c r="A419" s="15" t="n">
        <v>1395</v>
      </c>
      <c r="B419" s="16" t="n">
        <v>3.92805528650023</v>
      </c>
      <c r="C419" s="15" t="n">
        <v>300</v>
      </c>
      <c r="D419" s="15" t="n">
        <v>350</v>
      </c>
      <c r="E419" s="15" t="n">
        <v>20</v>
      </c>
      <c r="F419" s="16" t="n">
        <v>0.661387927071535</v>
      </c>
      <c r="G419" s="17" t="s">
        <v>91</v>
      </c>
      <c r="H419" s="18" t="n">
        <v>0.2</v>
      </c>
      <c r="I419" s="18" t="n">
        <v>1</v>
      </c>
      <c r="J419" s="19" t="n">
        <v>0.989635882544051</v>
      </c>
      <c r="K419" s="19" t="n">
        <v>0.425121724980134</v>
      </c>
      <c r="L419" s="16" t="n">
        <v>12.9212344950666</v>
      </c>
      <c r="M419" s="19" t="n">
        <v>0.75551767730785</v>
      </c>
      <c r="N419" s="19" t="n">
        <v>1.16387348122674</v>
      </c>
      <c r="O419" s="19" t="n">
        <v>0.989635882544051</v>
      </c>
      <c r="P419" s="19" t="n">
        <v>0.442628611603304</v>
      </c>
      <c r="Q419" s="17" t="s">
        <v>30</v>
      </c>
      <c r="R419" s="5" t="str">
        <f aca="false">IF(OR(Q419="Steel plate",Q419="Concrete jacket"),"Steel plate or jacket",Q419)</f>
        <v>Seal cracks</v>
      </c>
      <c r="S419" s="5" t="str">
        <f aca="false">IF(O419&lt;='Tree rules'!$C$4,IF(N419&lt;='Tree rules'!$C$5,IF(P419&lt;='Tree rules'!$C$6,"Monitor","Polymer laminate"),IF(P419&lt;='Tree rules'!$C$7,"Seal cracks","Polymer laminate")),IF(O419&lt;='Tree rules'!$C$8,IF(M419&lt;='Tree rules'!$C$9,"Steel plate or jacket","Polymer laminate"),IF(L419&lt;='Tree rules'!$C$10,"Steel plate or jacket","Polymer laminate")))</f>
        <v>Seal cracks</v>
      </c>
      <c r="T419" s="5" t="str">
        <f aca="false">IF(S419=R419,"Yes","No")</f>
        <v>Yes</v>
      </c>
    </row>
    <row r="420" customFormat="false" ht="15" hidden="false" customHeight="false" outlineLevel="0" collapsed="false">
      <c r="A420" s="15" t="n">
        <v>1397</v>
      </c>
      <c r="B420" s="16" t="n">
        <v>6.86207242067444</v>
      </c>
      <c r="C420" s="15" t="n">
        <v>230</v>
      </c>
      <c r="D420" s="15" t="n">
        <v>550</v>
      </c>
      <c r="E420" s="15" t="n">
        <v>30</v>
      </c>
      <c r="F420" s="16" t="n">
        <v>0.544187190990784</v>
      </c>
      <c r="G420" s="17" t="s">
        <v>89</v>
      </c>
      <c r="H420" s="18" t="n">
        <v>0.3</v>
      </c>
      <c r="I420" s="18" t="n">
        <v>2</v>
      </c>
      <c r="J420" s="19" t="n">
        <v>0.858139489205315</v>
      </c>
      <c r="K420" s="19" t="n">
        <v>0.53451655113632</v>
      </c>
      <c r="L420" s="16" t="n">
        <v>13.6694669734551</v>
      </c>
      <c r="M420" s="19" t="n">
        <v>0.526391923974348</v>
      </c>
      <c r="N420" s="19" t="n">
        <v>1.21429550401527</v>
      </c>
      <c r="O420" s="19" t="n">
        <v>1.25758921824672</v>
      </c>
      <c r="P420" s="19" t="n">
        <v>0.65325034863022</v>
      </c>
      <c r="Q420" s="17" t="s">
        <v>31</v>
      </c>
      <c r="R420" s="5" t="str">
        <f aca="false">IF(OR(Q420="Steel plate",Q420="Concrete jacket"),"Steel plate or jacket",Q420)</f>
        <v>Polymer laminate</v>
      </c>
      <c r="S420" s="5" t="str">
        <f aca="false">IF(O420&lt;='Tree rules'!$C$4,IF(N420&lt;='Tree rules'!$C$5,IF(P420&lt;='Tree rules'!$C$6,"Monitor","Polymer laminate"),IF(P420&lt;='Tree rules'!$C$7,"Seal cracks","Polymer laminate")),IF(O420&lt;='Tree rules'!$C$8,IF(M420&lt;='Tree rules'!$C$9,"Steel plate or jacket","Polymer laminate"),IF(L420&lt;='Tree rules'!$C$10,"Steel plate or jacket","Polymer laminate")))</f>
        <v>Polymer laminate</v>
      </c>
      <c r="T420" s="5" t="str">
        <f aca="false">IF(S420=R420,"Yes","No")</f>
        <v>Yes</v>
      </c>
    </row>
    <row r="421" customFormat="false" ht="15" hidden="false" customHeight="false" outlineLevel="0" collapsed="false">
      <c r="A421" s="15" t="n">
        <v>1398</v>
      </c>
      <c r="B421" s="16" t="n">
        <v>3.0065975281754</v>
      </c>
      <c r="C421" s="15" t="n">
        <v>300</v>
      </c>
      <c r="D421" s="15" t="n">
        <v>300</v>
      </c>
      <c r="E421" s="15" t="n">
        <v>30</v>
      </c>
      <c r="F421" s="16" t="n">
        <v>0.831109167616348</v>
      </c>
      <c r="G421" s="17" t="s">
        <v>91</v>
      </c>
      <c r="H421" s="18" t="n">
        <v>0.2</v>
      </c>
      <c r="I421" s="18" t="n">
        <v>1</v>
      </c>
      <c r="J421" s="19" t="n">
        <v>0.907873108846595</v>
      </c>
      <c r="K421" s="19" t="n">
        <v>0.601675335269269</v>
      </c>
      <c r="L421" s="16" t="n">
        <v>11.9309425721246</v>
      </c>
      <c r="M421" s="19" t="n">
        <v>0.396719933360252</v>
      </c>
      <c r="N421" s="19" t="n">
        <v>1.54382161578593</v>
      </c>
      <c r="O421" s="19" t="n">
        <v>0.907873108846595</v>
      </c>
      <c r="P421" s="19" t="n">
        <v>0.755992414866721</v>
      </c>
      <c r="Q421" s="17" t="s">
        <v>30</v>
      </c>
      <c r="R421" s="5" t="str">
        <f aca="false">IF(OR(Q421="Steel plate",Q421="Concrete jacket"),"Steel plate or jacket",Q421)</f>
        <v>Seal cracks</v>
      </c>
      <c r="S421" s="5" t="str">
        <f aca="false">IF(O421&lt;='Tree rules'!$C$4,IF(N421&lt;='Tree rules'!$C$5,IF(P421&lt;='Tree rules'!$C$6,"Monitor","Polymer laminate"),IF(P421&lt;='Tree rules'!$C$7,"Seal cracks","Polymer laminate")),IF(O421&lt;='Tree rules'!$C$8,IF(M421&lt;='Tree rules'!$C$9,"Steel plate or jacket","Polymer laminate"),IF(L421&lt;='Tree rules'!$C$10,"Steel plate or jacket","Polymer laminate")))</f>
        <v>Seal cracks</v>
      </c>
      <c r="T421" s="5" t="str">
        <f aca="false">IF(S421=R421,"Yes","No")</f>
        <v>Yes</v>
      </c>
    </row>
    <row r="422" customFormat="false" ht="15" hidden="false" customHeight="false" outlineLevel="0" collapsed="false">
      <c r="A422" s="15" t="n">
        <v>1404</v>
      </c>
      <c r="B422" s="16" t="n">
        <v>6.46442586619996</v>
      </c>
      <c r="C422" s="15" t="n">
        <v>230</v>
      </c>
      <c r="D422" s="15" t="n">
        <v>600</v>
      </c>
      <c r="E422" s="15" t="n">
        <v>30</v>
      </c>
      <c r="F422" s="16" t="n">
        <v>0.763078128149088</v>
      </c>
      <c r="G422" s="17" t="s">
        <v>90</v>
      </c>
      <c r="H422" s="18" t="n">
        <v>0.1</v>
      </c>
      <c r="I422" s="18" t="n">
        <v>1</v>
      </c>
      <c r="J422" s="19" t="n">
        <v>0.873690864293944</v>
      </c>
      <c r="K422" s="19" t="n">
        <v>0.538134374284499</v>
      </c>
      <c r="L422" s="16" t="n">
        <v>12.0380369947858</v>
      </c>
      <c r="M422" s="19" t="n">
        <v>0.949490879625432</v>
      </c>
      <c r="N422" s="19" t="n">
        <v>2.1190419320628</v>
      </c>
      <c r="O422" s="19" t="n">
        <v>0.873690864293944</v>
      </c>
      <c r="P422" s="19" t="n">
        <v>0.357811808167839</v>
      </c>
      <c r="Q422" s="17" t="s">
        <v>30</v>
      </c>
      <c r="R422" s="5" t="str">
        <f aca="false">IF(OR(Q422="Steel plate",Q422="Concrete jacket"),"Steel plate or jacket",Q422)</f>
        <v>Seal cracks</v>
      </c>
      <c r="S422" s="5" t="str">
        <f aca="false">IF(O422&lt;='Tree rules'!$C$4,IF(N422&lt;='Tree rules'!$C$5,IF(P422&lt;='Tree rules'!$C$6,"Monitor","Polymer laminate"),IF(P422&lt;='Tree rules'!$C$7,"Seal cracks","Polymer laminate")),IF(O422&lt;='Tree rules'!$C$8,IF(M422&lt;='Tree rules'!$C$9,"Steel plate or jacket","Polymer laminate"),IF(L422&lt;='Tree rules'!$C$10,"Steel plate or jacket","Polymer laminate")))</f>
        <v>Seal cracks</v>
      </c>
      <c r="T422" s="5" t="str">
        <f aca="false">IF(S422=R422,"Yes","No")</f>
        <v>Yes</v>
      </c>
    </row>
    <row r="423" customFormat="false" ht="15" hidden="false" customHeight="false" outlineLevel="0" collapsed="false">
      <c r="A423" s="15" t="n">
        <v>1405</v>
      </c>
      <c r="B423" s="16" t="n">
        <v>4.43396015243663</v>
      </c>
      <c r="C423" s="15" t="n">
        <v>230</v>
      </c>
      <c r="D423" s="15" t="n">
        <v>400</v>
      </c>
      <c r="E423" s="15" t="n">
        <v>25</v>
      </c>
      <c r="F423" s="16" t="n">
        <v>0.776085141697083</v>
      </c>
      <c r="G423" s="17" t="s">
        <v>91</v>
      </c>
      <c r="H423" s="18" t="n">
        <v>0.2</v>
      </c>
      <c r="I423" s="18" t="n">
        <v>2</v>
      </c>
      <c r="J423" s="19" t="n">
        <v>0.929236786517137</v>
      </c>
      <c r="K423" s="19" t="n">
        <v>0.492268964284898</v>
      </c>
      <c r="L423" s="16" t="n">
        <v>12.5964777057859</v>
      </c>
      <c r="M423" s="19" t="n">
        <v>0.917027664709441</v>
      </c>
      <c r="N423" s="19" t="n">
        <v>1.90664799195066</v>
      </c>
      <c r="O423" s="19" t="n">
        <v>1.40103914256006</v>
      </c>
      <c r="P423" s="19" t="n">
        <v>0.497536598680272</v>
      </c>
      <c r="Q423" s="17" t="s">
        <v>31</v>
      </c>
      <c r="R423" s="5" t="str">
        <f aca="false">IF(OR(Q423="Steel plate",Q423="Concrete jacket"),"Steel plate or jacket",Q423)</f>
        <v>Polymer laminate</v>
      </c>
      <c r="S423" s="5" t="str">
        <f aca="false">IF(O423&lt;='Tree rules'!$C$4,IF(N423&lt;='Tree rules'!$C$5,IF(P423&lt;='Tree rules'!$C$6,"Monitor","Polymer laminate"),IF(P423&lt;='Tree rules'!$C$7,"Seal cracks","Polymer laminate")),IF(O423&lt;='Tree rules'!$C$8,IF(M423&lt;='Tree rules'!$C$9,"Steel plate or jacket","Polymer laminate"),IF(L423&lt;='Tree rules'!$C$10,"Steel plate or jacket","Polymer laminate")))</f>
        <v>Steel plate or jacket</v>
      </c>
      <c r="T423" s="5" t="str">
        <f aca="false">IF(S423=R423,"Yes","No")</f>
        <v>No</v>
      </c>
    </row>
    <row r="424" customFormat="false" ht="15" hidden="false" customHeight="false" outlineLevel="0" collapsed="false">
      <c r="A424" s="15" t="n">
        <v>1409</v>
      </c>
      <c r="B424" s="16" t="n">
        <v>3.11059566593429</v>
      </c>
      <c r="C424" s="15" t="n">
        <v>230</v>
      </c>
      <c r="D424" s="15" t="n">
        <v>300</v>
      </c>
      <c r="E424" s="15" t="n">
        <v>25</v>
      </c>
      <c r="F424" s="16" t="n">
        <v>0.576243217710084</v>
      </c>
      <c r="G424" s="17" t="s">
        <v>89</v>
      </c>
      <c r="H424" s="18" t="n">
        <v>0.3</v>
      </c>
      <c r="I424" s="18" t="n">
        <v>1</v>
      </c>
      <c r="J424" s="19" t="n">
        <v>0.863333637927616</v>
      </c>
      <c r="K424" s="19" t="n">
        <v>0.552501151319223</v>
      </c>
      <c r="L424" s="16" t="n">
        <v>12.1507643200558</v>
      </c>
      <c r="M424" s="19" t="n">
        <v>0.929294127375173</v>
      </c>
      <c r="N424" s="19" t="n">
        <v>0.547775175936175</v>
      </c>
      <c r="O424" s="19" t="n">
        <v>0.863333637927616</v>
      </c>
      <c r="P424" s="19" t="n">
        <v>0.257568865291472</v>
      </c>
      <c r="Q424" s="17" t="s">
        <v>29</v>
      </c>
      <c r="R424" s="5" t="str">
        <f aca="false">IF(OR(Q424="Steel plate",Q424="Concrete jacket"),"Steel plate or jacket",Q424)</f>
        <v>Monitor</v>
      </c>
      <c r="S424" s="5" t="str">
        <f aca="false">IF(O424&lt;='Tree rules'!$C$4,IF(N424&lt;='Tree rules'!$C$5,IF(P424&lt;='Tree rules'!$C$6,"Monitor","Polymer laminate"),IF(P424&lt;='Tree rules'!$C$7,"Seal cracks","Polymer laminate")),IF(O424&lt;='Tree rules'!$C$8,IF(M424&lt;='Tree rules'!$C$9,"Steel plate or jacket","Polymer laminate"),IF(L424&lt;='Tree rules'!$C$10,"Steel plate or jacket","Polymer laminate")))</f>
        <v>Monitor</v>
      </c>
      <c r="T424" s="5" t="str">
        <f aca="false">IF(S424=R424,"Yes","No")</f>
        <v>Yes</v>
      </c>
    </row>
    <row r="425" customFormat="false" ht="15" hidden="false" customHeight="false" outlineLevel="0" collapsed="false">
      <c r="A425" s="15" t="n">
        <v>1413</v>
      </c>
      <c r="B425" s="16" t="n">
        <v>4.16215845286451</v>
      </c>
      <c r="C425" s="15" t="n">
        <v>300</v>
      </c>
      <c r="D425" s="15" t="n">
        <v>350</v>
      </c>
      <c r="E425" s="15" t="n">
        <v>30</v>
      </c>
      <c r="F425" s="16" t="n">
        <v>0.693508312050727</v>
      </c>
      <c r="G425" s="17" t="s">
        <v>89</v>
      </c>
      <c r="H425" s="18" t="n">
        <v>0.3</v>
      </c>
      <c r="I425" s="18" t="n">
        <v>1</v>
      </c>
      <c r="J425" s="19" t="n">
        <v>0.972467400304086</v>
      </c>
      <c r="K425" s="19" t="n">
        <v>0.633004605937543</v>
      </c>
      <c r="L425" s="16" t="n">
        <v>13.7819816320017</v>
      </c>
      <c r="M425" s="19" t="n">
        <v>0.868183476912766</v>
      </c>
      <c r="N425" s="19" t="n">
        <v>1.01633319940334</v>
      </c>
      <c r="O425" s="19" t="n">
        <v>0.972467400304086</v>
      </c>
      <c r="P425" s="19" t="n">
        <v>0.431862778676373</v>
      </c>
      <c r="Q425" s="17" t="s">
        <v>30</v>
      </c>
      <c r="R425" s="5" t="str">
        <f aca="false">IF(OR(Q425="Steel plate",Q425="Concrete jacket"),"Steel plate or jacket",Q425)</f>
        <v>Seal cracks</v>
      </c>
      <c r="S425" s="5" t="str">
        <f aca="false">IF(O425&lt;='Tree rules'!$C$4,IF(N425&lt;='Tree rules'!$C$5,IF(P425&lt;='Tree rules'!$C$6,"Monitor","Polymer laminate"),IF(P425&lt;='Tree rules'!$C$7,"Seal cracks","Polymer laminate")),IF(O425&lt;='Tree rules'!$C$8,IF(M425&lt;='Tree rules'!$C$9,"Steel plate or jacket","Polymer laminate"),IF(L425&lt;='Tree rules'!$C$10,"Steel plate or jacket","Polymer laminate")))</f>
        <v>Seal cracks</v>
      </c>
      <c r="T425" s="5" t="str">
        <f aca="false">IF(S425=R425,"Yes","No")</f>
        <v>Yes</v>
      </c>
    </row>
    <row r="426" customFormat="false" ht="15" hidden="false" customHeight="false" outlineLevel="0" collapsed="false">
      <c r="A426" s="15" t="n">
        <v>1418</v>
      </c>
      <c r="B426" s="16" t="n">
        <v>6.77903592395026</v>
      </c>
      <c r="C426" s="15" t="n">
        <v>300</v>
      </c>
      <c r="D426" s="15" t="n">
        <v>650</v>
      </c>
      <c r="E426" s="15" t="n">
        <v>25</v>
      </c>
      <c r="F426" s="16" t="n">
        <v>0.695812326376477</v>
      </c>
      <c r="G426" s="17" t="s">
        <v>89</v>
      </c>
      <c r="H426" s="18" t="n">
        <v>0.3</v>
      </c>
      <c r="I426" s="18" t="n">
        <v>1</v>
      </c>
      <c r="J426" s="19" t="n">
        <v>0.932137610590525</v>
      </c>
      <c r="K426" s="19" t="n">
        <v>0.484126168073828</v>
      </c>
      <c r="L426" s="16" t="n">
        <v>11.2608570165287</v>
      </c>
      <c r="M426" s="19" t="n">
        <v>0.522730666301247</v>
      </c>
      <c r="N426" s="19" t="n">
        <v>0.650362395952106</v>
      </c>
      <c r="O426" s="19" t="n">
        <v>0.932137610590525</v>
      </c>
      <c r="P426" s="19" t="n">
        <v>0.62133445466228</v>
      </c>
      <c r="Q426" s="17" t="s">
        <v>29</v>
      </c>
      <c r="R426" s="5" t="str">
        <f aca="false">IF(OR(Q426="Steel plate",Q426="Concrete jacket"),"Steel plate or jacket",Q426)</f>
        <v>Monitor</v>
      </c>
      <c r="S426" s="5" t="str">
        <f aca="false">IF(O426&lt;='Tree rules'!$C$4,IF(N426&lt;='Tree rules'!$C$5,IF(P426&lt;='Tree rules'!$C$6,"Monitor","Polymer laminate"),IF(P426&lt;='Tree rules'!$C$7,"Seal cracks","Polymer laminate")),IF(O426&lt;='Tree rules'!$C$8,IF(M426&lt;='Tree rules'!$C$9,"Steel plate or jacket","Polymer laminate"),IF(L426&lt;='Tree rules'!$C$10,"Steel plate or jacket","Polymer laminate")))</f>
        <v>Monitor</v>
      </c>
      <c r="T426" s="5" t="str">
        <f aca="false">IF(S426=R426,"Yes","No")</f>
        <v>Yes</v>
      </c>
    </row>
    <row r="427" customFormat="false" ht="15" hidden="false" customHeight="false" outlineLevel="0" collapsed="false">
      <c r="A427" s="15" t="n">
        <v>1420</v>
      </c>
      <c r="B427" s="16" t="n">
        <v>3.74828035379172</v>
      </c>
      <c r="C427" s="15" t="n">
        <v>230</v>
      </c>
      <c r="D427" s="15" t="n">
        <v>300</v>
      </c>
      <c r="E427" s="15" t="n">
        <v>30</v>
      </c>
      <c r="F427" s="16" t="n">
        <v>0.576243217710084</v>
      </c>
      <c r="G427" s="17" t="s">
        <v>89</v>
      </c>
      <c r="H427" s="18" t="n">
        <v>0.3</v>
      </c>
      <c r="I427" s="18" t="n">
        <v>1</v>
      </c>
      <c r="J427" s="19" t="n">
        <v>0.884624912047524</v>
      </c>
      <c r="K427" s="19" t="n">
        <v>0.543793876265214</v>
      </c>
      <c r="L427" s="16" t="n">
        <v>14.6417201319989</v>
      </c>
      <c r="M427" s="19" t="n">
        <v>0.912794536668115</v>
      </c>
      <c r="N427" s="19" t="n">
        <v>0.573315316345167</v>
      </c>
      <c r="O427" s="19" t="n">
        <v>0.884624912047524</v>
      </c>
      <c r="P427" s="19" t="n">
        <v>0.300919276704759</v>
      </c>
      <c r="Q427" s="17" t="s">
        <v>29</v>
      </c>
      <c r="R427" s="5" t="str">
        <f aca="false">IF(OR(Q427="Steel plate",Q427="Concrete jacket"),"Steel plate or jacket",Q427)</f>
        <v>Monitor</v>
      </c>
      <c r="S427" s="5" t="str">
        <f aca="false">IF(O427&lt;='Tree rules'!$C$4,IF(N427&lt;='Tree rules'!$C$5,IF(P427&lt;='Tree rules'!$C$6,"Monitor","Polymer laminate"),IF(P427&lt;='Tree rules'!$C$7,"Seal cracks","Polymer laminate")),IF(O427&lt;='Tree rules'!$C$8,IF(M427&lt;='Tree rules'!$C$9,"Steel plate or jacket","Polymer laminate"),IF(L427&lt;='Tree rules'!$C$10,"Steel plate or jacket","Polymer laminate")))</f>
        <v>Monitor</v>
      </c>
      <c r="T427" s="5" t="str">
        <f aca="false">IF(S427=R427,"Yes","No")</f>
        <v>Yes</v>
      </c>
    </row>
    <row r="428" customFormat="false" ht="15" hidden="false" customHeight="false" outlineLevel="0" collapsed="false">
      <c r="A428" s="15" t="n">
        <v>1423</v>
      </c>
      <c r="B428" s="16" t="n">
        <v>3.62198609956863</v>
      </c>
      <c r="C428" s="15" t="n">
        <v>300</v>
      </c>
      <c r="D428" s="15" t="n">
        <v>300</v>
      </c>
      <c r="E428" s="15" t="n">
        <v>25</v>
      </c>
      <c r="F428" s="16" t="n">
        <v>0.831109167616348</v>
      </c>
      <c r="G428" s="17" t="s">
        <v>89</v>
      </c>
      <c r="H428" s="18" t="n">
        <v>0.3</v>
      </c>
      <c r="I428" s="18" t="n">
        <v>1</v>
      </c>
      <c r="J428" s="19" t="n">
        <v>0.883201103689251</v>
      </c>
      <c r="K428" s="19" t="n">
        <v>0.523396587470531</v>
      </c>
      <c r="L428" s="16" t="n">
        <v>14.3729607125739</v>
      </c>
      <c r="M428" s="19" t="n">
        <v>0.402212411642278</v>
      </c>
      <c r="N428" s="19" t="n">
        <v>0.986251196539603</v>
      </c>
      <c r="O428" s="19" t="n">
        <v>0.883201103689251</v>
      </c>
      <c r="P428" s="19" t="n">
        <v>0.875108532522047</v>
      </c>
      <c r="Q428" s="17" t="s">
        <v>29</v>
      </c>
      <c r="R428" s="5" t="str">
        <f aca="false">IF(OR(Q428="Steel plate",Q428="Concrete jacket"),"Steel plate or jacket",Q428)</f>
        <v>Monitor</v>
      </c>
      <c r="S428" s="5" t="str">
        <f aca="false">IF(O428&lt;='Tree rules'!$C$4,IF(N428&lt;='Tree rules'!$C$5,IF(P428&lt;='Tree rules'!$C$6,"Monitor","Polymer laminate"),IF(P428&lt;='Tree rules'!$C$7,"Seal cracks","Polymer laminate")),IF(O428&lt;='Tree rules'!$C$8,IF(M428&lt;='Tree rules'!$C$9,"Steel plate or jacket","Polymer laminate"),IF(L428&lt;='Tree rules'!$C$10,"Steel plate or jacket","Polymer laminate")))</f>
        <v>Monitor</v>
      </c>
      <c r="T428" s="5" t="str">
        <f aca="false">IF(S428=R428,"Yes","No")</f>
        <v>Yes</v>
      </c>
    </row>
    <row r="429" customFormat="false" ht="15" hidden="false" customHeight="false" outlineLevel="0" collapsed="false">
      <c r="A429" s="15" t="n">
        <v>1431</v>
      </c>
      <c r="B429" s="16" t="n">
        <v>4.42446838415915</v>
      </c>
      <c r="C429" s="15" t="n">
        <v>300</v>
      </c>
      <c r="D429" s="15" t="n">
        <v>375</v>
      </c>
      <c r="E429" s="15" t="n">
        <v>30</v>
      </c>
      <c r="F429" s="16" t="n">
        <v>0.611130485804701</v>
      </c>
      <c r="G429" s="17" t="s">
        <v>89</v>
      </c>
      <c r="H429" s="18" t="n">
        <v>0.3</v>
      </c>
      <c r="I429" s="18" t="n">
        <v>1.5</v>
      </c>
      <c r="J429" s="19" t="n">
        <v>0.928696483885851</v>
      </c>
      <c r="K429" s="19" t="n">
        <v>0.458437320837652</v>
      </c>
      <c r="L429" s="16" t="n">
        <v>13.4482321706965</v>
      </c>
      <c r="M429" s="19" t="n">
        <v>0.657349133641196</v>
      </c>
      <c r="N429" s="19" t="n">
        <v>0.978383540518574</v>
      </c>
      <c r="O429" s="19" t="n">
        <v>1.18017016185679</v>
      </c>
      <c r="P429" s="19" t="n">
        <v>0.48580684095777</v>
      </c>
      <c r="Q429" s="17" t="s">
        <v>31</v>
      </c>
      <c r="R429" s="5" t="str">
        <f aca="false">IF(OR(Q429="Steel plate",Q429="Concrete jacket"),"Steel plate or jacket",Q429)</f>
        <v>Polymer laminate</v>
      </c>
      <c r="S429" s="5" t="str">
        <f aca="false">IF(O429&lt;='Tree rules'!$C$4,IF(N429&lt;='Tree rules'!$C$5,IF(P429&lt;='Tree rules'!$C$6,"Monitor","Polymer laminate"),IF(P429&lt;='Tree rules'!$C$7,"Seal cracks","Polymer laminate")),IF(O429&lt;='Tree rules'!$C$8,IF(M429&lt;='Tree rules'!$C$9,"Steel plate or jacket","Polymer laminate"),IF(L429&lt;='Tree rules'!$C$10,"Steel plate or jacket","Polymer laminate")))</f>
        <v>Polymer laminate</v>
      </c>
      <c r="T429" s="5" t="str">
        <f aca="false">IF(S429=R429,"Yes","No")</f>
        <v>Yes</v>
      </c>
    </row>
    <row r="430" customFormat="false" ht="15" hidden="false" customHeight="false" outlineLevel="0" collapsed="false">
      <c r="A430" s="15" t="n">
        <v>1435</v>
      </c>
      <c r="B430" s="16" t="n">
        <v>6.47839667410864</v>
      </c>
      <c r="C430" s="15" t="n">
        <v>230</v>
      </c>
      <c r="D430" s="15" t="n">
        <v>625</v>
      </c>
      <c r="E430" s="15" t="n">
        <v>20</v>
      </c>
      <c r="F430" s="16" t="n">
        <v>0.710178431223674</v>
      </c>
      <c r="G430" s="17" t="s">
        <v>89</v>
      </c>
      <c r="H430" s="18" t="n">
        <v>0.3</v>
      </c>
      <c r="I430" s="18" t="n">
        <v>1</v>
      </c>
      <c r="J430" s="19" t="n">
        <v>0.853049205814241</v>
      </c>
      <c r="K430" s="19" t="n">
        <v>0.560289829037219</v>
      </c>
      <c r="L430" s="16" t="n">
        <v>11.2277238719387</v>
      </c>
      <c r="M430" s="19" t="n">
        <v>0.513285541479217</v>
      </c>
      <c r="N430" s="19" t="n">
        <v>0.585545290551755</v>
      </c>
      <c r="O430" s="19" t="n">
        <v>0.853049205814241</v>
      </c>
      <c r="P430" s="19" t="n">
        <v>0.663258416588631</v>
      </c>
      <c r="Q430" s="17" t="s">
        <v>29</v>
      </c>
      <c r="R430" s="5" t="str">
        <f aca="false">IF(OR(Q430="Steel plate",Q430="Concrete jacket"),"Steel plate or jacket",Q430)</f>
        <v>Monitor</v>
      </c>
      <c r="S430" s="5" t="str">
        <f aca="false">IF(O430&lt;='Tree rules'!$C$4,IF(N430&lt;='Tree rules'!$C$5,IF(P430&lt;='Tree rules'!$C$6,"Monitor","Polymer laminate"),IF(P430&lt;='Tree rules'!$C$7,"Seal cracks","Polymer laminate")),IF(O430&lt;='Tree rules'!$C$8,IF(M430&lt;='Tree rules'!$C$9,"Steel plate or jacket","Polymer laminate"),IF(L430&lt;='Tree rules'!$C$10,"Steel plate or jacket","Polymer laminate")))</f>
        <v>Monitor</v>
      </c>
      <c r="T430" s="5" t="str">
        <f aca="false">IF(S430=R430,"Yes","No")</f>
        <v>Yes</v>
      </c>
    </row>
    <row r="431" customFormat="false" ht="15" hidden="false" customHeight="false" outlineLevel="0" collapsed="false">
      <c r="A431" s="15" t="n">
        <v>1437</v>
      </c>
      <c r="B431" s="16" t="n">
        <v>7.24352354251437</v>
      </c>
      <c r="C431" s="15" t="n">
        <v>230</v>
      </c>
      <c r="D431" s="15" t="n">
        <v>675</v>
      </c>
      <c r="E431" s="15" t="n">
        <v>20</v>
      </c>
      <c r="F431" s="16" t="n">
        <v>0.555918794027087</v>
      </c>
      <c r="G431" s="17" t="s">
        <v>91</v>
      </c>
      <c r="H431" s="18" t="n">
        <v>0.2</v>
      </c>
      <c r="I431" s="18" t="n">
        <v>1.5</v>
      </c>
      <c r="J431" s="19" t="n">
        <v>0.853659802774091</v>
      </c>
      <c r="K431" s="19" t="n">
        <v>0.457186183479939</v>
      </c>
      <c r="L431" s="16" t="n">
        <v>11.5159356796731</v>
      </c>
      <c r="M431" s="19" t="n">
        <v>0.589500093801502</v>
      </c>
      <c r="N431" s="19" t="n">
        <v>1.00761684944443</v>
      </c>
      <c r="O431" s="19" t="n">
        <v>1.08534897055087</v>
      </c>
      <c r="P431" s="19" t="n">
        <v>0.536073065844713</v>
      </c>
      <c r="Q431" s="17" t="s">
        <v>31</v>
      </c>
      <c r="R431" s="5" t="str">
        <f aca="false">IF(OR(Q431="Steel plate",Q431="Concrete jacket"),"Steel plate or jacket",Q431)</f>
        <v>Polymer laminate</v>
      </c>
      <c r="S431" s="5" t="str">
        <f aca="false">IF(O431&lt;='Tree rules'!$C$4,IF(N431&lt;='Tree rules'!$C$5,IF(P431&lt;='Tree rules'!$C$6,"Monitor","Polymer laminate"),IF(P431&lt;='Tree rules'!$C$7,"Seal cracks","Polymer laminate")),IF(O431&lt;='Tree rules'!$C$8,IF(M431&lt;='Tree rules'!$C$9,"Steel plate or jacket","Polymer laminate"),IF(L431&lt;='Tree rules'!$C$10,"Steel plate or jacket","Polymer laminate")))</f>
        <v>Polymer laminate</v>
      </c>
      <c r="T431" s="5" t="str">
        <f aca="false">IF(S431=R431,"Yes","No")</f>
        <v>Yes</v>
      </c>
    </row>
    <row r="432" customFormat="false" ht="15" hidden="false" customHeight="false" outlineLevel="0" collapsed="false">
      <c r="A432" s="15" t="n">
        <v>1439</v>
      </c>
      <c r="B432" s="16" t="n">
        <v>3.7460257460514</v>
      </c>
      <c r="C432" s="15" t="n">
        <v>300</v>
      </c>
      <c r="D432" s="15" t="n">
        <v>325</v>
      </c>
      <c r="E432" s="15" t="n">
        <v>25</v>
      </c>
      <c r="F432" s="16" t="n">
        <v>0.708629921862359</v>
      </c>
      <c r="G432" s="17" t="s">
        <v>90</v>
      </c>
      <c r="H432" s="18" t="n">
        <v>0.1</v>
      </c>
      <c r="I432" s="18" t="n">
        <v>1</v>
      </c>
      <c r="J432" s="19" t="n">
        <v>0.99981437618071</v>
      </c>
      <c r="K432" s="19" t="n">
        <v>0.568843926600342</v>
      </c>
      <c r="L432" s="16" t="n">
        <v>14.0828035565842</v>
      </c>
      <c r="M432" s="19" t="n">
        <v>0.938456459003697</v>
      </c>
      <c r="N432" s="19" t="n">
        <v>2.55257598746214</v>
      </c>
      <c r="O432" s="19" t="n">
        <v>0.99981437618071</v>
      </c>
      <c r="P432" s="19" t="n">
        <v>0.375507651386155</v>
      </c>
      <c r="Q432" s="17" t="s">
        <v>30</v>
      </c>
      <c r="R432" s="5" t="str">
        <f aca="false">IF(OR(Q432="Steel plate",Q432="Concrete jacket"),"Steel plate or jacket",Q432)</f>
        <v>Seal cracks</v>
      </c>
      <c r="S432" s="5" t="str">
        <f aca="false">IF(O432&lt;='Tree rules'!$C$4,IF(N432&lt;='Tree rules'!$C$5,IF(P432&lt;='Tree rules'!$C$6,"Monitor","Polymer laminate"),IF(P432&lt;='Tree rules'!$C$7,"Seal cracks","Polymer laminate")),IF(O432&lt;='Tree rules'!$C$8,IF(M432&lt;='Tree rules'!$C$9,"Steel plate or jacket","Polymer laminate"),IF(L432&lt;='Tree rules'!$C$10,"Steel plate or jacket","Polymer laminate")))</f>
        <v>Seal cracks</v>
      </c>
      <c r="T432" s="5" t="str">
        <f aca="false">IF(S432=R432,"Yes","No")</f>
        <v>Yes</v>
      </c>
    </row>
    <row r="433" customFormat="false" ht="15" hidden="false" customHeight="false" outlineLevel="0" collapsed="false">
      <c r="A433" s="15" t="n">
        <v>1440</v>
      </c>
      <c r="B433" s="16" t="n">
        <v>6.73980590927359</v>
      </c>
      <c r="C433" s="15" t="n">
        <v>230</v>
      </c>
      <c r="D433" s="15" t="n">
        <v>600</v>
      </c>
      <c r="E433" s="15" t="n">
        <v>30</v>
      </c>
      <c r="F433" s="16" t="n">
        <v>0.742342309449384</v>
      </c>
      <c r="G433" s="17" t="s">
        <v>89</v>
      </c>
      <c r="H433" s="18" t="n">
        <v>0.3</v>
      </c>
      <c r="I433" s="18" t="n">
        <v>1</v>
      </c>
      <c r="J433" s="19" t="n">
        <v>0.944677844067772</v>
      </c>
      <c r="K433" s="19" t="n">
        <v>0.576549614943605</v>
      </c>
      <c r="L433" s="16" t="n">
        <v>12.2097933139014</v>
      </c>
      <c r="M433" s="19" t="n">
        <v>0.828345539713492</v>
      </c>
      <c r="N433" s="19" t="n">
        <v>0.629717134067922</v>
      </c>
      <c r="O433" s="19" t="n">
        <v>0.944677844067772</v>
      </c>
      <c r="P433" s="19" t="n">
        <v>0.472172469271806</v>
      </c>
      <c r="Q433" s="17" t="s">
        <v>29</v>
      </c>
      <c r="R433" s="5" t="str">
        <f aca="false">IF(OR(Q433="Steel plate",Q433="Concrete jacket"),"Steel plate or jacket",Q433)</f>
        <v>Monitor</v>
      </c>
      <c r="S433" s="5" t="str">
        <f aca="false">IF(O433&lt;='Tree rules'!$C$4,IF(N433&lt;='Tree rules'!$C$5,IF(P433&lt;='Tree rules'!$C$6,"Monitor","Polymer laminate"),IF(P433&lt;='Tree rules'!$C$7,"Seal cracks","Polymer laminate")),IF(O433&lt;='Tree rules'!$C$8,IF(M433&lt;='Tree rules'!$C$9,"Steel plate or jacket","Polymer laminate"),IF(L433&lt;='Tree rules'!$C$10,"Steel plate or jacket","Polymer laminate")))</f>
        <v>Monitor</v>
      </c>
      <c r="T433" s="5" t="str">
        <f aca="false">IF(S433=R433,"Yes","No")</f>
        <v>Yes</v>
      </c>
    </row>
    <row r="434" customFormat="false" ht="15" hidden="false" customHeight="false" outlineLevel="0" collapsed="false">
      <c r="A434" s="15" t="n">
        <v>1442</v>
      </c>
      <c r="B434" s="16" t="n">
        <v>7.32202331152748</v>
      </c>
      <c r="C434" s="15" t="n">
        <v>300</v>
      </c>
      <c r="D434" s="15" t="n">
        <v>600</v>
      </c>
      <c r="E434" s="15" t="n">
        <v>30</v>
      </c>
      <c r="F434" s="16" t="n">
        <v>0.5850265649143</v>
      </c>
      <c r="G434" s="17" t="s">
        <v>90</v>
      </c>
      <c r="H434" s="18" t="n">
        <v>0.1</v>
      </c>
      <c r="I434" s="18" t="n">
        <v>1</v>
      </c>
      <c r="J434" s="19" t="n">
        <v>0.863558524790438</v>
      </c>
      <c r="K434" s="19" t="n">
        <v>0.505786742505297</v>
      </c>
      <c r="L434" s="16" t="n">
        <v>13.6350527216527</v>
      </c>
      <c r="M434" s="19" t="n">
        <v>0.731398885454317</v>
      </c>
      <c r="N434" s="19" t="n">
        <v>2.35241017620947</v>
      </c>
      <c r="O434" s="19" t="n">
        <v>0.863558524790438</v>
      </c>
      <c r="P434" s="19" t="n">
        <v>0.396611217674336</v>
      </c>
      <c r="Q434" s="17" t="s">
        <v>30</v>
      </c>
      <c r="R434" s="5" t="str">
        <f aca="false">IF(OR(Q434="Steel plate",Q434="Concrete jacket"),"Steel plate or jacket",Q434)</f>
        <v>Seal cracks</v>
      </c>
      <c r="S434" s="5" t="str">
        <f aca="false">IF(O434&lt;='Tree rules'!$C$4,IF(N434&lt;='Tree rules'!$C$5,IF(P434&lt;='Tree rules'!$C$6,"Monitor","Polymer laminate"),IF(P434&lt;='Tree rules'!$C$7,"Seal cracks","Polymer laminate")),IF(O434&lt;='Tree rules'!$C$8,IF(M434&lt;='Tree rules'!$C$9,"Steel plate or jacket","Polymer laminate"),IF(L434&lt;='Tree rules'!$C$10,"Steel plate or jacket","Polymer laminate")))</f>
        <v>Seal cracks</v>
      </c>
      <c r="T434" s="5" t="str">
        <f aca="false">IF(S434=R434,"Yes","No")</f>
        <v>Yes</v>
      </c>
    </row>
    <row r="435" customFormat="false" ht="15" hidden="false" customHeight="false" outlineLevel="0" collapsed="false">
      <c r="A435" s="15" t="n">
        <v>1446</v>
      </c>
      <c r="B435" s="16" t="n">
        <v>3.23575846455022</v>
      </c>
      <c r="C435" s="15" t="n">
        <v>230</v>
      </c>
      <c r="D435" s="15" t="n">
        <v>300</v>
      </c>
      <c r="E435" s="15" t="n">
        <v>25</v>
      </c>
      <c r="F435" s="16" t="n">
        <v>0.688332522525665</v>
      </c>
      <c r="G435" s="17" t="s">
        <v>89</v>
      </c>
      <c r="H435" s="18" t="n">
        <v>0.3</v>
      </c>
      <c r="I435" s="18" t="n">
        <v>1</v>
      </c>
      <c r="J435" s="19" t="n">
        <v>0.859790823189049</v>
      </c>
      <c r="K435" s="19" t="n">
        <v>0.529310777274647</v>
      </c>
      <c r="L435" s="16" t="n">
        <v>12.7392065533473</v>
      </c>
      <c r="M435" s="19" t="n">
        <v>0.499691320716016</v>
      </c>
      <c r="N435" s="19" t="n">
        <v>0.802624549710377</v>
      </c>
      <c r="O435" s="19" t="n">
        <v>0.859790823189049</v>
      </c>
      <c r="P435" s="19" t="n">
        <v>0.534550909122887</v>
      </c>
      <c r="Q435" s="17" t="s">
        <v>29</v>
      </c>
      <c r="R435" s="5" t="str">
        <f aca="false">IF(OR(Q435="Steel plate",Q435="Concrete jacket"),"Steel plate or jacket",Q435)</f>
        <v>Monitor</v>
      </c>
      <c r="S435" s="5" t="str">
        <f aca="false">IF(O435&lt;='Tree rules'!$C$4,IF(N435&lt;='Tree rules'!$C$5,IF(P435&lt;='Tree rules'!$C$6,"Monitor","Polymer laminate"),IF(P435&lt;='Tree rules'!$C$7,"Seal cracks","Polymer laminate")),IF(O435&lt;='Tree rules'!$C$8,IF(M435&lt;='Tree rules'!$C$9,"Steel plate or jacket","Polymer laminate"),IF(L435&lt;='Tree rules'!$C$10,"Steel plate or jacket","Polymer laminate")))</f>
        <v>Monitor</v>
      </c>
      <c r="T435" s="5" t="str">
        <f aca="false">IF(S435=R435,"Yes","No")</f>
        <v>Yes</v>
      </c>
    </row>
    <row r="436" customFormat="false" ht="15" hidden="false" customHeight="false" outlineLevel="0" collapsed="false">
      <c r="A436" s="15" t="n">
        <v>1447</v>
      </c>
      <c r="B436" s="16" t="n">
        <v>3.19081344745553</v>
      </c>
      <c r="C436" s="15" t="n">
        <v>300</v>
      </c>
      <c r="D436" s="15" t="n">
        <v>300</v>
      </c>
      <c r="E436" s="15" t="n">
        <v>30</v>
      </c>
      <c r="F436" s="16" t="n">
        <v>0.589048622548086</v>
      </c>
      <c r="G436" s="17" t="s">
        <v>91</v>
      </c>
      <c r="H436" s="18" t="n">
        <v>0.2</v>
      </c>
      <c r="I436" s="18" t="n">
        <v>1.5</v>
      </c>
      <c r="J436" s="19" t="n">
        <v>0.92078314677611</v>
      </c>
      <c r="K436" s="19" t="n">
        <v>0.476328187455083</v>
      </c>
      <c r="L436" s="16" t="n">
        <v>12.4641150291232</v>
      </c>
      <c r="M436" s="19" t="n">
        <v>0.241361291411336</v>
      </c>
      <c r="N436" s="19" t="n">
        <v>1.38929960761628</v>
      </c>
      <c r="O436" s="19" t="n">
        <v>1.16187723649264</v>
      </c>
      <c r="P436" s="19" t="n">
        <v>1.0262336344257</v>
      </c>
      <c r="Q436" s="17" t="s">
        <v>31</v>
      </c>
      <c r="R436" s="5" t="str">
        <f aca="false">IF(OR(Q436="Steel plate",Q436="Concrete jacket"),"Steel plate or jacket",Q436)</f>
        <v>Polymer laminate</v>
      </c>
      <c r="S436" s="5" t="str">
        <f aca="false">IF(O436&lt;='Tree rules'!$C$4,IF(N436&lt;='Tree rules'!$C$5,IF(P436&lt;='Tree rules'!$C$6,"Monitor","Polymer laminate"),IF(P436&lt;='Tree rules'!$C$7,"Seal cracks","Polymer laminate")),IF(O436&lt;='Tree rules'!$C$8,IF(M436&lt;='Tree rules'!$C$9,"Steel plate or jacket","Polymer laminate"),IF(L436&lt;='Tree rules'!$C$10,"Steel plate or jacket","Polymer laminate")))</f>
        <v>Steel plate or jacket</v>
      </c>
      <c r="T436" s="5" t="str">
        <f aca="false">IF(S436=R436,"Yes","No")</f>
        <v>No</v>
      </c>
    </row>
    <row r="437" customFormat="false" ht="15" hidden="false" customHeight="false" outlineLevel="0" collapsed="false">
      <c r="A437" s="15" t="n">
        <v>1448</v>
      </c>
      <c r="B437" s="16" t="n">
        <v>3.65557862185262</v>
      </c>
      <c r="C437" s="15" t="n">
        <v>300</v>
      </c>
      <c r="D437" s="15" t="n">
        <v>350</v>
      </c>
      <c r="E437" s="15" t="n">
        <v>30</v>
      </c>
      <c r="F437" s="16" t="n">
        <v>0.661387927071535</v>
      </c>
      <c r="G437" s="17" t="s">
        <v>89</v>
      </c>
      <c r="H437" s="18" t="n">
        <v>0.3</v>
      </c>
      <c r="I437" s="18" t="n">
        <v>1.5</v>
      </c>
      <c r="J437" s="19" t="n">
        <v>0.916292076254405</v>
      </c>
      <c r="K437" s="19" t="n">
        <v>0.649360840235483</v>
      </c>
      <c r="L437" s="16" t="n">
        <v>12.0249296771468</v>
      </c>
      <c r="M437" s="19" t="n">
        <v>0.418000027097123</v>
      </c>
      <c r="N437" s="19" t="n">
        <v>0.936691828134657</v>
      </c>
      <c r="O437" s="19" t="n">
        <v>1.07693601811277</v>
      </c>
      <c r="P437" s="19" t="n">
        <v>0.74321654219232</v>
      </c>
      <c r="Q437" s="17" t="s">
        <v>31</v>
      </c>
      <c r="R437" s="5" t="str">
        <f aca="false">IF(OR(Q437="Steel plate",Q437="Concrete jacket"),"Steel plate or jacket",Q437)</f>
        <v>Polymer laminate</v>
      </c>
      <c r="S437" s="5" t="str">
        <f aca="false">IF(O437&lt;='Tree rules'!$C$4,IF(N437&lt;='Tree rules'!$C$5,IF(P437&lt;='Tree rules'!$C$6,"Monitor","Polymer laminate"),IF(P437&lt;='Tree rules'!$C$7,"Seal cracks","Polymer laminate")),IF(O437&lt;='Tree rules'!$C$8,IF(M437&lt;='Tree rules'!$C$9,"Steel plate or jacket","Polymer laminate"),IF(L437&lt;='Tree rules'!$C$10,"Steel plate or jacket","Polymer laminate")))</f>
        <v>Polymer laminate</v>
      </c>
      <c r="T437" s="5" t="str">
        <f aca="false">IF(S437=R437,"Yes","No")</f>
        <v>Yes</v>
      </c>
    </row>
    <row r="438" customFormat="false" ht="15" hidden="false" customHeight="false" outlineLevel="0" collapsed="false">
      <c r="A438" s="15" t="n">
        <v>1451</v>
      </c>
      <c r="B438" s="16" t="n">
        <v>6.24075770460891</v>
      </c>
      <c r="C438" s="15" t="n">
        <v>300</v>
      </c>
      <c r="D438" s="15" t="n">
        <v>600</v>
      </c>
      <c r="E438" s="15" t="n">
        <v>30</v>
      </c>
      <c r="F438" s="16" t="n">
        <v>0.948548506518657</v>
      </c>
      <c r="G438" s="17" t="s">
        <v>89</v>
      </c>
      <c r="H438" s="18" t="n">
        <v>0.3</v>
      </c>
      <c r="I438" s="18" t="n">
        <v>2</v>
      </c>
      <c r="J438" s="19" t="n">
        <v>0.894955557980572</v>
      </c>
      <c r="K438" s="19" t="n">
        <v>0.457056280006449</v>
      </c>
      <c r="L438" s="16" t="n">
        <v>11.305720479364</v>
      </c>
      <c r="M438" s="19" t="n">
        <v>0.548258168758547</v>
      </c>
      <c r="N438" s="19" t="n">
        <v>0.911455604561347</v>
      </c>
      <c r="O438" s="19" t="n">
        <v>1.38086605785945</v>
      </c>
      <c r="P438" s="19" t="n">
        <v>0.850203922592101</v>
      </c>
      <c r="Q438" s="17" t="s">
        <v>92</v>
      </c>
      <c r="R438" s="5" t="str">
        <f aca="false">IF(OR(Q438="Steel plate",Q438="Concrete jacket"),"Steel plate or jacket",Q438)</f>
        <v>Steel plate or jacket</v>
      </c>
      <c r="S438" s="5" t="str">
        <f aca="false">IF(O438&lt;='Tree rules'!$C$4,IF(N438&lt;='Tree rules'!$C$5,IF(P438&lt;='Tree rules'!$C$6,"Monitor","Polymer laminate"),IF(P438&lt;='Tree rules'!$C$7,"Seal cracks","Polymer laminate")),IF(O438&lt;='Tree rules'!$C$8,IF(M438&lt;='Tree rules'!$C$9,"Steel plate or jacket","Polymer laminate"),IF(L438&lt;='Tree rules'!$C$10,"Steel plate or jacket","Polymer laminate")))</f>
        <v>Steel plate or jacket</v>
      </c>
      <c r="T438" s="5" t="str">
        <f aca="false">IF(S438=R438,"Yes","No")</f>
        <v>Yes</v>
      </c>
    </row>
    <row r="439" customFormat="false" ht="15" hidden="false" customHeight="false" outlineLevel="0" collapsed="false">
      <c r="A439" s="15" t="n">
        <v>1452</v>
      </c>
      <c r="B439" s="16" t="n">
        <v>7.31309712841066</v>
      </c>
      <c r="C439" s="15" t="n">
        <v>300</v>
      </c>
      <c r="D439" s="15" t="n">
        <v>700</v>
      </c>
      <c r="E439" s="15" t="n">
        <v>20</v>
      </c>
      <c r="F439" s="16" t="n">
        <v>0.642452485396686</v>
      </c>
      <c r="G439" s="17" t="s">
        <v>89</v>
      </c>
      <c r="H439" s="18" t="n">
        <v>0.3</v>
      </c>
      <c r="I439" s="18" t="n">
        <v>1</v>
      </c>
      <c r="J439" s="19" t="n">
        <v>0.978440427090195</v>
      </c>
      <c r="K439" s="19" t="n">
        <v>0.527960138341659</v>
      </c>
      <c r="L439" s="16" t="n">
        <v>11.2164066386667</v>
      </c>
      <c r="M439" s="19" t="n">
        <v>0.757650812473938</v>
      </c>
      <c r="N439" s="19" t="n">
        <v>0.630013599927391</v>
      </c>
      <c r="O439" s="19" t="n">
        <v>0.978440427090195</v>
      </c>
      <c r="P439" s="19" t="n">
        <v>0.486894693932468</v>
      </c>
      <c r="Q439" s="17" t="s">
        <v>29</v>
      </c>
      <c r="R439" s="5" t="str">
        <f aca="false">IF(OR(Q439="Steel plate",Q439="Concrete jacket"),"Steel plate or jacket",Q439)</f>
        <v>Monitor</v>
      </c>
      <c r="S439" s="5" t="str">
        <f aca="false">IF(O439&lt;='Tree rules'!$C$4,IF(N439&lt;='Tree rules'!$C$5,IF(P439&lt;='Tree rules'!$C$6,"Monitor","Polymer laminate"),IF(P439&lt;='Tree rules'!$C$7,"Seal cracks","Polymer laminate")),IF(O439&lt;='Tree rules'!$C$8,IF(M439&lt;='Tree rules'!$C$9,"Steel plate or jacket","Polymer laminate"),IF(L439&lt;='Tree rules'!$C$10,"Steel plate or jacket","Polymer laminate")))</f>
        <v>Monitor</v>
      </c>
      <c r="T439" s="5" t="str">
        <f aca="false">IF(S439=R439,"Yes","No")</f>
        <v>Yes</v>
      </c>
    </row>
    <row r="440" customFormat="false" ht="15" hidden="false" customHeight="false" outlineLevel="0" collapsed="false">
      <c r="A440" s="15" t="n">
        <v>1454</v>
      </c>
      <c r="B440" s="16" t="n">
        <v>3.29378978615328</v>
      </c>
      <c r="C440" s="15" t="n">
        <v>300</v>
      </c>
      <c r="D440" s="15" t="n">
        <v>325</v>
      </c>
      <c r="E440" s="15" t="n">
        <v>25</v>
      </c>
      <c r="F440" s="16" t="n">
        <v>0.761598219052071</v>
      </c>
      <c r="G440" s="17" t="s">
        <v>90</v>
      </c>
      <c r="H440" s="18" t="n">
        <v>0.1</v>
      </c>
      <c r="I440" s="18" t="n">
        <v>1.5</v>
      </c>
      <c r="J440" s="19" t="n">
        <v>0.856449137412896</v>
      </c>
      <c r="K440" s="19" t="n">
        <v>0.575125896171247</v>
      </c>
      <c r="L440" s="16" t="n">
        <v>12.4764764627018</v>
      </c>
      <c r="M440" s="19" t="n">
        <v>0.352910946095191</v>
      </c>
      <c r="N440" s="19" t="n">
        <v>3.35724180374651</v>
      </c>
      <c r="O440" s="19" t="n">
        <v>1.0383906672795</v>
      </c>
      <c r="P440" s="19" t="n">
        <v>0.813112014115358</v>
      </c>
      <c r="Q440" s="17" t="s">
        <v>31</v>
      </c>
      <c r="R440" s="5" t="str">
        <f aca="false">IF(OR(Q440="Steel plate",Q440="Concrete jacket"),"Steel plate or jacket",Q440)</f>
        <v>Polymer laminate</v>
      </c>
      <c r="S440" s="5" t="str">
        <f aca="false">IF(O440&lt;='Tree rules'!$C$4,IF(N440&lt;='Tree rules'!$C$5,IF(P440&lt;='Tree rules'!$C$6,"Monitor","Polymer laminate"),IF(P440&lt;='Tree rules'!$C$7,"Seal cracks","Polymer laminate")),IF(O440&lt;='Tree rules'!$C$8,IF(M440&lt;='Tree rules'!$C$9,"Steel plate or jacket","Polymer laminate"),IF(L440&lt;='Tree rules'!$C$10,"Steel plate or jacket","Polymer laminate")))</f>
        <v>Polymer laminate</v>
      </c>
      <c r="T440" s="5" t="str">
        <f aca="false">IF(S440=R440,"Yes","No")</f>
        <v>Yes</v>
      </c>
    </row>
    <row r="441" customFormat="false" ht="15" hidden="false" customHeight="false" outlineLevel="0" collapsed="false">
      <c r="A441" s="15" t="n">
        <v>1459</v>
      </c>
      <c r="B441" s="16" t="n">
        <v>7.51754012049455</v>
      </c>
      <c r="C441" s="15" t="n">
        <v>300</v>
      </c>
      <c r="D441" s="15" t="n">
        <v>725</v>
      </c>
      <c r="E441" s="15" t="n">
        <v>20</v>
      </c>
      <c r="F441" s="16" t="n">
        <v>0.6187282429522</v>
      </c>
      <c r="G441" s="17" t="s">
        <v>91</v>
      </c>
      <c r="H441" s="18" t="n">
        <v>0.2</v>
      </c>
      <c r="I441" s="18" t="n">
        <v>1.5</v>
      </c>
      <c r="J441" s="19" t="n">
        <v>0.920395828611953</v>
      </c>
      <c r="K441" s="19" t="n">
        <v>0.554217136034971</v>
      </c>
      <c r="L441" s="16" t="n">
        <v>11.1041951558265</v>
      </c>
      <c r="M441" s="19" t="n">
        <v>0.948158531197927</v>
      </c>
      <c r="N441" s="19" t="n">
        <v>1.05290047844152</v>
      </c>
      <c r="O441" s="19" t="n">
        <v>1.125544172842</v>
      </c>
      <c r="P441" s="19" t="n">
        <v>0.412319772467762</v>
      </c>
      <c r="Q441" s="17" t="s">
        <v>31</v>
      </c>
      <c r="R441" s="5" t="str">
        <f aca="false">IF(OR(Q441="Steel plate",Q441="Concrete jacket"),"Steel plate or jacket",Q441)</f>
        <v>Polymer laminate</v>
      </c>
      <c r="S441" s="5" t="str">
        <f aca="false">IF(O441&lt;='Tree rules'!$C$4,IF(N441&lt;='Tree rules'!$C$5,IF(P441&lt;='Tree rules'!$C$6,"Monitor","Polymer laminate"),IF(P441&lt;='Tree rules'!$C$7,"Seal cracks","Polymer laminate")),IF(O441&lt;='Tree rules'!$C$8,IF(M441&lt;='Tree rules'!$C$9,"Steel plate or jacket","Polymer laminate"),IF(L441&lt;='Tree rules'!$C$10,"Steel plate or jacket","Polymer laminate")))</f>
        <v>Polymer laminate</v>
      </c>
      <c r="T441" s="5" t="str">
        <f aca="false">IF(S441=R441,"Yes","No")</f>
        <v>Yes</v>
      </c>
    </row>
    <row r="442" customFormat="false" ht="15" hidden="false" customHeight="false" outlineLevel="0" collapsed="false">
      <c r="A442" s="15" t="n">
        <v>1461</v>
      </c>
      <c r="B442" s="16" t="n">
        <v>5.34246706470706</v>
      </c>
      <c r="C442" s="15" t="n">
        <v>230</v>
      </c>
      <c r="D442" s="15" t="n">
        <v>500</v>
      </c>
      <c r="E442" s="15" t="n">
        <v>20</v>
      </c>
      <c r="F442" s="16" t="n">
        <v>0.577653504586516</v>
      </c>
      <c r="G442" s="17" t="s">
        <v>91</v>
      </c>
      <c r="H442" s="18" t="n">
        <v>0.2</v>
      </c>
      <c r="I442" s="18" t="n">
        <v>1</v>
      </c>
      <c r="J442" s="19" t="n">
        <v>0.963574132627989</v>
      </c>
      <c r="K442" s="19" t="n">
        <v>0.401396373797515</v>
      </c>
      <c r="L442" s="16" t="n">
        <v>11.7675486006764</v>
      </c>
      <c r="M442" s="19" t="n">
        <v>0.584078528207015</v>
      </c>
      <c r="N442" s="19" t="n">
        <v>1.00960749008728</v>
      </c>
      <c r="O442" s="19" t="n">
        <v>0.963574132627989</v>
      </c>
      <c r="P442" s="19" t="n">
        <v>0.494199485224672</v>
      </c>
      <c r="Q442" s="17" t="s">
        <v>30</v>
      </c>
      <c r="R442" s="5" t="str">
        <f aca="false">IF(OR(Q442="Steel plate",Q442="Concrete jacket"),"Steel plate or jacket",Q442)</f>
        <v>Seal cracks</v>
      </c>
      <c r="S442" s="5" t="str">
        <f aca="false">IF(O442&lt;='Tree rules'!$C$4,IF(N442&lt;='Tree rules'!$C$5,IF(P442&lt;='Tree rules'!$C$6,"Monitor","Polymer laminate"),IF(P442&lt;='Tree rules'!$C$7,"Seal cracks","Polymer laminate")),IF(O442&lt;='Tree rules'!$C$8,IF(M442&lt;='Tree rules'!$C$9,"Steel plate or jacket","Polymer laminate"),IF(L442&lt;='Tree rules'!$C$10,"Steel plate or jacket","Polymer laminate")))</f>
        <v>Seal cracks</v>
      </c>
      <c r="T442" s="5" t="str">
        <f aca="false">IF(S442=R442,"Yes","No")</f>
        <v>Yes</v>
      </c>
    </row>
    <row r="443" customFormat="false" ht="15" hidden="false" customHeight="false" outlineLevel="0" collapsed="false">
      <c r="A443" s="15" t="n">
        <v>1462</v>
      </c>
      <c r="B443" s="16" t="n">
        <v>5.93758587751128</v>
      </c>
      <c r="C443" s="15" t="n">
        <v>230</v>
      </c>
      <c r="D443" s="15" t="n">
        <v>500</v>
      </c>
      <c r="E443" s="15" t="n">
        <v>25</v>
      </c>
      <c r="F443" s="16" t="n">
        <v>0.604384889109233</v>
      </c>
      <c r="G443" s="17" t="s">
        <v>89</v>
      </c>
      <c r="H443" s="18" t="n">
        <v>0.3</v>
      </c>
      <c r="I443" s="18" t="n">
        <v>1</v>
      </c>
      <c r="J443" s="19" t="n">
        <v>0.940187901794265</v>
      </c>
      <c r="K443" s="19" t="n">
        <v>0.623553417013159</v>
      </c>
      <c r="L443" s="16" t="n">
        <v>13.1362519413966</v>
      </c>
      <c r="M443" s="19" t="n">
        <v>0.884971196157803</v>
      </c>
      <c r="N443" s="19" t="n">
        <v>0.805555333571216</v>
      </c>
      <c r="O443" s="19" t="n">
        <v>0.940187901794265</v>
      </c>
      <c r="P443" s="19" t="n">
        <v>0.42092531615566</v>
      </c>
      <c r="Q443" s="17" t="s">
        <v>29</v>
      </c>
      <c r="R443" s="5" t="str">
        <f aca="false">IF(OR(Q443="Steel plate",Q443="Concrete jacket"),"Steel plate or jacket",Q443)</f>
        <v>Monitor</v>
      </c>
      <c r="S443" s="5" t="str">
        <f aca="false">IF(O443&lt;='Tree rules'!$C$4,IF(N443&lt;='Tree rules'!$C$5,IF(P443&lt;='Tree rules'!$C$6,"Monitor","Polymer laminate"),IF(P443&lt;='Tree rules'!$C$7,"Seal cracks","Polymer laminate")),IF(O443&lt;='Tree rules'!$C$8,IF(M443&lt;='Tree rules'!$C$9,"Steel plate or jacket","Polymer laminate"),IF(L443&lt;='Tree rules'!$C$10,"Steel plate or jacket","Polymer laminate")))</f>
        <v>Monitor</v>
      </c>
      <c r="T443" s="5" t="str">
        <f aca="false">IF(S443=R443,"Yes","No")</f>
        <v>Yes</v>
      </c>
    </row>
    <row r="444" customFormat="false" ht="15" hidden="false" customHeight="false" outlineLevel="0" collapsed="false">
      <c r="A444" s="15" t="n">
        <v>1466</v>
      </c>
      <c r="B444" s="16" t="n">
        <v>5.32236438333881</v>
      </c>
      <c r="C444" s="15" t="n">
        <v>230</v>
      </c>
      <c r="D444" s="15" t="n">
        <v>500</v>
      </c>
      <c r="E444" s="15" t="n">
        <v>30</v>
      </c>
      <c r="F444" s="16" t="n">
        <v>0.90657733366385</v>
      </c>
      <c r="G444" s="17" t="s">
        <v>91</v>
      </c>
      <c r="H444" s="18" t="n">
        <v>0.2</v>
      </c>
      <c r="I444" s="18" t="n">
        <v>1.5</v>
      </c>
      <c r="J444" s="19" t="n">
        <v>0.860766419348206</v>
      </c>
      <c r="K444" s="19" t="n">
        <v>0.506637331822264</v>
      </c>
      <c r="L444" s="16" t="n">
        <v>11.7751424410151</v>
      </c>
      <c r="M444" s="19" t="n">
        <v>0.437135015279314</v>
      </c>
      <c r="N444" s="19" t="n">
        <v>1.18229163654566</v>
      </c>
      <c r="O444" s="19" t="n">
        <v>1.07310142801192</v>
      </c>
      <c r="P444" s="19" t="n">
        <v>0.890058184444796</v>
      </c>
      <c r="Q444" s="17" t="s">
        <v>31</v>
      </c>
      <c r="R444" s="5" t="str">
        <f aca="false">IF(OR(Q444="Steel plate",Q444="Concrete jacket"),"Steel plate or jacket",Q444)</f>
        <v>Polymer laminate</v>
      </c>
      <c r="S444" s="5" t="str">
        <f aca="false">IF(O444&lt;='Tree rules'!$C$4,IF(N444&lt;='Tree rules'!$C$5,IF(P444&lt;='Tree rules'!$C$6,"Monitor","Polymer laminate"),IF(P444&lt;='Tree rules'!$C$7,"Seal cracks","Polymer laminate")),IF(O444&lt;='Tree rules'!$C$8,IF(M444&lt;='Tree rules'!$C$9,"Steel plate or jacket","Polymer laminate"),IF(L444&lt;='Tree rules'!$C$10,"Steel plate or jacket","Polymer laminate")))</f>
        <v>Polymer laminate</v>
      </c>
      <c r="T444" s="5" t="str">
        <f aca="false">IF(S444=R444,"Yes","No")</f>
        <v>Yes</v>
      </c>
    </row>
    <row r="445" customFormat="false" ht="15" hidden="false" customHeight="false" outlineLevel="0" collapsed="false">
      <c r="A445" s="15" t="n">
        <v>1473</v>
      </c>
      <c r="B445" s="16" t="n">
        <v>3.68953667484562</v>
      </c>
      <c r="C445" s="15" t="n">
        <v>300</v>
      </c>
      <c r="D445" s="15" t="n">
        <v>325</v>
      </c>
      <c r="E445" s="15" t="n">
        <v>20</v>
      </c>
      <c r="F445" s="16" t="n">
        <v>0.756099314943392</v>
      </c>
      <c r="G445" s="17" t="s">
        <v>89</v>
      </c>
      <c r="H445" s="18" t="n">
        <v>0.3</v>
      </c>
      <c r="I445" s="18" t="n">
        <v>2</v>
      </c>
      <c r="J445" s="19" t="n">
        <v>0.86811406087801</v>
      </c>
      <c r="K445" s="19" t="n">
        <v>0.504882023560317</v>
      </c>
      <c r="L445" s="16" t="n">
        <v>13.3196269850023</v>
      </c>
      <c r="M445" s="19" t="n">
        <v>0.934335387643348</v>
      </c>
      <c r="N445" s="19" t="n">
        <v>1.33767260043223</v>
      </c>
      <c r="O445" s="19" t="n">
        <v>1.29793293801877</v>
      </c>
      <c r="P445" s="19" t="n">
        <v>0.470360678649356</v>
      </c>
      <c r="Q445" s="17" t="s">
        <v>31</v>
      </c>
      <c r="R445" s="5" t="str">
        <f aca="false">IF(OR(Q445="Steel plate",Q445="Concrete jacket"),"Steel plate or jacket",Q445)</f>
        <v>Polymer laminate</v>
      </c>
      <c r="S445" s="5" t="str">
        <f aca="false">IF(O445&lt;='Tree rules'!$C$4,IF(N445&lt;='Tree rules'!$C$5,IF(P445&lt;='Tree rules'!$C$6,"Monitor","Polymer laminate"),IF(P445&lt;='Tree rules'!$C$7,"Seal cracks","Polymer laminate")),IF(O445&lt;='Tree rules'!$C$8,IF(M445&lt;='Tree rules'!$C$9,"Steel plate or jacket","Polymer laminate"),IF(L445&lt;='Tree rules'!$C$10,"Steel plate or jacket","Polymer laminate")))</f>
        <v>Polymer laminate</v>
      </c>
      <c r="T445" s="5" t="str">
        <f aca="false">IF(S445=R445,"Yes","No")</f>
        <v>Yes</v>
      </c>
    </row>
    <row r="446" customFormat="false" ht="15" hidden="false" customHeight="false" outlineLevel="0" collapsed="false">
      <c r="A446" s="15" t="n">
        <v>1474</v>
      </c>
      <c r="B446" s="16" t="n">
        <v>5.92893341799189</v>
      </c>
      <c r="C446" s="15" t="n">
        <v>230</v>
      </c>
      <c r="D446" s="15" t="n">
        <v>600</v>
      </c>
      <c r="E446" s="15" t="n">
        <v>30</v>
      </c>
      <c r="F446" s="16" t="n">
        <v>0.742342309449384</v>
      </c>
      <c r="G446" s="17" t="s">
        <v>91</v>
      </c>
      <c r="H446" s="18" t="n">
        <v>0.2</v>
      </c>
      <c r="I446" s="18" t="n">
        <v>1.5</v>
      </c>
      <c r="J446" s="19" t="n">
        <v>0.86980299166104</v>
      </c>
      <c r="K446" s="19" t="n">
        <v>0.593471679151788</v>
      </c>
      <c r="L446" s="16" t="n">
        <v>10.7408214094056</v>
      </c>
      <c r="M446" s="19" t="n">
        <v>0.803763276269037</v>
      </c>
      <c r="N446" s="19" t="n">
        <v>1.06381768076393</v>
      </c>
      <c r="O446" s="19" t="n">
        <v>1.0466027664954</v>
      </c>
      <c r="P446" s="19" t="n">
        <v>0.438365724587811</v>
      </c>
      <c r="Q446" s="17" t="s">
        <v>31</v>
      </c>
      <c r="R446" s="5" t="str">
        <f aca="false">IF(OR(Q446="Steel plate",Q446="Concrete jacket"),"Steel plate or jacket",Q446)</f>
        <v>Polymer laminate</v>
      </c>
      <c r="S446" s="5" t="str">
        <f aca="false">IF(O446&lt;='Tree rules'!$C$4,IF(N446&lt;='Tree rules'!$C$5,IF(P446&lt;='Tree rules'!$C$6,"Monitor","Polymer laminate"),IF(P446&lt;='Tree rules'!$C$7,"Seal cracks","Polymer laminate")),IF(O446&lt;='Tree rules'!$C$8,IF(M446&lt;='Tree rules'!$C$9,"Steel plate or jacket","Polymer laminate"),IF(L446&lt;='Tree rules'!$C$10,"Steel plate or jacket","Polymer laminate")))</f>
        <v>Polymer laminate</v>
      </c>
      <c r="T446" s="5" t="str">
        <f aca="false">IF(S446=R446,"Yes","No")</f>
        <v>Yes</v>
      </c>
    </row>
    <row r="447" customFormat="false" ht="15" hidden="false" customHeight="false" outlineLevel="0" collapsed="false">
      <c r="A447" s="15" t="n">
        <v>1478</v>
      </c>
      <c r="B447" s="16" t="n">
        <v>3.6150136065878</v>
      </c>
      <c r="C447" s="15" t="n">
        <v>230</v>
      </c>
      <c r="D447" s="15" t="n">
        <v>350</v>
      </c>
      <c r="E447" s="15" t="n">
        <v>20</v>
      </c>
      <c r="F447" s="16" t="n">
        <v>0.64278110559382</v>
      </c>
      <c r="G447" s="17" t="s">
        <v>89</v>
      </c>
      <c r="H447" s="18" t="n">
        <v>0.3</v>
      </c>
      <c r="I447" s="18" t="n">
        <v>1</v>
      </c>
      <c r="J447" s="19" t="n">
        <v>0.95657549036234</v>
      </c>
      <c r="K447" s="19" t="n">
        <v>0.581277026674487</v>
      </c>
      <c r="L447" s="16" t="n">
        <v>11.8137699561693</v>
      </c>
      <c r="M447" s="19" t="n">
        <v>0.888538836168138</v>
      </c>
      <c r="N447" s="19" t="n">
        <v>0.578449432287627</v>
      </c>
      <c r="O447" s="19" t="n">
        <v>0.95657549036234</v>
      </c>
      <c r="P447" s="19" t="n">
        <v>0.377134366934156</v>
      </c>
      <c r="Q447" s="17" t="s">
        <v>29</v>
      </c>
      <c r="R447" s="5" t="str">
        <f aca="false">IF(OR(Q447="Steel plate",Q447="Concrete jacket"),"Steel plate or jacket",Q447)</f>
        <v>Monitor</v>
      </c>
      <c r="S447" s="5" t="str">
        <f aca="false">IF(O447&lt;='Tree rules'!$C$4,IF(N447&lt;='Tree rules'!$C$5,IF(P447&lt;='Tree rules'!$C$6,"Monitor","Polymer laminate"),IF(P447&lt;='Tree rules'!$C$7,"Seal cracks","Polymer laminate")),IF(O447&lt;='Tree rules'!$C$8,IF(M447&lt;='Tree rules'!$C$9,"Steel plate or jacket","Polymer laminate"),IF(L447&lt;='Tree rules'!$C$10,"Steel plate or jacket","Polymer laminate")))</f>
        <v>Monitor</v>
      </c>
      <c r="T447" s="5" t="str">
        <f aca="false">IF(S447=R447,"Yes","No")</f>
        <v>Yes</v>
      </c>
    </row>
    <row r="448" customFormat="false" ht="15" hidden="false" customHeight="false" outlineLevel="0" collapsed="false">
      <c r="A448" s="15" t="n">
        <v>1479</v>
      </c>
      <c r="B448" s="16" t="n">
        <v>4.14640675437912</v>
      </c>
      <c r="C448" s="15" t="n">
        <v>300</v>
      </c>
      <c r="D448" s="15" t="n">
        <v>350</v>
      </c>
      <c r="E448" s="15" t="n">
        <v>25</v>
      </c>
      <c r="F448" s="16" t="n">
        <v>0.61599855952741</v>
      </c>
      <c r="G448" s="17" t="s">
        <v>89</v>
      </c>
      <c r="H448" s="18" t="n">
        <v>0.3</v>
      </c>
      <c r="I448" s="18" t="n">
        <v>1</v>
      </c>
      <c r="J448" s="19" t="n">
        <v>0.96387060135907</v>
      </c>
      <c r="K448" s="19" t="n">
        <v>0.435572680568672</v>
      </c>
      <c r="L448" s="16" t="n">
        <v>13.55034887052</v>
      </c>
      <c r="M448" s="19" t="n">
        <v>0.553697481341601</v>
      </c>
      <c r="N448" s="19" t="n">
        <v>0.651424763466869</v>
      </c>
      <c r="O448" s="19" t="n">
        <v>0.96387060135907</v>
      </c>
      <c r="P448" s="19" t="n">
        <v>0.538685798893465</v>
      </c>
      <c r="Q448" s="17" t="s">
        <v>29</v>
      </c>
      <c r="R448" s="5" t="str">
        <f aca="false">IF(OR(Q448="Steel plate",Q448="Concrete jacket"),"Steel plate or jacket",Q448)</f>
        <v>Monitor</v>
      </c>
      <c r="S448" s="5" t="str">
        <f aca="false">IF(O448&lt;='Tree rules'!$C$4,IF(N448&lt;='Tree rules'!$C$5,IF(P448&lt;='Tree rules'!$C$6,"Monitor","Polymer laminate"),IF(P448&lt;='Tree rules'!$C$7,"Seal cracks","Polymer laminate")),IF(O448&lt;='Tree rules'!$C$8,IF(M448&lt;='Tree rules'!$C$9,"Steel plate or jacket","Polymer laminate"),IF(L448&lt;='Tree rules'!$C$10,"Steel plate or jacket","Polymer laminate")))</f>
        <v>Monitor</v>
      </c>
      <c r="T448" s="5" t="str">
        <f aca="false">IF(S448=R448,"Yes","No")</f>
        <v>Yes</v>
      </c>
    </row>
    <row r="449" customFormat="false" ht="15" hidden="false" customHeight="false" outlineLevel="0" collapsed="false">
      <c r="A449" s="15" t="n">
        <v>1483</v>
      </c>
      <c r="B449" s="16" t="n">
        <v>3.15530308108929</v>
      </c>
      <c r="C449" s="15" t="n">
        <v>300</v>
      </c>
      <c r="D449" s="15" t="n">
        <v>300</v>
      </c>
      <c r="E449" s="15" t="n">
        <v>25</v>
      </c>
      <c r="F449" s="16" t="n">
        <v>0.78213924985638</v>
      </c>
      <c r="G449" s="17" t="s">
        <v>90</v>
      </c>
      <c r="H449" s="18" t="n">
        <v>0.1</v>
      </c>
      <c r="I449" s="18" t="n">
        <v>2</v>
      </c>
      <c r="J449" s="19" t="n">
        <v>0.899830344816004</v>
      </c>
      <c r="K449" s="19" t="n">
        <v>0.618302169568549</v>
      </c>
      <c r="L449" s="16" t="n">
        <v>13.0925439049348</v>
      </c>
      <c r="M449" s="19" t="n">
        <v>0.783002707175217</v>
      </c>
      <c r="N449" s="19" t="n">
        <v>3.46018976896147</v>
      </c>
      <c r="O449" s="19" t="n">
        <v>1.24329363518866</v>
      </c>
      <c r="P449" s="19" t="n">
        <v>0.465190568799706</v>
      </c>
      <c r="Q449" s="17" t="s">
        <v>31</v>
      </c>
      <c r="R449" s="5" t="str">
        <f aca="false">IF(OR(Q449="Steel plate",Q449="Concrete jacket"),"Steel plate or jacket",Q449)</f>
        <v>Polymer laminate</v>
      </c>
      <c r="S449" s="5" t="str">
        <f aca="false">IF(O449&lt;='Tree rules'!$C$4,IF(N449&lt;='Tree rules'!$C$5,IF(P449&lt;='Tree rules'!$C$6,"Monitor","Polymer laminate"),IF(P449&lt;='Tree rules'!$C$7,"Seal cracks","Polymer laminate")),IF(O449&lt;='Tree rules'!$C$8,IF(M449&lt;='Tree rules'!$C$9,"Steel plate or jacket","Polymer laminate"),IF(L449&lt;='Tree rules'!$C$10,"Steel plate or jacket","Polymer laminate")))</f>
        <v>Polymer laminate</v>
      </c>
      <c r="T449" s="5" t="str">
        <f aca="false">IF(S449=R449,"Yes","No")</f>
        <v>Yes</v>
      </c>
    </row>
    <row r="450" customFormat="false" ht="15" hidden="false" customHeight="false" outlineLevel="0" collapsed="false">
      <c r="A450" s="15" t="n">
        <v>1484</v>
      </c>
      <c r="B450" s="16" t="n">
        <v>5.50773371460356</v>
      </c>
      <c r="C450" s="15" t="n">
        <v>300</v>
      </c>
      <c r="D450" s="15" t="n">
        <v>425</v>
      </c>
      <c r="E450" s="15" t="n">
        <v>30</v>
      </c>
      <c r="F450" s="16" t="n">
        <v>0.707341881547042</v>
      </c>
      <c r="G450" s="17" t="s">
        <v>91</v>
      </c>
      <c r="H450" s="18" t="n">
        <v>0.2</v>
      </c>
      <c r="I450" s="18" t="n">
        <v>1</v>
      </c>
      <c r="J450" s="19" t="n">
        <v>0.878980095496901</v>
      </c>
      <c r="K450" s="19" t="n">
        <v>0.445540856225812</v>
      </c>
      <c r="L450" s="16" t="n">
        <v>14.5322789303524</v>
      </c>
      <c r="M450" s="19" t="n">
        <v>0.945259671830445</v>
      </c>
      <c r="N450" s="19" t="n">
        <v>0.862536216032976</v>
      </c>
      <c r="O450" s="19" t="n">
        <v>0.878980095496901</v>
      </c>
      <c r="P450" s="19" t="n">
        <v>0.377121853538442</v>
      </c>
      <c r="Q450" s="17" t="s">
        <v>29</v>
      </c>
      <c r="R450" s="5" t="str">
        <f aca="false">IF(OR(Q450="Steel plate",Q450="Concrete jacket"),"Steel plate or jacket",Q450)</f>
        <v>Monitor</v>
      </c>
      <c r="S450" s="5" t="str">
        <f aca="false">IF(O450&lt;='Tree rules'!$C$4,IF(N450&lt;='Tree rules'!$C$5,IF(P450&lt;='Tree rules'!$C$6,"Monitor","Polymer laminate"),IF(P450&lt;='Tree rules'!$C$7,"Seal cracks","Polymer laminate")),IF(O450&lt;='Tree rules'!$C$8,IF(M450&lt;='Tree rules'!$C$9,"Steel plate or jacket","Polymer laminate"),IF(L450&lt;='Tree rules'!$C$10,"Steel plate or jacket","Polymer laminate")))</f>
        <v>Monitor</v>
      </c>
      <c r="T450" s="5" t="str">
        <f aca="false">IF(S450=R450,"Yes","No")</f>
        <v>Yes</v>
      </c>
    </row>
    <row r="451" customFormat="false" ht="15" hidden="false" customHeight="false" outlineLevel="0" collapsed="false">
      <c r="A451" s="15" t="n">
        <v>1496</v>
      </c>
      <c r="B451" s="16" t="n">
        <v>6.51275406141053</v>
      </c>
      <c r="C451" s="15" t="n">
        <v>300</v>
      </c>
      <c r="D451" s="15" t="n">
        <v>600</v>
      </c>
      <c r="E451" s="15" t="n">
        <v>30</v>
      </c>
      <c r="F451" s="16" t="n">
        <v>0.569129103911194</v>
      </c>
      <c r="G451" s="17" t="s">
        <v>89</v>
      </c>
      <c r="H451" s="18" t="n">
        <v>0.3</v>
      </c>
      <c r="I451" s="18" t="n">
        <v>1</v>
      </c>
      <c r="J451" s="19" t="n">
        <v>0.874652746778757</v>
      </c>
      <c r="K451" s="19" t="n">
        <v>0.566709221860542</v>
      </c>
      <c r="L451" s="16" t="n">
        <v>11.7984675025553</v>
      </c>
      <c r="M451" s="19" t="n">
        <v>0.268323490749862</v>
      </c>
      <c r="N451" s="19" t="n">
        <v>0.771851829814806</v>
      </c>
      <c r="O451" s="19" t="n">
        <v>0.874652746778757</v>
      </c>
      <c r="P451" s="19" t="n">
        <v>0.962203953564952</v>
      </c>
      <c r="Q451" s="17" t="s">
        <v>29</v>
      </c>
      <c r="R451" s="5" t="str">
        <f aca="false">IF(OR(Q451="Steel plate",Q451="Concrete jacket"),"Steel plate or jacket",Q451)</f>
        <v>Monitor</v>
      </c>
      <c r="S451" s="5" t="str">
        <f aca="false">IF(O451&lt;='Tree rules'!$C$4,IF(N451&lt;='Tree rules'!$C$5,IF(P451&lt;='Tree rules'!$C$6,"Monitor","Polymer laminate"),IF(P451&lt;='Tree rules'!$C$7,"Seal cracks","Polymer laminate")),IF(O451&lt;='Tree rules'!$C$8,IF(M451&lt;='Tree rules'!$C$9,"Steel plate or jacket","Polymer laminate"),IF(L451&lt;='Tree rules'!$C$10,"Steel plate or jacket","Polymer laminate")))</f>
        <v>Polymer laminate</v>
      </c>
      <c r="T451" s="5" t="str">
        <f aca="false">IF(S451=R451,"Yes","No")</f>
        <v>No</v>
      </c>
    </row>
    <row r="452" customFormat="false" ht="15" hidden="false" customHeight="false" outlineLevel="0" collapsed="false">
      <c r="A452" s="15" t="n">
        <v>1505</v>
      </c>
      <c r="B452" s="16" t="n">
        <v>6.18805671358683</v>
      </c>
      <c r="C452" s="15" t="n">
        <v>300</v>
      </c>
      <c r="D452" s="15" t="n">
        <v>600</v>
      </c>
      <c r="E452" s="15" t="n">
        <v>20</v>
      </c>
      <c r="F452" s="16" t="n">
        <v>0.569129103911194</v>
      </c>
      <c r="G452" s="17" t="s">
        <v>89</v>
      </c>
      <c r="H452" s="18" t="n">
        <v>0.3</v>
      </c>
      <c r="I452" s="18" t="n">
        <v>1.5</v>
      </c>
      <c r="J452" s="19" t="n">
        <v>0.935019196011067</v>
      </c>
      <c r="K452" s="19" t="n">
        <v>0.4671791668031</v>
      </c>
      <c r="L452" s="16" t="n">
        <v>11.2102476695414</v>
      </c>
      <c r="M452" s="19" t="n">
        <v>0.780572648157897</v>
      </c>
      <c r="N452" s="19" t="n">
        <v>0.917089500407536</v>
      </c>
      <c r="O452" s="19" t="n">
        <v>1.18411804954792</v>
      </c>
      <c r="P452" s="19" t="n">
        <v>0.435550806217337</v>
      </c>
      <c r="Q452" s="17" t="s">
        <v>31</v>
      </c>
      <c r="R452" s="5" t="str">
        <f aca="false">IF(OR(Q452="Steel plate",Q452="Concrete jacket"),"Steel plate or jacket",Q452)</f>
        <v>Polymer laminate</v>
      </c>
      <c r="S452" s="5" t="str">
        <f aca="false">IF(O452&lt;='Tree rules'!$C$4,IF(N452&lt;='Tree rules'!$C$5,IF(P452&lt;='Tree rules'!$C$6,"Monitor","Polymer laminate"),IF(P452&lt;='Tree rules'!$C$7,"Seal cracks","Polymer laminate")),IF(O452&lt;='Tree rules'!$C$8,IF(M452&lt;='Tree rules'!$C$9,"Steel plate or jacket","Polymer laminate"),IF(L452&lt;='Tree rules'!$C$10,"Steel plate or jacket","Polymer laminate")))</f>
        <v>Polymer laminate</v>
      </c>
      <c r="T452" s="5" t="str">
        <f aca="false">IF(S452=R452,"Yes","No")</f>
        <v>Yes</v>
      </c>
    </row>
    <row r="453" customFormat="false" ht="15" hidden="false" customHeight="false" outlineLevel="0" collapsed="false">
      <c r="A453" s="15" t="n">
        <v>1506</v>
      </c>
      <c r="B453" s="16" t="n">
        <v>6.78494014404907</v>
      </c>
      <c r="C453" s="15" t="n">
        <v>300</v>
      </c>
      <c r="D453" s="15" t="n">
        <v>650</v>
      </c>
      <c r="E453" s="15" t="n">
        <v>25</v>
      </c>
      <c r="F453" s="16" t="n">
        <v>0.695812326376477</v>
      </c>
      <c r="G453" s="17" t="s">
        <v>89</v>
      </c>
      <c r="H453" s="18" t="n">
        <v>0.3</v>
      </c>
      <c r="I453" s="18" t="n">
        <v>1</v>
      </c>
      <c r="J453" s="19" t="n">
        <v>0.938010485562528</v>
      </c>
      <c r="K453" s="19" t="n">
        <v>0.542128398311092</v>
      </c>
      <c r="L453" s="16" t="n">
        <v>11.2706646911114</v>
      </c>
      <c r="M453" s="19" t="n">
        <v>0.816680865335185</v>
      </c>
      <c r="N453" s="19" t="n">
        <v>0.610614683390388</v>
      </c>
      <c r="O453" s="19" t="n">
        <v>0.938010485562528</v>
      </c>
      <c r="P453" s="19" t="n">
        <v>0.438067587183425</v>
      </c>
      <c r="Q453" s="17" t="s">
        <v>29</v>
      </c>
      <c r="R453" s="5" t="str">
        <f aca="false">IF(OR(Q453="Steel plate",Q453="Concrete jacket"),"Steel plate or jacket",Q453)</f>
        <v>Monitor</v>
      </c>
      <c r="S453" s="5" t="str">
        <f aca="false">IF(O453&lt;='Tree rules'!$C$4,IF(N453&lt;='Tree rules'!$C$5,IF(P453&lt;='Tree rules'!$C$6,"Monitor","Polymer laminate"),IF(P453&lt;='Tree rules'!$C$7,"Seal cracks","Polymer laminate")),IF(O453&lt;='Tree rules'!$C$8,IF(M453&lt;='Tree rules'!$C$9,"Steel plate or jacket","Polymer laminate"),IF(L453&lt;='Tree rules'!$C$10,"Steel plate or jacket","Polymer laminate")))</f>
        <v>Monitor</v>
      </c>
      <c r="T453" s="5" t="str">
        <f aca="false">IF(S453=R453,"Yes","No")</f>
        <v>Yes</v>
      </c>
    </row>
    <row r="454" customFormat="false" ht="15" hidden="false" customHeight="false" outlineLevel="0" collapsed="false">
      <c r="A454" s="15" t="n">
        <v>1514</v>
      </c>
      <c r="B454" s="16" t="n">
        <v>3.50924967000314</v>
      </c>
      <c r="C454" s="15" t="n">
        <v>300</v>
      </c>
      <c r="D454" s="15" t="n">
        <v>350</v>
      </c>
      <c r="E454" s="15" t="n">
        <v>30</v>
      </c>
      <c r="F454" s="16" t="n">
        <v>0.739198271432892</v>
      </c>
      <c r="G454" s="17" t="s">
        <v>89</v>
      </c>
      <c r="H454" s="18" t="n">
        <v>0.3</v>
      </c>
      <c r="I454" s="18" t="n">
        <v>1</v>
      </c>
      <c r="J454" s="19" t="n">
        <v>0.893728761192401</v>
      </c>
      <c r="K454" s="19" t="n">
        <v>0.416577775144934</v>
      </c>
      <c r="L454" s="16" t="n">
        <v>11.4681361764809</v>
      </c>
      <c r="M454" s="19" t="n">
        <v>0.726204780059489</v>
      </c>
      <c r="N454" s="19" t="n">
        <v>0.566241319026837</v>
      </c>
      <c r="O454" s="19" t="n">
        <v>0.893728761192401</v>
      </c>
      <c r="P454" s="19" t="n">
        <v>0.360873997067863</v>
      </c>
      <c r="Q454" s="17" t="s">
        <v>29</v>
      </c>
      <c r="R454" s="5" t="str">
        <f aca="false">IF(OR(Q454="Steel plate",Q454="Concrete jacket"),"Steel plate or jacket",Q454)</f>
        <v>Monitor</v>
      </c>
      <c r="S454" s="5" t="str">
        <f aca="false">IF(O454&lt;='Tree rules'!$C$4,IF(N454&lt;='Tree rules'!$C$5,IF(P454&lt;='Tree rules'!$C$6,"Monitor","Polymer laminate"),IF(P454&lt;='Tree rules'!$C$7,"Seal cracks","Polymer laminate")),IF(O454&lt;='Tree rules'!$C$8,IF(M454&lt;='Tree rules'!$C$9,"Steel plate or jacket","Polymer laminate"),IF(L454&lt;='Tree rules'!$C$10,"Steel plate or jacket","Polymer laminate")))</f>
        <v>Monitor</v>
      </c>
      <c r="T454" s="5" t="str">
        <f aca="false">IF(S454=R454,"Yes","No")</f>
        <v>Yes</v>
      </c>
    </row>
    <row r="455" customFormat="false" ht="15" hidden="false" customHeight="false" outlineLevel="0" collapsed="false">
      <c r="A455" s="15" t="n">
        <v>1516</v>
      </c>
      <c r="B455" s="16" t="n">
        <v>6.9846542916338</v>
      </c>
      <c r="C455" s="15" t="n">
        <v>300</v>
      </c>
      <c r="D455" s="15" t="n">
        <v>650</v>
      </c>
      <c r="E455" s="15" t="n">
        <v>25</v>
      </c>
      <c r="F455" s="16" t="n">
        <v>0.695812326376477</v>
      </c>
      <c r="G455" s="17" t="s">
        <v>89</v>
      </c>
      <c r="H455" s="18" t="n">
        <v>0.3</v>
      </c>
      <c r="I455" s="18" t="n">
        <v>2</v>
      </c>
      <c r="J455" s="19" t="n">
        <v>0.858180071141202</v>
      </c>
      <c r="K455" s="19" t="n">
        <v>0.565468671629058</v>
      </c>
      <c r="L455" s="16" t="n">
        <v>11.6024157668336</v>
      </c>
      <c r="M455" s="19" t="n">
        <v>0.954317266814516</v>
      </c>
      <c r="N455" s="19" t="n">
        <v>0.804804250101472</v>
      </c>
      <c r="O455" s="19" t="n">
        <v>1.23108619743566</v>
      </c>
      <c r="P455" s="19" t="n">
        <v>0.443314383128467</v>
      </c>
      <c r="Q455" s="17" t="s">
        <v>31</v>
      </c>
      <c r="R455" s="5" t="str">
        <f aca="false">IF(OR(Q455="Steel plate",Q455="Concrete jacket"),"Steel plate or jacket",Q455)</f>
        <v>Polymer laminate</v>
      </c>
      <c r="S455" s="5" t="str">
        <f aca="false">IF(O455&lt;='Tree rules'!$C$4,IF(N455&lt;='Tree rules'!$C$5,IF(P455&lt;='Tree rules'!$C$6,"Monitor","Polymer laminate"),IF(P455&lt;='Tree rules'!$C$7,"Seal cracks","Polymer laminate")),IF(O455&lt;='Tree rules'!$C$8,IF(M455&lt;='Tree rules'!$C$9,"Steel plate or jacket","Polymer laminate"),IF(L455&lt;='Tree rules'!$C$10,"Steel plate or jacket","Polymer laminate")))</f>
        <v>Polymer laminate</v>
      </c>
      <c r="T455" s="5" t="str">
        <f aca="false">IF(S455=R455,"Yes","No")</f>
        <v>Yes</v>
      </c>
    </row>
    <row r="456" customFormat="false" ht="15" hidden="false" customHeight="false" outlineLevel="0" collapsed="false">
      <c r="A456" s="15" t="n">
        <v>1522</v>
      </c>
      <c r="B456" s="16" t="n">
        <v>3.13061334645843</v>
      </c>
      <c r="C456" s="15" t="n">
        <v>300</v>
      </c>
      <c r="D456" s="15" t="n">
        <v>300</v>
      </c>
      <c r="E456" s="15" t="n">
        <v>30</v>
      </c>
      <c r="F456" s="16" t="n">
        <v>1.05544320120602</v>
      </c>
      <c r="G456" s="17" t="s">
        <v>89</v>
      </c>
      <c r="H456" s="18" t="n">
        <v>0.3</v>
      </c>
      <c r="I456" s="18" t="n">
        <v>1.5</v>
      </c>
      <c r="J456" s="19" t="n">
        <v>0.896120936018643</v>
      </c>
      <c r="K456" s="19" t="n">
        <v>0.490354129153807</v>
      </c>
      <c r="L456" s="16" t="n">
        <v>12.3252493955056</v>
      </c>
      <c r="M456" s="19" t="n">
        <v>0.910128578186076</v>
      </c>
      <c r="N456" s="19" t="n">
        <v>0.810676064118307</v>
      </c>
      <c r="O456" s="19" t="n">
        <v>1.12447310342901</v>
      </c>
      <c r="P456" s="19" t="n">
        <v>0.464901217526354</v>
      </c>
      <c r="Q456" s="17" t="s">
        <v>31</v>
      </c>
      <c r="R456" s="5" t="str">
        <f aca="false">IF(OR(Q456="Steel plate",Q456="Concrete jacket"),"Steel plate or jacket",Q456)</f>
        <v>Polymer laminate</v>
      </c>
      <c r="S456" s="5" t="str">
        <f aca="false">IF(O456&lt;='Tree rules'!$C$4,IF(N456&lt;='Tree rules'!$C$5,IF(P456&lt;='Tree rules'!$C$6,"Monitor","Polymer laminate"),IF(P456&lt;='Tree rules'!$C$7,"Seal cracks","Polymer laminate")),IF(O456&lt;='Tree rules'!$C$8,IF(M456&lt;='Tree rules'!$C$9,"Steel plate or jacket","Polymer laminate"),IF(L456&lt;='Tree rules'!$C$10,"Steel plate or jacket","Polymer laminate")))</f>
        <v>Polymer laminate</v>
      </c>
      <c r="T456" s="5" t="str">
        <f aca="false">IF(S456=R456,"Yes","No")</f>
        <v>Yes</v>
      </c>
    </row>
    <row r="457" customFormat="false" ht="15" hidden="false" customHeight="false" outlineLevel="0" collapsed="false">
      <c r="A457" s="15" t="n">
        <v>1525</v>
      </c>
      <c r="B457" s="16" t="n">
        <v>6.23319979256463</v>
      </c>
      <c r="C457" s="15" t="n">
        <v>300</v>
      </c>
      <c r="D457" s="15" t="n">
        <v>575</v>
      </c>
      <c r="E457" s="15" t="n">
        <v>30</v>
      </c>
      <c r="F457" s="16" t="n">
        <v>0.633465437396808</v>
      </c>
      <c r="G457" s="17" t="s">
        <v>89</v>
      </c>
      <c r="H457" s="18" t="n">
        <v>0.3</v>
      </c>
      <c r="I457" s="18" t="n">
        <v>1</v>
      </c>
      <c r="J457" s="19" t="n">
        <v>0.88992132303326</v>
      </c>
      <c r="K457" s="19" t="n">
        <v>0.524871731768842</v>
      </c>
      <c r="L457" s="16" t="n">
        <v>11.7829863753585</v>
      </c>
      <c r="M457" s="19" t="n">
        <v>0.607587129055029</v>
      </c>
      <c r="N457" s="19" t="n">
        <v>0.573304704682582</v>
      </c>
      <c r="O457" s="19" t="n">
        <v>0.88992132303326</v>
      </c>
      <c r="P457" s="19" t="n">
        <v>0.483459305567686</v>
      </c>
      <c r="Q457" s="17" t="s">
        <v>29</v>
      </c>
      <c r="R457" s="5" t="str">
        <f aca="false">IF(OR(Q457="Steel plate",Q457="Concrete jacket"),"Steel plate or jacket",Q457)</f>
        <v>Monitor</v>
      </c>
      <c r="S457" s="5" t="str">
        <f aca="false">IF(O457&lt;='Tree rules'!$C$4,IF(N457&lt;='Tree rules'!$C$5,IF(P457&lt;='Tree rules'!$C$6,"Monitor","Polymer laminate"),IF(P457&lt;='Tree rules'!$C$7,"Seal cracks","Polymer laminate")),IF(O457&lt;='Tree rules'!$C$8,IF(M457&lt;='Tree rules'!$C$9,"Steel plate or jacket","Polymer laminate"),IF(L457&lt;='Tree rules'!$C$10,"Steel plate or jacket","Polymer laminate")))</f>
        <v>Monitor</v>
      </c>
      <c r="T457" s="5" t="str">
        <f aca="false">IF(S457=R457,"Yes","No")</f>
        <v>Yes</v>
      </c>
    </row>
    <row r="458" customFormat="false" ht="15" hidden="false" customHeight="false" outlineLevel="0" collapsed="false">
      <c r="A458" s="15" t="n">
        <v>1528</v>
      </c>
      <c r="B458" s="16" t="n">
        <v>5.02089142913146</v>
      </c>
      <c r="C458" s="15" t="n">
        <v>300</v>
      </c>
      <c r="D458" s="15" t="n">
        <v>475</v>
      </c>
      <c r="E458" s="15" t="n">
        <v>30</v>
      </c>
      <c r="F458" s="16" t="n">
        <v>0.735735984447258</v>
      </c>
      <c r="G458" s="17" t="s">
        <v>89</v>
      </c>
      <c r="H458" s="18" t="n">
        <v>0.3</v>
      </c>
      <c r="I458" s="18" t="n">
        <v>1.5</v>
      </c>
      <c r="J458" s="19" t="n">
        <v>0.863809175944788</v>
      </c>
      <c r="K458" s="19" t="n">
        <v>0.531952894364331</v>
      </c>
      <c r="L458" s="16" t="n">
        <v>11.758527937076</v>
      </c>
      <c r="M458" s="19" t="n">
        <v>0.659170547162652</v>
      </c>
      <c r="N458" s="19" t="n">
        <v>0.877398589113805</v>
      </c>
      <c r="O458" s="19" t="n">
        <v>1.06596086825603</v>
      </c>
      <c r="P458" s="19" t="n">
        <v>0.518091359556409</v>
      </c>
      <c r="Q458" s="17" t="s">
        <v>31</v>
      </c>
      <c r="R458" s="5" t="str">
        <f aca="false">IF(OR(Q458="Steel plate",Q458="Concrete jacket"),"Steel plate or jacket",Q458)</f>
        <v>Polymer laminate</v>
      </c>
      <c r="S458" s="5" t="str">
        <f aca="false">IF(O458&lt;='Tree rules'!$C$4,IF(N458&lt;='Tree rules'!$C$5,IF(P458&lt;='Tree rules'!$C$6,"Monitor","Polymer laminate"),IF(P458&lt;='Tree rules'!$C$7,"Seal cracks","Polymer laminate")),IF(O458&lt;='Tree rules'!$C$8,IF(M458&lt;='Tree rules'!$C$9,"Steel plate or jacket","Polymer laminate"),IF(L458&lt;='Tree rules'!$C$10,"Steel plate or jacket","Polymer laminate")))</f>
        <v>Polymer laminate</v>
      </c>
      <c r="T458" s="5" t="str">
        <f aca="false">IF(S458=R458,"Yes","No")</f>
        <v>Yes</v>
      </c>
    </row>
    <row r="459" customFormat="false" ht="15" hidden="false" customHeight="false" outlineLevel="0" collapsed="false">
      <c r="A459" s="15" t="n">
        <v>1529</v>
      </c>
      <c r="B459" s="16" t="n">
        <v>5.14185978615417</v>
      </c>
      <c r="C459" s="15" t="n">
        <v>230</v>
      </c>
      <c r="D459" s="15" t="n">
        <v>500</v>
      </c>
      <c r="E459" s="15" t="n">
        <v>25</v>
      </c>
      <c r="F459" s="16" t="n">
        <v>0.577653504586516</v>
      </c>
      <c r="G459" s="17" t="s">
        <v>89</v>
      </c>
      <c r="H459" s="18" t="n">
        <v>0.3</v>
      </c>
      <c r="I459" s="18" t="n">
        <v>1</v>
      </c>
      <c r="J459" s="19" t="n">
        <v>0.985917591243855</v>
      </c>
      <c r="K459" s="19" t="n">
        <v>0.635464084418693</v>
      </c>
      <c r="L459" s="16" t="n">
        <v>11.3256823483572</v>
      </c>
      <c r="M459" s="19" t="n">
        <v>0.608939593608856</v>
      </c>
      <c r="N459" s="19" t="n">
        <v>0.690112106872285</v>
      </c>
      <c r="O459" s="19" t="n">
        <v>0.985917591243855</v>
      </c>
      <c r="P459" s="19" t="n">
        <v>0.522188603737663</v>
      </c>
      <c r="Q459" s="17" t="s">
        <v>29</v>
      </c>
      <c r="R459" s="5" t="str">
        <f aca="false">IF(OR(Q459="Steel plate",Q459="Concrete jacket"),"Steel plate or jacket",Q459)</f>
        <v>Monitor</v>
      </c>
      <c r="S459" s="5" t="str">
        <f aca="false">IF(O459&lt;='Tree rules'!$C$4,IF(N459&lt;='Tree rules'!$C$5,IF(P459&lt;='Tree rules'!$C$6,"Monitor","Polymer laminate"),IF(P459&lt;='Tree rules'!$C$7,"Seal cracks","Polymer laminate")),IF(O459&lt;='Tree rules'!$C$8,IF(M459&lt;='Tree rules'!$C$9,"Steel plate or jacket","Polymer laminate"),IF(L459&lt;='Tree rules'!$C$10,"Steel plate or jacket","Polymer laminate")))</f>
        <v>Monitor</v>
      </c>
      <c r="T459" s="5" t="str">
        <f aca="false">IF(S459=R459,"Yes","No")</f>
        <v>Yes</v>
      </c>
    </row>
    <row r="460" customFormat="false" ht="15" hidden="false" customHeight="false" outlineLevel="0" collapsed="false">
      <c r="A460" s="15" t="n">
        <v>1533</v>
      </c>
      <c r="B460" s="16" t="n">
        <v>4.09002986137348</v>
      </c>
      <c r="C460" s="15" t="n">
        <v>300</v>
      </c>
      <c r="D460" s="15" t="n">
        <v>375</v>
      </c>
      <c r="E460" s="15" t="n">
        <v>20</v>
      </c>
      <c r="F460" s="16" t="n">
        <v>0.640487798897002</v>
      </c>
      <c r="G460" s="17" t="s">
        <v>89</v>
      </c>
      <c r="H460" s="18" t="n">
        <v>0.3</v>
      </c>
      <c r="I460" s="18" t="n">
        <v>1</v>
      </c>
      <c r="J460" s="19" t="n">
        <v>0.883310471143295</v>
      </c>
      <c r="K460" s="19" t="n">
        <v>0.518367908355371</v>
      </c>
      <c r="L460" s="16" t="n">
        <v>12.5077365791238</v>
      </c>
      <c r="M460" s="19" t="n">
        <v>0.774132295381009</v>
      </c>
      <c r="N460" s="19" t="n">
        <v>0.911563643710691</v>
      </c>
      <c r="O460" s="19" t="n">
        <v>0.883310471143295</v>
      </c>
      <c r="P460" s="19" t="n">
        <v>0.403956877377055</v>
      </c>
      <c r="Q460" s="17" t="s">
        <v>29</v>
      </c>
      <c r="R460" s="5" t="str">
        <f aca="false">IF(OR(Q460="Steel plate",Q460="Concrete jacket"),"Steel plate or jacket",Q460)</f>
        <v>Monitor</v>
      </c>
      <c r="S460" s="5" t="str">
        <f aca="false">IF(O460&lt;='Tree rules'!$C$4,IF(N460&lt;='Tree rules'!$C$5,IF(P460&lt;='Tree rules'!$C$6,"Monitor","Polymer laminate"),IF(P460&lt;='Tree rules'!$C$7,"Seal cracks","Polymer laminate")),IF(O460&lt;='Tree rules'!$C$8,IF(M460&lt;='Tree rules'!$C$9,"Steel plate or jacket","Polymer laminate"),IF(L460&lt;='Tree rules'!$C$10,"Steel plate or jacket","Polymer laminate")))</f>
        <v>Monitor</v>
      </c>
      <c r="T460" s="5" t="str">
        <f aca="false">IF(S460=R460,"Yes","No")</f>
        <v>Yes</v>
      </c>
    </row>
    <row r="461" customFormat="false" ht="15" hidden="false" customHeight="false" outlineLevel="0" collapsed="false">
      <c r="A461" s="15" t="n">
        <v>1535</v>
      </c>
      <c r="B461" s="16" t="n">
        <v>5.55390131044745</v>
      </c>
      <c r="C461" s="15" t="n">
        <v>230</v>
      </c>
      <c r="D461" s="15" t="n">
        <v>550</v>
      </c>
      <c r="E461" s="15" t="n">
        <v>30</v>
      </c>
      <c r="F461" s="16" t="n">
        <v>0.693795479053647</v>
      </c>
      <c r="G461" s="17" t="s">
        <v>89</v>
      </c>
      <c r="H461" s="18" t="n">
        <v>0.3</v>
      </c>
      <c r="I461" s="18" t="n">
        <v>1</v>
      </c>
      <c r="J461" s="19" t="n">
        <v>0.882562366986741</v>
      </c>
      <c r="K461" s="19" t="n">
        <v>0.566611256821378</v>
      </c>
      <c r="L461" s="16" t="n">
        <v>11.019645457237</v>
      </c>
      <c r="M461" s="19" t="n">
        <v>0.834732583240176</v>
      </c>
      <c r="N461" s="19" t="n">
        <v>0.530894806638607</v>
      </c>
      <c r="O461" s="19" t="n">
        <v>0.882562366986741</v>
      </c>
      <c r="P461" s="19" t="n">
        <v>0.370293034545515</v>
      </c>
      <c r="Q461" s="17" t="s">
        <v>29</v>
      </c>
      <c r="R461" s="5" t="str">
        <f aca="false">IF(OR(Q461="Steel plate",Q461="Concrete jacket"),"Steel plate or jacket",Q461)</f>
        <v>Monitor</v>
      </c>
      <c r="S461" s="5" t="str">
        <f aca="false">IF(O461&lt;='Tree rules'!$C$4,IF(N461&lt;='Tree rules'!$C$5,IF(P461&lt;='Tree rules'!$C$6,"Monitor","Polymer laminate"),IF(P461&lt;='Tree rules'!$C$7,"Seal cracks","Polymer laminate")),IF(O461&lt;='Tree rules'!$C$8,IF(M461&lt;='Tree rules'!$C$9,"Steel plate or jacket","Polymer laminate"),IF(L461&lt;='Tree rules'!$C$10,"Steel plate or jacket","Polymer laminate")))</f>
        <v>Monitor</v>
      </c>
      <c r="T461" s="5" t="str">
        <f aca="false">IF(S461=R461,"Yes","No")</f>
        <v>Yes</v>
      </c>
    </row>
    <row r="462" customFormat="false" ht="15" hidden="false" customHeight="false" outlineLevel="0" collapsed="false">
      <c r="A462" s="15" t="n">
        <v>1536</v>
      </c>
      <c r="B462" s="16" t="n">
        <v>3.5635538336712</v>
      </c>
      <c r="C462" s="15" t="n">
        <v>230</v>
      </c>
      <c r="D462" s="15" t="n">
        <v>300</v>
      </c>
      <c r="E462" s="15" t="n">
        <v>25</v>
      </c>
      <c r="F462" s="16" t="n">
        <v>0.768324290280112</v>
      </c>
      <c r="G462" s="17" t="s">
        <v>89</v>
      </c>
      <c r="H462" s="18" t="n">
        <v>0.3</v>
      </c>
      <c r="I462" s="18" t="n">
        <v>1</v>
      </c>
      <c r="J462" s="19" t="n">
        <v>0.890980257105479</v>
      </c>
      <c r="K462" s="19" t="n">
        <v>0.558724584664631</v>
      </c>
      <c r="L462" s="16" t="n">
        <v>13.9201321627781</v>
      </c>
      <c r="M462" s="19" t="n">
        <v>0.784943328745536</v>
      </c>
      <c r="N462" s="19" t="n">
        <v>0.573559710137184</v>
      </c>
      <c r="O462" s="19" t="n">
        <v>0.890980257105479</v>
      </c>
      <c r="P462" s="19" t="n">
        <v>0.458573097386928</v>
      </c>
      <c r="Q462" s="17" t="s">
        <v>29</v>
      </c>
      <c r="R462" s="5" t="str">
        <f aca="false">IF(OR(Q462="Steel plate",Q462="Concrete jacket"),"Steel plate or jacket",Q462)</f>
        <v>Monitor</v>
      </c>
      <c r="S462" s="5" t="str">
        <f aca="false">IF(O462&lt;='Tree rules'!$C$4,IF(N462&lt;='Tree rules'!$C$5,IF(P462&lt;='Tree rules'!$C$6,"Monitor","Polymer laminate"),IF(P462&lt;='Tree rules'!$C$7,"Seal cracks","Polymer laminate")),IF(O462&lt;='Tree rules'!$C$8,IF(M462&lt;='Tree rules'!$C$9,"Steel plate or jacket","Polymer laminate"),IF(L462&lt;='Tree rules'!$C$10,"Steel plate or jacket","Polymer laminate")))</f>
        <v>Monitor</v>
      </c>
      <c r="T462" s="5" t="str">
        <f aca="false">IF(S462=R462,"Yes","No")</f>
        <v>Yes</v>
      </c>
    </row>
    <row r="463" customFormat="false" ht="15" hidden="false" customHeight="false" outlineLevel="0" collapsed="false">
      <c r="A463" s="15" t="n">
        <v>1538</v>
      </c>
      <c r="B463" s="16" t="n">
        <v>4.06112672742468</v>
      </c>
      <c r="C463" s="15" t="n">
        <v>230</v>
      </c>
      <c r="D463" s="15" t="n">
        <v>375</v>
      </c>
      <c r="E463" s="15" t="n">
        <v>20</v>
      </c>
      <c r="F463" s="16" t="n">
        <v>0.556804015036685</v>
      </c>
      <c r="G463" s="17" t="s">
        <v>90</v>
      </c>
      <c r="H463" s="18" t="n">
        <v>0.1</v>
      </c>
      <c r="I463" s="18" t="n">
        <v>1</v>
      </c>
      <c r="J463" s="19" t="n">
        <v>0.862193226798942</v>
      </c>
      <c r="K463" s="19" t="n">
        <v>0.473795105995138</v>
      </c>
      <c r="L463" s="16" t="n">
        <v>12.9335246096327</v>
      </c>
      <c r="M463" s="19" t="n">
        <v>0.375788403044007</v>
      </c>
      <c r="N463" s="19" t="n">
        <v>2.79239807474565</v>
      </c>
      <c r="O463" s="19" t="n">
        <v>0.862193226798943</v>
      </c>
      <c r="P463" s="19" t="n">
        <v>0.597230244855717</v>
      </c>
      <c r="Q463" s="17" t="s">
        <v>30</v>
      </c>
      <c r="R463" s="5" t="str">
        <f aca="false">IF(OR(Q463="Steel plate",Q463="Concrete jacket"),"Steel plate or jacket",Q463)</f>
        <v>Seal cracks</v>
      </c>
      <c r="S463" s="5" t="str">
        <f aca="false">IF(O463&lt;='Tree rules'!$C$4,IF(N463&lt;='Tree rules'!$C$5,IF(P463&lt;='Tree rules'!$C$6,"Monitor","Polymer laminate"),IF(P463&lt;='Tree rules'!$C$7,"Seal cracks","Polymer laminate")),IF(O463&lt;='Tree rules'!$C$8,IF(M463&lt;='Tree rules'!$C$9,"Steel plate or jacket","Polymer laminate"),IF(L463&lt;='Tree rules'!$C$10,"Steel plate or jacket","Polymer laminate")))</f>
        <v>Seal cracks</v>
      </c>
      <c r="T463" s="5" t="str">
        <f aca="false">IF(S463=R463,"Yes","No")</f>
        <v>Yes</v>
      </c>
    </row>
    <row r="464" customFormat="false" ht="15" hidden="false" customHeight="false" outlineLevel="0" collapsed="false">
      <c r="A464" s="15" t="n">
        <v>1539</v>
      </c>
      <c r="B464" s="16" t="n">
        <v>7.38188536717812</v>
      </c>
      <c r="C464" s="15" t="n">
        <v>230</v>
      </c>
      <c r="D464" s="15" t="n">
        <v>625</v>
      </c>
      <c r="E464" s="15" t="n">
        <v>25</v>
      </c>
      <c r="F464" s="16" t="n">
        <v>0.603925598347216</v>
      </c>
      <c r="G464" s="17" t="s">
        <v>91</v>
      </c>
      <c r="H464" s="18" t="n">
        <v>0.2</v>
      </c>
      <c r="I464" s="18" t="n">
        <v>1</v>
      </c>
      <c r="J464" s="19" t="n">
        <v>0.886040887235377</v>
      </c>
      <c r="K464" s="19" t="n">
        <v>0.485819249335337</v>
      </c>
      <c r="L464" s="16" t="n">
        <v>12.7493702369225</v>
      </c>
      <c r="M464" s="19" t="n">
        <v>0.690649844135142</v>
      </c>
      <c r="N464" s="19" t="n">
        <v>0.804186403778244</v>
      </c>
      <c r="O464" s="19" t="n">
        <v>0.886040887235377</v>
      </c>
      <c r="P464" s="19" t="n">
        <v>0.466933940301006</v>
      </c>
      <c r="Q464" s="17" t="s">
        <v>29</v>
      </c>
      <c r="R464" s="5" t="str">
        <f aca="false">IF(OR(Q464="Steel plate",Q464="Concrete jacket"),"Steel plate or jacket",Q464)</f>
        <v>Monitor</v>
      </c>
      <c r="S464" s="5" t="str">
        <f aca="false">IF(O464&lt;='Tree rules'!$C$4,IF(N464&lt;='Tree rules'!$C$5,IF(P464&lt;='Tree rules'!$C$6,"Monitor","Polymer laminate"),IF(P464&lt;='Tree rules'!$C$7,"Seal cracks","Polymer laminate")),IF(O464&lt;='Tree rules'!$C$8,IF(M464&lt;='Tree rules'!$C$9,"Steel plate or jacket","Polymer laminate"),IF(L464&lt;='Tree rules'!$C$10,"Steel plate or jacket","Polymer laminate")))</f>
        <v>Monitor</v>
      </c>
      <c r="T464" s="5" t="str">
        <f aca="false">IF(S464=R464,"Yes","No")</f>
        <v>Yes</v>
      </c>
    </row>
    <row r="465" customFormat="false" ht="15" hidden="false" customHeight="false" outlineLevel="0" collapsed="false">
      <c r="A465" s="15" t="n">
        <v>1542</v>
      </c>
      <c r="B465" s="16" t="n">
        <v>3.22820876423175</v>
      </c>
      <c r="C465" s="15" t="n">
        <v>230</v>
      </c>
      <c r="D465" s="15" t="n">
        <v>300</v>
      </c>
      <c r="E465" s="15" t="n">
        <v>20</v>
      </c>
      <c r="F465" s="16" t="n">
        <v>0.688332522525665</v>
      </c>
      <c r="G465" s="17" t="s">
        <v>91</v>
      </c>
      <c r="H465" s="18" t="n">
        <v>0.2</v>
      </c>
      <c r="I465" s="18" t="n">
        <v>2</v>
      </c>
      <c r="J465" s="19" t="n">
        <v>0.927442986637868</v>
      </c>
      <c r="K465" s="19" t="n">
        <v>0.554689880141219</v>
      </c>
      <c r="L465" s="16" t="n">
        <v>12.7094833237471</v>
      </c>
      <c r="M465" s="19" t="n">
        <v>0.767232901966987</v>
      </c>
      <c r="N465" s="19" t="n">
        <v>1.81630348524446</v>
      </c>
      <c r="O465" s="19" t="n">
        <v>1.34044273417976</v>
      </c>
      <c r="P465" s="19" t="n">
        <v>0.515575664349865</v>
      </c>
      <c r="Q465" s="17" t="s">
        <v>31</v>
      </c>
      <c r="R465" s="5" t="str">
        <f aca="false">IF(OR(Q465="Steel plate",Q465="Concrete jacket"),"Steel plate or jacket",Q465)</f>
        <v>Polymer laminate</v>
      </c>
      <c r="S465" s="5" t="str">
        <f aca="false">IF(O465&lt;='Tree rules'!$C$4,IF(N465&lt;='Tree rules'!$C$5,IF(P465&lt;='Tree rules'!$C$6,"Monitor","Polymer laminate"),IF(P465&lt;='Tree rules'!$C$7,"Seal cracks","Polymer laminate")),IF(O465&lt;='Tree rules'!$C$8,IF(M465&lt;='Tree rules'!$C$9,"Steel plate or jacket","Polymer laminate"),IF(L465&lt;='Tree rules'!$C$10,"Steel plate or jacket","Polymer laminate")))</f>
        <v>Steel plate or jacket</v>
      </c>
      <c r="T465" s="5" t="str">
        <f aca="false">IF(S465=R465,"Yes","No")</f>
        <v>No</v>
      </c>
    </row>
    <row r="466" customFormat="false" ht="15" hidden="false" customHeight="false" outlineLevel="0" collapsed="false">
      <c r="A466" s="15" t="n">
        <v>1543</v>
      </c>
      <c r="B466" s="16" t="n">
        <v>3.4574795665877</v>
      </c>
      <c r="C466" s="15" t="n">
        <v>300</v>
      </c>
      <c r="D466" s="15" t="n">
        <v>350</v>
      </c>
      <c r="E466" s="15" t="n">
        <v>25</v>
      </c>
      <c r="F466" s="16" t="n">
        <v>0.661387927071535</v>
      </c>
      <c r="G466" s="17" t="s">
        <v>91</v>
      </c>
      <c r="H466" s="18" t="n">
        <v>0.2</v>
      </c>
      <c r="I466" s="18" t="n">
        <v>1</v>
      </c>
      <c r="J466" s="19" t="n">
        <v>0.961563941600337</v>
      </c>
      <c r="K466" s="19" t="n">
        <v>0.564642966534067</v>
      </c>
      <c r="L466" s="16" t="n">
        <v>11.3732880479858</v>
      </c>
      <c r="M466" s="19" t="n">
        <v>0.906510646978268</v>
      </c>
      <c r="N466" s="19" t="n">
        <v>1.09733045862835</v>
      </c>
      <c r="O466" s="19" t="n">
        <v>0.961563941600337</v>
      </c>
      <c r="P466" s="19" t="n">
        <v>0.335523205109378</v>
      </c>
      <c r="Q466" s="17" t="s">
        <v>30</v>
      </c>
      <c r="R466" s="5" t="str">
        <f aca="false">IF(OR(Q466="Steel plate",Q466="Concrete jacket"),"Steel plate or jacket",Q466)</f>
        <v>Seal cracks</v>
      </c>
      <c r="S466" s="5" t="str">
        <f aca="false">IF(O466&lt;='Tree rules'!$C$4,IF(N466&lt;='Tree rules'!$C$5,IF(P466&lt;='Tree rules'!$C$6,"Monitor","Polymer laminate"),IF(P466&lt;='Tree rules'!$C$7,"Seal cracks","Polymer laminate")),IF(O466&lt;='Tree rules'!$C$8,IF(M466&lt;='Tree rules'!$C$9,"Steel plate or jacket","Polymer laminate"),IF(L466&lt;='Tree rules'!$C$10,"Steel plate or jacket","Polymer laminate")))</f>
        <v>Seal cracks</v>
      </c>
      <c r="T466" s="5" t="str">
        <f aca="false">IF(S466=R466,"Yes","No")</f>
        <v>Yes</v>
      </c>
    </row>
    <row r="467" customFormat="false" ht="15" hidden="false" customHeight="false" outlineLevel="0" collapsed="false">
      <c r="A467" s="15" t="n">
        <v>1546</v>
      </c>
      <c r="B467" s="16" t="n">
        <v>4.92517288919261</v>
      </c>
      <c r="C467" s="15" t="n">
        <v>300</v>
      </c>
      <c r="D467" s="15" t="n">
        <v>475</v>
      </c>
      <c r="E467" s="15" t="n">
        <v>30</v>
      </c>
      <c r="F467" s="16" t="n">
        <v>0.735735984447258</v>
      </c>
      <c r="G467" s="17" t="s">
        <v>91</v>
      </c>
      <c r="H467" s="18" t="n">
        <v>0.2</v>
      </c>
      <c r="I467" s="18" t="n">
        <v>1</v>
      </c>
      <c r="J467" s="19" t="n">
        <v>0.867545548895588</v>
      </c>
      <c r="K467" s="19" t="n">
        <v>0.487383661916152</v>
      </c>
      <c r="L467" s="16" t="n">
        <v>11.534362738156</v>
      </c>
      <c r="M467" s="19" t="n">
        <v>0.730280326918609</v>
      </c>
      <c r="N467" s="19" t="n">
        <v>1.03493308991879</v>
      </c>
      <c r="O467" s="19" t="n">
        <v>0.867545548895588</v>
      </c>
      <c r="P467" s="19" t="n">
        <v>0.404565763446628</v>
      </c>
      <c r="Q467" s="17" t="s">
        <v>30</v>
      </c>
      <c r="R467" s="5" t="str">
        <f aca="false">IF(OR(Q467="Steel plate",Q467="Concrete jacket"),"Steel plate or jacket",Q467)</f>
        <v>Seal cracks</v>
      </c>
      <c r="S467" s="5" t="str">
        <f aca="false">IF(O467&lt;='Tree rules'!$C$4,IF(N467&lt;='Tree rules'!$C$5,IF(P467&lt;='Tree rules'!$C$6,"Monitor","Polymer laminate"),IF(P467&lt;='Tree rules'!$C$7,"Seal cracks","Polymer laminate")),IF(O467&lt;='Tree rules'!$C$8,IF(M467&lt;='Tree rules'!$C$9,"Steel plate or jacket","Polymer laminate"),IF(L467&lt;='Tree rules'!$C$10,"Steel plate or jacket","Polymer laminate")))</f>
        <v>Seal cracks</v>
      </c>
      <c r="T467" s="5" t="str">
        <f aca="false">IF(S467=R467,"Yes","No")</f>
        <v>Yes</v>
      </c>
    </row>
    <row r="468" customFormat="false" ht="15" hidden="false" customHeight="false" outlineLevel="0" collapsed="false">
      <c r="A468" s="15" t="n">
        <v>1548</v>
      </c>
      <c r="B468" s="16" t="n">
        <v>6.30045976142831</v>
      </c>
      <c r="C468" s="15" t="n">
        <v>230</v>
      </c>
      <c r="D468" s="15" t="n">
        <v>500</v>
      </c>
      <c r="E468" s="15" t="n">
        <v>25</v>
      </c>
      <c r="F468" s="16" t="n">
        <v>0.577653504586516</v>
      </c>
      <c r="G468" s="17" t="s">
        <v>91</v>
      </c>
      <c r="H468" s="18" t="n">
        <v>0.2</v>
      </c>
      <c r="I468" s="18" t="n">
        <v>1</v>
      </c>
      <c r="J468" s="19" t="n">
        <v>0.879694134936077</v>
      </c>
      <c r="K468" s="19" t="n">
        <v>0.501495132465173</v>
      </c>
      <c r="L468" s="16" t="n">
        <v>13.8776646727496</v>
      </c>
      <c r="M468" s="19" t="n">
        <v>0.522993126892412</v>
      </c>
      <c r="N468" s="19" t="n">
        <v>0.936449125935931</v>
      </c>
      <c r="O468" s="19" t="n">
        <v>0.879694134936077</v>
      </c>
      <c r="P468" s="19" t="n">
        <v>0.597503477527618</v>
      </c>
      <c r="Q468" s="17" t="s">
        <v>29</v>
      </c>
      <c r="R468" s="5" t="str">
        <f aca="false">IF(OR(Q468="Steel plate",Q468="Concrete jacket"),"Steel plate or jacket",Q468)</f>
        <v>Monitor</v>
      </c>
      <c r="S468" s="5" t="str">
        <f aca="false">IF(O468&lt;='Tree rules'!$C$4,IF(N468&lt;='Tree rules'!$C$5,IF(P468&lt;='Tree rules'!$C$6,"Monitor","Polymer laminate"),IF(P468&lt;='Tree rules'!$C$7,"Seal cracks","Polymer laminate")),IF(O468&lt;='Tree rules'!$C$8,IF(M468&lt;='Tree rules'!$C$9,"Steel plate or jacket","Polymer laminate"),IF(L468&lt;='Tree rules'!$C$10,"Steel plate or jacket","Polymer laminate")))</f>
        <v>Monitor</v>
      </c>
      <c r="T468" s="5" t="str">
        <f aca="false">IF(S468=R468,"Yes","No")</f>
        <v>Yes</v>
      </c>
    </row>
    <row r="469" customFormat="false" ht="15" hidden="false" customHeight="false" outlineLevel="0" collapsed="false">
      <c r="A469" s="15" t="n">
        <v>1554</v>
      </c>
      <c r="B469" s="16" t="n">
        <v>5.05806537365458</v>
      </c>
      <c r="C469" s="15" t="n">
        <v>300</v>
      </c>
      <c r="D469" s="15" t="n">
        <v>450</v>
      </c>
      <c r="E469" s="15" t="n">
        <v>20</v>
      </c>
      <c r="F469" s="16" t="n">
        <v>0.663570725510715</v>
      </c>
      <c r="G469" s="17" t="s">
        <v>89</v>
      </c>
      <c r="H469" s="18" t="n">
        <v>0.3</v>
      </c>
      <c r="I469" s="18" t="n">
        <v>1.5</v>
      </c>
      <c r="J469" s="19" t="n">
        <v>0.951127515334009</v>
      </c>
      <c r="K469" s="19" t="n">
        <v>0.459366071404181</v>
      </c>
      <c r="L469" s="16" t="n">
        <v>12.5199637961747</v>
      </c>
      <c r="M469" s="19" t="n">
        <v>0.851699385708914</v>
      </c>
      <c r="N469" s="19" t="n">
        <v>0.814975285666758</v>
      </c>
      <c r="O469" s="19" t="n">
        <v>1.20823341793931</v>
      </c>
      <c r="P469" s="19" t="n">
        <v>0.479915243036005</v>
      </c>
      <c r="Q469" s="17" t="s">
        <v>31</v>
      </c>
      <c r="R469" s="5" t="str">
        <f aca="false">IF(OR(Q469="Steel plate",Q469="Concrete jacket"),"Steel plate or jacket",Q469)</f>
        <v>Polymer laminate</v>
      </c>
      <c r="S469" s="5" t="str">
        <f aca="false">IF(O469&lt;='Tree rules'!$C$4,IF(N469&lt;='Tree rules'!$C$5,IF(P469&lt;='Tree rules'!$C$6,"Monitor","Polymer laminate"),IF(P469&lt;='Tree rules'!$C$7,"Seal cracks","Polymer laminate")),IF(O469&lt;='Tree rules'!$C$8,IF(M469&lt;='Tree rules'!$C$9,"Steel plate or jacket","Polymer laminate"),IF(L469&lt;='Tree rules'!$C$10,"Steel plate or jacket","Polymer laminate")))</f>
        <v>Polymer laminate</v>
      </c>
      <c r="T469" s="5" t="str">
        <f aca="false">IF(S469=R469,"Yes","No")</f>
        <v>Yes</v>
      </c>
    </row>
    <row r="470" customFormat="false" ht="15" hidden="false" customHeight="false" outlineLevel="0" collapsed="false">
      <c r="A470" s="15" t="n">
        <v>1557</v>
      </c>
      <c r="B470" s="16" t="n">
        <v>4.20866203542922</v>
      </c>
      <c r="C470" s="15" t="n">
        <v>230</v>
      </c>
      <c r="D470" s="15" t="n">
        <v>400</v>
      </c>
      <c r="E470" s="15" t="n">
        <v>30</v>
      </c>
      <c r="F470" s="16" t="n">
        <v>0.776085141697083</v>
      </c>
      <c r="G470" s="17" t="s">
        <v>89</v>
      </c>
      <c r="H470" s="18" t="n">
        <v>0.3</v>
      </c>
      <c r="I470" s="18" t="n">
        <v>1</v>
      </c>
      <c r="J470" s="19" t="n">
        <v>0.859431088074032</v>
      </c>
      <c r="K470" s="19" t="n">
        <v>0.477158564569629</v>
      </c>
      <c r="L470" s="16" t="n">
        <v>11.9564262370148</v>
      </c>
      <c r="M470" s="19" t="n">
        <v>0.800078620751164</v>
      </c>
      <c r="N470" s="19" t="n">
        <v>0.763437441453876</v>
      </c>
      <c r="O470" s="19" t="n">
        <v>0.859431088074032</v>
      </c>
      <c r="P470" s="19" t="n">
        <v>0.37081596859528</v>
      </c>
      <c r="Q470" s="17" t="s">
        <v>29</v>
      </c>
      <c r="R470" s="5" t="str">
        <f aca="false">IF(OR(Q470="Steel plate",Q470="Concrete jacket"),"Steel plate or jacket",Q470)</f>
        <v>Monitor</v>
      </c>
      <c r="S470" s="5" t="str">
        <f aca="false">IF(O470&lt;='Tree rules'!$C$4,IF(N470&lt;='Tree rules'!$C$5,IF(P470&lt;='Tree rules'!$C$6,"Monitor","Polymer laminate"),IF(P470&lt;='Tree rules'!$C$7,"Seal cracks","Polymer laminate")),IF(O470&lt;='Tree rules'!$C$8,IF(M470&lt;='Tree rules'!$C$9,"Steel plate or jacket","Polymer laminate"),IF(L470&lt;='Tree rules'!$C$10,"Steel plate or jacket","Polymer laminate")))</f>
        <v>Monitor</v>
      </c>
      <c r="T470" s="5" t="str">
        <f aca="false">IF(S470=R470,"Yes","No")</f>
        <v>Yes</v>
      </c>
    </row>
    <row r="471" customFormat="false" ht="15" hidden="false" customHeight="false" outlineLevel="0" collapsed="false">
      <c r="A471" s="15" t="n">
        <v>1559</v>
      </c>
      <c r="B471" s="16" t="n">
        <v>3.88106637367188</v>
      </c>
      <c r="C471" s="15" t="n">
        <v>300</v>
      </c>
      <c r="D471" s="15" t="n">
        <v>375</v>
      </c>
      <c r="E471" s="15" t="n">
        <v>25</v>
      </c>
      <c r="F471" s="16" t="n">
        <v>0.611130485804701</v>
      </c>
      <c r="G471" s="17" t="s">
        <v>89</v>
      </c>
      <c r="H471" s="18" t="n">
        <v>0.3</v>
      </c>
      <c r="I471" s="18" t="n">
        <v>2</v>
      </c>
      <c r="J471" s="19" t="n">
        <v>0.915844333182445</v>
      </c>
      <c r="K471" s="19" t="n">
        <v>0.514077133083445</v>
      </c>
      <c r="L471" s="16" t="n">
        <v>11.7965543272702</v>
      </c>
      <c r="M471" s="19" t="n">
        <v>0.816625941337351</v>
      </c>
      <c r="N471" s="19" t="n">
        <v>1.09975581508509</v>
      </c>
      <c r="O471" s="19" t="n">
        <v>1.36087403721174</v>
      </c>
      <c r="P471" s="19" t="n">
        <v>0.418806788595213</v>
      </c>
      <c r="Q471" s="17" t="s">
        <v>31</v>
      </c>
      <c r="R471" s="5" t="str">
        <f aca="false">IF(OR(Q471="Steel plate",Q471="Concrete jacket"),"Steel plate or jacket",Q471)</f>
        <v>Polymer laminate</v>
      </c>
      <c r="S471" s="5" t="str">
        <f aca="false">IF(O471&lt;='Tree rules'!$C$4,IF(N471&lt;='Tree rules'!$C$5,IF(P471&lt;='Tree rules'!$C$6,"Monitor","Polymer laminate"),IF(P471&lt;='Tree rules'!$C$7,"Seal cracks","Polymer laminate")),IF(O471&lt;='Tree rules'!$C$8,IF(M471&lt;='Tree rules'!$C$9,"Steel plate or jacket","Polymer laminate"),IF(L471&lt;='Tree rules'!$C$10,"Steel plate or jacket","Polymer laminate")))</f>
        <v>Steel plate or jacket</v>
      </c>
      <c r="T471" s="5" t="str">
        <f aca="false">IF(S471=R471,"Yes","No")</f>
        <v>No</v>
      </c>
    </row>
    <row r="472" customFormat="false" ht="15" hidden="false" customHeight="false" outlineLevel="0" collapsed="false">
      <c r="A472" s="15" t="n">
        <v>1560</v>
      </c>
      <c r="B472" s="16" t="n">
        <v>3.76855018270793</v>
      </c>
      <c r="C472" s="15" t="n">
        <v>300</v>
      </c>
      <c r="D472" s="15" t="n">
        <v>350</v>
      </c>
      <c r="E472" s="15" t="n">
        <v>20</v>
      </c>
      <c r="F472" s="16" t="n">
        <v>0.693508312050727</v>
      </c>
      <c r="G472" s="17" t="s">
        <v>91</v>
      </c>
      <c r="H472" s="18" t="n">
        <v>0.2</v>
      </c>
      <c r="I472" s="18" t="n">
        <v>2</v>
      </c>
      <c r="J472" s="19" t="n">
        <v>0.850878476300144</v>
      </c>
      <c r="K472" s="19" t="n">
        <v>0.644427446556676</v>
      </c>
      <c r="L472" s="16" t="n">
        <v>12.4786429890991</v>
      </c>
      <c r="M472" s="19" t="n">
        <v>0.325524355220762</v>
      </c>
      <c r="N472" s="19" t="n">
        <v>2.00324533363967</v>
      </c>
      <c r="O472" s="19" t="n">
        <v>1.15342750878815</v>
      </c>
      <c r="P472" s="19" t="n">
        <v>1.15548656487164</v>
      </c>
      <c r="Q472" s="17" t="s">
        <v>31</v>
      </c>
      <c r="R472" s="5" t="str">
        <f aca="false">IF(OR(Q472="Steel plate",Q472="Concrete jacket"),"Steel plate or jacket",Q472)</f>
        <v>Polymer laminate</v>
      </c>
      <c r="S472" s="5" t="str">
        <f aca="false">IF(O472&lt;='Tree rules'!$C$4,IF(N472&lt;='Tree rules'!$C$5,IF(P472&lt;='Tree rules'!$C$6,"Monitor","Polymer laminate"),IF(P472&lt;='Tree rules'!$C$7,"Seal cracks","Polymer laminate")),IF(O472&lt;='Tree rules'!$C$8,IF(M472&lt;='Tree rules'!$C$9,"Steel plate or jacket","Polymer laminate"),IF(L472&lt;='Tree rules'!$C$10,"Steel plate or jacket","Polymer laminate")))</f>
        <v>Polymer laminate</v>
      </c>
      <c r="T472" s="5" t="str">
        <f aca="false">IF(S472=R472,"Yes","No")</f>
        <v>Yes</v>
      </c>
    </row>
    <row r="473" customFormat="false" ht="15" hidden="false" customHeight="false" outlineLevel="0" collapsed="false">
      <c r="A473" s="15" t="n">
        <v>1561</v>
      </c>
      <c r="B473" s="16" t="n">
        <v>3.97057010007147</v>
      </c>
      <c r="C473" s="15" t="n">
        <v>300</v>
      </c>
      <c r="D473" s="15" t="n">
        <v>350</v>
      </c>
      <c r="E473" s="15" t="n">
        <v>30</v>
      </c>
      <c r="F473" s="16" t="n">
        <v>0.693508312050727</v>
      </c>
      <c r="G473" s="17" t="s">
        <v>91</v>
      </c>
      <c r="H473" s="18" t="n">
        <v>0.2</v>
      </c>
      <c r="I473" s="18" t="n">
        <v>1.5</v>
      </c>
      <c r="J473" s="19" t="n">
        <v>0.959547531062229</v>
      </c>
      <c r="K473" s="19" t="n">
        <v>0.646005374939052</v>
      </c>
      <c r="L473" s="16" t="n">
        <v>13.1475831128194</v>
      </c>
      <c r="M473" s="19" t="n">
        <v>0.254340590357663</v>
      </c>
      <c r="N473" s="19" t="n">
        <v>2.03541942639784</v>
      </c>
      <c r="O473" s="19" t="n">
        <v>1.1293848653055</v>
      </c>
      <c r="P473" s="19" t="n">
        <v>1.39487928970965</v>
      </c>
      <c r="Q473" s="17" t="s">
        <v>31</v>
      </c>
      <c r="R473" s="5" t="str">
        <f aca="false">IF(OR(Q473="Steel plate",Q473="Concrete jacket"),"Steel plate or jacket",Q473)</f>
        <v>Polymer laminate</v>
      </c>
      <c r="S473" s="5" t="str">
        <f aca="false">IF(O473&lt;='Tree rules'!$C$4,IF(N473&lt;='Tree rules'!$C$5,IF(P473&lt;='Tree rules'!$C$6,"Monitor","Polymer laminate"),IF(P473&lt;='Tree rules'!$C$7,"Seal cracks","Polymer laminate")),IF(O473&lt;='Tree rules'!$C$8,IF(M473&lt;='Tree rules'!$C$9,"Steel plate or jacket","Polymer laminate"),IF(L473&lt;='Tree rules'!$C$10,"Steel plate or jacket","Polymer laminate")))</f>
        <v>Steel plate or jacket</v>
      </c>
      <c r="T473" s="5" t="str">
        <f aca="false">IF(S473=R473,"Yes","No")</f>
        <v>No</v>
      </c>
    </row>
    <row r="474" customFormat="false" ht="15" hidden="false" customHeight="false" outlineLevel="0" collapsed="false">
      <c r="A474" s="15" t="n">
        <v>1565</v>
      </c>
      <c r="B474" s="16" t="n">
        <v>5.68579014211982</v>
      </c>
      <c r="C474" s="15" t="n">
        <v>300</v>
      </c>
      <c r="D474" s="15" t="n">
        <v>500</v>
      </c>
      <c r="E474" s="15" t="n">
        <v>30</v>
      </c>
      <c r="F474" s="16" t="n">
        <v>0.885735373699325</v>
      </c>
      <c r="G474" s="17" t="s">
        <v>89</v>
      </c>
      <c r="H474" s="18" t="n">
        <v>0.3</v>
      </c>
      <c r="I474" s="18" t="n">
        <v>2</v>
      </c>
      <c r="J474" s="19" t="n">
        <v>0.882301648668721</v>
      </c>
      <c r="K474" s="19" t="n">
        <v>0.517877545930653</v>
      </c>
      <c r="L474" s="16" t="n">
        <v>12.523766832863</v>
      </c>
      <c r="M474" s="19" t="n">
        <v>0.600010259681868</v>
      </c>
      <c r="N474" s="19" t="n">
        <v>0.843063996991526</v>
      </c>
      <c r="O474" s="19" t="n">
        <v>1.30767908475432</v>
      </c>
      <c r="P474" s="19" t="n">
        <v>0.798708315702883</v>
      </c>
      <c r="Q474" s="17" t="s">
        <v>31</v>
      </c>
      <c r="R474" s="5" t="str">
        <f aca="false">IF(OR(Q474="Steel plate",Q474="Concrete jacket"),"Steel plate or jacket",Q474)</f>
        <v>Polymer laminate</v>
      </c>
      <c r="S474" s="5" t="str">
        <f aca="false">IF(O474&lt;='Tree rules'!$C$4,IF(N474&lt;='Tree rules'!$C$5,IF(P474&lt;='Tree rules'!$C$6,"Monitor","Polymer laminate"),IF(P474&lt;='Tree rules'!$C$7,"Seal cracks","Polymer laminate")),IF(O474&lt;='Tree rules'!$C$8,IF(M474&lt;='Tree rules'!$C$9,"Steel plate or jacket","Polymer laminate"),IF(L474&lt;='Tree rules'!$C$10,"Steel plate or jacket","Polymer laminate")))</f>
        <v>Steel plate or jacket</v>
      </c>
      <c r="T474" s="5" t="str">
        <f aca="false">IF(S474=R474,"Yes","No")</f>
        <v>No</v>
      </c>
    </row>
    <row r="475" customFormat="false" ht="15" hidden="false" customHeight="false" outlineLevel="0" collapsed="false">
      <c r="A475" s="15" t="n">
        <v>1575</v>
      </c>
      <c r="B475" s="16" t="n">
        <v>3.05713780662716</v>
      </c>
      <c r="C475" s="15" t="n">
        <v>230</v>
      </c>
      <c r="D475" s="15" t="n">
        <v>300</v>
      </c>
      <c r="E475" s="15" t="n">
        <v>30</v>
      </c>
      <c r="F475" s="16" t="n">
        <v>1.08405543602132</v>
      </c>
      <c r="G475" s="17" t="s">
        <v>89</v>
      </c>
      <c r="H475" s="18" t="n">
        <v>0.3</v>
      </c>
      <c r="I475" s="18" t="n">
        <v>2</v>
      </c>
      <c r="J475" s="19" t="n">
        <v>0.874271572146014</v>
      </c>
      <c r="K475" s="19" t="n">
        <v>0.476452239387685</v>
      </c>
      <c r="L475" s="16" t="n">
        <v>12.1314992326474</v>
      </c>
      <c r="M475" s="19" t="n">
        <v>0.757158041722094</v>
      </c>
      <c r="N475" s="19" t="n">
        <v>1.23730236493479</v>
      </c>
      <c r="O475" s="19" t="n">
        <v>1.33199449591007</v>
      </c>
      <c r="P475" s="19" t="n">
        <v>0.580470833722083</v>
      </c>
      <c r="Q475" s="17" t="s">
        <v>31</v>
      </c>
      <c r="R475" s="5" t="str">
        <f aca="false">IF(OR(Q475="Steel plate",Q475="Concrete jacket"),"Steel plate or jacket",Q475)</f>
        <v>Polymer laminate</v>
      </c>
      <c r="S475" s="5" t="str">
        <f aca="false">IF(O475&lt;='Tree rules'!$C$4,IF(N475&lt;='Tree rules'!$C$5,IF(P475&lt;='Tree rules'!$C$6,"Monitor","Polymer laminate"),IF(P475&lt;='Tree rules'!$C$7,"Seal cracks","Polymer laminate")),IF(O475&lt;='Tree rules'!$C$8,IF(M475&lt;='Tree rules'!$C$9,"Steel plate or jacket","Polymer laminate"),IF(L475&lt;='Tree rules'!$C$10,"Steel plate or jacket","Polymer laminate")))</f>
        <v>Steel plate or jacket</v>
      </c>
      <c r="T475" s="5" t="str">
        <f aca="false">IF(S475=R475,"Yes","No")</f>
        <v>No</v>
      </c>
    </row>
    <row r="476" customFormat="false" ht="15" hidden="false" customHeight="false" outlineLevel="0" collapsed="false">
      <c r="A476" s="15" t="n">
        <v>1577</v>
      </c>
      <c r="B476" s="16" t="n">
        <v>5.77122339453289</v>
      </c>
      <c r="C476" s="15" t="n">
        <v>300</v>
      </c>
      <c r="D476" s="15" t="n">
        <v>525</v>
      </c>
      <c r="E476" s="15" t="n">
        <v>30</v>
      </c>
      <c r="F476" s="16" t="n">
        <v>0.55967134260194</v>
      </c>
      <c r="G476" s="17" t="s">
        <v>89</v>
      </c>
      <c r="H476" s="18" t="n">
        <v>0.3</v>
      </c>
      <c r="I476" s="18" t="n">
        <v>1</v>
      </c>
      <c r="J476" s="19" t="n">
        <v>0.936980882104935</v>
      </c>
      <c r="K476" s="19" t="n">
        <v>0.573725683977478</v>
      </c>
      <c r="L476" s="16" t="n">
        <v>12.0484830783568</v>
      </c>
      <c r="M476" s="19" t="n">
        <v>0.770078828017147</v>
      </c>
      <c r="N476" s="19" t="n">
        <v>0.621794626054535</v>
      </c>
      <c r="O476" s="19" t="n">
        <v>0.936980882104935</v>
      </c>
      <c r="P476" s="19" t="n">
        <v>0.382318722128926</v>
      </c>
      <c r="Q476" s="17" t="s">
        <v>29</v>
      </c>
      <c r="R476" s="5" t="str">
        <f aca="false">IF(OR(Q476="Steel plate",Q476="Concrete jacket"),"Steel plate or jacket",Q476)</f>
        <v>Monitor</v>
      </c>
      <c r="S476" s="5" t="str">
        <f aca="false">IF(O476&lt;='Tree rules'!$C$4,IF(N476&lt;='Tree rules'!$C$5,IF(P476&lt;='Tree rules'!$C$6,"Monitor","Polymer laminate"),IF(P476&lt;='Tree rules'!$C$7,"Seal cracks","Polymer laminate")),IF(O476&lt;='Tree rules'!$C$8,IF(M476&lt;='Tree rules'!$C$9,"Steel plate or jacket","Polymer laminate"),IF(L476&lt;='Tree rules'!$C$10,"Steel plate or jacket","Polymer laminate")))</f>
        <v>Monitor</v>
      </c>
      <c r="T476" s="5" t="str">
        <f aca="false">IF(S476=R476,"Yes","No")</f>
        <v>Yes</v>
      </c>
    </row>
    <row r="477" customFormat="false" ht="15" hidden="false" customHeight="false" outlineLevel="0" collapsed="false">
      <c r="A477" s="15" t="n">
        <v>1579</v>
      </c>
      <c r="B477" s="16" t="n">
        <v>3.13235086064467</v>
      </c>
      <c r="C477" s="15" t="n">
        <v>230</v>
      </c>
      <c r="D477" s="15" t="n">
        <v>300</v>
      </c>
      <c r="E477" s="15" t="n">
        <v>20</v>
      </c>
      <c r="F477" s="16" t="n">
        <v>0.731533308458238</v>
      </c>
      <c r="G477" s="17" t="s">
        <v>90</v>
      </c>
      <c r="H477" s="18" t="n">
        <v>0.1</v>
      </c>
      <c r="I477" s="18" t="n">
        <v>1.5</v>
      </c>
      <c r="J477" s="19" t="n">
        <v>0.918526098804912</v>
      </c>
      <c r="K477" s="19" t="n">
        <v>0.482151893674247</v>
      </c>
      <c r="L477" s="16" t="n">
        <v>13.1060705466304</v>
      </c>
      <c r="M477" s="19" t="n">
        <v>0.952765459374975</v>
      </c>
      <c r="N477" s="19" t="n">
        <v>3.43267757847972</v>
      </c>
      <c r="O477" s="19" t="n">
        <v>1.15635459924336</v>
      </c>
      <c r="P477" s="19" t="n">
        <v>0.336894014301153</v>
      </c>
      <c r="Q477" s="17" t="s">
        <v>31</v>
      </c>
      <c r="R477" s="5" t="str">
        <f aca="false">IF(OR(Q477="Steel plate",Q477="Concrete jacket"),"Steel plate or jacket",Q477)</f>
        <v>Polymer laminate</v>
      </c>
      <c r="S477" s="5" t="str">
        <f aca="false">IF(O477&lt;='Tree rules'!$C$4,IF(N477&lt;='Tree rules'!$C$5,IF(P477&lt;='Tree rules'!$C$6,"Monitor","Polymer laminate"),IF(P477&lt;='Tree rules'!$C$7,"Seal cracks","Polymer laminate")),IF(O477&lt;='Tree rules'!$C$8,IF(M477&lt;='Tree rules'!$C$9,"Steel plate or jacket","Polymer laminate"),IF(L477&lt;='Tree rules'!$C$10,"Steel plate or jacket","Polymer laminate")))</f>
        <v>Polymer laminate</v>
      </c>
      <c r="T477" s="5" t="str">
        <f aca="false">IF(S477=R477,"Yes","No")</f>
        <v>Yes</v>
      </c>
    </row>
    <row r="478" customFormat="false" ht="15" hidden="false" customHeight="false" outlineLevel="0" collapsed="false">
      <c r="A478" s="15" t="n">
        <v>1584</v>
      </c>
      <c r="B478" s="16" t="n">
        <v>5.77461443395016</v>
      </c>
      <c r="C478" s="15" t="n">
        <v>230</v>
      </c>
      <c r="D478" s="15" t="n">
        <v>500</v>
      </c>
      <c r="E478" s="15" t="n">
        <v>25</v>
      </c>
      <c r="F478" s="16" t="n">
        <v>0.577653504586516</v>
      </c>
      <c r="G478" s="17" t="s">
        <v>89</v>
      </c>
      <c r="H478" s="18" t="n">
        <v>0.3</v>
      </c>
      <c r="I478" s="18" t="n">
        <v>1</v>
      </c>
      <c r="J478" s="19" t="n">
        <v>0.917861973431387</v>
      </c>
      <c r="K478" s="19" t="n">
        <v>0.557781637344215</v>
      </c>
      <c r="L478" s="16" t="n">
        <v>12.7194150527537</v>
      </c>
      <c r="M478" s="19" t="n">
        <v>0.474053102737569</v>
      </c>
      <c r="N478" s="19" t="n">
        <v>0.66235405792863</v>
      </c>
      <c r="O478" s="19" t="n">
        <v>0.917861973431387</v>
      </c>
      <c r="P478" s="19" t="n">
        <v>0.652740966646235</v>
      </c>
      <c r="Q478" s="17" t="s">
        <v>29</v>
      </c>
      <c r="R478" s="5" t="str">
        <f aca="false">IF(OR(Q478="Steel plate",Q478="Concrete jacket"),"Steel plate or jacket",Q478)</f>
        <v>Monitor</v>
      </c>
      <c r="S478" s="5" t="str">
        <f aca="false">IF(O478&lt;='Tree rules'!$C$4,IF(N478&lt;='Tree rules'!$C$5,IF(P478&lt;='Tree rules'!$C$6,"Monitor","Polymer laminate"),IF(P478&lt;='Tree rules'!$C$7,"Seal cracks","Polymer laminate")),IF(O478&lt;='Tree rules'!$C$8,IF(M478&lt;='Tree rules'!$C$9,"Steel plate or jacket","Polymer laminate"),IF(L478&lt;='Tree rules'!$C$10,"Steel plate or jacket","Polymer laminate")))</f>
        <v>Monitor</v>
      </c>
      <c r="T478" s="5" t="str">
        <f aca="false">IF(S478=R478,"Yes","No")</f>
        <v>Yes</v>
      </c>
    </row>
    <row r="479" customFormat="false" ht="15" hidden="false" customHeight="false" outlineLevel="0" collapsed="false">
      <c r="A479" s="15" t="n">
        <v>1586</v>
      </c>
      <c r="B479" s="16" t="n">
        <v>6.52398831234809</v>
      </c>
      <c r="C479" s="15" t="n">
        <v>300</v>
      </c>
      <c r="D479" s="15" t="n">
        <v>600</v>
      </c>
      <c r="E479" s="15" t="n">
        <v>25</v>
      </c>
      <c r="F479" s="16" t="n">
        <v>0.758838805214926</v>
      </c>
      <c r="G479" s="17" t="s">
        <v>91</v>
      </c>
      <c r="H479" s="18" t="n">
        <v>0.2</v>
      </c>
      <c r="I479" s="18" t="n">
        <v>1</v>
      </c>
      <c r="J479" s="19" t="n">
        <v>0.875785772105676</v>
      </c>
      <c r="K479" s="19" t="n">
        <v>0.569385021360644</v>
      </c>
      <c r="L479" s="16" t="n">
        <v>11.8188194064277</v>
      </c>
      <c r="M479" s="19" t="n">
        <v>0.933472599263537</v>
      </c>
      <c r="N479" s="19" t="n">
        <v>0.831216512127217</v>
      </c>
      <c r="O479" s="19" t="n">
        <v>0.875785772105676</v>
      </c>
      <c r="P479" s="19" t="n">
        <v>0.412207759767826</v>
      </c>
      <c r="Q479" s="17" t="s">
        <v>29</v>
      </c>
      <c r="R479" s="5" t="str">
        <f aca="false">IF(OR(Q479="Steel plate",Q479="Concrete jacket"),"Steel plate or jacket",Q479)</f>
        <v>Monitor</v>
      </c>
      <c r="S479" s="5" t="str">
        <f aca="false">IF(O479&lt;='Tree rules'!$C$4,IF(N479&lt;='Tree rules'!$C$5,IF(P479&lt;='Tree rules'!$C$6,"Monitor","Polymer laminate"),IF(P479&lt;='Tree rules'!$C$7,"Seal cracks","Polymer laminate")),IF(O479&lt;='Tree rules'!$C$8,IF(M479&lt;='Tree rules'!$C$9,"Steel plate or jacket","Polymer laminate"),IF(L479&lt;='Tree rules'!$C$10,"Steel plate or jacket","Polymer laminate")))</f>
        <v>Monitor</v>
      </c>
      <c r="T479" s="5" t="str">
        <f aca="false">IF(S479=R479,"Yes","No")</f>
        <v>Yes</v>
      </c>
    </row>
    <row r="480" customFormat="false" ht="15" hidden="false" customHeight="false" outlineLevel="0" collapsed="false">
      <c r="A480" s="15" t="n">
        <v>1587</v>
      </c>
      <c r="B480" s="16" t="n">
        <v>4.58077932528909</v>
      </c>
      <c r="C480" s="15" t="n">
        <v>300</v>
      </c>
      <c r="D480" s="15" t="n">
        <v>450</v>
      </c>
      <c r="E480" s="15" t="n">
        <v>20</v>
      </c>
      <c r="F480" s="16" t="n">
        <v>0.663570725510715</v>
      </c>
      <c r="G480" s="17" t="s">
        <v>89</v>
      </c>
      <c r="H480" s="18" t="n">
        <v>0.3</v>
      </c>
      <c r="I480" s="18" t="n">
        <v>1.5</v>
      </c>
      <c r="J480" s="19" t="n">
        <v>0.927647358398746</v>
      </c>
      <c r="K480" s="19" t="n">
        <v>0.522251544720982</v>
      </c>
      <c r="L480" s="16" t="n">
        <v>11.3385626863591</v>
      </c>
      <c r="M480" s="19" t="n">
        <v>0.955126270413122</v>
      </c>
      <c r="N480" s="19" t="n">
        <v>0.753521491265915</v>
      </c>
      <c r="O480" s="19" t="n">
        <v>1.14923840465808</v>
      </c>
      <c r="P480" s="19" t="n">
        <v>0.395554452293651</v>
      </c>
      <c r="Q480" s="17" t="s">
        <v>31</v>
      </c>
      <c r="R480" s="5" t="str">
        <f aca="false">IF(OR(Q480="Steel plate",Q480="Concrete jacket"),"Steel plate or jacket",Q480)</f>
        <v>Polymer laminate</v>
      </c>
      <c r="S480" s="5" t="str">
        <f aca="false">IF(O480&lt;='Tree rules'!$C$4,IF(N480&lt;='Tree rules'!$C$5,IF(P480&lt;='Tree rules'!$C$6,"Monitor","Polymer laminate"),IF(P480&lt;='Tree rules'!$C$7,"Seal cracks","Polymer laminate")),IF(O480&lt;='Tree rules'!$C$8,IF(M480&lt;='Tree rules'!$C$9,"Steel plate or jacket","Polymer laminate"),IF(L480&lt;='Tree rules'!$C$10,"Steel plate or jacket","Polymer laminate")))</f>
        <v>Polymer laminate</v>
      </c>
      <c r="T480" s="5" t="str">
        <f aca="false">IF(S480=R480,"Yes","No")</f>
        <v>Yes</v>
      </c>
    </row>
    <row r="481" customFormat="false" ht="15" hidden="false" customHeight="false" outlineLevel="0" collapsed="false">
      <c r="A481" s="15" t="n">
        <v>1589</v>
      </c>
      <c r="B481" s="16" t="n">
        <v>4.63006430360434</v>
      </c>
      <c r="C481" s="15" t="n">
        <v>230</v>
      </c>
      <c r="D481" s="15" t="n">
        <v>400</v>
      </c>
      <c r="E481" s="15" t="n">
        <v>25</v>
      </c>
      <c r="F481" s="16" t="n">
        <v>0.740832460684402</v>
      </c>
      <c r="G481" s="17" t="s">
        <v>89</v>
      </c>
      <c r="H481" s="18" t="n">
        <v>0.3</v>
      </c>
      <c r="I481" s="18" t="n">
        <v>1</v>
      </c>
      <c r="J481" s="19" t="n">
        <v>0.934100411795391</v>
      </c>
      <c r="K481" s="19" t="n">
        <v>0.485719489721985</v>
      </c>
      <c r="L481" s="16" t="n">
        <v>13.0792776937976</v>
      </c>
      <c r="M481" s="19" t="n">
        <v>0.614297717025686</v>
      </c>
      <c r="N481" s="19" t="n">
        <v>0.669349272623683</v>
      </c>
      <c r="O481" s="19" t="n">
        <v>0.934100411795391</v>
      </c>
      <c r="P481" s="19" t="n">
        <v>0.577807545022736</v>
      </c>
      <c r="Q481" s="17" t="s">
        <v>29</v>
      </c>
      <c r="R481" s="5" t="str">
        <f aca="false">IF(OR(Q481="Steel plate",Q481="Concrete jacket"),"Steel plate or jacket",Q481)</f>
        <v>Monitor</v>
      </c>
      <c r="S481" s="5" t="str">
        <f aca="false">IF(O481&lt;='Tree rules'!$C$4,IF(N481&lt;='Tree rules'!$C$5,IF(P481&lt;='Tree rules'!$C$6,"Monitor","Polymer laminate"),IF(P481&lt;='Tree rules'!$C$7,"Seal cracks","Polymer laminate")),IF(O481&lt;='Tree rules'!$C$8,IF(M481&lt;='Tree rules'!$C$9,"Steel plate or jacket","Polymer laminate"),IF(L481&lt;='Tree rules'!$C$10,"Steel plate or jacket","Polymer laminate")))</f>
        <v>Monitor</v>
      </c>
      <c r="T481" s="5" t="str">
        <f aca="false">IF(S481=R481,"Yes","No")</f>
        <v>Yes</v>
      </c>
    </row>
    <row r="482" customFormat="false" ht="15" hidden="false" customHeight="false" outlineLevel="0" collapsed="false">
      <c r="A482" s="15" t="n">
        <v>1597</v>
      </c>
      <c r="B482" s="16" t="n">
        <v>7.35340488317842</v>
      </c>
      <c r="C482" s="15" t="n">
        <v>230</v>
      </c>
      <c r="D482" s="15" t="n">
        <v>650</v>
      </c>
      <c r="E482" s="15" t="n">
        <v>25</v>
      </c>
      <c r="F482" s="16" t="n">
        <v>0.698079991168756</v>
      </c>
      <c r="G482" s="17" t="s">
        <v>90</v>
      </c>
      <c r="H482" s="18" t="n">
        <v>0.1</v>
      </c>
      <c r="I482" s="18" t="n">
        <v>1</v>
      </c>
      <c r="J482" s="19" t="n">
        <v>0.902886899363213</v>
      </c>
      <c r="K482" s="19" t="n">
        <v>0.401328927804431</v>
      </c>
      <c r="L482" s="16" t="n">
        <v>12.5270952013261</v>
      </c>
      <c r="M482" s="19" t="n">
        <v>0.610707326361481</v>
      </c>
      <c r="N482" s="19" t="n">
        <v>2.32574520765461</v>
      </c>
      <c r="O482" s="19" t="n">
        <v>0.902886899363213</v>
      </c>
      <c r="P482" s="19" t="n">
        <v>0.510543264563533</v>
      </c>
      <c r="Q482" s="17" t="s">
        <v>30</v>
      </c>
      <c r="R482" s="5" t="str">
        <f aca="false">IF(OR(Q482="Steel plate",Q482="Concrete jacket"),"Steel plate or jacket",Q482)</f>
        <v>Seal cracks</v>
      </c>
      <c r="S482" s="5" t="str">
        <f aca="false">IF(O482&lt;='Tree rules'!$C$4,IF(N482&lt;='Tree rules'!$C$5,IF(P482&lt;='Tree rules'!$C$6,"Monitor","Polymer laminate"),IF(P482&lt;='Tree rules'!$C$7,"Seal cracks","Polymer laminate")),IF(O482&lt;='Tree rules'!$C$8,IF(M482&lt;='Tree rules'!$C$9,"Steel plate or jacket","Polymer laminate"),IF(L482&lt;='Tree rules'!$C$10,"Steel plate or jacket","Polymer laminate")))</f>
        <v>Seal cracks</v>
      </c>
      <c r="T482" s="5" t="str">
        <f aca="false">IF(S482=R482,"Yes","No")</f>
        <v>Yes</v>
      </c>
    </row>
    <row r="483" customFormat="false" ht="15" hidden="false" customHeight="false" outlineLevel="0" collapsed="false">
      <c r="A483" s="15" t="n">
        <v>1601</v>
      </c>
      <c r="B483" s="16" t="n">
        <v>5.39889049828904</v>
      </c>
      <c r="C483" s="15" t="n">
        <v>230</v>
      </c>
      <c r="D483" s="15" t="n">
        <v>425</v>
      </c>
      <c r="E483" s="15" t="n">
        <v>30</v>
      </c>
      <c r="F483" s="16" t="n">
        <v>0.754646325628103</v>
      </c>
      <c r="G483" s="17" t="s">
        <v>90</v>
      </c>
      <c r="H483" s="18" t="n">
        <v>0.1</v>
      </c>
      <c r="I483" s="18" t="n">
        <v>1</v>
      </c>
      <c r="J483" s="19" t="n">
        <v>0.902798062578819</v>
      </c>
      <c r="K483" s="19" t="n">
        <v>0.594282218273168</v>
      </c>
      <c r="L483" s="16" t="n">
        <v>14.9140621499697</v>
      </c>
      <c r="M483" s="19" t="n">
        <v>0.888210712264533</v>
      </c>
      <c r="N483" s="19" t="n">
        <v>2.64037530153642</v>
      </c>
      <c r="O483" s="19" t="n">
        <v>0.902798062578819</v>
      </c>
      <c r="P483" s="19" t="n">
        <v>0.431579619198854</v>
      </c>
      <c r="Q483" s="17" t="s">
        <v>30</v>
      </c>
      <c r="R483" s="5" t="str">
        <f aca="false">IF(OR(Q483="Steel plate",Q483="Concrete jacket"),"Steel plate or jacket",Q483)</f>
        <v>Seal cracks</v>
      </c>
      <c r="S483" s="5" t="str">
        <f aca="false">IF(O483&lt;='Tree rules'!$C$4,IF(N483&lt;='Tree rules'!$C$5,IF(P483&lt;='Tree rules'!$C$6,"Monitor","Polymer laminate"),IF(P483&lt;='Tree rules'!$C$7,"Seal cracks","Polymer laminate")),IF(O483&lt;='Tree rules'!$C$8,IF(M483&lt;='Tree rules'!$C$9,"Steel plate or jacket","Polymer laminate"),IF(L483&lt;='Tree rules'!$C$10,"Steel plate or jacket","Polymer laminate")))</f>
        <v>Seal cracks</v>
      </c>
      <c r="T483" s="5" t="str">
        <f aca="false">IF(S483=R483,"Yes","No")</f>
        <v>Yes</v>
      </c>
    </row>
    <row r="484" customFormat="false" ht="15" hidden="false" customHeight="false" outlineLevel="0" collapsed="false">
      <c r="A484" s="15" t="n">
        <v>1606</v>
      </c>
      <c r="B484" s="16" t="n">
        <v>4.92734181433332</v>
      </c>
      <c r="C484" s="15" t="n">
        <v>230</v>
      </c>
      <c r="D484" s="15" t="n">
        <v>425</v>
      </c>
      <c r="E484" s="15" t="n">
        <v>25</v>
      </c>
      <c r="F484" s="16" t="n">
        <v>0.691964884122107</v>
      </c>
      <c r="G484" s="17" t="s">
        <v>91</v>
      </c>
      <c r="H484" s="18" t="n">
        <v>0.2</v>
      </c>
      <c r="I484" s="18" t="n">
        <v>1</v>
      </c>
      <c r="J484" s="19" t="n">
        <v>0.920280818304083</v>
      </c>
      <c r="K484" s="19" t="n">
        <v>0.617165014022298</v>
      </c>
      <c r="L484" s="16" t="n">
        <v>13.0009018847845</v>
      </c>
      <c r="M484" s="19" t="n">
        <v>0.662604413166129</v>
      </c>
      <c r="N484" s="19" t="n">
        <v>0.969087692889598</v>
      </c>
      <c r="O484" s="19" t="n">
        <v>0.920280818304084</v>
      </c>
      <c r="P484" s="19" t="n">
        <v>0.566146720377519</v>
      </c>
      <c r="Q484" s="17" t="s">
        <v>29</v>
      </c>
      <c r="R484" s="5" t="str">
        <f aca="false">IF(OR(Q484="Steel plate",Q484="Concrete jacket"),"Steel plate or jacket",Q484)</f>
        <v>Monitor</v>
      </c>
      <c r="S484" s="5" t="str">
        <f aca="false">IF(O484&lt;='Tree rules'!$C$4,IF(N484&lt;='Tree rules'!$C$5,IF(P484&lt;='Tree rules'!$C$6,"Monitor","Polymer laminate"),IF(P484&lt;='Tree rules'!$C$7,"Seal cracks","Polymer laminate")),IF(O484&lt;='Tree rules'!$C$8,IF(M484&lt;='Tree rules'!$C$9,"Steel plate or jacket","Polymer laminate"),IF(L484&lt;='Tree rules'!$C$10,"Steel plate or jacket","Polymer laminate")))</f>
        <v>Monitor</v>
      </c>
      <c r="T484" s="5" t="str">
        <f aca="false">IF(S484=R484,"Yes","No")</f>
        <v>Yes</v>
      </c>
    </row>
    <row r="485" customFormat="false" ht="15" hidden="false" customHeight="false" outlineLevel="0" collapsed="false">
      <c r="A485" s="15" t="n">
        <v>1611</v>
      </c>
      <c r="B485" s="16" t="n">
        <v>4.41650291481642</v>
      </c>
      <c r="C485" s="15" t="n">
        <v>230</v>
      </c>
      <c r="D485" s="15" t="n">
        <v>425</v>
      </c>
      <c r="E485" s="15" t="n">
        <v>25</v>
      </c>
      <c r="F485" s="16" t="n">
        <v>0.691964884122107</v>
      </c>
      <c r="G485" s="17" t="s">
        <v>89</v>
      </c>
      <c r="H485" s="18" t="n">
        <v>0.3</v>
      </c>
      <c r="I485" s="18" t="n">
        <v>1</v>
      </c>
      <c r="J485" s="19" t="n">
        <v>0.921174786462061</v>
      </c>
      <c r="K485" s="19" t="n">
        <v>0.461128547364529</v>
      </c>
      <c r="L485" s="16" t="n">
        <v>11.6530419916001</v>
      </c>
      <c r="M485" s="19" t="n">
        <v>0.509658524968558</v>
      </c>
      <c r="N485" s="19" t="n">
        <v>0.670905045015131</v>
      </c>
      <c r="O485" s="19" t="n">
        <v>0.921174786462061</v>
      </c>
      <c r="P485" s="19" t="n">
        <v>0.571471845461627</v>
      </c>
      <c r="Q485" s="17" t="s">
        <v>29</v>
      </c>
      <c r="R485" s="5" t="str">
        <f aca="false">IF(OR(Q485="Steel plate",Q485="Concrete jacket"),"Steel plate or jacket",Q485)</f>
        <v>Monitor</v>
      </c>
      <c r="S485" s="5" t="str">
        <f aca="false">IF(O485&lt;='Tree rules'!$C$4,IF(N485&lt;='Tree rules'!$C$5,IF(P485&lt;='Tree rules'!$C$6,"Monitor","Polymer laminate"),IF(P485&lt;='Tree rules'!$C$7,"Seal cracks","Polymer laminate")),IF(O485&lt;='Tree rules'!$C$8,IF(M485&lt;='Tree rules'!$C$9,"Steel plate or jacket","Polymer laminate"),IF(L485&lt;='Tree rules'!$C$10,"Steel plate or jacket","Polymer laminate")))</f>
        <v>Monitor</v>
      </c>
      <c r="T485" s="5" t="str">
        <f aca="false">IF(S485=R485,"Yes","No")</f>
        <v>Yes</v>
      </c>
    </row>
    <row r="486" customFormat="false" ht="15" hidden="false" customHeight="false" outlineLevel="0" collapsed="false">
      <c r="A486" s="15" t="n">
        <v>1620</v>
      </c>
      <c r="B486" s="16" t="n">
        <v>4.4438576265788</v>
      </c>
      <c r="C486" s="15" t="n">
        <v>300</v>
      </c>
      <c r="D486" s="15" t="n">
        <v>400</v>
      </c>
      <c r="E486" s="15" t="n">
        <v>25</v>
      </c>
      <c r="F486" s="16" t="n">
        <v>0.594998608634431</v>
      </c>
      <c r="G486" s="17" t="s">
        <v>91</v>
      </c>
      <c r="H486" s="18" t="n">
        <v>0.2</v>
      </c>
      <c r="I486" s="18" t="n">
        <v>2</v>
      </c>
      <c r="J486" s="19" t="n">
        <v>0.853193894750002</v>
      </c>
      <c r="K486" s="19" t="n">
        <v>0.517715773047267</v>
      </c>
      <c r="L486" s="16" t="n">
        <v>12.6245955300534</v>
      </c>
      <c r="M486" s="19" t="n">
        <v>0.339093496364362</v>
      </c>
      <c r="N486" s="19" t="n">
        <v>2.27813577258573</v>
      </c>
      <c r="O486" s="19" t="n">
        <v>1.2646758527203</v>
      </c>
      <c r="P486" s="19" t="n">
        <v>0.941614686844496</v>
      </c>
      <c r="Q486" s="17" t="s">
        <v>31</v>
      </c>
      <c r="R486" s="5" t="str">
        <f aca="false">IF(OR(Q486="Steel plate",Q486="Concrete jacket"),"Steel plate or jacket",Q486)</f>
        <v>Polymer laminate</v>
      </c>
      <c r="S486" s="5" t="str">
        <f aca="false">IF(O486&lt;='Tree rules'!$C$4,IF(N486&lt;='Tree rules'!$C$5,IF(P486&lt;='Tree rules'!$C$6,"Monitor","Polymer laminate"),IF(P486&lt;='Tree rules'!$C$7,"Seal cracks","Polymer laminate")),IF(O486&lt;='Tree rules'!$C$8,IF(M486&lt;='Tree rules'!$C$9,"Steel plate or jacket","Polymer laminate"),IF(L486&lt;='Tree rules'!$C$10,"Steel plate or jacket","Polymer laminate")))</f>
        <v>Polymer laminate</v>
      </c>
      <c r="T486" s="5" t="str">
        <f aca="false">IF(S486=R486,"Yes","No")</f>
        <v>Yes</v>
      </c>
    </row>
    <row r="487" customFormat="false" ht="15" hidden="false" customHeight="false" outlineLevel="0" collapsed="false">
      <c r="A487" s="15" t="n">
        <v>1623</v>
      </c>
      <c r="B487" s="16" t="n">
        <v>4.64059439855151</v>
      </c>
      <c r="C487" s="15" t="n">
        <v>230</v>
      </c>
      <c r="D487" s="15" t="n">
        <v>375</v>
      </c>
      <c r="E487" s="15" t="n">
        <v>30</v>
      </c>
      <c r="F487" s="16" t="n">
        <v>0.797126720614828</v>
      </c>
      <c r="G487" s="17" t="s">
        <v>89</v>
      </c>
      <c r="H487" s="18" t="n">
        <v>0.3</v>
      </c>
      <c r="I487" s="18" t="n">
        <v>1</v>
      </c>
      <c r="J487" s="19" t="n">
        <v>0.868726329327806</v>
      </c>
      <c r="K487" s="19" t="n">
        <v>0.533132761973356</v>
      </c>
      <c r="L487" s="16" t="n">
        <v>14.105150147573</v>
      </c>
      <c r="M487" s="19" t="n">
        <v>0.302883705217724</v>
      </c>
      <c r="N487" s="19" t="n">
        <v>0.672705088884939</v>
      </c>
      <c r="O487" s="19" t="n">
        <v>0.868726329327806</v>
      </c>
      <c r="P487" s="19" t="n">
        <v>1.1401889756809</v>
      </c>
      <c r="Q487" s="17" t="s">
        <v>31</v>
      </c>
      <c r="R487" s="5" t="str">
        <f aca="false">IF(OR(Q487="Steel plate",Q487="Concrete jacket"),"Steel plate or jacket",Q487)</f>
        <v>Polymer laminate</v>
      </c>
      <c r="S487" s="5" t="str">
        <f aca="false">IF(O487&lt;='Tree rules'!$C$4,IF(N487&lt;='Tree rules'!$C$5,IF(P487&lt;='Tree rules'!$C$6,"Monitor","Polymer laminate"),IF(P487&lt;='Tree rules'!$C$7,"Seal cracks","Polymer laminate")),IF(O487&lt;='Tree rules'!$C$8,IF(M487&lt;='Tree rules'!$C$9,"Steel plate or jacket","Polymer laminate"),IF(L487&lt;='Tree rules'!$C$10,"Steel plate or jacket","Polymer laminate")))</f>
        <v>Polymer laminate</v>
      </c>
      <c r="T487" s="5" t="str">
        <f aca="false">IF(S487=R487,"Yes","No")</f>
        <v>Yes</v>
      </c>
    </row>
    <row r="488" customFormat="false" ht="15" hidden="false" customHeight="false" outlineLevel="0" collapsed="false">
      <c r="A488" s="15" t="n">
        <v>1624</v>
      </c>
      <c r="B488" s="16" t="n">
        <v>7.68250731863623</v>
      </c>
      <c r="C488" s="15" t="n">
        <v>300</v>
      </c>
      <c r="D488" s="15" t="n">
        <v>675</v>
      </c>
      <c r="E488" s="15" t="n">
        <v>20</v>
      </c>
      <c r="F488" s="16" t="n">
        <v>0.668068613203571</v>
      </c>
      <c r="G488" s="17" t="s">
        <v>89</v>
      </c>
      <c r="H488" s="18" t="n">
        <v>0.3</v>
      </c>
      <c r="I488" s="18" t="n">
        <v>1</v>
      </c>
      <c r="J488" s="19" t="n">
        <v>0.851417727968233</v>
      </c>
      <c r="K488" s="19" t="n">
        <v>0.455025144266121</v>
      </c>
      <c r="L488" s="16" t="n">
        <v>12.2528027410466</v>
      </c>
      <c r="M488" s="19" t="n">
        <v>0.376615814319082</v>
      </c>
      <c r="N488" s="19" t="n">
        <v>0.600992524740797</v>
      </c>
      <c r="O488" s="19" t="n">
        <v>0.851417727968233</v>
      </c>
      <c r="P488" s="19" t="n">
        <v>0.856268188816017</v>
      </c>
      <c r="Q488" s="17" t="s">
        <v>29</v>
      </c>
      <c r="R488" s="5" t="str">
        <f aca="false">IF(OR(Q488="Steel plate",Q488="Concrete jacket"),"Steel plate or jacket",Q488)</f>
        <v>Monitor</v>
      </c>
      <c r="S488" s="5" t="str">
        <f aca="false">IF(O488&lt;='Tree rules'!$C$4,IF(N488&lt;='Tree rules'!$C$5,IF(P488&lt;='Tree rules'!$C$6,"Monitor","Polymer laminate"),IF(P488&lt;='Tree rules'!$C$7,"Seal cracks","Polymer laminate")),IF(O488&lt;='Tree rules'!$C$8,IF(M488&lt;='Tree rules'!$C$9,"Steel plate or jacket","Polymer laminate"),IF(L488&lt;='Tree rules'!$C$10,"Steel plate or jacket","Polymer laminate")))</f>
        <v>Monitor</v>
      </c>
      <c r="T488" s="5" t="str">
        <f aca="false">IF(S488=R488,"Yes","No")</f>
        <v>Yes</v>
      </c>
    </row>
    <row r="489" customFormat="false" ht="15" hidden="false" customHeight="false" outlineLevel="0" collapsed="false">
      <c r="A489" s="15" t="n">
        <v>1625</v>
      </c>
      <c r="B489" s="16" t="n">
        <v>6.00589261991478</v>
      </c>
      <c r="C489" s="15" t="n">
        <v>230</v>
      </c>
      <c r="D489" s="15" t="n">
        <v>500</v>
      </c>
      <c r="E489" s="15" t="n">
        <v>30</v>
      </c>
      <c r="F489" s="16" t="n">
        <v>0.90657733366385</v>
      </c>
      <c r="G489" s="17" t="s">
        <v>89</v>
      </c>
      <c r="H489" s="18" t="n">
        <v>0.3</v>
      </c>
      <c r="I489" s="18" t="n">
        <v>1</v>
      </c>
      <c r="J489" s="19" t="n">
        <v>0.852641170363133</v>
      </c>
      <c r="K489" s="19" t="n">
        <v>0.406017906510382</v>
      </c>
      <c r="L489" s="16" t="n">
        <v>13.2873730529088</v>
      </c>
      <c r="M489" s="19" t="n">
        <v>0.805445861853216</v>
      </c>
      <c r="N489" s="19" t="n">
        <v>0.578644983002412</v>
      </c>
      <c r="O489" s="19" t="n">
        <v>0.852641170363133</v>
      </c>
      <c r="P489" s="19" t="n">
        <v>0.469552986577539</v>
      </c>
      <c r="Q489" s="17" t="s">
        <v>29</v>
      </c>
      <c r="R489" s="5" t="str">
        <f aca="false">IF(OR(Q489="Steel plate",Q489="Concrete jacket"),"Steel plate or jacket",Q489)</f>
        <v>Monitor</v>
      </c>
      <c r="S489" s="5" t="str">
        <f aca="false">IF(O489&lt;='Tree rules'!$C$4,IF(N489&lt;='Tree rules'!$C$5,IF(P489&lt;='Tree rules'!$C$6,"Monitor","Polymer laminate"),IF(P489&lt;='Tree rules'!$C$7,"Seal cracks","Polymer laminate")),IF(O489&lt;='Tree rules'!$C$8,IF(M489&lt;='Tree rules'!$C$9,"Steel plate or jacket","Polymer laminate"),IF(L489&lt;='Tree rules'!$C$10,"Steel plate or jacket","Polymer laminate")))</f>
        <v>Monitor</v>
      </c>
      <c r="T489" s="5" t="str">
        <f aca="false">IF(S489=R489,"Yes","No")</f>
        <v>Yes</v>
      </c>
    </row>
    <row r="490" customFormat="false" ht="15" hidden="false" customHeight="false" outlineLevel="0" collapsed="false">
      <c r="A490" s="15" t="n">
        <v>1629</v>
      </c>
      <c r="B490" s="16" t="n">
        <v>3.07269568101698</v>
      </c>
      <c r="C490" s="15" t="n">
        <v>300</v>
      </c>
      <c r="D490" s="15" t="n">
        <v>300</v>
      </c>
      <c r="E490" s="15" t="n">
        <v>30</v>
      </c>
      <c r="F490" s="16" t="n">
        <v>0.831109167616348</v>
      </c>
      <c r="G490" s="17" t="s">
        <v>91</v>
      </c>
      <c r="H490" s="18" t="n">
        <v>0.2</v>
      </c>
      <c r="I490" s="18" t="n">
        <v>1</v>
      </c>
      <c r="J490" s="19" t="n">
        <v>0.873857568307085</v>
      </c>
      <c r="K490" s="19" t="n">
        <v>0.539523586600193</v>
      </c>
      <c r="L490" s="16" t="n">
        <v>12.1932368294325</v>
      </c>
      <c r="M490" s="19" t="n">
        <v>0.656364341382358</v>
      </c>
      <c r="N490" s="19" t="n">
        <v>1.4029377504971</v>
      </c>
      <c r="O490" s="19" t="n">
        <v>0.873857568307085</v>
      </c>
      <c r="P490" s="19" t="n">
        <v>0.44787525378238</v>
      </c>
      <c r="Q490" s="17" t="s">
        <v>30</v>
      </c>
      <c r="R490" s="5" t="str">
        <f aca="false">IF(OR(Q490="Steel plate",Q490="Concrete jacket"),"Steel plate or jacket",Q490)</f>
        <v>Seal cracks</v>
      </c>
      <c r="S490" s="5" t="str">
        <f aca="false">IF(O490&lt;='Tree rules'!$C$4,IF(N490&lt;='Tree rules'!$C$5,IF(P490&lt;='Tree rules'!$C$6,"Monitor","Polymer laminate"),IF(P490&lt;='Tree rules'!$C$7,"Seal cracks","Polymer laminate")),IF(O490&lt;='Tree rules'!$C$8,IF(M490&lt;='Tree rules'!$C$9,"Steel plate or jacket","Polymer laminate"),IF(L490&lt;='Tree rules'!$C$10,"Steel plate or jacket","Polymer laminate")))</f>
        <v>Seal cracks</v>
      </c>
      <c r="T490" s="5" t="str">
        <f aca="false">IF(S490=R490,"Yes","No")</f>
        <v>Yes</v>
      </c>
    </row>
    <row r="491" customFormat="false" ht="15" hidden="false" customHeight="false" outlineLevel="0" collapsed="false">
      <c r="A491" s="15" t="n">
        <v>1633</v>
      </c>
      <c r="B491" s="16" t="n">
        <v>3.02588471421103</v>
      </c>
      <c r="C491" s="15" t="n">
        <v>300</v>
      </c>
      <c r="D491" s="15" t="n">
        <v>300</v>
      </c>
      <c r="E491" s="15" t="n">
        <v>25</v>
      </c>
      <c r="F491" s="16" t="n">
        <v>0.883572933822129</v>
      </c>
      <c r="G491" s="17" t="s">
        <v>91</v>
      </c>
      <c r="H491" s="18" t="n">
        <v>0.2</v>
      </c>
      <c r="I491" s="18" t="n">
        <v>1</v>
      </c>
      <c r="J491" s="19" t="n">
        <v>0.90620513205208</v>
      </c>
      <c r="K491" s="19" t="n">
        <v>0.586559822151656</v>
      </c>
      <c r="L491" s="16" t="n">
        <v>11.8198621648868</v>
      </c>
      <c r="M491" s="19" t="n">
        <v>0.319589001286845</v>
      </c>
      <c r="N491" s="19" t="n">
        <v>0.955272410470012</v>
      </c>
      <c r="O491" s="19" t="n">
        <v>0.90620513205208</v>
      </c>
      <c r="P491" s="19" t="n">
        <v>1.05487799263876</v>
      </c>
      <c r="Q491" s="17" t="s">
        <v>31</v>
      </c>
      <c r="R491" s="5" t="str">
        <f aca="false">IF(OR(Q491="Steel plate",Q491="Concrete jacket"),"Steel plate or jacket",Q491)</f>
        <v>Polymer laminate</v>
      </c>
      <c r="S491" s="5" t="str">
        <f aca="false">IF(O491&lt;='Tree rules'!$C$4,IF(N491&lt;='Tree rules'!$C$5,IF(P491&lt;='Tree rules'!$C$6,"Monitor","Polymer laminate"),IF(P491&lt;='Tree rules'!$C$7,"Seal cracks","Polymer laminate")),IF(O491&lt;='Tree rules'!$C$8,IF(M491&lt;='Tree rules'!$C$9,"Steel plate or jacket","Polymer laminate"),IF(L491&lt;='Tree rules'!$C$10,"Steel plate or jacket","Polymer laminate")))</f>
        <v>Polymer laminate</v>
      </c>
      <c r="T491" s="5" t="str">
        <f aca="false">IF(S491=R491,"Yes","No")</f>
        <v>Yes</v>
      </c>
    </row>
    <row r="492" customFormat="false" ht="15" hidden="false" customHeight="false" outlineLevel="0" collapsed="false">
      <c r="A492" s="15" t="n">
        <v>1636</v>
      </c>
      <c r="B492" s="16" t="n">
        <v>3.62779321430552</v>
      </c>
      <c r="C492" s="15" t="n">
        <v>230</v>
      </c>
      <c r="D492" s="15" t="n">
        <v>300</v>
      </c>
      <c r="E492" s="15" t="n">
        <v>20</v>
      </c>
      <c r="F492" s="16" t="n">
        <v>0.731533308458238</v>
      </c>
      <c r="G492" s="17" t="s">
        <v>90</v>
      </c>
      <c r="H492" s="18" t="n">
        <v>0.1</v>
      </c>
      <c r="I492" s="18" t="n">
        <v>1</v>
      </c>
      <c r="J492" s="19" t="n">
        <v>0.891124948279437</v>
      </c>
      <c r="K492" s="19" t="n">
        <v>0.597237936625356</v>
      </c>
      <c r="L492" s="16" t="n">
        <v>15.1790511058808</v>
      </c>
      <c r="M492" s="19" t="n">
        <v>0.937862272405112</v>
      </c>
      <c r="N492" s="19" t="n">
        <v>2.53161201796202</v>
      </c>
      <c r="O492" s="19" t="n">
        <v>0.891124948279437</v>
      </c>
      <c r="P492" s="19" t="n">
        <v>0.372548870520318</v>
      </c>
      <c r="Q492" s="17" t="s">
        <v>30</v>
      </c>
      <c r="R492" s="5" t="str">
        <f aca="false">IF(OR(Q492="Steel plate",Q492="Concrete jacket"),"Steel plate or jacket",Q492)</f>
        <v>Seal cracks</v>
      </c>
      <c r="S492" s="5" t="str">
        <f aca="false">IF(O492&lt;='Tree rules'!$C$4,IF(N492&lt;='Tree rules'!$C$5,IF(P492&lt;='Tree rules'!$C$6,"Monitor","Polymer laminate"),IF(P492&lt;='Tree rules'!$C$7,"Seal cracks","Polymer laminate")),IF(O492&lt;='Tree rules'!$C$8,IF(M492&lt;='Tree rules'!$C$9,"Steel plate or jacket","Polymer laminate"),IF(L492&lt;='Tree rules'!$C$10,"Steel plate or jacket","Polymer laminate")))</f>
        <v>Seal cracks</v>
      </c>
      <c r="T492" s="5" t="str">
        <f aca="false">IF(S492=R492,"Yes","No")</f>
        <v>Yes</v>
      </c>
    </row>
    <row r="493" customFormat="false" ht="15" hidden="false" customHeight="false" outlineLevel="0" collapsed="false">
      <c r="A493" s="15" t="n">
        <v>1637</v>
      </c>
      <c r="B493" s="16" t="n">
        <v>5.1875942330403</v>
      </c>
      <c r="C493" s="15" t="n">
        <v>300</v>
      </c>
      <c r="D493" s="15" t="n">
        <v>475</v>
      </c>
      <c r="E493" s="15" t="n">
        <v>30</v>
      </c>
      <c r="F493" s="16" t="n">
        <v>0.624901102811956</v>
      </c>
      <c r="G493" s="17" t="s">
        <v>89</v>
      </c>
      <c r="H493" s="18" t="n">
        <v>0.3</v>
      </c>
      <c r="I493" s="18" t="n">
        <v>1</v>
      </c>
      <c r="J493" s="19" t="n">
        <v>0.900413215772576</v>
      </c>
      <c r="K493" s="19" t="n">
        <v>0.524711938799481</v>
      </c>
      <c r="L493" s="16" t="n">
        <v>12.0922942495112</v>
      </c>
      <c r="M493" s="19" t="n">
        <v>0.29494510739529</v>
      </c>
      <c r="N493" s="19" t="n">
        <v>0.685641378329453</v>
      </c>
      <c r="O493" s="19" t="n">
        <v>0.900413215772576</v>
      </c>
      <c r="P493" s="19" t="n">
        <v>0.917670367615202</v>
      </c>
      <c r="Q493" s="17" t="s">
        <v>29</v>
      </c>
      <c r="R493" s="5" t="str">
        <f aca="false">IF(OR(Q493="Steel plate",Q493="Concrete jacket"),"Steel plate or jacket",Q493)</f>
        <v>Monitor</v>
      </c>
      <c r="S493" s="5" t="str">
        <f aca="false">IF(O493&lt;='Tree rules'!$C$4,IF(N493&lt;='Tree rules'!$C$5,IF(P493&lt;='Tree rules'!$C$6,"Monitor","Polymer laminate"),IF(P493&lt;='Tree rules'!$C$7,"Seal cracks","Polymer laminate")),IF(O493&lt;='Tree rules'!$C$8,IF(M493&lt;='Tree rules'!$C$9,"Steel plate or jacket","Polymer laminate"),IF(L493&lt;='Tree rules'!$C$10,"Steel plate or jacket","Polymer laminate")))</f>
        <v>Monitor</v>
      </c>
      <c r="T493" s="5" t="str">
        <f aca="false">IF(S493=R493,"Yes","No")</f>
        <v>Yes</v>
      </c>
    </row>
    <row r="494" customFormat="false" ht="15" hidden="false" customHeight="false" outlineLevel="0" collapsed="false">
      <c r="A494" s="15" t="n">
        <v>1638</v>
      </c>
      <c r="B494" s="16" t="n">
        <v>3.07674626557096</v>
      </c>
      <c r="C494" s="15" t="n">
        <v>300</v>
      </c>
      <c r="D494" s="15" t="n">
        <v>300</v>
      </c>
      <c r="E494" s="15" t="n">
        <v>25</v>
      </c>
      <c r="F494" s="16" t="n">
        <v>0.883572933822129</v>
      </c>
      <c r="G494" s="17" t="s">
        <v>89</v>
      </c>
      <c r="H494" s="18" t="n">
        <v>0.3</v>
      </c>
      <c r="I494" s="18" t="n">
        <v>1</v>
      </c>
      <c r="J494" s="19" t="n">
        <v>0.89943749827201</v>
      </c>
      <c r="K494" s="19" t="n">
        <v>0.500880356484861</v>
      </c>
      <c r="L494" s="16" t="n">
        <v>12.0185400998866</v>
      </c>
      <c r="M494" s="19" t="n">
        <v>0.511485561648183</v>
      </c>
      <c r="N494" s="19" t="n">
        <v>0.608427662077803</v>
      </c>
      <c r="O494" s="19" t="n">
        <v>0.89943749827201</v>
      </c>
      <c r="P494" s="19" t="n">
        <v>0.639335875349459</v>
      </c>
      <c r="Q494" s="17" t="s">
        <v>29</v>
      </c>
      <c r="R494" s="5" t="str">
        <f aca="false">IF(OR(Q494="Steel plate",Q494="Concrete jacket"),"Steel plate or jacket",Q494)</f>
        <v>Monitor</v>
      </c>
      <c r="S494" s="5" t="str">
        <f aca="false">IF(O494&lt;='Tree rules'!$C$4,IF(N494&lt;='Tree rules'!$C$5,IF(P494&lt;='Tree rules'!$C$6,"Monitor","Polymer laminate"),IF(P494&lt;='Tree rules'!$C$7,"Seal cracks","Polymer laminate")),IF(O494&lt;='Tree rules'!$C$8,IF(M494&lt;='Tree rules'!$C$9,"Steel plate or jacket","Polymer laminate"),IF(L494&lt;='Tree rules'!$C$10,"Steel plate or jacket","Polymer laminate")))</f>
        <v>Monitor</v>
      </c>
      <c r="T494" s="5" t="str">
        <f aca="false">IF(S494=R494,"Yes","No")</f>
        <v>Yes</v>
      </c>
    </row>
    <row r="495" customFormat="false" ht="15" hidden="false" customHeight="false" outlineLevel="0" collapsed="false">
      <c r="A495" s="15" t="n">
        <v>1640</v>
      </c>
      <c r="B495" s="16" t="n">
        <v>6.94936260165985</v>
      </c>
      <c r="C495" s="15" t="n">
        <v>300</v>
      </c>
      <c r="D495" s="15" t="n">
        <v>700</v>
      </c>
      <c r="E495" s="15" t="n">
        <v>25</v>
      </c>
      <c r="F495" s="16" t="n">
        <v>0.614868286941122</v>
      </c>
      <c r="G495" s="17" t="s">
        <v>91</v>
      </c>
      <c r="H495" s="18" t="n">
        <v>0.2</v>
      </c>
      <c r="I495" s="18" t="n">
        <v>1</v>
      </c>
      <c r="J495" s="19" t="n">
        <v>0.866731253239045</v>
      </c>
      <c r="K495" s="19" t="n">
        <v>0.478659748383459</v>
      </c>
      <c r="L495" s="16" t="n">
        <v>10.6259366997857</v>
      </c>
      <c r="M495" s="19" t="n">
        <v>0.283962645759342</v>
      </c>
      <c r="N495" s="19" t="n">
        <v>0.849336332194436</v>
      </c>
      <c r="O495" s="19" t="n">
        <v>0.866731253239045</v>
      </c>
      <c r="P495" s="19" t="n">
        <v>0.895410480468949</v>
      </c>
      <c r="Q495" s="17" t="s">
        <v>29</v>
      </c>
      <c r="R495" s="5" t="str">
        <f aca="false">IF(OR(Q495="Steel plate",Q495="Concrete jacket"),"Steel plate or jacket",Q495)</f>
        <v>Monitor</v>
      </c>
      <c r="S495" s="5" t="str">
        <f aca="false">IF(O495&lt;='Tree rules'!$C$4,IF(N495&lt;='Tree rules'!$C$5,IF(P495&lt;='Tree rules'!$C$6,"Monitor","Polymer laminate"),IF(P495&lt;='Tree rules'!$C$7,"Seal cracks","Polymer laminate")),IF(O495&lt;='Tree rules'!$C$8,IF(M495&lt;='Tree rules'!$C$9,"Steel plate or jacket","Polymer laminate"),IF(L495&lt;='Tree rules'!$C$10,"Steel plate or jacket","Polymer laminate")))</f>
        <v>Monitor</v>
      </c>
      <c r="T495" s="5" t="str">
        <f aca="false">IF(S495=R495,"Yes","No")</f>
        <v>Yes</v>
      </c>
    </row>
    <row r="496" customFormat="false" ht="15" hidden="false" customHeight="false" outlineLevel="0" collapsed="false">
      <c r="A496" s="15" t="n">
        <v>1645</v>
      </c>
      <c r="B496" s="16" t="n">
        <v>7.41245894156345</v>
      </c>
      <c r="C496" s="15" t="n">
        <v>230</v>
      </c>
      <c r="D496" s="15" t="n">
        <v>675</v>
      </c>
      <c r="E496" s="15" t="n">
        <v>25</v>
      </c>
      <c r="F496" s="16" t="n">
        <v>0.653545382481754</v>
      </c>
      <c r="G496" s="17" t="s">
        <v>91</v>
      </c>
      <c r="H496" s="18" t="n">
        <v>0.2</v>
      </c>
      <c r="I496" s="18" t="n">
        <v>1.5</v>
      </c>
      <c r="J496" s="19" t="n">
        <v>0.925982200820478</v>
      </c>
      <c r="K496" s="19" t="n">
        <v>0.618493513502333</v>
      </c>
      <c r="L496" s="16" t="n">
        <v>11.8221035750613</v>
      </c>
      <c r="M496" s="19" t="n">
        <v>0.55010324784573</v>
      </c>
      <c r="N496" s="19" t="n">
        <v>1.15621040141359</v>
      </c>
      <c r="O496" s="19" t="n">
        <v>1.10261630881768</v>
      </c>
      <c r="P496" s="19" t="n">
        <v>0.717727400189822</v>
      </c>
      <c r="Q496" s="17" t="s">
        <v>31</v>
      </c>
      <c r="R496" s="5" t="str">
        <f aca="false">IF(OR(Q496="Steel plate",Q496="Concrete jacket"),"Steel plate or jacket",Q496)</f>
        <v>Polymer laminate</v>
      </c>
      <c r="S496" s="5" t="str">
        <f aca="false">IF(O496&lt;='Tree rules'!$C$4,IF(N496&lt;='Tree rules'!$C$5,IF(P496&lt;='Tree rules'!$C$6,"Monitor","Polymer laminate"),IF(P496&lt;='Tree rules'!$C$7,"Seal cracks","Polymer laminate")),IF(O496&lt;='Tree rules'!$C$8,IF(M496&lt;='Tree rules'!$C$9,"Steel plate or jacket","Polymer laminate"),IF(L496&lt;='Tree rules'!$C$10,"Steel plate or jacket","Polymer laminate")))</f>
        <v>Polymer laminate</v>
      </c>
      <c r="T496" s="5" t="str">
        <f aca="false">IF(S496=R496,"Yes","No")</f>
        <v>Yes</v>
      </c>
    </row>
    <row r="497" customFormat="false" ht="15" hidden="false" customHeight="false" outlineLevel="0" collapsed="false">
      <c r="A497" s="15" t="n">
        <v>1658</v>
      </c>
      <c r="B497" s="16" t="n">
        <v>3.47289287172929</v>
      </c>
      <c r="C497" s="15" t="n">
        <v>300</v>
      </c>
      <c r="D497" s="15" t="n">
        <v>300</v>
      </c>
      <c r="E497" s="15" t="n">
        <v>30</v>
      </c>
      <c r="F497" s="16" t="n">
        <v>0.589048622548086</v>
      </c>
      <c r="G497" s="17" t="s">
        <v>89</v>
      </c>
      <c r="H497" s="18" t="n">
        <v>0.3</v>
      </c>
      <c r="I497" s="18" t="n">
        <v>1</v>
      </c>
      <c r="J497" s="19" t="n">
        <v>0.872559972315087</v>
      </c>
      <c r="K497" s="19" t="n">
        <v>0.530197475499035</v>
      </c>
      <c r="L497" s="16" t="n">
        <v>13.5659877801925</v>
      </c>
      <c r="M497" s="19" t="n">
        <v>0.512267941963145</v>
      </c>
      <c r="N497" s="19" t="n">
        <v>0.641973923585737</v>
      </c>
      <c r="O497" s="19" t="n">
        <v>0.872559972315087</v>
      </c>
      <c r="P497" s="19" t="n">
        <v>0.478612985094518</v>
      </c>
      <c r="Q497" s="17" t="s">
        <v>29</v>
      </c>
      <c r="R497" s="5" t="str">
        <f aca="false">IF(OR(Q497="Steel plate",Q497="Concrete jacket"),"Steel plate or jacket",Q497)</f>
        <v>Monitor</v>
      </c>
      <c r="S497" s="5" t="str">
        <f aca="false">IF(O497&lt;='Tree rules'!$C$4,IF(N497&lt;='Tree rules'!$C$5,IF(P497&lt;='Tree rules'!$C$6,"Monitor","Polymer laminate"),IF(P497&lt;='Tree rules'!$C$7,"Seal cracks","Polymer laminate")),IF(O497&lt;='Tree rules'!$C$8,IF(M497&lt;='Tree rules'!$C$9,"Steel plate or jacket","Polymer laminate"),IF(L497&lt;='Tree rules'!$C$10,"Steel plate or jacket","Polymer laminate")))</f>
        <v>Monitor</v>
      </c>
      <c r="T497" s="5" t="str">
        <f aca="false">IF(S497=R497,"Yes","No")</f>
        <v>Yes</v>
      </c>
    </row>
    <row r="498" customFormat="false" ht="15" hidden="false" customHeight="false" outlineLevel="0" collapsed="false">
      <c r="A498" s="15" t="n">
        <v>1662</v>
      </c>
      <c r="B498" s="16" t="n">
        <v>4.47812603151173</v>
      </c>
      <c r="C498" s="15" t="n">
        <v>300</v>
      </c>
      <c r="D498" s="15" t="n">
        <v>400</v>
      </c>
      <c r="E498" s="15" t="n">
        <v>30</v>
      </c>
      <c r="F498" s="16" t="n">
        <v>0.757295404255167</v>
      </c>
      <c r="G498" s="17" t="s">
        <v>91</v>
      </c>
      <c r="H498" s="18" t="n">
        <v>0.2</v>
      </c>
      <c r="I498" s="18" t="n">
        <v>2</v>
      </c>
      <c r="J498" s="19" t="n">
        <v>0.860592524790988</v>
      </c>
      <c r="K498" s="19" t="n">
        <v>0.516765497967992</v>
      </c>
      <c r="L498" s="16" t="n">
        <v>12.6500735353439</v>
      </c>
      <c r="M498" s="19" t="n">
        <v>0.539325203270014</v>
      </c>
      <c r="N498" s="19" t="n">
        <v>1.42480222728927</v>
      </c>
      <c r="O498" s="19" t="n">
        <v>1.27646052496083</v>
      </c>
      <c r="P498" s="19" t="n">
        <v>0.716463379667926</v>
      </c>
      <c r="Q498" s="17" t="s">
        <v>31</v>
      </c>
      <c r="R498" s="5" t="str">
        <f aca="false">IF(OR(Q498="Steel plate",Q498="Concrete jacket"),"Steel plate or jacket",Q498)</f>
        <v>Polymer laminate</v>
      </c>
      <c r="S498" s="5" t="str">
        <f aca="false">IF(O498&lt;='Tree rules'!$C$4,IF(N498&lt;='Tree rules'!$C$5,IF(P498&lt;='Tree rules'!$C$6,"Monitor","Polymer laminate"),IF(P498&lt;='Tree rules'!$C$7,"Seal cracks","Polymer laminate")),IF(O498&lt;='Tree rules'!$C$8,IF(M498&lt;='Tree rules'!$C$9,"Steel plate or jacket","Polymer laminate"),IF(L498&lt;='Tree rules'!$C$10,"Steel plate or jacket","Polymer laminate")))</f>
        <v>Polymer laminate</v>
      </c>
      <c r="T498" s="5" t="str">
        <f aca="false">IF(S498=R498,"Yes","No")</f>
        <v>Yes</v>
      </c>
    </row>
    <row r="499" customFormat="false" ht="15" hidden="false" customHeight="false" outlineLevel="0" collapsed="false">
      <c r="A499" s="15" t="n">
        <v>1667</v>
      </c>
      <c r="B499" s="16" t="n">
        <v>4.97440133625536</v>
      </c>
      <c r="C499" s="15" t="n">
        <v>300</v>
      </c>
      <c r="D499" s="15" t="n">
        <v>450</v>
      </c>
      <c r="E499" s="15" t="n">
        <v>25</v>
      </c>
      <c r="F499" s="16" t="n">
        <v>0.781490709848207</v>
      </c>
      <c r="G499" s="17" t="s">
        <v>89</v>
      </c>
      <c r="H499" s="18" t="n">
        <v>0.3</v>
      </c>
      <c r="I499" s="18" t="n">
        <v>1.5</v>
      </c>
      <c r="J499" s="19" t="n">
        <v>0.869433682724296</v>
      </c>
      <c r="K499" s="19" t="n">
        <v>0.627890450504918</v>
      </c>
      <c r="L499" s="16" t="n">
        <v>12.3741326772521</v>
      </c>
      <c r="M499" s="19" t="n">
        <v>0.683747465148884</v>
      </c>
      <c r="N499" s="19" t="n">
        <v>0.83370369803956</v>
      </c>
      <c r="O499" s="19" t="n">
        <v>1.03119597072149</v>
      </c>
      <c r="P499" s="19" t="n">
        <v>0.605781790316756</v>
      </c>
      <c r="Q499" s="17" t="s">
        <v>31</v>
      </c>
      <c r="R499" s="5" t="str">
        <f aca="false">IF(OR(Q499="Steel plate",Q499="Concrete jacket"),"Steel plate or jacket",Q499)</f>
        <v>Polymer laminate</v>
      </c>
      <c r="S499" s="5" t="str">
        <f aca="false">IF(O499&lt;='Tree rules'!$C$4,IF(N499&lt;='Tree rules'!$C$5,IF(P499&lt;='Tree rules'!$C$6,"Monitor","Polymer laminate"),IF(P499&lt;='Tree rules'!$C$7,"Seal cracks","Polymer laminate")),IF(O499&lt;='Tree rules'!$C$8,IF(M499&lt;='Tree rules'!$C$9,"Steel plate or jacket","Polymer laminate"),IF(L499&lt;='Tree rules'!$C$10,"Steel plate or jacket","Polymer laminate")))</f>
        <v>Polymer laminate</v>
      </c>
      <c r="T499" s="5" t="str">
        <f aca="false">IF(S499=R499,"Yes","No")</f>
        <v>Yes</v>
      </c>
    </row>
    <row r="500" customFormat="false" ht="15" hidden="false" customHeight="false" outlineLevel="0" collapsed="false">
      <c r="A500" s="15" t="n">
        <v>1671</v>
      </c>
      <c r="B500" s="16" t="n">
        <v>4.72702307970326</v>
      </c>
      <c r="C500" s="15" t="n">
        <v>300</v>
      </c>
      <c r="D500" s="15" t="n">
        <v>425</v>
      </c>
      <c r="E500" s="15" t="n">
        <v>25</v>
      </c>
      <c r="F500" s="16" t="n">
        <v>0.707341881547042</v>
      </c>
      <c r="G500" s="17" t="s">
        <v>91</v>
      </c>
      <c r="H500" s="18" t="n">
        <v>0.2</v>
      </c>
      <c r="I500" s="18" t="n">
        <v>1.5</v>
      </c>
      <c r="J500" s="19" t="n">
        <v>0.931638507424014</v>
      </c>
      <c r="K500" s="19" t="n">
        <v>0.513807554391578</v>
      </c>
      <c r="L500" s="16" t="n">
        <v>12.4723564108265</v>
      </c>
      <c r="M500" s="19" t="n">
        <v>0.465788759761667</v>
      </c>
      <c r="N500" s="19" t="n">
        <v>1.28552400771268</v>
      </c>
      <c r="O500" s="19" t="n">
        <v>1.15811630959774</v>
      </c>
      <c r="P500" s="19" t="n">
        <v>0.807483294568688</v>
      </c>
      <c r="Q500" s="17" t="s">
        <v>31</v>
      </c>
      <c r="R500" s="5" t="str">
        <f aca="false">IF(OR(Q500="Steel plate",Q500="Concrete jacket"),"Steel plate or jacket",Q500)</f>
        <v>Polymer laminate</v>
      </c>
      <c r="S500" s="5" t="str">
        <f aca="false">IF(O500&lt;='Tree rules'!$C$4,IF(N500&lt;='Tree rules'!$C$5,IF(P500&lt;='Tree rules'!$C$6,"Monitor","Polymer laminate"),IF(P500&lt;='Tree rules'!$C$7,"Seal cracks","Polymer laminate")),IF(O500&lt;='Tree rules'!$C$8,IF(M500&lt;='Tree rules'!$C$9,"Steel plate or jacket","Polymer laminate"),IF(L500&lt;='Tree rules'!$C$10,"Steel plate or jacket","Polymer laminate")))</f>
        <v>Polymer laminate</v>
      </c>
      <c r="T500" s="5" t="str">
        <f aca="false">IF(S500=R500,"Yes","No")</f>
        <v>Yes</v>
      </c>
    </row>
    <row r="501" customFormat="false" ht="15" hidden="false" customHeight="false" outlineLevel="0" collapsed="false">
      <c r="A501" s="15" t="n">
        <v>1673</v>
      </c>
      <c r="B501" s="16" t="n">
        <v>3.32171410473372</v>
      </c>
      <c r="C501" s="15" t="n">
        <v>230</v>
      </c>
      <c r="D501" s="15" t="n">
        <v>300</v>
      </c>
      <c r="E501" s="15" t="n">
        <v>30</v>
      </c>
      <c r="F501" s="16" t="n">
        <v>0.612108978148471</v>
      </c>
      <c r="G501" s="17" t="s">
        <v>90</v>
      </c>
      <c r="H501" s="18" t="n">
        <v>0.1</v>
      </c>
      <c r="I501" s="18" t="n">
        <v>1</v>
      </c>
      <c r="J501" s="19" t="n">
        <v>0.931121803396779</v>
      </c>
      <c r="K501" s="19" t="n">
        <v>0.570916891995521</v>
      </c>
      <c r="L501" s="16" t="n">
        <v>13.7830460777333</v>
      </c>
      <c r="M501" s="19" t="n">
        <v>0.582269371541907</v>
      </c>
      <c r="N501" s="19" t="n">
        <v>2.66961733084708</v>
      </c>
      <c r="O501" s="19" t="n">
        <v>0.931121803396779</v>
      </c>
      <c r="P501" s="19" t="n">
        <v>0.40987159468375</v>
      </c>
      <c r="Q501" s="17" t="s">
        <v>30</v>
      </c>
      <c r="R501" s="5" t="str">
        <f aca="false">IF(OR(Q501="Steel plate",Q501="Concrete jacket"),"Steel plate or jacket",Q501)</f>
        <v>Seal cracks</v>
      </c>
      <c r="S501" s="5" t="str">
        <f aca="false">IF(O501&lt;='Tree rules'!$C$4,IF(N501&lt;='Tree rules'!$C$5,IF(P501&lt;='Tree rules'!$C$6,"Monitor","Polymer laminate"),IF(P501&lt;='Tree rules'!$C$7,"Seal cracks","Polymer laminate")),IF(O501&lt;='Tree rules'!$C$8,IF(M501&lt;='Tree rules'!$C$9,"Steel plate or jacket","Polymer laminate"),IF(L501&lt;='Tree rules'!$C$10,"Steel plate or jacket","Polymer laminate")))</f>
        <v>Seal cracks</v>
      </c>
      <c r="T501" s="5" t="str">
        <f aca="false">IF(S501=R501,"Yes","No")</f>
        <v>Yes</v>
      </c>
    </row>
    <row r="502" customFormat="false" ht="15" hidden="false" customHeight="false" outlineLevel="0" collapsed="false">
      <c r="A502" s="15" t="n">
        <v>1674</v>
      </c>
      <c r="B502" s="16" t="n">
        <v>5.55717139054132</v>
      </c>
      <c r="C502" s="15" t="n">
        <v>230</v>
      </c>
      <c r="D502" s="15" t="n">
        <v>450</v>
      </c>
      <c r="E502" s="15" t="n">
        <v>30</v>
      </c>
      <c r="F502" s="16" t="n">
        <v>0.679557138998441</v>
      </c>
      <c r="G502" s="17" t="s">
        <v>91</v>
      </c>
      <c r="H502" s="18" t="n">
        <v>0.2</v>
      </c>
      <c r="I502" s="18" t="n">
        <v>2</v>
      </c>
      <c r="J502" s="19" t="n">
        <v>0.98258230567143</v>
      </c>
      <c r="K502" s="19" t="n">
        <v>0.412246859155976</v>
      </c>
      <c r="L502" s="16" t="n">
        <v>13.8238094292073</v>
      </c>
      <c r="M502" s="19" t="n">
        <v>0.872945869149277</v>
      </c>
      <c r="N502" s="19" t="n">
        <v>2.17547242183862</v>
      </c>
      <c r="O502" s="19" t="n">
        <v>1.56009814196758</v>
      </c>
      <c r="P502" s="19" t="n">
        <v>0.518341460371001</v>
      </c>
      <c r="Q502" s="17" t="s">
        <v>31</v>
      </c>
      <c r="R502" s="5" t="str">
        <f aca="false">IF(OR(Q502="Steel plate",Q502="Concrete jacket"),"Steel plate or jacket",Q502)</f>
        <v>Polymer laminate</v>
      </c>
      <c r="S502" s="5" t="str">
        <f aca="false">IF(O502&lt;='Tree rules'!$C$4,IF(N502&lt;='Tree rules'!$C$5,IF(P502&lt;='Tree rules'!$C$6,"Monitor","Polymer laminate"),IF(P502&lt;='Tree rules'!$C$7,"Seal cracks","Polymer laminate")),IF(O502&lt;='Tree rules'!$C$8,IF(M502&lt;='Tree rules'!$C$9,"Steel plate or jacket","Polymer laminate"),IF(L502&lt;='Tree rules'!$C$10,"Steel plate or jacket","Polymer laminate")))</f>
        <v>Polymer laminate</v>
      </c>
      <c r="T502" s="5" t="str">
        <f aca="false">IF(S502=R502,"Yes","No")</f>
        <v>Yes</v>
      </c>
    </row>
    <row r="503" customFormat="false" ht="15" hidden="false" customHeight="false" outlineLevel="0" collapsed="false">
      <c r="A503" s="15" t="n">
        <v>1677</v>
      </c>
      <c r="B503" s="16" t="n">
        <v>4.22975696547786</v>
      </c>
      <c r="C503" s="15" t="n">
        <v>230</v>
      </c>
      <c r="D503" s="15" t="n">
        <v>325</v>
      </c>
      <c r="E503" s="15" t="n">
        <v>30</v>
      </c>
      <c r="F503" s="16" t="n">
        <v>0.699968036696473</v>
      </c>
      <c r="G503" s="17" t="s">
        <v>91</v>
      </c>
      <c r="H503" s="18" t="n">
        <v>0.2</v>
      </c>
      <c r="I503" s="18" t="n">
        <v>1</v>
      </c>
      <c r="J503" s="19" t="n">
        <v>0.867611492640951</v>
      </c>
      <c r="K503" s="19" t="n">
        <v>0.484560019426764</v>
      </c>
      <c r="L503" s="16" t="n">
        <v>15.0525158913803</v>
      </c>
      <c r="M503" s="19" t="n">
        <v>0.748791903492674</v>
      </c>
      <c r="N503" s="19" t="n">
        <v>0.832908916937029</v>
      </c>
      <c r="O503" s="19" t="n">
        <v>0.867611492640951</v>
      </c>
      <c r="P503" s="19" t="n">
        <v>0.431218148473792</v>
      </c>
      <c r="Q503" s="17" t="s">
        <v>29</v>
      </c>
      <c r="R503" s="5" t="str">
        <f aca="false">IF(OR(Q503="Steel plate",Q503="Concrete jacket"),"Steel plate or jacket",Q503)</f>
        <v>Monitor</v>
      </c>
      <c r="S503" s="5" t="str">
        <f aca="false">IF(O503&lt;='Tree rules'!$C$4,IF(N503&lt;='Tree rules'!$C$5,IF(P503&lt;='Tree rules'!$C$6,"Monitor","Polymer laminate"),IF(P503&lt;='Tree rules'!$C$7,"Seal cracks","Polymer laminate")),IF(O503&lt;='Tree rules'!$C$8,IF(M503&lt;='Tree rules'!$C$9,"Steel plate or jacket","Polymer laminate"),IF(L503&lt;='Tree rules'!$C$10,"Steel plate or jacket","Polymer laminate")))</f>
        <v>Monitor</v>
      </c>
      <c r="T503" s="5" t="str">
        <f aca="false">IF(S503=R503,"Yes","No")</f>
        <v>Yes</v>
      </c>
    </row>
    <row r="504" customFormat="false" ht="15" hidden="false" customHeight="false" outlineLevel="0" collapsed="false">
      <c r="A504" s="15" t="n">
        <v>1683</v>
      </c>
      <c r="B504" s="16" t="n">
        <v>5.4909984171279</v>
      </c>
      <c r="C504" s="15" t="n">
        <v>300</v>
      </c>
      <c r="D504" s="15" t="n">
        <v>475</v>
      </c>
      <c r="E504" s="15" t="n">
        <v>25</v>
      </c>
      <c r="F504" s="16" t="n">
        <v>0.735735984447258</v>
      </c>
      <c r="G504" s="17" t="s">
        <v>89</v>
      </c>
      <c r="H504" s="18" t="n">
        <v>0.3</v>
      </c>
      <c r="I504" s="18" t="n">
        <v>2</v>
      </c>
      <c r="J504" s="19" t="n">
        <v>0.875075001195553</v>
      </c>
      <c r="K504" s="19" t="n">
        <v>0.475088591316468</v>
      </c>
      <c r="L504" s="16" t="n">
        <v>12.8594810705571</v>
      </c>
      <c r="M504" s="19" t="n">
        <v>0.505094178842251</v>
      </c>
      <c r="N504" s="19" t="n">
        <v>1.12677629792851</v>
      </c>
      <c r="O504" s="19" t="n">
        <v>1.33441185277685</v>
      </c>
      <c r="P504" s="19" t="n">
        <v>0.844636323919155</v>
      </c>
      <c r="Q504" s="17" t="s">
        <v>31</v>
      </c>
      <c r="R504" s="5" t="str">
        <f aca="false">IF(OR(Q504="Steel plate",Q504="Concrete jacket"),"Steel plate or jacket",Q504)</f>
        <v>Polymer laminate</v>
      </c>
      <c r="S504" s="5" t="str">
        <f aca="false">IF(O504&lt;='Tree rules'!$C$4,IF(N504&lt;='Tree rules'!$C$5,IF(P504&lt;='Tree rules'!$C$6,"Monitor","Polymer laminate"),IF(P504&lt;='Tree rules'!$C$7,"Seal cracks","Polymer laminate")),IF(O504&lt;='Tree rules'!$C$8,IF(M504&lt;='Tree rules'!$C$9,"Steel plate or jacket","Polymer laminate"),IF(L504&lt;='Tree rules'!$C$10,"Steel plate or jacket","Polymer laminate")))</f>
        <v>Steel plate or jacket</v>
      </c>
      <c r="T504" s="5" t="str">
        <f aca="false">IF(S504=R504,"Yes","No")</f>
        <v>No</v>
      </c>
    </row>
    <row r="505" customFormat="false" ht="15" hidden="false" customHeight="false" outlineLevel="0" collapsed="false">
      <c r="A505" s="15" t="n">
        <v>1684</v>
      </c>
      <c r="B505" s="16" t="n">
        <v>3.2650315756988</v>
      </c>
      <c r="C505" s="15" t="n">
        <v>230</v>
      </c>
      <c r="D505" s="15" t="n">
        <v>300</v>
      </c>
      <c r="E505" s="15" t="n">
        <v>30</v>
      </c>
      <c r="F505" s="16" t="n">
        <v>0.688332522525665</v>
      </c>
      <c r="G505" s="17" t="s">
        <v>91</v>
      </c>
      <c r="H505" s="18" t="n">
        <v>0.2</v>
      </c>
      <c r="I505" s="18" t="n">
        <v>1.5</v>
      </c>
      <c r="J505" s="19" t="n">
        <v>0.860730827496439</v>
      </c>
      <c r="K505" s="19" t="n">
        <v>0.414104877126744</v>
      </c>
      <c r="L505" s="16" t="n">
        <v>12.8544550224362</v>
      </c>
      <c r="M505" s="19" t="n">
        <v>0.2683456260751</v>
      </c>
      <c r="N505" s="19" t="n">
        <v>1.67046797509114</v>
      </c>
      <c r="O505" s="19" t="n">
        <v>1.11287982446485</v>
      </c>
      <c r="P505" s="19" t="n">
        <v>0.962648236950831</v>
      </c>
      <c r="Q505" s="17" t="s">
        <v>31</v>
      </c>
      <c r="R505" s="5" t="str">
        <f aca="false">IF(OR(Q505="Steel plate",Q505="Concrete jacket"),"Steel plate or jacket",Q505)</f>
        <v>Polymer laminate</v>
      </c>
      <c r="S505" s="5" t="str">
        <f aca="false">IF(O505&lt;='Tree rules'!$C$4,IF(N505&lt;='Tree rules'!$C$5,IF(P505&lt;='Tree rules'!$C$6,"Monitor","Polymer laminate"),IF(P505&lt;='Tree rules'!$C$7,"Seal cracks","Polymer laminate")),IF(O505&lt;='Tree rules'!$C$8,IF(M505&lt;='Tree rules'!$C$9,"Steel plate or jacket","Polymer laminate"),IF(L505&lt;='Tree rules'!$C$10,"Steel plate or jacket","Polymer laminate")))</f>
        <v>Steel plate or jacket</v>
      </c>
      <c r="T505" s="5" t="str">
        <f aca="false">IF(S505=R505,"Yes","No")</f>
        <v>No</v>
      </c>
    </row>
    <row r="506" customFormat="false" ht="15" hidden="false" customHeight="false" outlineLevel="0" collapsed="false">
      <c r="A506" s="15" t="n">
        <v>1685</v>
      </c>
      <c r="B506" s="16" t="n">
        <v>3.69697381598285</v>
      </c>
      <c r="C506" s="15" t="n">
        <v>230</v>
      </c>
      <c r="D506" s="15" t="n">
        <v>325</v>
      </c>
      <c r="E506" s="15" t="n">
        <v>30</v>
      </c>
      <c r="F506" s="16" t="n">
        <v>0.626653981080713</v>
      </c>
      <c r="G506" s="17" t="s">
        <v>89</v>
      </c>
      <c r="H506" s="18" t="n">
        <v>0.3</v>
      </c>
      <c r="I506" s="18" t="n">
        <v>2</v>
      </c>
      <c r="J506" s="19" t="n">
        <v>0.995468533276493</v>
      </c>
      <c r="K506" s="19" t="n">
        <v>0.541402044287509</v>
      </c>
      <c r="L506" s="16" t="n">
        <v>13.2508022078238</v>
      </c>
      <c r="M506" s="19" t="n">
        <v>0.550118132871696</v>
      </c>
      <c r="N506" s="19" t="n">
        <v>1.39907763377085</v>
      </c>
      <c r="O506" s="19" t="n">
        <v>1.4519883676132</v>
      </c>
      <c r="P506" s="19" t="n">
        <v>0.651464887853638</v>
      </c>
      <c r="Q506" s="17" t="s">
        <v>31</v>
      </c>
      <c r="R506" s="5" t="str">
        <f aca="false">IF(OR(Q506="Steel plate",Q506="Concrete jacket"),"Steel plate or jacket",Q506)</f>
        <v>Polymer laminate</v>
      </c>
      <c r="S506" s="5" t="str">
        <f aca="false">IF(O506&lt;='Tree rules'!$C$4,IF(N506&lt;='Tree rules'!$C$5,IF(P506&lt;='Tree rules'!$C$6,"Monitor","Polymer laminate"),IF(P506&lt;='Tree rules'!$C$7,"Seal cracks","Polymer laminate")),IF(O506&lt;='Tree rules'!$C$8,IF(M506&lt;='Tree rules'!$C$9,"Steel plate or jacket","Polymer laminate"),IF(L506&lt;='Tree rules'!$C$10,"Steel plate or jacket","Polymer laminate")))</f>
        <v>Polymer laminate</v>
      </c>
      <c r="T506" s="5" t="str">
        <f aca="false">IF(S506=R506,"Yes","No")</f>
        <v>Yes</v>
      </c>
    </row>
    <row r="507" customFormat="false" ht="15" hidden="false" customHeight="false" outlineLevel="0" collapsed="false">
      <c r="A507" s="15" t="n">
        <v>1686</v>
      </c>
      <c r="B507" s="16" t="n">
        <v>4.91959982893384</v>
      </c>
      <c r="C507" s="15" t="n">
        <v>230</v>
      </c>
      <c r="D507" s="15" t="n">
        <v>475</v>
      </c>
      <c r="E507" s="15" t="n">
        <v>25</v>
      </c>
      <c r="F507" s="16" t="n">
        <v>0.639770421258486</v>
      </c>
      <c r="G507" s="17" t="s">
        <v>89</v>
      </c>
      <c r="H507" s="18" t="n">
        <v>0.3</v>
      </c>
      <c r="I507" s="18" t="n">
        <v>1.5</v>
      </c>
      <c r="J507" s="19" t="n">
        <v>0.921440928143969</v>
      </c>
      <c r="K507" s="19" t="n">
        <v>0.522928227488778</v>
      </c>
      <c r="L507" s="16" t="n">
        <v>11.5213110747865</v>
      </c>
      <c r="M507" s="19" t="n">
        <v>0.772712325718137</v>
      </c>
      <c r="N507" s="19" t="n">
        <v>1.03697318923231</v>
      </c>
      <c r="O507" s="19" t="n">
        <v>1.14123765657098</v>
      </c>
      <c r="P507" s="19" t="n">
        <v>0.43696265562717</v>
      </c>
      <c r="Q507" s="17" t="s">
        <v>31</v>
      </c>
      <c r="R507" s="5" t="str">
        <f aca="false">IF(OR(Q507="Steel plate",Q507="Concrete jacket"),"Steel plate or jacket",Q507)</f>
        <v>Polymer laminate</v>
      </c>
      <c r="S507" s="5" t="str">
        <f aca="false">IF(O507&lt;='Tree rules'!$C$4,IF(N507&lt;='Tree rules'!$C$5,IF(P507&lt;='Tree rules'!$C$6,"Monitor","Polymer laminate"),IF(P507&lt;='Tree rules'!$C$7,"Seal cracks","Polymer laminate")),IF(O507&lt;='Tree rules'!$C$8,IF(M507&lt;='Tree rules'!$C$9,"Steel plate or jacket","Polymer laminate"),IF(L507&lt;='Tree rules'!$C$10,"Steel plate or jacket","Polymer laminate")))</f>
        <v>Polymer laminate</v>
      </c>
      <c r="T507" s="5" t="str">
        <f aca="false">IF(S507=R507,"Yes","No")</f>
        <v>Yes</v>
      </c>
    </row>
    <row r="508" customFormat="false" ht="15" hidden="false" customHeight="false" outlineLevel="0" collapsed="false">
      <c r="A508" s="15" t="n">
        <v>1689</v>
      </c>
      <c r="B508" s="16" t="n">
        <v>5.60738490556055</v>
      </c>
      <c r="C508" s="15" t="n">
        <v>230</v>
      </c>
      <c r="D508" s="15" t="n">
        <v>500</v>
      </c>
      <c r="E508" s="15" t="n">
        <v>30</v>
      </c>
      <c r="F508" s="16" t="n">
        <v>0.90657733366385</v>
      </c>
      <c r="G508" s="17" t="s">
        <v>91</v>
      </c>
      <c r="H508" s="18" t="n">
        <v>0.2</v>
      </c>
      <c r="I508" s="18" t="n">
        <v>1</v>
      </c>
      <c r="J508" s="19" t="n">
        <v>0.853313929561961</v>
      </c>
      <c r="K508" s="19" t="n">
        <v>0.43692569234798</v>
      </c>
      <c r="L508" s="16" t="n">
        <v>12.4057188176118</v>
      </c>
      <c r="M508" s="19" t="n">
        <v>0.576416649240839</v>
      </c>
      <c r="N508" s="19" t="n">
        <v>0.910454825270724</v>
      </c>
      <c r="O508" s="19" t="n">
        <v>0.853313929561961</v>
      </c>
      <c r="P508" s="19" t="n">
        <v>0.604998469602647</v>
      </c>
      <c r="Q508" s="17" t="s">
        <v>29</v>
      </c>
      <c r="R508" s="5" t="str">
        <f aca="false">IF(OR(Q508="Steel plate",Q508="Concrete jacket"),"Steel plate or jacket",Q508)</f>
        <v>Monitor</v>
      </c>
      <c r="S508" s="5" t="str">
        <f aca="false">IF(O508&lt;='Tree rules'!$C$4,IF(N508&lt;='Tree rules'!$C$5,IF(P508&lt;='Tree rules'!$C$6,"Monitor","Polymer laminate"),IF(P508&lt;='Tree rules'!$C$7,"Seal cracks","Polymer laminate")),IF(O508&lt;='Tree rules'!$C$8,IF(M508&lt;='Tree rules'!$C$9,"Steel plate or jacket","Polymer laminate"),IF(L508&lt;='Tree rules'!$C$10,"Steel plate or jacket","Polymer laminate")))</f>
        <v>Monitor</v>
      </c>
      <c r="T508" s="5" t="str">
        <f aca="false">IF(S508=R508,"Yes","No")</f>
        <v>Yes</v>
      </c>
    </row>
    <row r="509" customFormat="false" ht="15" hidden="false" customHeight="false" outlineLevel="0" collapsed="false">
      <c r="A509" s="15" t="n">
        <v>1692</v>
      </c>
      <c r="B509" s="16" t="n">
        <v>4.95719960122938</v>
      </c>
      <c r="C509" s="15" t="n">
        <v>300</v>
      </c>
      <c r="D509" s="15" t="n">
        <v>450</v>
      </c>
      <c r="E509" s="15" t="n">
        <v>25</v>
      </c>
      <c r="F509" s="16" t="n">
        <v>0.663570725510715</v>
      </c>
      <c r="G509" s="17" t="s">
        <v>89</v>
      </c>
      <c r="H509" s="18" t="n">
        <v>0.3</v>
      </c>
      <c r="I509" s="18" t="n">
        <v>1</v>
      </c>
      <c r="J509" s="19" t="n">
        <v>0.864468825889218</v>
      </c>
      <c r="K509" s="19" t="n">
        <v>0.609939657249523</v>
      </c>
      <c r="L509" s="16" t="n">
        <v>12.270296042647</v>
      </c>
      <c r="M509" s="19" t="n">
        <v>0.833860779124991</v>
      </c>
      <c r="N509" s="19" t="n">
        <v>0.569113504374164</v>
      </c>
      <c r="O509" s="19" t="n">
        <v>0.864468825889218</v>
      </c>
      <c r="P509" s="19" t="n">
        <v>0.405754375504948</v>
      </c>
      <c r="Q509" s="17" t="s">
        <v>29</v>
      </c>
      <c r="R509" s="5" t="str">
        <f aca="false">IF(OR(Q509="Steel plate",Q509="Concrete jacket"),"Steel plate or jacket",Q509)</f>
        <v>Monitor</v>
      </c>
      <c r="S509" s="5" t="str">
        <f aca="false">IF(O509&lt;='Tree rules'!$C$4,IF(N509&lt;='Tree rules'!$C$5,IF(P509&lt;='Tree rules'!$C$6,"Monitor","Polymer laminate"),IF(P509&lt;='Tree rules'!$C$7,"Seal cracks","Polymer laminate")),IF(O509&lt;='Tree rules'!$C$8,IF(M509&lt;='Tree rules'!$C$9,"Steel plate or jacket","Polymer laminate"),IF(L509&lt;='Tree rules'!$C$10,"Steel plate or jacket","Polymer laminate")))</f>
        <v>Monitor</v>
      </c>
      <c r="T509" s="5" t="str">
        <f aca="false">IF(S509=R509,"Yes","No")</f>
        <v>Yes</v>
      </c>
    </row>
    <row r="510" customFormat="false" ht="15" hidden="false" customHeight="false" outlineLevel="0" collapsed="false">
      <c r="A510" s="15" t="n">
        <v>1696</v>
      </c>
      <c r="B510" s="16" t="n">
        <v>4.74354099903257</v>
      </c>
      <c r="C510" s="15" t="n">
        <v>230</v>
      </c>
      <c r="D510" s="15" t="n">
        <v>475</v>
      </c>
      <c r="E510" s="15" t="n">
        <v>30</v>
      </c>
      <c r="F510" s="16" t="n">
        <v>0.639770421258486</v>
      </c>
      <c r="G510" s="17" t="s">
        <v>91</v>
      </c>
      <c r="H510" s="18" t="n">
        <v>0.2</v>
      </c>
      <c r="I510" s="18" t="n">
        <v>1</v>
      </c>
      <c r="J510" s="19" t="n">
        <v>0.85245131370128</v>
      </c>
      <c r="K510" s="19" t="n">
        <v>0.52473202806062</v>
      </c>
      <c r="L510" s="16" t="n">
        <v>11.1089953138936</v>
      </c>
      <c r="M510" s="19" t="n">
        <v>0.611901169131012</v>
      </c>
      <c r="N510" s="19" t="n">
        <v>1.17935377730159</v>
      </c>
      <c r="O510" s="19" t="n">
        <v>0.85245131370128</v>
      </c>
      <c r="P510" s="19" t="n">
        <v>0.407984827365479</v>
      </c>
      <c r="Q510" s="17" t="s">
        <v>30</v>
      </c>
      <c r="R510" s="5" t="str">
        <f aca="false">IF(OR(Q510="Steel plate",Q510="Concrete jacket"),"Steel plate or jacket",Q510)</f>
        <v>Seal cracks</v>
      </c>
      <c r="S510" s="5" t="str">
        <f aca="false">IF(O510&lt;='Tree rules'!$C$4,IF(N510&lt;='Tree rules'!$C$5,IF(P510&lt;='Tree rules'!$C$6,"Monitor","Polymer laminate"),IF(P510&lt;='Tree rules'!$C$7,"Seal cracks","Polymer laminate")),IF(O510&lt;='Tree rules'!$C$8,IF(M510&lt;='Tree rules'!$C$9,"Steel plate or jacket","Polymer laminate"),IF(L510&lt;='Tree rules'!$C$10,"Steel plate or jacket","Polymer laminate")))</f>
        <v>Seal cracks</v>
      </c>
      <c r="T510" s="5" t="str">
        <f aca="false">IF(S510=R510,"Yes","No")</f>
        <v>Yes</v>
      </c>
    </row>
    <row r="511" customFormat="false" ht="15" hidden="false" customHeight="false" outlineLevel="0" collapsed="false">
      <c r="A511" s="15" t="n">
        <v>1698</v>
      </c>
      <c r="B511" s="16" t="n">
        <v>4.21715998348824</v>
      </c>
      <c r="C511" s="15" t="n">
        <v>300</v>
      </c>
      <c r="D511" s="15" t="n">
        <v>375</v>
      </c>
      <c r="E511" s="15" t="n">
        <v>25</v>
      </c>
      <c r="F511" s="16" t="n">
        <v>0.853766156389583</v>
      </c>
      <c r="G511" s="17" t="s">
        <v>90</v>
      </c>
      <c r="H511" s="18" t="n">
        <v>0.1</v>
      </c>
      <c r="I511" s="18" t="n">
        <v>2</v>
      </c>
      <c r="J511" s="19" t="n">
        <v>0.852745541685318</v>
      </c>
      <c r="K511" s="19" t="n">
        <v>0.502985534430758</v>
      </c>
      <c r="L511" s="16" t="n">
        <v>13.4304458072874</v>
      </c>
      <c r="M511" s="19" t="n">
        <v>0.941669101702571</v>
      </c>
      <c r="N511" s="19" t="n">
        <v>3.46924781640734</v>
      </c>
      <c r="O511" s="19" t="n">
        <v>1.2765724113526</v>
      </c>
      <c r="P511" s="19" t="n">
        <v>0.455957974117302</v>
      </c>
      <c r="Q511" s="17" t="s">
        <v>31</v>
      </c>
      <c r="R511" s="5" t="str">
        <f aca="false">IF(OR(Q511="Steel plate",Q511="Concrete jacket"),"Steel plate or jacket",Q511)</f>
        <v>Polymer laminate</v>
      </c>
      <c r="S511" s="5" t="str">
        <f aca="false">IF(O511&lt;='Tree rules'!$C$4,IF(N511&lt;='Tree rules'!$C$5,IF(P511&lt;='Tree rules'!$C$6,"Monitor","Polymer laminate"),IF(P511&lt;='Tree rules'!$C$7,"Seal cracks","Polymer laminate")),IF(O511&lt;='Tree rules'!$C$8,IF(M511&lt;='Tree rules'!$C$9,"Steel plate or jacket","Polymer laminate"),IF(L511&lt;='Tree rules'!$C$10,"Steel plate or jacket","Polymer laminate")))</f>
        <v>Polymer laminate</v>
      </c>
      <c r="T511" s="5" t="str">
        <f aca="false">IF(S511=R511,"Yes","No")</f>
        <v>Yes</v>
      </c>
    </row>
    <row r="512" customFormat="false" ht="15" hidden="false" customHeight="false" outlineLevel="0" collapsed="false">
      <c r="A512" s="15" t="n">
        <v>1699</v>
      </c>
      <c r="B512" s="16" t="n">
        <v>3.51595701389078</v>
      </c>
      <c r="C512" s="15" t="n">
        <v>230</v>
      </c>
      <c r="D512" s="15" t="n">
        <v>300</v>
      </c>
      <c r="E512" s="15" t="n">
        <v>30</v>
      </c>
      <c r="F512" s="16" t="n">
        <v>0.576243217710084</v>
      </c>
      <c r="G512" s="17" t="s">
        <v>89</v>
      </c>
      <c r="H512" s="18" t="n">
        <v>0.3</v>
      </c>
      <c r="I512" s="18" t="n">
        <v>1</v>
      </c>
      <c r="J512" s="19" t="n">
        <v>0.858532653779862</v>
      </c>
      <c r="K512" s="19" t="n">
        <v>0.466736573391901</v>
      </c>
      <c r="L512" s="16" t="n">
        <v>13.7342070855109</v>
      </c>
      <c r="M512" s="19" t="n">
        <v>0.858656300909213</v>
      </c>
      <c r="N512" s="19" t="n">
        <v>0.562826292014327</v>
      </c>
      <c r="O512" s="19" t="n">
        <v>0.858532653779862</v>
      </c>
      <c r="P512" s="19" t="n">
        <v>0.273186381480385</v>
      </c>
      <c r="Q512" s="17" t="s">
        <v>29</v>
      </c>
      <c r="R512" s="5" t="str">
        <f aca="false">IF(OR(Q512="Steel plate",Q512="Concrete jacket"),"Steel plate or jacket",Q512)</f>
        <v>Monitor</v>
      </c>
      <c r="S512" s="5" t="str">
        <f aca="false">IF(O512&lt;='Tree rules'!$C$4,IF(N512&lt;='Tree rules'!$C$5,IF(P512&lt;='Tree rules'!$C$6,"Monitor","Polymer laminate"),IF(P512&lt;='Tree rules'!$C$7,"Seal cracks","Polymer laminate")),IF(O512&lt;='Tree rules'!$C$8,IF(M512&lt;='Tree rules'!$C$9,"Steel plate or jacket","Polymer laminate"),IF(L512&lt;='Tree rules'!$C$10,"Steel plate or jacket","Polymer laminate")))</f>
        <v>Monitor</v>
      </c>
      <c r="T512" s="5" t="str">
        <f aca="false">IF(S512=R512,"Yes","No")</f>
        <v>Yes</v>
      </c>
    </row>
    <row r="513" customFormat="false" ht="15" hidden="false" customHeight="false" outlineLevel="0" collapsed="false">
      <c r="A513" s="15" t="n">
        <v>1703</v>
      </c>
      <c r="B513" s="16" t="n">
        <v>3.77044277650941</v>
      </c>
      <c r="C513" s="15" t="n">
        <v>230</v>
      </c>
      <c r="D513" s="15" t="n">
        <v>300</v>
      </c>
      <c r="E513" s="15" t="n">
        <v>20</v>
      </c>
      <c r="F513" s="16" t="n">
        <v>0.612108978148471</v>
      </c>
      <c r="G513" s="17" t="s">
        <v>90</v>
      </c>
      <c r="H513" s="18" t="n">
        <v>0.1</v>
      </c>
      <c r="I513" s="18" t="n">
        <v>1</v>
      </c>
      <c r="J513" s="19" t="n">
        <v>0.966371964264097</v>
      </c>
      <c r="K513" s="19" t="n">
        <v>0.504304343587915</v>
      </c>
      <c r="L513" s="16" t="n">
        <v>15.644990773898</v>
      </c>
      <c r="M513" s="19" t="n">
        <v>0.928921861101396</v>
      </c>
      <c r="N513" s="19" t="n">
        <v>2.4243178900354</v>
      </c>
      <c r="O513" s="19" t="n">
        <v>0.966371964264097</v>
      </c>
      <c r="P513" s="19" t="n">
        <v>0.339239215688754</v>
      </c>
      <c r="Q513" s="17" t="s">
        <v>30</v>
      </c>
      <c r="R513" s="5" t="str">
        <f aca="false">IF(OR(Q513="Steel plate",Q513="Concrete jacket"),"Steel plate or jacket",Q513)</f>
        <v>Seal cracks</v>
      </c>
      <c r="S513" s="5" t="str">
        <f aca="false">IF(O513&lt;='Tree rules'!$C$4,IF(N513&lt;='Tree rules'!$C$5,IF(P513&lt;='Tree rules'!$C$6,"Monitor","Polymer laminate"),IF(P513&lt;='Tree rules'!$C$7,"Seal cracks","Polymer laminate")),IF(O513&lt;='Tree rules'!$C$8,IF(M513&lt;='Tree rules'!$C$9,"Steel plate or jacket","Polymer laminate"),IF(L513&lt;='Tree rules'!$C$10,"Steel plate or jacket","Polymer laminate")))</f>
        <v>Seal cracks</v>
      </c>
      <c r="T513" s="5" t="str">
        <f aca="false">IF(S513=R513,"Yes","No")</f>
        <v>Yes</v>
      </c>
    </row>
    <row r="514" customFormat="false" ht="15" hidden="false" customHeight="false" outlineLevel="0" collapsed="false">
      <c r="A514" s="15" t="n">
        <v>1705</v>
      </c>
      <c r="B514" s="16" t="n">
        <v>5.04188215136781</v>
      </c>
      <c r="C514" s="15" t="n">
        <v>300</v>
      </c>
      <c r="D514" s="15" t="n">
        <v>450</v>
      </c>
      <c r="E514" s="15" t="n">
        <v>20</v>
      </c>
      <c r="F514" s="16" t="n">
        <v>0.663570725510715</v>
      </c>
      <c r="G514" s="17" t="s">
        <v>91</v>
      </c>
      <c r="H514" s="18" t="n">
        <v>0.2</v>
      </c>
      <c r="I514" s="18" t="n">
        <v>1</v>
      </c>
      <c r="J514" s="19" t="n">
        <v>0.871968935919115</v>
      </c>
      <c r="K514" s="19" t="n">
        <v>0.516110089763253</v>
      </c>
      <c r="L514" s="16" t="n">
        <v>12.4799063152669</v>
      </c>
      <c r="M514" s="19" t="n">
        <v>0.323170785344067</v>
      </c>
      <c r="N514" s="19" t="n">
        <v>0.974840237362077</v>
      </c>
      <c r="O514" s="19" t="n">
        <v>0.871968935919115</v>
      </c>
      <c r="P514" s="19" t="n">
        <v>0.992862758412304</v>
      </c>
      <c r="Q514" s="17" t="s">
        <v>31</v>
      </c>
      <c r="R514" s="5" t="str">
        <f aca="false">IF(OR(Q514="Steel plate",Q514="Concrete jacket"),"Steel plate or jacket",Q514)</f>
        <v>Polymer laminate</v>
      </c>
      <c r="S514" s="5" t="str">
        <f aca="false">IF(O514&lt;='Tree rules'!$C$4,IF(N514&lt;='Tree rules'!$C$5,IF(P514&lt;='Tree rules'!$C$6,"Monitor","Polymer laminate"),IF(P514&lt;='Tree rules'!$C$7,"Seal cracks","Polymer laminate")),IF(O514&lt;='Tree rules'!$C$8,IF(M514&lt;='Tree rules'!$C$9,"Steel plate or jacket","Polymer laminate"),IF(L514&lt;='Tree rules'!$C$10,"Steel plate or jacket","Polymer laminate")))</f>
        <v>Polymer laminate</v>
      </c>
      <c r="T514" s="5" t="str">
        <f aca="false">IF(S514=R514,"Yes","No")</f>
        <v>Yes</v>
      </c>
    </row>
    <row r="515" customFormat="false" ht="15" hidden="false" customHeight="false" outlineLevel="0" collapsed="false">
      <c r="A515" s="15" t="n">
        <v>1709</v>
      </c>
      <c r="B515" s="16" t="n">
        <v>6.3160592067128</v>
      </c>
      <c r="C515" s="15" t="n">
        <v>300</v>
      </c>
      <c r="D515" s="15" t="n">
        <v>525</v>
      </c>
      <c r="E515" s="15" t="n">
        <v>20</v>
      </c>
      <c r="F515" s="16" t="n">
        <v>0.658614812073332</v>
      </c>
      <c r="G515" s="17" t="s">
        <v>89</v>
      </c>
      <c r="H515" s="18" t="n">
        <v>0.3</v>
      </c>
      <c r="I515" s="18" t="n">
        <v>1</v>
      </c>
      <c r="J515" s="19" t="n">
        <v>0.851504248362978</v>
      </c>
      <c r="K515" s="19" t="n">
        <v>0.437715623640819</v>
      </c>
      <c r="L515" s="16" t="n">
        <v>13.2412142698382</v>
      </c>
      <c r="M515" s="19" t="n">
        <v>0.806709410406624</v>
      </c>
      <c r="N515" s="19" t="n">
        <v>0.633707995810243</v>
      </c>
      <c r="O515" s="19" t="n">
        <v>0.851504248362978</v>
      </c>
      <c r="P515" s="19" t="n">
        <v>0.428355437469352</v>
      </c>
      <c r="Q515" s="17" t="s">
        <v>29</v>
      </c>
      <c r="R515" s="5" t="str">
        <f aca="false">IF(OR(Q515="Steel plate",Q515="Concrete jacket"),"Steel plate or jacket",Q515)</f>
        <v>Monitor</v>
      </c>
      <c r="S515" s="5" t="str">
        <f aca="false">IF(O515&lt;='Tree rules'!$C$4,IF(N515&lt;='Tree rules'!$C$5,IF(P515&lt;='Tree rules'!$C$6,"Monitor","Polymer laminate"),IF(P515&lt;='Tree rules'!$C$7,"Seal cracks","Polymer laminate")),IF(O515&lt;='Tree rules'!$C$8,IF(M515&lt;='Tree rules'!$C$9,"Steel plate or jacket","Polymer laminate"),IF(L515&lt;='Tree rules'!$C$10,"Steel plate or jacket","Polymer laminate")))</f>
        <v>Monitor</v>
      </c>
      <c r="T515" s="5" t="str">
        <f aca="false">IF(S515=R515,"Yes","No")</f>
        <v>Yes</v>
      </c>
    </row>
    <row r="516" customFormat="false" ht="15" hidden="false" customHeight="false" outlineLevel="0" collapsed="false">
      <c r="A516" s="15" t="n">
        <v>1713</v>
      </c>
      <c r="B516" s="16" t="n">
        <v>4.30569434261666</v>
      </c>
      <c r="C516" s="15" t="n">
        <v>230</v>
      </c>
      <c r="D516" s="15" t="n">
        <v>375</v>
      </c>
      <c r="E516" s="15" t="n">
        <v>30</v>
      </c>
      <c r="F516" s="16" t="n">
        <v>0.797126720614828</v>
      </c>
      <c r="G516" s="17" t="s">
        <v>91</v>
      </c>
      <c r="H516" s="18" t="n">
        <v>0.2</v>
      </c>
      <c r="I516" s="18" t="n">
        <v>1</v>
      </c>
      <c r="J516" s="19" t="n">
        <v>0.869805055256476</v>
      </c>
      <c r="K516" s="19" t="n">
        <v>0.535173351396773</v>
      </c>
      <c r="L516" s="16" t="n">
        <v>13.0872168468591</v>
      </c>
      <c r="M516" s="19" t="n">
        <v>0.631299050482856</v>
      </c>
      <c r="N516" s="19" t="n">
        <v>0.940994377975311</v>
      </c>
      <c r="O516" s="19" t="n">
        <v>0.869805055256476</v>
      </c>
      <c r="P516" s="19" t="n">
        <v>0.535634503224453</v>
      </c>
      <c r="Q516" s="17" t="s">
        <v>29</v>
      </c>
      <c r="R516" s="5" t="str">
        <f aca="false">IF(OR(Q516="Steel plate",Q516="Concrete jacket"),"Steel plate or jacket",Q516)</f>
        <v>Monitor</v>
      </c>
      <c r="S516" s="5" t="str">
        <f aca="false">IF(O516&lt;='Tree rules'!$C$4,IF(N516&lt;='Tree rules'!$C$5,IF(P516&lt;='Tree rules'!$C$6,"Monitor","Polymer laminate"),IF(P516&lt;='Tree rules'!$C$7,"Seal cracks","Polymer laminate")),IF(O516&lt;='Tree rules'!$C$8,IF(M516&lt;='Tree rules'!$C$9,"Steel plate or jacket","Polymer laminate"),IF(L516&lt;='Tree rules'!$C$10,"Steel plate or jacket","Polymer laminate")))</f>
        <v>Monitor</v>
      </c>
      <c r="T516" s="5" t="str">
        <f aca="false">IF(S516=R516,"Yes","No")</f>
        <v>Yes</v>
      </c>
    </row>
    <row r="517" customFormat="false" ht="15" hidden="false" customHeight="false" outlineLevel="0" collapsed="false">
      <c r="A517" s="15" t="n">
        <v>1714</v>
      </c>
      <c r="B517" s="16" t="n">
        <v>4.60668285957864</v>
      </c>
      <c r="C517" s="15" t="n">
        <v>230</v>
      </c>
      <c r="D517" s="15" t="n">
        <v>425</v>
      </c>
      <c r="E517" s="15" t="n">
        <v>30</v>
      </c>
      <c r="F517" s="16" t="n">
        <v>0.724620609754306</v>
      </c>
      <c r="G517" s="17" t="s">
        <v>89</v>
      </c>
      <c r="H517" s="18" t="n">
        <v>0.3</v>
      </c>
      <c r="I517" s="18" t="n">
        <v>1.5</v>
      </c>
      <c r="J517" s="19" t="n">
        <v>0.962076958530803</v>
      </c>
      <c r="K517" s="19" t="n">
        <v>0.421743161612251</v>
      </c>
      <c r="L517" s="16" t="n">
        <v>12.2193179299168</v>
      </c>
      <c r="M517" s="19" t="n">
        <v>0.428348830863627</v>
      </c>
      <c r="N517" s="19" t="n">
        <v>1.21641294708744</v>
      </c>
      <c r="O517" s="19" t="n">
        <v>1.24024074869367</v>
      </c>
      <c r="P517" s="19" t="n">
        <v>0.791199433797833</v>
      </c>
      <c r="Q517" s="17" t="s">
        <v>31</v>
      </c>
      <c r="R517" s="5" t="str">
        <f aca="false">IF(OR(Q517="Steel plate",Q517="Concrete jacket"),"Steel plate or jacket",Q517)</f>
        <v>Polymer laminate</v>
      </c>
      <c r="S517" s="5" t="str">
        <f aca="false">IF(O517&lt;='Tree rules'!$C$4,IF(N517&lt;='Tree rules'!$C$5,IF(P517&lt;='Tree rules'!$C$6,"Monitor","Polymer laminate"),IF(P517&lt;='Tree rules'!$C$7,"Seal cracks","Polymer laminate")),IF(O517&lt;='Tree rules'!$C$8,IF(M517&lt;='Tree rules'!$C$9,"Steel plate or jacket","Polymer laminate"),IF(L517&lt;='Tree rules'!$C$10,"Steel plate or jacket","Polymer laminate")))</f>
        <v>Polymer laminate</v>
      </c>
      <c r="T517" s="5" t="str">
        <f aca="false">IF(S517=R517,"Yes","No")</f>
        <v>Yes</v>
      </c>
    </row>
    <row r="518" customFormat="false" ht="15" hidden="false" customHeight="false" outlineLevel="0" collapsed="false">
      <c r="A518" s="15" t="n">
        <v>1716</v>
      </c>
      <c r="B518" s="16" t="n">
        <v>3.81990328396438</v>
      </c>
      <c r="C518" s="15" t="n">
        <v>230</v>
      </c>
      <c r="D518" s="15" t="n">
        <v>300</v>
      </c>
      <c r="E518" s="15" t="n">
        <v>25</v>
      </c>
      <c r="F518" s="16" t="n">
        <v>0.688332522525665</v>
      </c>
      <c r="G518" s="17" t="s">
        <v>91</v>
      </c>
      <c r="H518" s="18" t="n">
        <v>0.2</v>
      </c>
      <c r="I518" s="18" t="n">
        <v>1</v>
      </c>
      <c r="J518" s="19" t="n">
        <v>0.896276590185369</v>
      </c>
      <c r="K518" s="19" t="n">
        <v>0.648436683965298</v>
      </c>
      <c r="L518" s="16" t="n">
        <v>15.0389893069464</v>
      </c>
      <c r="M518" s="19" t="n">
        <v>0.262610708946311</v>
      </c>
      <c r="N518" s="19" t="n">
        <v>1.33406930104436</v>
      </c>
      <c r="O518" s="19" t="n">
        <v>0.896276590185369</v>
      </c>
      <c r="P518" s="19" t="n">
        <v>1.3292562844997</v>
      </c>
      <c r="Q518" s="17" t="s">
        <v>31</v>
      </c>
      <c r="R518" s="5" t="str">
        <f aca="false">IF(OR(Q518="Steel plate",Q518="Concrete jacket"),"Steel plate or jacket",Q518)</f>
        <v>Polymer laminate</v>
      </c>
      <c r="S518" s="5" t="str">
        <f aca="false">IF(O518&lt;='Tree rules'!$C$4,IF(N518&lt;='Tree rules'!$C$5,IF(P518&lt;='Tree rules'!$C$6,"Monitor","Polymer laminate"),IF(P518&lt;='Tree rules'!$C$7,"Seal cracks","Polymer laminate")),IF(O518&lt;='Tree rules'!$C$8,IF(M518&lt;='Tree rules'!$C$9,"Steel plate or jacket","Polymer laminate"),IF(L518&lt;='Tree rules'!$C$10,"Steel plate or jacket","Polymer laminate")))</f>
        <v>Polymer laminate</v>
      </c>
      <c r="T518" s="5" t="str">
        <f aca="false">IF(S518=R518,"Yes","No")</f>
        <v>Yes</v>
      </c>
    </row>
    <row r="519" customFormat="false" ht="15" hidden="false" customHeight="false" outlineLevel="0" collapsed="false">
      <c r="A519" s="15" t="n">
        <v>1717</v>
      </c>
      <c r="B519" s="16" t="n">
        <v>7.79235311357393</v>
      </c>
      <c r="C519" s="15" t="n">
        <v>230</v>
      </c>
      <c r="D519" s="15" t="n">
        <v>725</v>
      </c>
      <c r="E519" s="15" t="n">
        <v>20</v>
      </c>
      <c r="F519" s="16" t="n">
        <v>0.618992378876224</v>
      </c>
      <c r="G519" s="17" t="s">
        <v>90</v>
      </c>
      <c r="H519" s="18" t="n">
        <v>0.1</v>
      </c>
      <c r="I519" s="18" t="n">
        <v>1.5</v>
      </c>
      <c r="J519" s="19" t="n">
        <v>0.878148881876142</v>
      </c>
      <c r="K519" s="19" t="n">
        <v>0.611574406146578</v>
      </c>
      <c r="L519" s="16" t="n">
        <v>11.7709261534349</v>
      </c>
      <c r="M519" s="19" t="n">
        <v>0.78375150244063</v>
      </c>
      <c r="N519" s="19" t="n">
        <v>2.53779927390058</v>
      </c>
      <c r="O519" s="19" t="n">
        <v>1.04869663234337</v>
      </c>
      <c r="P519" s="19" t="n">
        <v>0.482231747326668</v>
      </c>
      <c r="Q519" s="17" t="s">
        <v>31</v>
      </c>
      <c r="R519" s="5" t="str">
        <f aca="false">IF(OR(Q519="Steel plate",Q519="Concrete jacket"),"Steel plate or jacket",Q519)</f>
        <v>Polymer laminate</v>
      </c>
      <c r="S519" s="5" t="str">
        <f aca="false">IF(O519&lt;='Tree rules'!$C$4,IF(N519&lt;='Tree rules'!$C$5,IF(P519&lt;='Tree rules'!$C$6,"Monitor","Polymer laminate"),IF(P519&lt;='Tree rules'!$C$7,"Seal cracks","Polymer laminate")),IF(O519&lt;='Tree rules'!$C$8,IF(M519&lt;='Tree rules'!$C$9,"Steel plate or jacket","Polymer laminate"),IF(L519&lt;='Tree rules'!$C$10,"Steel plate or jacket","Polymer laminate")))</f>
        <v>Polymer laminate</v>
      </c>
      <c r="T519" s="5" t="str">
        <f aca="false">IF(S519=R519,"Yes","No")</f>
        <v>Yes</v>
      </c>
    </row>
    <row r="520" customFormat="false" ht="15" hidden="false" customHeight="false" outlineLevel="0" collapsed="false">
      <c r="A520" s="15" t="n">
        <v>1719</v>
      </c>
      <c r="B520" s="16" t="n">
        <v>5.45653161260868</v>
      </c>
      <c r="C520" s="15" t="n">
        <v>300</v>
      </c>
      <c r="D520" s="15" t="n">
        <v>500</v>
      </c>
      <c r="E520" s="15" t="n">
        <v>25</v>
      </c>
      <c r="F520" s="16" t="n">
        <v>0.926723496634157</v>
      </c>
      <c r="G520" s="17" t="s">
        <v>89</v>
      </c>
      <c r="H520" s="18" t="n">
        <v>0.3</v>
      </c>
      <c r="I520" s="18" t="n">
        <v>1.5</v>
      </c>
      <c r="J520" s="19" t="n">
        <v>0.850495673104967</v>
      </c>
      <c r="K520" s="19" t="n">
        <v>0.408725125231122</v>
      </c>
      <c r="L520" s="16" t="n">
        <v>12.071972594267</v>
      </c>
      <c r="M520" s="19" t="n">
        <v>0.396331485588101</v>
      </c>
      <c r="N520" s="19" t="n">
        <v>0.796098504348696</v>
      </c>
      <c r="O520" s="19" t="n">
        <v>1.10193403440827</v>
      </c>
      <c r="P520" s="19" t="n">
        <v>1.00437459014405</v>
      </c>
      <c r="Q520" s="17" t="s">
        <v>31</v>
      </c>
      <c r="R520" s="5" t="str">
        <f aca="false">IF(OR(Q520="Steel plate",Q520="Concrete jacket"),"Steel plate or jacket",Q520)</f>
        <v>Polymer laminate</v>
      </c>
      <c r="S520" s="5" t="str">
        <f aca="false">IF(O520&lt;='Tree rules'!$C$4,IF(N520&lt;='Tree rules'!$C$5,IF(P520&lt;='Tree rules'!$C$6,"Monitor","Polymer laminate"),IF(P520&lt;='Tree rules'!$C$7,"Seal cracks","Polymer laminate")),IF(O520&lt;='Tree rules'!$C$8,IF(M520&lt;='Tree rules'!$C$9,"Steel plate or jacket","Polymer laminate"),IF(L520&lt;='Tree rules'!$C$10,"Steel plate or jacket","Polymer laminate")))</f>
        <v>Polymer laminate</v>
      </c>
      <c r="T520" s="5" t="str">
        <f aca="false">IF(S520=R520,"Yes","No")</f>
        <v>Yes</v>
      </c>
    </row>
    <row r="521" customFormat="false" ht="15" hidden="false" customHeight="false" outlineLevel="0" collapsed="false">
      <c r="A521" s="15" t="n">
        <v>1726</v>
      </c>
      <c r="B521" s="16" t="n">
        <v>6.55300100903089</v>
      </c>
      <c r="C521" s="15" t="n">
        <v>230</v>
      </c>
      <c r="D521" s="15" t="n">
        <v>625</v>
      </c>
      <c r="E521" s="15" t="n">
        <v>30</v>
      </c>
      <c r="F521" s="16" t="n">
        <v>0.710178431223674</v>
      </c>
      <c r="G521" s="17" t="s">
        <v>89</v>
      </c>
      <c r="H521" s="18" t="n">
        <v>0.3</v>
      </c>
      <c r="I521" s="18" t="n">
        <v>1</v>
      </c>
      <c r="J521" s="19" t="n">
        <v>0.92547422575611</v>
      </c>
      <c r="K521" s="19" t="n">
        <v>0.560800899248793</v>
      </c>
      <c r="L521" s="16" t="n">
        <v>11.3570208128785</v>
      </c>
      <c r="M521" s="19" t="n">
        <v>0.485250208526924</v>
      </c>
      <c r="N521" s="19" t="n">
        <v>0.661303196474828</v>
      </c>
      <c r="O521" s="19" t="n">
        <v>0.92547422575611</v>
      </c>
      <c r="P521" s="19" t="n">
        <v>0.67403450592406</v>
      </c>
      <c r="Q521" s="17" t="s">
        <v>29</v>
      </c>
      <c r="R521" s="5" t="str">
        <f aca="false">IF(OR(Q521="Steel plate",Q521="Concrete jacket"),"Steel plate or jacket",Q521)</f>
        <v>Monitor</v>
      </c>
      <c r="S521" s="5" t="str">
        <f aca="false">IF(O521&lt;='Tree rules'!$C$4,IF(N521&lt;='Tree rules'!$C$5,IF(P521&lt;='Tree rules'!$C$6,"Monitor","Polymer laminate"),IF(P521&lt;='Tree rules'!$C$7,"Seal cracks","Polymer laminate")),IF(O521&lt;='Tree rules'!$C$8,IF(M521&lt;='Tree rules'!$C$9,"Steel plate or jacket","Polymer laminate"),IF(L521&lt;='Tree rules'!$C$10,"Steel plate or jacket","Polymer laminate")))</f>
        <v>Monitor</v>
      </c>
      <c r="T521" s="5" t="str">
        <f aca="false">IF(S521=R521,"Yes","No")</f>
        <v>Yes</v>
      </c>
    </row>
    <row r="522" customFormat="false" ht="15" hidden="false" customHeight="false" outlineLevel="0" collapsed="false">
      <c r="A522" s="15" t="n">
        <v>1728</v>
      </c>
      <c r="B522" s="16" t="n">
        <v>6.36466792222271</v>
      </c>
      <c r="C522" s="15" t="n">
        <v>230</v>
      </c>
      <c r="D522" s="15" t="n">
        <v>525</v>
      </c>
      <c r="E522" s="15" t="n">
        <v>30</v>
      </c>
      <c r="F522" s="16" t="n">
        <v>0.85906279835652</v>
      </c>
      <c r="G522" s="17" t="s">
        <v>91</v>
      </c>
      <c r="H522" s="18" t="n">
        <v>0.2</v>
      </c>
      <c r="I522" s="18" t="n">
        <v>1</v>
      </c>
      <c r="J522" s="19" t="n">
        <v>0.886249729726742</v>
      </c>
      <c r="K522" s="19" t="n">
        <v>0.40059289241949</v>
      </c>
      <c r="L522" s="16" t="n">
        <v>13.3431193338002</v>
      </c>
      <c r="M522" s="19" t="n">
        <v>0.414885978085824</v>
      </c>
      <c r="N522" s="19" t="n">
        <v>0.974230873786031</v>
      </c>
      <c r="O522" s="19" t="n">
        <v>0.886249729726742</v>
      </c>
      <c r="P522" s="19" t="n">
        <v>0.856729176183745</v>
      </c>
      <c r="Q522" s="17" t="s">
        <v>29</v>
      </c>
      <c r="R522" s="5" t="str">
        <f aca="false">IF(OR(Q522="Steel plate",Q522="Concrete jacket"),"Steel plate or jacket",Q522)</f>
        <v>Monitor</v>
      </c>
      <c r="S522" s="5" t="str">
        <f aca="false">IF(O522&lt;='Tree rules'!$C$4,IF(N522&lt;='Tree rules'!$C$5,IF(P522&lt;='Tree rules'!$C$6,"Monitor","Polymer laminate"),IF(P522&lt;='Tree rules'!$C$7,"Seal cracks","Polymer laminate")),IF(O522&lt;='Tree rules'!$C$8,IF(M522&lt;='Tree rules'!$C$9,"Steel plate or jacket","Polymer laminate"),IF(L522&lt;='Tree rules'!$C$10,"Steel plate or jacket","Polymer laminate")))</f>
        <v>Monitor</v>
      </c>
      <c r="T522" s="5" t="str">
        <f aca="false">IF(S522=R522,"Yes","No")</f>
        <v>Yes</v>
      </c>
    </row>
    <row r="523" customFormat="false" ht="15" hidden="false" customHeight="false" outlineLevel="0" collapsed="false">
      <c r="A523" s="15" t="n">
        <v>1741</v>
      </c>
      <c r="B523" s="16" t="n">
        <v>3.73703600543541</v>
      </c>
      <c r="C523" s="15" t="n">
        <v>230</v>
      </c>
      <c r="D523" s="15" t="n">
        <v>325</v>
      </c>
      <c r="E523" s="15" t="n">
        <v>25</v>
      </c>
      <c r="F523" s="16" t="n">
        <v>0.699968036696473</v>
      </c>
      <c r="G523" s="17" t="s">
        <v>89</v>
      </c>
      <c r="H523" s="18" t="n">
        <v>0.3</v>
      </c>
      <c r="I523" s="18" t="n">
        <v>2</v>
      </c>
      <c r="J523" s="19" t="n">
        <v>0.893337123811108</v>
      </c>
      <c r="K523" s="19" t="n">
        <v>0.415381121044088</v>
      </c>
      <c r="L523" s="16" t="n">
        <v>13.2990605175637</v>
      </c>
      <c r="M523" s="19" t="n">
        <v>0.653032875281233</v>
      </c>
      <c r="N523" s="19" t="n">
        <v>0.960877453429414</v>
      </c>
      <c r="O523" s="19" t="n">
        <v>1.41559887166326</v>
      </c>
      <c r="P523" s="19" t="n">
        <v>0.58502335066223</v>
      </c>
      <c r="Q523" s="17" t="s">
        <v>31</v>
      </c>
      <c r="R523" s="5" t="str">
        <f aca="false">IF(OR(Q523="Steel plate",Q523="Concrete jacket"),"Steel plate or jacket",Q523)</f>
        <v>Polymer laminate</v>
      </c>
      <c r="S523" s="5" t="str">
        <f aca="false">IF(O523&lt;='Tree rules'!$C$4,IF(N523&lt;='Tree rules'!$C$5,IF(P523&lt;='Tree rules'!$C$6,"Monitor","Polymer laminate"),IF(P523&lt;='Tree rules'!$C$7,"Seal cracks","Polymer laminate")),IF(O523&lt;='Tree rules'!$C$8,IF(M523&lt;='Tree rules'!$C$9,"Steel plate or jacket","Polymer laminate"),IF(L523&lt;='Tree rules'!$C$10,"Steel plate or jacket","Polymer laminate")))</f>
        <v>Polymer laminate</v>
      </c>
      <c r="T523" s="5" t="str">
        <f aca="false">IF(S523=R523,"Yes","No")</f>
        <v>Yes</v>
      </c>
    </row>
    <row r="524" customFormat="false" ht="15" hidden="false" customHeight="false" outlineLevel="0" collapsed="false">
      <c r="A524" s="15" t="n">
        <v>1742</v>
      </c>
      <c r="B524" s="16" t="n">
        <v>4.32456015647218</v>
      </c>
      <c r="C524" s="15" t="n">
        <v>230</v>
      </c>
      <c r="D524" s="15" t="n">
        <v>400</v>
      </c>
      <c r="E524" s="15" t="n">
        <v>25</v>
      </c>
      <c r="F524" s="16" t="n">
        <v>0.552502860426148</v>
      </c>
      <c r="G524" s="17" t="s">
        <v>89</v>
      </c>
      <c r="H524" s="18" t="n">
        <v>0.3</v>
      </c>
      <c r="I524" s="18" t="n">
        <v>2</v>
      </c>
      <c r="J524" s="19" t="n">
        <v>0.88654968888846</v>
      </c>
      <c r="K524" s="19" t="n">
        <v>0.580892365156122</v>
      </c>
      <c r="L524" s="16" t="n">
        <v>12.1476408889668</v>
      </c>
      <c r="M524" s="19" t="n">
        <v>0.896177064793363</v>
      </c>
      <c r="N524" s="19" t="n">
        <v>0.774515467199336</v>
      </c>
      <c r="O524" s="19" t="n">
        <v>1.25810943217008</v>
      </c>
      <c r="P524" s="19" t="n">
        <v>0.368642205351209</v>
      </c>
      <c r="Q524" s="17" t="s">
        <v>31</v>
      </c>
      <c r="R524" s="5" t="str">
        <f aca="false">IF(OR(Q524="Steel plate",Q524="Concrete jacket"),"Steel plate or jacket",Q524)</f>
        <v>Polymer laminate</v>
      </c>
      <c r="S524" s="5" t="str">
        <f aca="false">IF(O524&lt;='Tree rules'!$C$4,IF(N524&lt;='Tree rules'!$C$5,IF(P524&lt;='Tree rules'!$C$6,"Monitor","Polymer laminate"),IF(P524&lt;='Tree rules'!$C$7,"Seal cracks","Polymer laminate")),IF(O524&lt;='Tree rules'!$C$8,IF(M524&lt;='Tree rules'!$C$9,"Steel plate or jacket","Polymer laminate"),IF(L524&lt;='Tree rules'!$C$10,"Steel plate or jacket","Polymer laminate")))</f>
        <v>Polymer laminate</v>
      </c>
      <c r="T524" s="5" t="str">
        <f aca="false">IF(S524=R524,"Yes","No")</f>
        <v>Yes</v>
      </c>
    </row>
    <row r="525" customFormat="false" ht="15" hidden="false" customHeight="false" outlineLevel="0" collapsed="false">
      <c r="A525" s="15" t="n">
        <v>1746</v>
      </c>
      <c r="B525" s="16" t="n">
        <v>4.25085285799125</v>
      </c>
      <c r="C525" s="15" t="n">
        <v>300</v>
      </c>
      <c r="D525" s="15" t="n">
        <v>350</v>
      </c>
      <c r="E525" s="15" t="n">
        <v>25</v>
      </c>
      <c r="F525" s="16" t="n">
        <v>0.661387927071535</v>
      </c>
      <c r="G525" s="17" t="s">
        <v>91</v>
      </c>
      <c r="H525" s="18" t="n">
        <v>0.2</v>
      </c>
      <c r="I525" s="18" t="n">
        <v>1.5</v>
      </c>
      <c r="J525" s="19" t="n">
        <v>0.901093290961715</v>
      </c>
      <c r="K525" s="19" t="n">
        <v>0.515831748621535</v>
      </c>
      <c r="L525" s="16" t="n">
        <v>13.9830686118133</v>
      </c>
      <c r="M525" s="19" t="n">
        <v>0.858291771458998</v>
      </c>
      <c r="N525" s="19" t="n">
        <v>1.32277716890782</v>
      </c>
      <c r="O525" s="19" t="n">
        <v>1.11923367246861</v>
      </c>
      <c r="P525" s="19" t="n">
        <v>0.43976557804391</v>
      </c>
      <c r="Q525" s="17" t="s">
        <v>31</v>
      </c>
      <c r="R525" s="5" t="str">
        <f aca="false">IF(OR(Q525="Steel plate",Q525="Concrete jacket"),"Steel plate or jacket",Q525)</f>
        <v>Polymer laminate</v>
      </c>
      <c r="S525" s="5" t="str">
        <f aca="false">IF(O525&lt;='Tree rules'!$C$4,IF(N525&lt;='Tree rules'!$C$5,IF(P525&lt;='Tree rules'!$C$6,"Monitor","Polymer laminate"),IF(P525&lt;='Tree rules'!$C$7,"Seal cracks","Polymer laminate")),IF(O525&lt;='Tree rules'!$C$8,IF(M525&lt;='Tree rules'!$C$9,"Steel plate or jacket","Polymer laminate"),IF(L525&lt;='Tree rules'!$C$10,"Steel plate or jacket","Polymer laminate")))</f>
        <v>Polymer laminate</v>
      </c>
      <c r="T525" s="5" t="str">
        <f aca="false">IF(S525=R525,"Yes","No")</f>
        <v>Yes</v>
      </c>
    </row>
    <row r="526" customFormat="false" ht="15" hidden="false" customHeight="false" outlineLevel="0" collapsed="false">
      <c r="A526" s="15" t="n">
        <v>1748</v>
      </c>
      <c r="B526" s="16" t="n">
        <v>6.00020517375654</v>
      </c>
      <c r="C526" s="15" t="n">
        <v>230</v>
      </c>
      <c r="D526" s="15" t="n">
        <v>575</v>
      </c>
      <c r="E526" s="15" t="n">
        <v>25</v>
      </c>
      <c r="F526" s="16" t="n">
        <v>0.777557789024782</v>
      </c>
      <c r="G526" s="17" t="s">
        <v>89</v>
      </c>
      <c r="H526" s="18" t="n">
        <v>0.3</v>
      </c>
      <c r="I526" s="18" t="n">
        <v>2</v>
      </c>
      <c r="J526" s="19" t="n">
        <v>0.850001136065542</v>
      </c>
      <c r="K526" s="19" t="n">
        <v>0.585393345753365</v>
      </c>
      <c r="L526" s="16" t="n">
        <v>11.3855885650029</v>
      </c>
      <c r="M526" s="19" t="n">
        <v>0.616400488624471</v>
      </c>
      <c r="N526" s="19" t="n">
        <v>0.842581913950108</v>
      </c>
      <c r="O526" s="19" t="n">
        <v>1.20241726319552</v>
      </c>
      <c r="P526" s="19" t="n">
        <v>0.680689272471412</v>
      </c>
      <c r="Q526" s="17" t="s">
        <v>31</v>
      </c>
      <c r="R526" s="5" t="str">
        <f aca="false">IF(OR(Q526="Steel plate",Q526="Concrete jacket"),"Steel plate or jacket",Q526)</f>
        <v>Polymer laminate</v>
      </c>
      <c r="S526" s="5" t="str">
        <f aca="false">IF(O526&lt;='Tree rules'!$C$4,IF(N526&lt;='Tree rules'!$C$5,IF(P526&lt;='Tree rules'!$C$6,"Monitor","Polymer laminate"),IF(P526&lt;='Tree rules'!$C$7,"Seal cracks","Polymer laminate")),IF(O526&lt;='Tree rules'!$C$8,IF(M526&lt;='Tree rules'!$C$9,"Steel plate or jacket","Polymer laminate"),IF(L526&lt;='Tree rules'!$C$10,"Steel plate or jacket","Polymer laminate")))</f>
        <v>Polymer laminate</v>
      </c>
      <c r="T526" s="5" t="str">
        <f aca="false">IF(S526=R526,"Yes","No")</f>
        <v>Yes</v>
      </c>
    </row>
    <row r="527" customFormat="false" ht="15" hidden="false" customHeight="false" outlineLevel="0" collapsed="false">
      <c r="A527" s="15" t="n">
        <v>1750</v>
      </c>
      <c r="B527" s="16" t="n">
        <v>5.90801085439881</v>
      </c>
      <c r="C527" s="15" t="n">
        <v>230</v>
      </c>
      <c r="D527" s="15" t="n">
        <v>550</v>
      </c>
      <c r="E527" s="15" t="n">
        <v>25</v>
      </c>
      <c r="F527" s="16" t="n">
        <v>0.816280786486175</v>
      </c>
      <c r="G527" s="17" t="s">
        <v>91</v>
      </c>
      <c r="H527" s="18" t="n">
        <v>0.2</v>
      </c>
      <c r="I527" s="18" t="n">
        <v>1.5</v>
      </c>
      <c r="J527" s="19" t="n">
        <v>0.858513727518111</v>
      </c>
      <c r="K527" s="19" t="n">
        <v>0.536809850245138</v>
      </c>
      <c r="L527" s="16" t="n">
        <v>11.7689459250972</v>
      </c>
      <c r="M527" s="19" t="n">
        <v>0.40195168369166</v>
      </c>
      <c r="N527" s="19" t="n">
        <v>1.14978754634517</v>
      </c>
      <c r="O527" s="19" t="n">
        <v>1.05734127852597</v>
      </c>
      <c r="P527" s="19" t="n">
        <v>0.973911080341691</v>
      </c>
      <c r="Q527" s="17" t="s">
        <v>31</v>
      </c>
      <c r="R527" s="5" t="str">
        <f aca="false">IF(OR(Q527="Steel plate",Q527="Concrete jacket"),"Steel plate or jacket",Q527)</f>
        <v>Polymer laminate</v>
      </c>
      <c r="S527" s="5" t="str">
        <f aca="false">IF(O527&lt;='Tree rules'!$C$4,IF(N527&lt;='Tree rules'!$C$5,IF(P527&lt;='Tree rules'!$C$6,"Monitor","Polymer laminate"),IF(P527&lt;='Tree rules'!$C$7,"Seal cracks","Polymer laminate")),IF(O527&lt;='Tree rules'!$C$8,IF(M527&lt;='Tree rules'!$C$9,"Steel plate or jacket","Polymer laminate"),IF(L527&lt;='Tree rules'!$C$10,"Steel plate or jacket","Polymer laminate")))</f>
        <v>Polymer laminate</v>
      </c>
      <c r="T527" s="5" t="str">
        <f aca="false">IF(S527=R527,"Yes","No")</f>
        <v>Yes</v>
      </c>
    </row>
    <row r="528" customFormat="false" ht="15" hidden="false" customHeight="false" outlineLevel="0" collapsed="false">
      <c r="A528" s="15" t="n">
        <v>1755</v>
      </c>
      <c r="B528" s="16" t="n">
        <v>5.15137620911257</v>
      </c>
      <c r="C528" s="15" t="n">
        <v>230</v>
      </c>
      <c r="D528" s="15" t="n">
        <v>500</v>
      </c>
      <c r="E528" s="15" t="n">
        <v>25</v>
      </c>
      <c r="F528" s="16" t="n">
        <v>0.604384889109233</v>
      </c>
      <c r="G528" s="17" t="s">
        <v>89</v>
      </c>
      <c r="H528" s="18" t="n">
        <v>0.3</v>
      </c>
      <c r="I528" s="18" t="n">
        <v>1</v>
      </c>
      <c r="J528" s="19" t="n">
        <v>0.89229726904047</v>
      </c>
      <c r="K528" s="19" t="n">
        <v>0.434879555849545</v>
      </c>
      <c r="L528" s="16" t="n">
        <v>11.3968500201606</v>
      </c>
      <c r="M528" s="19" t="n">
        <v>0.344817689001251</v>
      </c>
      <c r="N528" s="19" t="n">
        <v>0.88135446469713</v>
      </c>
      <c r="O528" s="19" t="n">
        <v>0.89229726904047</v>
      </c>
      <c r="P528" s="19" t="n">
        <v>0.711803268588917</v>
      </c>
      <c r="Q528" s="17" t="s">
        <v>29</v>
      </c>
      <c r="R528" s="5" t="str">
        <f aca="false">IF(OR(Q528="Steel plate",Q528="Concrete jacket"),"Steel plate or jacket",Q528)</f>
        <v>Monitor</v>
      </c>
      <c r="S528" s="5" t="str">
        <f aca="false">IF(O528&lt;='Tree rules'!$C$4,IF(N528&lt;='Tree rules'!$C$5,IF(P528&lt;='Tree rules'!$C$6,"Monitor","Polymer laminate"),IF(P528&lt;='Tree rules'!$C$7,"Seal cracks","Polymer laminate")),IF(O528&lt;='Tree rules'!$C$8,IF(M528&lt;='Tree rules'!$C$9,"Steel plate or jacket","Polymer laminate"),IF(L528&lt;='Tree rules'!$C$10,"Steel plate or jacket","Polymer laminate")))</f>
        <v>Monitor</v>
      </c>
      <c r="T528" s="5" t="str">
        <f aca="false">IF(S528=R528,"Yes","No")</f>
        <v>Yes</v>
      </c>
    </row>
    <row r="529" customFormat="false" ht="15" hidden="false" customHeight="false" outlineLevel="0" collapsed="false">
      <c r="A529" s="15" t="n">
        <v>1759</v>
      </c>
      <c r="B529" s="16" t="n">
        <v>3.46299013883413</v>
      </c>
      <c r="C529" s="15" t="n">
        <v>300</v>
      </c>
      <c r="D529" s="15" t="n">
        <v>325</v>
      </c>
      <c r="E529" s="15" t="n">
        <v>25</v>
      </c>
      <c r="F529" s="16" t="n">
        <v>0.507732146034714</v>
      </c>
      <c r="G529" s="17" t="s">
        <v>90</v>
      </c>
      <c r="H529" s="18" t="n">
        <v>0.1</v>
      </c>
      <c r="I529" s="18" t="n">
        <v>1</v>
      </c>
      <c r="J529" s="19" t="n">
        <v>0.98766762251516</v>
      </c>
      <c r="K529" s="19" t="n">
        <v>0.581834361621103</v>
      </c>
      <c r="L529" s="16" t="n">
        <v>13.1173868895232</v>
      </c>
      <c r="M529" s="19" t="n">
        <v>0.485619017686375</v>
      </c>
      <c r="N529" s="19" t="n">
        <v>3.66521971337807</v>
      </c>
      <c r="O529" s="19" t="n">
        <v>0.98766762251516</v>
      </c>
      <c r="P529" s="19" t="n">
        <v>0.466628576822759</v>
      </c>
      <c r="Q529" s="17" t="s">
        <v>30</v>
      </c>
      <c r="R529" s="5" t="str">
        <f aca="false">IF(OR(Q529="Steel plate",Q529="Concrete jacket"),"Steel plate or jacket",Q529)</f>
        <v>Seal cracks</v>
      </c>
      <c r="S529" s="5" t="str">
        <f aca="false">IF(O529&lt;='Tree rules'!$C$4,IF(N529&lt;='Tree rules'!$C$5,IF(P529&lt;='Tree rules'!$C$6,"Monitor","Polymer laminate"),IF(P529&lt;='Tree rules'!$C$7,"Seal cracks","Polymer laminate")),IF(O529&lt;='Tree rules'!$C$8,IF(M529&lt;='Tree rules'!$C$9,"Steel plate or jacket","Polymer laminate"),IF(L529&lt;='Tree rules'!$C$10,"Steel plate or jacket","Polymer laminate")))</f>
        <v>Seal cracks</v>
      </c>
      <c r="T529" s="5" t="str">
        <f aca="false">IF(S529=R529,"Yes","No")</f>
        <v>Yes</v>
      </c>
    </row>
    <row r="530" customFormat="false" ht="15" hidden="false" customHeight="false" outlineLevel="0" collapsed="false">
      <c r="A530" s="15" t="n">
        <v>1761</v>
      </c>
      <c r="B530" s="16" t="n">
        <v>4.74849423705851</v>
      </c>
      <c r="C530" s="15" t="n">
        <v>300</v>
      </c>
      <c r="D530" s="15" t="n">
        <v>450</v>
      </c>
      <c r="E530" s="15" t="n">
        <v>30</v>
      </c>
      <c r="F530" s="16" t="n">
        <v>0.811781047439223</v>
      </c>
      <c r="G530" s="17" t="s">
        <v>90</v>
      </c>
      <c r="H530" s="18" t="n">
        <v>0.1</v>
      </c>
      <c r="I530" s="18" t="n">
        <v>1</v>
      </c>
      <c r="J530" s="19" t="n">
        <v>0.932109655544504</v>
      </c>
      <c r="K530" s="19" t="n">
        <v>0.636066870085452</v>
      </c>
      <c r="L530" s="16" t="n">
        <v>12.2700109484716</v>
      </c>
      <c r="M530" s="19" t="n">
        <v>0.361267925663176</v>
      </c>
      <c r="N530" s="19" t="n">
        <v>2.92545036545071</v>
      </c>
      <c r="O530" s="19" t="n">
        <v>0.932109655544504</v>
      </c>
      <c r="P530" s="19" t="n">
        <v>0.941528183685212</v>
      </c>
      <c r="Q530" s="17" t="s">
        <v>30</v>
      </c>
      <c r="R530" s="5" t="str">
        <f aca="false">IF(OR(Q530="Steel plate",Q530="Concrete jacket"),"Steel plate or jacket",Q530)</f>
        <v>Seal cracks</v>
      </c>
      <c r="S530" s="5" t="str">
        <f aca="false">IF(O530&lt;='Tree rules'!$C$4,IF(N530&lt;='Tree rules'!$C$5,IF(P530&lt;='Tree rules'!$C$6,"Monitor","Polymer laminate"),IF(P530&lt;='Tree rules'!$C$7,"Seal cracks","Polymer laminate")),IF(O530&lt;='Tree rules'!$C$8,IF(M530&lt;='Tree rules'!$C$9,"Steel plate or jacket","Polymer laminate"),IF(L530&lt;='Tree rules'!$C$10,"Steel plate or jacket","Polymer laminate")))</f>
        <v>Seal cracks</v>
      </c>
      <c r="T530" s="5" t="str">
        <f aca="false">IF(S530=R530,"Yes","No")</f>
        <v>Yes</v>
      </c>
    </row>
    <row r="531" customFormat="false" ht="15" hidden="false" customHeight="false" outlineLevel="0" collapsed="false">
      <c r="A531" s="15" t="n">
        <v>1766</v>
      </c>
      <c r="B531" s="16" t="n">
        <v>4.31160095476597</v>
      </c>
      <c r="C531" s="15" t="n">
        <v>300</v>
      </c>
      <c r="D531" s="15" t="n">
        <v>375</v>
      </c>
      <c r="E531" s="15" t="n">
        <v>30</v>
      </c>
      <c r="F531" s="16" t="n">
        <v>0.853766156389583</v>
      </c>
      <c r="G531" s="17" t="s">
        <v>90</v>
      </c>
      <c r="H531" s="18" t="n">
        <v>0.1</v>
      </c>
      <c r="I531" s="18" t="n">
        <v>2</v>
      </c>
      <c r="J531" s="19" t="n">
        <v>0.909595819172322</v>
      </c>
      <c r="K531" s="19" t="n">
        <v>0.615560247616309</v>
      </c>
      <c r="L531" s="16" t="n">
        <v>13.7312132317388</v>
      </c>
      <c r="M531" s="19" t="n">
        <v>0.346573804194911</v>
      </c>
      <c r="N531" s="19" t="n">
        <v>3.79075301755445</v>
      </c>
      <c r="O531" s="19" t="n">
        <v>1.25928061066417</v>
      </c>
      <c r="P531" s="19" t="n">
        <v>1.20329384603818</v>
      </c>
      <c r="Q531" s="17" t="s">
        <v>31</v>
      </c>
      <c r="R531" s="5" t="str">
        <f aca="false">IF(OR(Q531="Steel plate",Q531="Concrete jacket"),"Steel plate or jacket",Q531)</f>
        <v>Polymer laminate</v>
      </c>
      <c r="S531" s="5" t="str">
        <f aca="false">IF(O531&lt;='Tree rules'!$C$4,IF(N531&lt;='Tree rules'!$C$5,IF(P531&lt;='Tree rules'!$C$6,"Monitor","Polymer laminate"),IF(P531&lt;='Tree rules'!$C$7,"Seal cracks","Polymer laminate")),IF(O531&lt;='Tree rules'!$C$8,IF(M531&lt;='Tree rules'!$C$9,"Steel plate or jacket","Polymer laminate"),IF(L531&lt;='Tree rules'!$C$10,"Steel plate or jacket","Polymer laminate")))</f>
        <v>Polymer laminate</v>
      </c>
      <c r="T531" s="5" t="str">
        <f aca="false">IF(S531=R531,"Yes","No")</f>
        <v>Yes</v>
      </c>
    </row>
    <row r="532" customFormat="false" ht="15" hidden="false" customHeight="false" outlineLevel="0" collapsed="false">
      <c r="A532" s="15" t="n">
        <v>1770</v>
      </c>
      <c r="B532" s="16" t="n">
        <v>6.16611791465516</v>
      </c>
      <c r="C532" s="15" t="n">
        <v>300</v>
      </c>
      <c r="D532" s="15" t="n">
        <v>525</v>
      </c>
      <c r="E532" s="15" t="n">
        <v>30</v>
      </c>
      <c r="F532" s="16" t="n">
        <v>0.878153082764443</v>
      </c>
      <c r="G532" s="17" t="s">
        <v>89</v>
      </c>
      <c r="H532" s="18" t="n">
        <v>0.3</v>
      </c>
      <c r="I532" s="18" t="n">
        <v>1.5</v>
      </c>
      <c r="J532" s="19" t="n">
        <v>0.880120402009277</v>
      </c>
      <c r="K532" s="19" t="n">
        <v>0.467894125907843</v>
      </c>
      <c r="L532" s="16" t="n">
        <v>12.9268719384804</v>
      </c>
      <c r="M532" s="19" t="n">
        <v>0.61033369777578</v>
      </c>
      <c r="N532" s="19" t="n">
        <v>0.793297601632694</v>
      </c>
      <c r="O532" s="19" t="n">
        <v>1.11427901991802</v>
      </c>
      <c r="P532" s="19" t="n">
        <v>0.71113110798072</v>
      </c>
      <c r="Q532" s="17" t="s">
        <v>31</v>
      </c>
      <c r="R532" s="5" t="str">
        <f aca="false">IF(OR(Q532="Steel plate",Q532="Concrete jacket"),"Steel plate or jacket",Q532)</f>
        <v>Polymer laminate</v>
      </c>
      <c r="S532" s="5" t="str">
        <f aca="false">IF(O532&lt;='Tree rules'!$C$4,IF(N532&lt;='Tree rules'!$C$5,IF(P532&lt;='Tree rules'!$C$6,"Monitor","Polymer laminate"),IF(P532&lt;='Tree rules'!$C$7,"Seal cracks","Polymer laminate")),IF(O532&lt;='Tree rules'!$C$8,IF(M532&lt;='Tree rules'!$C$9,"Steel plate or jacket","Polymer laminate"),IF(L532&lt;='Tree rules'!$C$10,"Steel plate or jacket","Polymer laminate")))</f>
        <v>Polymer laminate</v>
      </c>
      <c r="T532" s="5" t="str">
        <f aca="false">IF(S532=R532,"Yes","No")</f>
        <v>Yes</v>
      </c>
    </row>
    <row r="533" customFormat="false" ht="15" hidden="false" customHeight="false" outlineLevel="0" collapsed="false">
      <c r="A533" s="15" t="n">
        <v>1771</v>
      </c>
      <c r="B533" s="16" t="n">
        <v>3.93235829361845</v>
      </c>
      <c r="C533" s="15" t="n">
        <v>230</v>
      </c>
      <c r="D533" s="15" t="n">
        <v>375</v>
      </c>
      <c r="E533" s="15" t="n">
        <v>25</v>
      </c>
      <c r="F533" s="16" t="n">
        <v>0.797126720614828</v>
      </c>
      <c r="G533" s="17" t="s">
        <v>89</v>
      </c>
      <c r="H533" s="18" t="n">
        <v>0.3</v>
      </c>
      <c r="I533" s="18" t="n">
        <v>1</v>
      </c>
      <c r="J533" s="19" t="n">
        <v>0.896297126054924</v>
      </c>
      <c r="K533" s="19" t="n">
        <v>0.555609890391629</v>
      </c>
      <c r="L533" s="16" t="n">
        <v>11.952456819509</v>
      </c>
      <c r="M533" s="19" t="n">
        <v>0.36704819129017</v>
      </c>
      <c r="N533" s="19" t="n">
        <v>0.680584865105742</v>
      </c>
      <c r="O533" s="19" t="n">
        <v>0.896297126054924</v>
      </c>
      <c r="P533" s="19" t="n">
        <v>0.899733713602746</v>
      </c>
      <c r="Q533" s="17" t="s">
        <v>29</v>
      </c>
      <c r="R533" s="5" t="str">
        <f aca="false">IF(OR(Q533="Steel plate",Q533="Concrete jacket"),"Steel plate or jacket",Q533)</f>
        <v>Monitor</v>
      </c>
      <c r="S533" s="5" t="str">
        <f aca="false">IF(O533&lt;='Tree rules'!$C$4,IF(N533&lt;='Tree rules'!$C$5,IF(P533&lt;='Tree rules'!$C$6,"Monitor","Polymer laminate"),IF(P533&lt;='Tree rules'!$C$7,"Seal cracks","Polymer laminate")),IF(O533&lt;='Tree rules'!$C$8,IF(M533&lt;='Tree rules'!$C$9,"Steel plate or jacket","Polymer laminate"),IF(L533&lt;='Tree rules'!$C$10,"Steel plate or jacket","Polymer laminate")))</f>
        <v>Monitor</v>
      </c>
      <c r="T533" s="5" t="str">
        <f aca="false">IF(S533=R533,"Yes","No")</f>
        <v>Yes</v>
      </c>
    </row>
    <row r="534" customFormat="false" ht="15" hidden="false" customHeight="false" outlineLevel="0" collapsed="false">
      <c r="A534" s="15" t="n">
        <v>1775</v>
      </c>
      <c r="B534" s="16" t="n">
        <v>3.93434543532593</v>
      </c>
      <c r="C534" s="15" t="n">
        <v>230</v>
      </c>
      <c r="D534" s="15" t="n">
        <v>300</v>
      </c>
      <c r="E534" s="15" t="n">
        <v>20</v>
      </c>
      <c r="F534" s="16" t="n">
        <v>0.731533308458238</v>
      </c>
      <c r="G534" s="17" t="s">
        <v>90</v>
      </c>
      <c r="H534" s="18" t="n">
        <v>0.1</v>
      </c>
      <c r="I534" s="18" t="n">
        <v>2</v>
      </c>
      <c r="J534" s="19" t="n">
        <v>0.951395798469239</v>
      </c>
      <c r="K534" s="19" t="n">
        <v>0.414067582327565</v>
      </c>
      <c r="L534" s="16" t="n">
        <v>16.4616963821169</v>
      </c>
      <c r="M534" s="19" t="n">
        <v>0.319110438009709</v>
      </c>
      <c r="N534" s="19" t="n">
        <v>5.11979046218356</v>
      </c>
      <c r="O534" s="19" t="n">
        <v>1.50884943882972</v>
      </c>
      <c r="P534" s="19" t="n">
        <v>1.33729211372743</v>
      </c>
      <c r="Q534" s="17" t="s">
        <v>31</v>
      </c>
      <c r="R534" s="5" t="str">
        <f aca="false">IF(OR(Q534="Steel plate",Q534="Concrete jacket"),"Steel plate or jacket",Q534)</f>
        <v>Polymer laminate</v>
      </c>
      <c r="S534" s="5" t="str">
        <f aca="false">IF(O534&lt;='Tree rules'!$C$4,IF(N534&lt;='Tree rules'!$C$5,IF(P534&lt;='Tree rules'!$C$6,"Monitor","Polymer laminate"),IF(P534&lt;='Tree rules'!$C$7,"Seal cracks","Polymer laminate")),IF(O534&lt;='Tree rules'!$C$8,IF(M534&lt;='Tree rules'!$C$9,"Steel plate or jacket","Polymer laminate"),IF(L534&lt;='Tree rules'!$C$10,"Steel plate or jacket","Polymer laminate")))</f>
        <v>Polymer laminate</v>
      </c>
      <c r="T534" s="5" t="str">
        <f aca="false">IF(S534=R534,"Yes","No")</f>
        <v>Yes</v>
      </c>
    </row>
    <row r="535" customFormat="false" ht="15" hidden="false" customHeight="false" outlineLevel="0" collapsed="false">
      <c r="A535" s="15" t="n">
        <v>1776</v>
      </c>
      <c r="B535" s="16" t="n">
        <v>3.97391785603881</v>
      </c>
      <c r="C535" s="15" t="n">
        <v>230</v>
      </c>
      <c r="D535" s="15" t="n">
        <v>300</v>
      </c>
      <c r="E535" s="15" t="n">
        <v>30</v>
      </c>
      <c r="F535" s="16" t="n">
        <v>0.576243217710084</v>
      </c>
      <c r="G535" s="17" t="s">
        <v>89</v>
      </c>
      <c r="H535" s="18" t="n">
        <v>0.3</v>
      </c>
      <c r="I535" s="18" t="n">
        <v>2</v>
      </c>
      <c r="J535" s="19" t="n">
        <v>0.961678578957614</v>
      </c>
      <c r="K535" s="19" t="n">
        <v>0.450681310241089</v>
      </c>
      <c r="L535" s="16" t="n">
        <v>15.5231166251516</v>
      </c>
      <c r="M535" s="19" t="n">
        <v>0.847614154464262</v>
      </c>
      <c r="N535" s="19" t="n">
        <v>1.07378211534979</v>
      </c>
      <c r="O535" s="19" t="n">
        <v>1.48994659591982</v>
      </c>
      <c r="P535" s="19" t="n">
        <v>0.438091652389047</v>
      </c>
      <c r="Q535" s="17" t="s">
        <v>31</v>
      </c>
      <c r="R535" s="5" t="str">
        <f aca="false">IF(OR(Q535="Steel plate",Q535="Concrete jacket"),"Steel plate or jacket",Q535)</f>
        <v>Polymer laminate</v>
      </c>
      <c r="S535" s="5" t="str">
        <f aca="false">IF(O535&lt;='Tree rules'!$C$4,IF(N535&lt;='Tree rules'!$C$5,IF(P535&lt;='Tree rules'!$C$6,"Monitor","Polymer laminate"),IF(P535&lt;='Tree rules'!$C$7,"Seal cracks","Polymer laminate")),IF(O535&lt;='Tree rules'!$C$8,IF(M535&lt;='Tree rules'!$C$9,"Steel plate or jacket","Polymer laminate"),IF(L535&lt;='Tree rules'!$C$10,"Steel plate or jacket","Polymer laminate")))</f>
        <v>Polymer laminate</v>
      </c>
      <c r="T535" s="5" t="str">
        <f aca="false">IF(S535=R535,"Yes","No")</f>
        <v>Yes</v>
      </c>
    </row>
    <row r="536" customFormat="false" ht="15" hidden="false" customHeight="false" outlineLevel="0" collapsed="false">
      <c r="A536" s="15" t="n">
        <v>1777</v>
      </c>
      <c r="B536" s="16" t="n">
        <v>3.30558694690064</v>
      </c>
      <c r="C536" s="15" t="n">
        <v>230</v>
      </c>
      <c r="D536" s="15" t="n">
        <v>325</v>
      </c>
      <c r="E536" s="15" t="n">
        <v>25</v>
      </c>
      <c r="F536" s="16" t="n">
        <v>0.699968036696473</v>
      </c>
      <c r="G536" s="17" t="s">
        <v>89</v>
      </c>
      <c r="H536" s="18" t="n">
        <v>0.3</v>
      </c>
      <c r="I536" s="18" t="n">
        <v>2</v>
      </c>
      <c r="J536" s="19" t="n">
        <v>0.949900919865601</v>
      </c>
      <c r="K536" s="19" t="n">
        <v>0.435047466505408</v>
      </c>
      <c r="L536" s="16" t="n">
        <v>11.7636546153048</v>
      </c>
      <c r="M536" s="19" t="n">
        <v>0.95183616974972</v>
      </c>
      <c r="N536" s="19" t="n">
        <v>0.967420258492218</v>
      </c>
      <c r="O536" s="19" t="n">
        <v>1.48654985111252</v>
      </c>
      <c r="P536" s="19" t="n">
        <v>0.389490300011533</v>
      </c>
      <c r="Q536" s="17" t="s">
        <v>31</v>
      </c>
      <c r="R536" s="5" t="str">
        <f aca="false">IF(OR(Q536="Steel plate",Q536="Concrete jacket"),"Steel plate or jacket",Q536)</f>
        <v>Polymer laminate</v>
      </c>
      <c r="S536" s="5" t="str">
        <f aca="false">IF(O536&lt;='Tree rules'!$C$4,IF(N536&lt;='Tree rules'!$C$5,IF(P536&lt;='Tree rules'!$C$6,"Monitor","Polymer laminate"),IF(P536&lt;='Tree rules'!$C$7,"Seal cracks","Polymer laminate")),IF(O536&lt;='Tree rules'!$C$8,IF(M536&lt;='Tree rules'!$C$9,"Steel plate or jacket","Polymer laminate"),IF(L536&lt;='Tree rules'!$C$10,"Steel plate or jacket","Polymer laminate")))</f>
        <v>Steel plate or jacket</v>
      </c>
      <c r="T536" s="5" t="str">
        <f aca="false">IF(S536=R536,"Yes","No")</f>
        <v>No</v>
      </c>
    </row>
    <row r="537" customFormat="false" ht="15" hidden="false" customHeight="false" outlineLevel="0" collapsed="false">
      <c r="A537" s="15" t="n">
        <v>1778</v>
      </c>
      <c r="B537" s="16" t="n">
        <v>5.03251128279516</v>
      </c>
      <c r="C537" s="15" t="n">
        <v>300</v>
      </c>
      <c r="D537" s="15" t="n">
        <v>400</v>
      </c>
      <c r="E537" s="15" t="n">
        <v>30</v>
      </c>
      <c r="F537" s="16" t="n">
        <v>0.635378289490071</v>
      </c>
      <c r="G537" s="17" t="s">
        <v>91</v>
      </c>
      <c r="H537" s="18" t="n">
        <v>0.2</v>
      </c>
      <c r="I537" s="18" t="n">
        <v>1</v>
      </c>
      <c r="J537" s="19" t="n">
        <v>0.851441293487916</v>
      </c>
      <c r="K537" s="19" t="n">
        <v>0.559197560400494</v>
      </c>
      <c r="L537" s="16" t="n">
        <v>14.136267648301</v>
      </c>
      <c r="M537" s="19" t="n">
        <v>0.515343390202963</v>
      </c>
      <c r="N537" s="19" t="n">
        <v>0.827762055206385</v>
      </c>
      <c r="O537" s="19" t="n">
        <v>0.851441293487916</v>
      </c>
      <c r="P537" s="19" t="n">
        <v>0.60272184575308</v>
      </c>
      <c r="Q537" s="17" t="s">
        <v>29</v>
      </c>
      <c r="R537" s="5" t="str">
        <f aca="false">IF(OR(Q537="Steel plate",Q537="Concrete jacket"),"Steel plate or jacket",Q537)</f>
        <v>Monitor</v>
      </c>
      <c r="S537" s="5" t="str">
        <f aca="false">IF(O537&lt;='Tree rules'!$C$4,IF(N537&lt;='Tree rules'!$C$5,IF(P537&lt;='Tree rules'!$C$6,"Monitor","Polymer laminate"),IF(P537&lt;='Tree rules'!$C$7,"Seal cracks","Polymer laminate")),IF(O537&lt;='Tree rules'!$C$8,IF(M537&lt;='Tree rules'!$C$9,"Steel plate or jacket","Polymer laminate"),IF(L537&lt;='Tree rules'!$C$10,"Steel plate or jacket","Polymer laminate")))</f>
        <v>Monitor</v>
      </c>
      <c r="T537" s="5" t="str">
        <f aca="false">IF(S537=R537,"Yes","No")</f>
        <v>Yes</v>
      </c>
    </row>
    <row r="538" customFormat="false" ht="15" hidden="false" customHeight="false" outlineLevel="0" collapsed="false">
      <c r="A538" s="15" t="n">
        <v>1783</v>
      </c>
      <c r="B538" s="16" t="n">
        <v>7.33385341188077</v>
      </c>
      <c r="C538" s="15" t="n">
        <v>230</v>
      </c>
      <c r="D538" s="15" t="n">
        <v>600</v>
      </c>
      <c r="E538" s="15" t="n">
        <v>20</v>
      </c>
      <c r="F538" s="16" t="n">
        <v>0.63117855856144</v>
      </c>
      <c r="G538" s="17" t="s">
        <v>89</v>
      </c>
      <c r="H538" s="18" t="n">
        <v>0.3</v>
      </c>
      <c r="I538" s="18" t="n">
        <v>1</v>
      </c>
      <c r="J538" s="19" t="n">
        <v>0.89372141483315</v>
      </c>
      <c r="K538" s="19" t="n">
        <v>0.458169910608967</v>
      </c>
      <c r="L538" s="16" t="n">
        <v>13.2380025485212</v>
      </c>
      <c r="M538" s="19" t="n">
        <v>0.698667234822318</v>
      </c>
      <c r="N538" s="19" t="n">
        <v>0.535630780756365</v>
      </c>
      <c r="O538" s="19" t="n">
        <v>0.89372141483315</v>
      </c>
      <c r="P538" s="19" t="n">
        <v>0.519746466322176</v>
      </c>
      <c r="Q538" s="17" t="s">
        <v>29</v>
      </c>
      <c r="R538" s="5" t="str">
        <f aca="false">IF(OR(Q538="Steel plate",Q538="Concrete jacket"),"Steel plate or jacket",Q538)</f>
        <v>Monitor</v>
      </c>
      <c r="S538" s="5" t="str">
        <f aca="false">IF(O538&lt;='Tree rules'!$C$4,IF(N538&lt;='Tree rules'!$C$5,IF(P538&lt;='Tree rules'!$C$6,"Monitor","Polymer laminate"),IF(P538&lt;='Tree rules'!$C$7,"Seal cracks","Polymer laminate")),IF(O538&lt;='Tree rules'!$C$8,IF(M538&lt;='Tree rules'!$C$9,"Steel plate or jacket","Polymer laminate"),IF(L538&lt;='Tree rules'!$C$10,"Steel plate or jacket","Polymer laminate")))</f>
        <v>Monitor</v>
      </c>
      <c r="T538" s="5" t="str">
        <f aca="false">IF(S538=R538,"Yes","No")</f>
        <v>Yes</v>
      </c>
    </row>
    <row r="539" customFormat="false" ht="15" hidden="false" customHeight="false" outlineLevel="0" collapsed="false">
      <c r="A539" s="15" t="n">
        <v>1789</v>
      </c>
      <c r="B539" s="16" t="n">
        <v>3.01047799282424</v>
      </c>
      <c r="C539" s="15" t="n">
        <v>230</v>
      </c>
      <c r="D539" s="15" t="n">
        <v>300</v>
      </c>
      <c r="E539" s="15" t="n">
        <v>20</v>
      </c>
      <c r="F539" s="16" t="n">
        <v>0.688332522525665</v>
      </c>
      <c r="G539" s="17" t="s">
        <v>89</v>
      </c>
      <c r="H539" s="18" t="n">
        <v>0.3</v>
      </c>
      <c r="I539" s="18" t="n">
        <v>1.5</v>
      </c>
      <c r="J539" s="19" t="n">
        <v>0.873015867777299</v>
      </c>
      <c r="K539" s="19" t="n">
        <v>0.563129629592428</v>
      </c>
      <c r="L539" s="16" t="n">
        <v>11.8522755623002</v>
      </c>
      <c r="M539" s="19" t="n">
        <v>0.45542392832956</v>
      </c>
      <c r="N539" s="19" t="n">
        <v>1.00518722896029</v>
      </c>
      <c r="O539" s="19" t="n">
        <v>1.06371325054108</v>
      </c>
      <c r="P539" s="19" t="n">
        <v>0.677620665012783</v>
      </c>
      <c r="Q539" s="17" t="s">
        <v>31</v>
      </c>
      <c r="R539" s="5" t="str">
        <f aca="false">IF(OR(Q539="Steel plate",Q539="Concrete jacket"),"Steel plate or jacket",Q539)</f>
        <v>Polymer laminate</v>
      </c>
      <c r="S539" s="5" t="str">
        <f aca="false">IF(O539&lt;='Tree rules'!$C$4,IF(N539&lt;='Tree rules'!$C$5,IF(P539&lt;='Tree rules'!$C$6,"Monitor","Polymer laminate"),IF(P539&lt;='Tree rules'!$C$7,"Seal cracks","Polymer laminate")),IF(O539&lt;='Tree rules'!$C$8,IF(M539&lt;='Tree rules'!$C$9,"Steel plate or jacket","Polymer laminate"),IF(L539&lt;='Tree rules'!$C$10,"Steel plate or jacket","Polymer laminate")))</f>
        <v>Polymer laminate</v>
      </c>
      <c r="T539" s="5" t="str">
        <f aca="false">IF(S539=R539,"Yes","No")</f>
        <v>Yes</v>
      </c>
    </row>
    <row r="540" customFormat="false" ht="15" hidden="false" customHeight="false" outlineLevel="0" collapsed="false">
      <c r="A540" s="15" t="n">
        <v>1795</v>
      </c>
      <c r="B540" s="16" t="n">
        <v>4.10572682918597</v>
      </c>
      <c r="C540" s="15" t="n">
        <v>230</v>
      </c>
      <c r="D540" s="15" t="n">
        <v>375</v>
      </c>
      <c r="E540" s="15" t="n">
        <v>30</v>
      </c>
      <c r="F540" s="16" t="n">
        <v>0.835418868126524</v>
      </c>
      <c r="G540" s="17" t="s">
        <v>91</v>
      </c>
      <c r="H540" s="18" t="n">
        <v>0.2</v>
      </c>
      <c r="I540" s="18" t="n">
        <v>2</v>
      </c>
      <c r="J540" s="19" t="n">
        <v>0.933727507039626</v>
      </c>
      <c r="K540" s="19" t="n">
        <v>0.581043469407217</v>
      </c>
      <c r="L540" s="16" t="n">
        <v>12.555739538795</v>
      </c>
      <c r="M540" s="19" t="n">
        <v>0.742388304878721</v>
      </c>
      <c r="N540" s="19" t="n">
        <v>1.86044476461156</v>
      </c>
      <c r="O540" s="19" t="n">
        <v>1.324918743908</v>
      </c>
      <c r="P540" s="19" t="n">
        <v>0.600042517044255</v>
      </c>
      <c r="Q540" s="17" t="s">
        <v>31</v>
      </c>
      <c r="R540" s="5" t="str">
        <f aca="false">IF(OR(Q540="Steel plate",Q540="Concrete jacket"),"Steel plate or jacket",Q540)</f>
        <v>Polymer laminate</v>
      </c>
      <c r="S540" s="5" t="str">
        <f aca="false">IF(O540&lt;='Tree rules'!$C$4,IF(N540&lt;='Tree rules'!$C$5,IF(P540&lt;='Tree rules'!$C$6,"Monitor","Polymer laminate"),IF(P540&lt;='Tree rules'!$C$7,"Seal cracks","Polymer laminate")),IF(O540&lt;='Tree rules'!$C$8,IF(M540&lt;='Tree rules'!$C$9,"Steel plate or jacket","Polymer laminate"),IF(L540&lt;='Tree rules'!$C$10,"Steel plate or jacket","Polymer laminate")))</f>
        <v>Steel plate or jacket</v>
      </c>
      <c r="T540" s="5" t="str">
        <f aca="false">IF(S540=R540,"Yes","No")</f>
        <v>No</v>
      </c>
    </row>
    <row r="541" customFormat="false" ht="15" hidden="false" customHeight="false" outlineLevel="0" collapsed="false">
      <c r="A541" s="15" t="n">
        <v>1797</v>
      </c>
      <c r="B541" s="16" t="n">
        <v>3.54646434600229</v>
      </c>
      <c r="C541" s="15" t="n">
        <v>230</v>
      </c>
      <c r="D541" s="15" t="n">
        <v>350</v>
      </c>
      <c r="E541" s="15" t="n">
        <v>30</v>
      </c>
      <c r="F541" s="16" t="n">
        <v>0.575119936583944</v>
      </c>
      <c r="G541" s="17" t="s">
        <v>89</v>
      </c>
      <c r="H541" s="18" t="n">
        <v>0.3</v>
      </c>
      <c r="I541" s="18" t="n">
        <v>1</v>
      </c>
      <c r="J541" s="19" t="n">
        <v>0.943941274830014</v>
      </c>
      <c r="K541" s="19" t="n">
        <v>0.527173053173567</v>
      </c>
      <c r="L541" s="16" t="n">
        <v>11.6660011381654</v>
      </c>
      <c r="M541" s="19" t="n">
        <v>0.473534677954023</v>
      </c>
      <c r="N541" s="19" t="n">
        <v>0.899488514989539</v>
      </c>
      <c r="O541" s="19" t="n">
        <v>0.943941274830014</v>
      </c>
      <c r="P541" s="19" t="n">
        <v>0.485390525802242</v>
      </c>
      <c r="Q541" s="17" t="s">
        <v>29</v>
      </c>
      <c r="R541" s="5" t="str">
        <f aca="false">IF(OR(Q541="Steel plate",Q541="Concrete jacket"),"Steel plate or jacket",Q541)</f>
        <v>Monitor</v>
      </c>
      <c r="S541" s="5" t="str">
        <f aca="false">IF(O541&lt;='Tree rules'!$C$4,IF(N541&lt;='Tree rules'!$C$5,IF(P541&lt;='Tree rules'!$C$6,"Monitor","Polymer laminate"),IF(P541&lt;='Tree rules'!$C$7,"Seal cracks","Polymer laminate")),IF(O541&lt;='Tree rules'!$C$8,IF(M541&lt;='Tree rules'!$C$9,"Steel plate or jacket","Polymer laminate"),IF(L541&lt;='Tree rules'!$C$10,"Steel plate or jacket","Polymer laminate")))</f>
        <v>Monitor</v>
      </c>
      <c r="T541" s="5" t="str">
        <f aca="false">IF(S541=R541,"Yes","No")</f>
        <v>Yes</v>
      </c>
    </row>
    <row r="542" customFormat="false" ht="15" hidden="false" customHeight="false" outlineLevel="0" collapsed="false">
      <c r="A542" s="15" t="n">
        <v>1799</v>
      </c>
      <c r="B542" s="16" t="n">
        <v>7.41150387769201</v>
      </c>
      <c r="C542" s="15" t="n">
        <v>300</v>
      </c>
      <c r="D542" s="15" t="n">
        <v>725</v>
      </c>
      <c r="E542" s="15" t="n">
        <v>20</v>
      </c>
      <c r="F542" s="16" t="n">
        <v>0.6187282429522</v>
      </c>
      <c r="G542" s="17" t="s">
        <v>89</v>
      </c>
      <c r="H542" s="18" t="n">
        <v>0.3</v>
      </c>
      <c r="I542" s="18" t="n">
        <v>1.5</v>
      </c>
      <c r="J542" s="19" t="n">
        <v>0.99872007528924</v>
      </c>
      <c r="K542" s="19" t="n">
        <v>0.43513506948148</v>
      </c>
      <c r="L542" s="16" t="n">
        <v>10.9475685047149</v>
      </c>
      <c r="M542" s="19" t="n">
        <v>0.4082208596804</v>
      </c>
      <c r="N542" s="19" t="n">
        <v>0.903608826724558</v>
      </c>
      <c r="O542" s="19" t="n">
        <v>1.28079104825709</v>
      </c>
      <c r="P542" s="19" t="n">
        <v>0.896132189804387</v>
      </c>
      <c r="Q542" s="17" t="s">
        <v>92</v>
      </c>
      <c r="R542" s="5" t="str">
        <f aca="false">IF(OR(Q542="Steel plate",Q542="Concrete jacket"),"Steel plate or jacket",Q542)</f>
        <v>Steel plate or jacket</v>
      </c>
      <c r="S542" s="5" t="str">
        <f aca="false">IF(O542&lt;='Tree rules'!$C$4,IF(N542&lt;='Tree rules'!$C$5,IF(P542&lt;='Tree rules'!$C$6,"Monitor","Polymer laminate"),IF(P542&lt;='Tree rules'!$C$7,"Seal cracks","Polymer laminate")),IF(O542&lt;='Tree rules'!$C$8,IF(M542&lt;='Tree rules'!$C$9,"Steel plate or jacket","Polymer laminate"),IF(L542&lt;='Tree rules'!$C$10,"Steel plate or jacket","Polymer laminate")))</f>
        <v>Polymer laminate</v>
      </c>
      <c r="T542" s="5" t="str">
        <f aca="false">IF(S542=R542,"Yes","No")</f>
        <v>No</v>
      </c>
    </row>
    <row r="543" customFormat="false" ht="15" hidden="false" customHeight="false" outlineLevel="0" collapsed="false">
      <c r="A543" s="15" t="n">
        <v>1800</v>
      </c>
      <c r="B543" s="16" t="n">
        <v>4.97994011859166</v>
      </c>
      <c r="C543" s="15" t="n">
        <v>300</v>
      </c>
      <c r="D543" s="15" t="n">
        <v>450</v>
      </c>
      <c r="E543" s="15" t="n">
        <v>25</v>
      </c>
      <c r="F543" s="16" t="n">
        <v>0.557129731671096</v>
      </c>
      <c r="G543" s="17" t="s">
        <v>91</v>
      </c>
      <c r="H543" s="18" t="n">
        <v>0.2</v>
      </c>
      <c r="I543" s="18" t="n">
        <v>1.5</v>
      </c>
      <c r="J543" s="19" t="n">
        <v>0.996595047183287</v>
      </c>
      <c r="K543" s="19" t="n">
        <v>0.632816193993139</v>
      </c>
      <c r="L543" s="16" t="n">
        <v>12.2658623610632</v>
      </c>
      <c r="M543" s="19" t="n">
        <v>0.92520938330797</v>
      </c>
      <c r="N543" s="19" t="n">
        <v>1.04092694360035</v>
      </c>
      <c r="O543" s="19" t="n">
        <v>1.17956182841946</v>
      </c>
      <c r="P543" s="19" t="n">
        <v>0.403159188966802</v>
      </c>
      <c r="Q543" s="17" t="s">
        <v>31</v>
      </c>
      <c r="R543" s="5" t="str">
        <f aca="false">IF(OR(Q543="Steel plate",Q543="Concrete jacket"),"Steel plate or jacket",Q543)</f>
        <v>Polymer laminate</v>
      </c>
      <c r="S543" s="5" t="str">
        <f aca="false">IF(O543&lt;='Tree rules'!$C$4,IF(N543&lt;='Tree rules'!$C$5,IF(P543&lt;='Tree rules'!$C$6,"Monitor","Polymer laminate"),IF(P543&lt;='Tree rules'!$C$7,"Seal cracks","Polymer laminate")),IF(O543&lt;='Tree rules'!$C$8,IF(M543&lt;='Tree rules'!$C$9,"Steel plate or jacket","Polymer laminate"),IF(L543&lt;='Tree rules'!$C$10,"Steel plate or jacket","Polymer laminate")))</f>
        <v>Polymer laminate</v>
      </c>
      <c r="T543" s="5" t="str">
        <f aca="false">IF(S543=R543,"Yes","No")</f>
        <v>Yes</v>
      </c>
    </row>
    <row r="544" customFormat="false" ht="15" hidden="false" customHeight="false" outlineLevel="0" collapsed="false">
      <c r="A544" s="15" t="n">
        <v>1809</v>
      </c>
      <c r="B544" s="16" t="n">
        <v>3.311804444155</v>
      </c>
      <c r="C544" s="15" t="n">
        <v>300</v>
      </c>
      <c r="D544" s="15" t="n">
        <v>325</v>
      </c>
      <c r="E544" s="15" t="n">
        <v>20</v>
      </c>
      <c r="F544" s="16" t="n">
        <v>0.72065207824282</v>
      </c>
      <c r="G544" s="17" t="s">
        <v>89</v>
      </c>
      <c r="H544" s="18" t="n">
        <v>0.3</v>
      </c>
      <c r="I544" s="18" t="n">
        <v>1.5</v>
      </c>
      <c r="J544" s="19" t="n">
        <v>0.884249798909704</v>
      </c>
      <c r="K544" s="19" t="n">
        <v>0.468617231854036</v>
      </c>
      <c r="L544" s="16" t="n">
        <v>11.8702668249283</v>
      </c>
      <c r="M544" s="19" t="n">
        <v>0.813698125532116</v>
      </c>
      <c r="N544" s="19" t="n">
        <v>0.883079419408513</v>
      </c>
      <c r="O544" s="19" t="n">
        <v>1.11918735184828</v>
      </c>
      <c r="P544" s="19" t="n">
        <v>0.419314202354331</v>
      </c>
      <c r="Q544" s="17" t="s">
        <v>31</v>
      </c>
      <c r="R544" s="5" t="str">
        <f aca="false">IF(OR(Q544="Steel plate",Q544="Concrete jacket"),"Steel plate or jacket",Q544)</f>
        <v>Polymer laminate</v>
      </c>
      <c r="S544" s="5" t="str">
        <f aca="false">IF(O544&lt;='Tree rules'!$C$4,IF(N544&lt;='Tree rules'!$C$5,IF(P544&lt;='Tree rules'!$C$6,"Monitor","Polymer laminate"),IF(P544&lt;='Tree rules'!$C$7,"Seal cracks","Polymer laminate")),IF(O544&lt;='Tree rules'!$C$8,IF(M544&lt;='Tree rules'!$C$9,"Steel plate or jacket","Polymer laminate"),IF(L544&lt;='Tree rules'!$C$10,"Steel plate or jacket","Polymer laminate")))</f>
        <v>Polymer laminate</v>
      </c>
      <c r="T544" s="5" t="str">
        <f aca="false">IF(S544=R544,"Yes","No")</f>
        <v>Yes</v>
      </c>
    </row>
    <row r="545" customFormat="false" ht="15" hidden="false" customHeight="false" outlineLevel="0" collapsed="false">
      <c r="A545" s="15" t="n">
        <v>1820</v>
      </c>
      <c r="B545" s="16" t="n">
        <v>3.5123089763749</v>
      </c>
      <c r="C545" s="15" t="n">
        <v>300</v>
      </c>
      <c r="D545" s="15" t="n">
        <v>350</v>
      </c>
      <c r="E545" s="15" t="n">
        <v>25</v>
      </c>
      <c r="F545" s="16" t="n">
        <v>0.739198271432892</v>
      </c>
      <c r="G545" s="17" t="s">
        <v>91</v>
      </c>
      <c r="H545" s="18" t="n">
        <v>0.2</v>
      </c>
      <c r="I545" s="18" t="n">
        <v>1</v>
      </c>
      <c r="J545" s="19" t="n">
        <v>0.948629162381737</v>
      </c>
      <c r="K545" s="19" t="n">
        <v>0.616124838490713</v>
      </c>
      <c r="L545" s="16" t="n">
        <v>11.4781339097219</v>
      </c>
      <c r="M545" s="19" t="n">
        <v>0.886400818489677</v>
      </c>
      <c r="N545" s="19" t="n">
        <v>0.865938745348306</v>
      </c>
      <c r="O545" s="19" t="n">
        <v>0.948629162381737</v>
      </c>
      <c r="P545" s="19" t="n">
        <v>0.395236005377923</v>
      </c>
      <c r="Q545" s="17" t="s">
        <v>29</v>
      </c>
      <c r="R545" s="5" t="str">
        <f aca="false">IF(OR(Q545="Steel plate",Q545="Concrete jacket"),"Steel plate or jacket",Q545)</f>
        <v>Monitor</v>
      </c>
      <c r="S545" s="5" t="str">
        <f aca="false">IF(O545&lt;='Tree rules'!$C$4,IF(N545&lt;='Tree rules'!$C$5,IF(P545&lt;='Tree rules'!$C$6,"Monitor","Polymer laminate"),IF(P545&lt;='Tree rules'!$C$7,"Seal cracks","Polymer laminate")),IF(O545&lt;='Tree rules'!$C$8,IF(M545&lt;='Tree rules'!$C$9,"Steel plate or jacket","Polymer laminate"),IF(L545&lt;='Tree rules'!$C$10,"Steel plate or jacket","Polymer laminate")))</f>
        <v>Monitor</v>
      </c>
      <c r="T545" s="5" t="str">
        <f aca="false">IF(S545=R545,"Yes","No")</f>
        <v>Yes</v>
      </c>
    </row>
    <row r="546" customFormat="false" ht="15" hidden="false" customHeight="false" outlineLevel="0" collapsed="false">
      <c r="A546" s="15" t="n">
        <v>1821</v>
      </c>
      <c r="B546" s="16" t="n">
        <v>5.50436277424148</v>
      </c>
      <c r="C546" s="15" t="n">
        <v>230</v>
      </c>
      <c r="D546" s="15" t="n">
        <v>450</v>
      </c>
      <c r="E546" s="15" t="n">
        <v>30</v>
      </c>
      <c r="F546" s="16" t="n">
        <v>0.705896562990629</v>
      </c>
      <c r="G546" s="17" t="s">
        <v>90</v>
      </c>
      <c r="H546" s="18" t="n">
        <v>0.1</v>
      </c>
      <c r="I546" s="18" t="n">
        <v>1.5</v>
      </c>
      <c r="J546" s="19" t="n">
        <v>0.90200564314643</v>
      </c>
      <c r="K546" s="19" t="n">
        <v>0.441291032080357</v>
      </c>
      <c r="L546" s="16" t="n">
        <v>14.223159623363</v>
      </c>
      <c r="M546" s="19" t="n">
        <v>0.397168040520137</v>
      </c>
      <c r="N546" s="19" t="n">
        <v>3.79214458354197</v>
      </c>
      <c r="O546" s="19" t="n">
        <v>1.15398496411645</v>
      </c>
      <c r="P546" s="19" t="n">
        <v>0.843696651628173</v>
      </c>
      <c r="Q546" s="17" t="s">
        <v>31</v>
      </c>
      <c r="R546" s="5" t="str">
        <f aca="false">IF(OR(Q546="Steel plate",Q546="Concrete jacket"),"Steel plate or jacket",Q546)</f>
        <v>Polymer laminate</v>
      </c>
      <c r="S546" s="5" t="str">
        <f aca="false">IF(O546&lt;='Tree rules'!$C$4,IF(N546&lt;='Tree rules'!$C$5,IF(P546&lt;='Tree rules'!$C$6,"Monitor","Polymer laminate"),IF(P546&lt;='Tree rules'!$C$7,"Seal cracks","Polymer laminate")),IF(O546&lt;='Tree rules'!$C$8,IF(M546&lt;='Tree rules'!$C$9,"Steel plate or jacket","Polymer laminate"),IF(L546&lt;='Tree rules'!$C$10,"Steel plate or jacket","Polymer laminate")))</f>
        <v>Polymer laminate</v>
      </c>
      <c r="T546" s="5" t="str">
        <f aca="false">IF(S546=R546,"Yes","No")</f>
        <v>Yes</v>
      </c>
    </row>
    <row r="547" customFormat="false" ht="15" hidden="false" customHeight="false" outlineLevel="0" collapsed="false">
      <c r="A547" s="15" t="n">
        <v>1824</v>
      </c>
      <c r="B547" s="16" t="n">
        <v>4.59416105977333</v>
      </c>
      <c r="C547" s="15" t="n">
        <v>300</v>
      </c>
      <c r="D547" s="15" t="n">
        <v>400</v>
      </c>
      <c r="E547" s="15" t="n">
        <v>25</v>
      </c>
      <c r="F547" s="16" t="n">
        <v>0.621482226229435</v>
      </c>
      <c r="G547" s="17" t="s">
        <v>90</v>
      </c>
      <c r="H547" s="18" t="n">
        <v>0.1</v>
      </c>
      <c r="I547" s="18" t="n">
        <v>2</v>
      </c>
      <c r="J547" s="19" t="n">
        <v>0.912079070476274</v>
      </c>
      <c r="K547" s="19" t="n">
        <v>0.437079062583825</v>
      </c>
      <c r="L547" s="16" t="n">
        <v>13.6325253999209</v>
      </c>
      <c r="M547" s="19" t="n">
        <v>0.450570331006725</v>
      </c>
      <c r="N547" s="19" t="n">
        <v>5.50883381758388</v>
      </c>
      <c r="O547" s="19" t="n">
        <v>1.42550747582645</v>
      </c>
      <c r="P547" s="19" t="n">
        <v>0.743963654470933</v>
      </c>
      <c r="Q547" s="17" t="s">
        <v>31</v>
      </c>
      <c r="R547" s="5" t="str">
        <f aca="false">IF(OR(Q547="Steel plate",Q547="Concrete jacket"),"Steel plate or jacket",Q547)</f>
        <v>Polymer laminate</v>
      </c>
      <c r="S547" s="5" t="str">
        <f aca="false">IF(O547&lt;='Tree rules'!$C$4,IF(N547&lt;='Tree rules'!$C$5,IF(P547&lt;='Tree rules'!$C$6,"Monitor","Polymer laminate"),IF(P547&lt;='Tree rules'!$C$7,"Seal cracks","Polymer laminate")),IF(O547&lt;='Tree rules'!$C$8,IF(M547&lt;='Tree rules'!$C$9,"Steel plate or jacket","Polymer laminate"),IF(L547&lt;='Tree rules'!$C$10,"Steel plate or jacket","Polymer laminate")))</f>
        <v>Polymer laminate</v>
      </c>
      <c r="T547" s="5" t="str">
        <f aca="false">IF(S547=R547,"Yes","No")</f>
        <v>Yes</v>
      </c>
    </row>
    <row r="548" customFormat="false" ht="15" hidden="false" customHeight="false" outlineLevel="0" collapsed="false">
      <c r="A548" s="15" t="n">
        <v>1828</v>
      </c>
      <c r="B548" s="16" t="n">
        <v>5.82299330308203</v>
      </c>
      <c r="C548" s="15" t="n">
        <v>300</v>
      </c>
      <c r="D548" s="15" t="n">
        <v>475</v>
      </c>
      <c r="E548" s="15" t="n">
        <v>30</v>
      </c>
      <c r="F548" s="16" t="n">
        <v>0.735735984447258</v>
      </c>
      <c r="G548" s="17" t="s">
        <v>89</v>
      </c>
      <c r="H548" s="18" t="n">
        <v>0.3</v>
      </c>
      <c r="I548" s="18" t="n">
        <v>1</v>
      </c>
      <c r="J548" s="19" t="n">
        <v>0.90925434505063</v>
      </c>
      <c r="K548" s="19" t="n">
        <v>0.420432582251202</v>
      </c>
      <c r="L548" s="16" t="n">
        <v>13.6369866582717</v>
      </c>
      <c r="M548" s="19" t="n">
        <v>0.568861615206662</v>
      </c>
      <c r="N548" s="19" t="n">
        <v>0.754092708578973</v>
      </c>
      <c r="O548" s="19" t="n">
        <v>0.90925434505063</v>
      </c>
      <c r="P548" s="19" t="n">
        <v>0.589183095868936</v>
      </c>
      <c r="Q548" s="17" t="s">
        <v>29</v>
      </c>
      <c r="R548" s="5" t="str">
        <f aca="false">IF(OR(Q548="Steel plate",Q548="Concrete jacket"),"Steel plate or jacket",Q548)</f>
        <v>Monitor</v>
      </c>
      <c r="S548" s="5" t="str">
        <f aca="false">IF(O548&lt;='Tree rules'!$C$4,IF(N548&lt;='Tree rules'!$C$5,IF(P548&lt;='Tree rules'!$C$6,"Monitor","Polymer laminate"),IF(P548&lt;='Tree rules'!$C$7,"Seal cracks","Polymer laminate")),IF(O548&lt;='Tree rules'!$C$8,IF(M548&lt;='Tree rules'!$C$9,"Steel plate or jacket","Polymer laminate"),IF(L548&lt;='Tree rules'!$C$10,"Steel plate or jacket","Polymer laminate")))</f>
        <v>Monitor</v>
      </c>
      <c r="T548" s="5" t="str">
        <f aca="false">IF(S548=R548,"Yes","No")</f>
        <v>Yes</v>
      </c>
    </row>
    <row r="549" customFormat="false" ht="15" hidden="false" customHeight="false" outlineLevel="0" collapsed="false">
      <c r="A549" s="15" t="n">
        <v>1833</v>
      </c>
      <c r="B549" s="16" t="n">
        <v>7.30189263796618</v>
      </c>
      <c r="C549" s="15" t="n">
        <v>300</v>
      </c>
      <c r="D549" s="15" t="n">
        <v>625</v>
      </c>
      <c r="E549" s="15" t="n">
        <v>25</v>
      </c>
      <c r="F549" s="16" t="n">
        <v>0.725960174139756</v>
      </c>
      <c r="G549" s="17" t="s">
        <v>91</v>
      </c>
      <c r="H549" s="18" t="n">
        <v>0.2</v>
      </c>
      <c r="I549" s="18" t="n">
        <v>2</v>
      </c>
      <c r="J549" s="19" t="n">
        <v>0.856946223357981</v>
      </c>
      <c r="K549" s="19" t="n">
        <v>0.577296767638246</v>
      </c>
      <c r="L549" s="16" t="n">
        <v>12.6549265822637</v>
      </c>
      <c r="M549" s="19" t="n">
        <v>0.409862081556408</v>
      </c>
      <c r="N549" s="19" t="n">
        <v>1.31767114887179</v>
      </c>
      <c r="O549" s="19" t="n">
        <v>1.2191801619316</v>
      </c>
      <c r="P549" s="19" t="n">
        <v>1.07664444741339</v>
      </c>
      <c r="Q549" s="17" t="s">
        <v>31</v>
      </c>
      <c r="R549" s="5" t="str">
        <f aca="false">IF(OR(Q549="Steel plate",Q549="Concrete jacket"),"Steel plate or jacket",Q549)</f>
        <v>Polymer laminate</v>
      </c>
      <c r="S549" s="5" t="str">
        <f aca="false">IF(O549&lt;='Tree rules'!$C$4,IF(N549&lt;='Tree rules'!$C$5,IF(P549&lt;='Tree rules'!$C$6,"Monitor","Polymer laminate"),IF(P549&lt;='Tree rules'!$C$7,"Seal cracks","Polymer laminate")),IF(O549&lt;='Tree rules'!$C$8,IF(M549&lt;='Tree rules'!$C$9,"Steel plate or jacket","Polymer laminate"),IF(L549&lt;='Tree rules'!$C$10,"Steel plate or jacket","Polymer laminate")))</f>
        <v>Polymer laminate</v>
      </c>
      <c r="T549" s="5" t="str">
        <f aca="false">IF(S549=R549,"Yes","No")</f>
        <v>Yes</v>
      </c>
    </row>
    <row r="550" customFormat="false" ht="15" hidden="false" customHeight="false" outlineLevel="0" collapsed="false">
      <c r="A550" s="15" t="n">
        <v>1834</v>
      </c>
      <c r="B550" s="16" t="n">
        <v>6.45827832795085</v>
      </c>
      <c r="C550" s="15" t="n">
        <v>230</v>
      </c>
      <c r="D550" s="15" t="n">
        <v>525</v>
      </c>
      <c r="E550" s="15" t="n">
        <v>30</v>
      </c>
      <c r="F550" s="16" t="n">
        <v>0.59130296510254</v>
      </c>
      <c r="G550" s="17" t="s">
        <v>90</v>
      </c>
      <c r="H550" s="18" t="n">
        <v>0.1</v>
      </c>
      <c r="I550" s="18" t="n">
        <v>1</v>
      </c>
      <c r="J550" s="19" t="n">
        <v>0.89206323464746</v>
      </c>
      <c r="K550" s="19" t="n">
        <v>0.488905950229825</v>
      </c>
      <c r="L550" s="16" t="n">
        <v>13.978957419807</v>
      </c>
      <c r="M550" s="19" t="n">
        <v>0.48972655883026</v>
      </c>
      <c r="N550" s="19" t="n">
        <v>2.78473634554328</v>
      </c>
      <c r="O550" s="19" t="n">
        <v>0.89206323464746</v>
      </c>
      <c r="P550" s="19" t="n">
        <v>0.562100523764704</v>
      </c>
      <c r="Q550" s="17" t="s">
        <v>30</v>
      </c>
      <c r="R550" s="5" t="str">
        <f aca="false">IF(OR(Q550="Steel plate",Q550="Concrete jacket"),"Steel plate or jacket",Q550)</f>
        <v>Seal cracks</v>
      </c>
      <c r="S550" s="5" t="str">
        <f aca="false">IF(O550&lt;='Tree rules'!$C$4,IF(N550&lt;='Tree rules'!$C$5,IF(P550&lt;='Tree rules'!$C$6,"Monitor","Polymer laminate"),IF(P550&lt;='Tree rules'!$C$7,"Seal cracks","Polymer laminate")),IF(O550&lt;='Tree rules'!$C$8,IF(M550&lt;='Tree rules'!$C$9,"Steel plate or jacket","Polymer laminate"),IF(L550&lt;='Tree rules'!$C$10,"Steel plate or jacket","Polymer laminate")))</f>
        <v>Seal cracks</v>
      </c>
      <c r="T550" s="5" t="str">
        <f aca="false">IF(S550=R550,"Yes","No")</f>
        <v>Yes</v>
      </c>
    </row>
    <row r="551" customFormat="false" ht="15" hidden="false" customHeight="false" outlineLevel="0" collapsed="false">
      <c r="A551" s="15" t="n">
        <v>1835</v>
      </c>
      <c r="B551" s="16" t="n">
        <v>4.16531993665782</v>
      </c>
      <c r="C551" s="15" t="n">
        <v>300</v>
      </c>
      <c r="D551" s="15" t="n">
        <v>400</v>
      </c>
      <c r="E551" s="15" t="n">
        <v>30</v>
      </c>
      <c r="F551" s="16" t="n">
        <v>0.892497912951646</v>
      </c>
      <c r="G551" s="17" t="s">
        <v>89</v>
      </c>
      <c r="H551" s="18" t="n">
        <v>0.3</v>
      </c>
      <c r="I551" s="18" t="n">
        <v>1</v>
      </c>
      <c r="J551" s="19" t="n">
        <v>0.910641964728001</v>
      </c>
      <c r="K551" s="19" t="n">
        <v>0.435988625886544</v>
      </c>
      <c r="L551" s="16" t="n">
        <v>11.8332952745961</v>
      </c>
      <c r="M551" s="19" t="n">
        <v>0.792125466007204</v>
      </c>
      <c r="N551" s="19" t="n">
        <v>0.728682299137114</v>
      </c>
      <c r="O551" s="19" t="n">
        <v>0.910641964728001</v>
      </c>
      <c r="P551" s="19" t="n">
        <v>0.425716144431371</v>
      </c>
      <c r="Q551" s="17" t="s">
        <v>29</v>
      </c>
      <c r="R551" s="5" t="str">
        <f aca="false">IF(OR(Q551="Steel plate",Q551="Concrete jacket"),"Steel plate or jacket",Q551)</f>
        <v>Monitor</v>
      </c>
      <c r="S551" s="5" t="str">
        <f aca="false">IF(O551&lt;='Tree rules'!$C$4,IF(N551&lt;='Tree rules'!$C$5,IF(P551&lt;='Tree rules'!$C$6,"Monitor","Polymer laminate"),IF(P551&lt;='Tree rules'!$C$7,"Seal cracks","Polymer laminate")),IF(O551&lt;='Tree rules'!$C$8,IF(M551&lt;='Tree rules'!$C$9,"Steel plate or jacket","Polymer laminate"),IF(L551&lt;='Tree rules'!$C$10,"Steel plate or jacket","Polymer laminate")))</f>
        <v>Monitor</v>
      </c>
      <c r="T551" s="5" t="str">
        <f aca="false">IF(S551=R551,"Yes","No")</f>
        <v>Yes</v>
      </c>
    </row>
    <row r="552" customFormat="false" ht="15" hidden="false" customHeight="false" outlineLevel="0" collapsed="false">
      <c r="A552" s="15" t="n">
        <v>1839</v>
      </c>
      <c r="B552" s="16" t="n">
        <v>3.50462077157908</v>
      </c>
      <c r="C552" s="15" t="n">
        <v>230</v>
      </c>
      <c r="D552" s="15" t="n">
        <v>300</v>
      </c>
      <c r="E552" s="15" t="n">
        <v>25</v>
      </c>
      <c r="F552" s="16" t="n">
        <v>0.768324290280112</v>
      </c>
      <c r="G552" s="17" t="s">
        <v>91</v>
      </c>
      <c r="H552" s="18" t="n">
        <v>0.2</v>
      </c>
      <c r="I552" s="18" t="n">
        <v>1</v>
      </c>
      <c r="J552" s="19" t="n">
        <v>0.937171040754133</v>
      </c>
      <c r="K552" s="19" t="n">
        <v>0.424525060605365</v>
      </c>
      <c r="L552" s="16" t="n">
        <v>13.6899248889808</v>
      </c>
      <c r="M552" s="19" t="n">
        <v>0.289126713559207</v>
      </c>
      <c r="N552" s="19" t="n">
        <v>1.01517394343507</v>
      </c>
      <c r="O552" s="19" t="n">
        <v>0.937171040754133</v>
      </c>
      <c r="P552" s="19" t="n">
        <v>1.07273346868706</v>
      </c>
      <c r="Q552" s="17" t="s">
        <v>31</v>
      </c>
      <c r="R552" s="5" t="str">
        <f aca="false">IF(OR(Q552="Steel plate",Q552="Concrete jacket"),"Steel plate or jacket",Q552)</f>
        <v>Polymer laminate</v>
      </c>
      <c r="S552" s="5" t="str">
        <f aca="false">IF(O552&lt;='Tree rules'!$C$4,IF(N552&lt;='Tree rules'!$C$5,IF(P552&lt;='Tree rules'!$C$6,"Monitor","Polymer laminate"),IF(P552&lt;='Tree rules'!$C$7,"Seal cracks","Polymer laminate")),IF(O552&lt;='Tree rules'!$C$8,IF(M552&lt;='Tree rules'!$C$9,"Steel plate or jacket","Polymer laminate"),IF(L552&lt;='Tree rules'!$C$10,"Steel plate or jacket","Polymer laminate")))</f>
        <v>Polymer laminate</v>
      </c>
      <c r="T552" s="5" t="str">
        <f aca="false">IF(S552=R552,"Yes","No")</f>
        <v>Yes</v>
      </c>
    </row>
    <row r="553" customFormat="false" ht="15" hidden="false" customHeight="false" outlineLevel="0" collapsed="false">
      <c r="A553" s="15" t="n">
        <v>1843</v>
      </c>
      <c r="B553" s="16" t="n">
        <v>3.40980801671297</v>
      </c>
      <c r="C553" s="15" t="n">
        <v>300</v>
      </c>
      <c r="D553" s="15" t="n">
        <v>350</v>
      </c>
      <c r="E553" s="15" t="n">
        <v>20</v>
      </c>
      <c r="F553" s="16" t="n">
        <v>0.661387927071535</v>
      </c>
      <c r="G553" s="17" t="s">
        <v>89</v>
      </c>
      <c r="H553" s="18" t="n">
        <v>0.3</v>
      </c>
      <c r="I553" s="18" t="n">
        <v>2</v>
      </c>
      <c r="J553" s="19" t="n">
        <v>0.894298120659605</v>
      </c>
      <c r="K553" s="19" t="n">
        <v>0.544815438927578</v>
      </c>
      <c r="L553" s="16" t="n">
        <v>11.2164737391874</v>
      </c>
      <c r="M553" s="19" t="n">
        <v>0.841712201025883</v>
      </c>
      <c r="N553" s="19" t="n">
        <v>1.03369832949783</v>
      </c>
      <c r="O553" s="19" t="n">
        <v>1.30136881817994</v>
      </c>
      <c r="P553" s="19" t="n">
        <v>0.426736533394055</v>
      </c>
      <c r="Q553" s="17" t="s">
        <v>31</v>
      </c>
      <c r="R553" s="5" t="str">
        <f aca="false">IF(OR(Q553="Steel plate",Q553="Concrete jacket"),"Steel plate or jacket",Q553)</f>
        <v>Polymer laminate</v>
      </c>
      <c r="S553" s="5" t="str">
        <f aca="false">IF(O553&lt;='Tree rules'!$C$4,IF(N553&lt;='Tree rules'!$C$5,IF(P553&lt;='Tree rules'!$C$6,"Monitor","Polymer laminate"),IF(P553&lt;='Tree rules'!$C$7,"Seal cracks","Polymer laminate")),IF(O553&lt;='Tree rules'!$C$8,IF(M553&lt;='Tree rules'!$C$9,"Steel plate or jacket","Polymer laminate"),IF(L553&lt;='Tree rules'!$C$10,"Steel plate or jacket","Polymer laminate")))</f>
        <v>Steel plate or jacket</v>
      </c>
      <c r="T553" s="5" t="str">
        <f aca="false">IF(S553=R553,"Yes","No")</f>
        <v>No</v>
      </c>
    </row>
    <row r="554" customFormat="false" ht="15" hidden="false" customHeight="false" outlineLevel="0" collapsed="false">
      <c r="A554" s="15" t="n">
        <v>1844</v>
      </c>
      <c r="B554" s="16" t="n">
        <v>3.06642976732898</v>
      </c>
      <c r="C554" s="15" t="n">
        <v>300</v>
      </c>
      <c r="D554" s="15" t="n">
        <v>300</v>
      </c>
      <c r="E554" s="15" t="n">
        <v>30</v>
      </c>
      <c r="F554" s="16" t="n">
        <v>0.791582400904515</v>
      </c>
      <c r="G554" s="17" t="s">
        <v>89</v>
      </c>
      <c r="H554" s="18" t="n">
        <v>0.3</v>
      </c>
      <c r="I554" s="18" t="n">
        <v>2</v>
      </c>
      <c r="J554" s="19" t="n">
        <v>0.997700263374609</v>
      </c>
      <c r="K554" s="19" t="n">
        <v>0.530612658021281</v>
      </c>
      <c r="L554" s="16" t="n">
        <v>12.0725581390905</v>
      </c>
      <c r="M554" s="19" t="n">
        <v>0.245140174014606</v>
      </c>
      <c r="N554" s="19" t="n">
        <v>1.32118924456993</v>
      </c>
      <c r="O554" s="19" t="n">
        <v>1.46600813809149</v>
      </c>
      <c r="P554" s="19" t="n">
        <v>1.52484047485663</v>
      </c>
      <c r="Q554" s="17" t="s">
        <v>31</v>
      </c>
      <c r="R554" s="5" t="str">
        <f aca="false">IF(OR(Q554="Steel plate",Q554="Concrete jacket"),"Steel plate or jacket",Q554)</f>
        <v>Polymer laminate</v>
      </c>
      <c r="S554" s="5" t="str">
        <f aca="false">IF(O554&lt;='Tree rules'!$C$4,IF(N554&lt;='Tree rules'!$C$5,IF(P554&lt;='Tree rules'!$C$6,"Monitor","Polymer laminate"),IF(P554&lt;='Tree rules'!$C$7,"Seal cracks","Polymer laminate")),IF(O554&lt;='Tree rules'!$C$8,IF(M554&lt;='Tree rules'!$C$9,"Steel plate or jacket","Polymer laminate"),IF(L554&lt;='Tree rules'!$C$10,"Steel plate or jacket","Polymer laminate")))</f>
        <v>Steel plate or jacket</v>
      </c>
      <c r="T554" s="5" t="str">
        <f aca="false">IF(S554=R554,"Yes","No")</f>
        <v>No</v>
      </c>
    </row>
    <row r="555" customFormat="false" ht="15" hidden="false" customHeight="false" outlineLevel="0" collapsed="false">
      <c r="A555" s="15" t="n">
        <v>1847</v>
      </c>
      <c r="B555" s="16" t="n">
        <v>3.05487496411643</v>
      </c>
      <c r="C555" s="15" t="n">
        <v>300</v>
      </c>
      <c r="D555" s="15" t="n">
        <v>300</v>
      </c>
      <c r="E555" s="15" t="n">
        <v>30</v>
      </c>
      <c r="F555" s="16" t="n">
        <v>0.883711013668015</v>
      </c>
      <c r="G555" s="17" t="s">
        <v>90</v>
      </c>
      <c r="H555" s="18" t="n">
        <v>0.1</v>
      </c>
      <c r="I555" s="18" t="n">
        <v>2</v>
      </c>
      <c r="J555" s="19" t="n">
        <v>0.869268135378896</v>
      </c>
      <c r="K555" s="19" t="n">
        <v>0.549523887588309</v>
      </c>
      <c r="L555" s="16" t="n">
        <v>12.889767781082</v>
      </c>
      <c r="M555" s="19" t="n">
        <v>0.937094788560943</v>
      </c>
      <c r="N555" s="19" t="n">
        <v>4.55182225773422</v>
      </c>
      <c r="O555" s="19" t="n">
        <v>1.26085266564774</v>
      </c>
      <c r="P555" s="19" t="n">
        <v>0.374023805676125</v>
      </c>
      <c r="Q555" s="17" t="s">
        <v>31</v>
      </c>
      <c r="R555" s="5" t="str">
        <f aca="false">IF(OR(Q555="Steel plate",Q555="Concrete jacket"),"Steel plate or jacket",Q555)</f>
        <v>Polymer laminate</v>
      </c>
      <c r="S555" s="5" t="str">
        <f aca="false">IF(O555&lt;='Tree rules'!$C$4,IF(N555&lt;='Tree rules'!$C$5,IF(P555&lt;='Tree rules'!$C$6,"Monitor","Polymer laminate"),IF(P555&lt;='Tree rules'!$C$7,"Seal cracks","Polymer laminate")),IF(O555&lt;='Tree rules'!$C$8,IF(M555&lt;='Tree rules'!$C$9,"Steel plate or jacket","Polymer laminate"),IF(L555&lt;='Tree rules'!$C$10,"Steel plate or jacket","Polymer laminate")))</f>
        <v>Polymer laminate</v>
      </c>
      <c r="T555" s="5" t="str">
        <f aca="false">IF(S555=R555,"Yes","No")</f>
        <v>Yes</v>
      </c>
    </row>
    <row r="556" customFormat="false" ht="15" hidden="false" customHeight="false" outlineLevel="0" collapsed="false">
      <c r="A556" s="15" t="n">
        <v>1848</v>
      </c>
      <c r="B556" s="16" t="n">
        <v>6.34345760867376</v>
      </c>
      <c r="C556" s="15" t="n">
        <v>300</v>
      </c>
      <c r="D556" s="15" t="n">
        <v>550</v>
      </c>
      <c r="E556" s="15" t="n">
        <v>25</v>
      </c>
      <c r="F556" s="16" t="n">
        <v>0.664887334093078</v>
      </c>
      <c r="G556" s="17" t="s">
        <v>89</v>
      </c>
      <c r="H556" s="18" t="n">
        <v>0.3</v>
      </c>
      <c r="I556" s="18" t="n">
        <v>1</v>
      </c>
      <c r="J556" s="19" t="n">
        <v>0.850998125591141</v>
      </c>
      <c r="K556" s="19" t="n">
        <v>0.525751425908931</v>
      </c>
      <c r="L556" s="16" t="n">
        <v>12.5862254140352</v>
      </c>
      <c r="M556" s="19" t="n">
        <v>0.787265083598826</v>
      </c>
      <c r="N556" s="19" t="n">
        <v>0.517552381562586</v>
      </c>
      <c r="O556" s="19" t="n">
        <v>0.850998125591141</v>
      </c>
      <c r="P556" s="19" t="n">
        <v>0.430067338994612</v>
      </c>
      <c r="Q556" s="17" t="s">
        <v>29</v>
      </c>
      <c r="R556" s="5" t="str">
        <f aca="false">IF(OR(Q556="Steel plate",Q556="Concrete jacket"),"Steel plate or jacket",Q556)</f>
        <v>Monitor</v>
      </c>
      <c r="S556" s="5" t="str">
        <f aca="false">IF(O556&lt;='Tree rules'!$C$4,IF(N556&lt;='Tree rules'!$C$5,IF(P556&lt;='Tree rules'!$C$6,"Monitor","Polymer laminate"),IF(P556&lt;='Tree rules'!$C$7,"Seal cracks","Polymer laminate")),IF(O556&lt;='Tree rules'!$C$8,IF(M556&lt;='Tree rules'!$C$9,"Steel plate or jacket","Polymer laminate"),IF(L556&lt;='Tree rules'!$C$10,"Steel plate or jacket","Polymer laminate")))</f>
        <v>Monitor</v>
      </c>
      <c r="T556" s="5" t="str">
        <f aca="false">IF(S556=R556,"Yes","No")</f>
        <v>Yes</v>
      </c>
    </row>
    <row r="557" customFormat="false" ht="15" hidden="false" customHeight="false" outlineLevel="0" collapsed="false">
      <c r="A557" s="15" t="n">
        <v>1851</v>
      </c>
      <c r="B557" s="16" t="n">
        <v>7.83052610091468</v>
      </c>
      <c r="C557" s="15" t="n">
        <v>300</v>
      </c>
      <c r="D557" s="15" t="n">
        <v>600</v>
      </c>
      <c r="E557" s="15" t="n">
        <v>30</v>
      </c>
      <c r="F557" s="16" t="n">
        <v>0.604879451954714</v>
      </c>
      <c r="G557" s="17" t="s">
        <v>89</v>
      </c>
      <c r="H557" s="18" t="n">
        <v>0.3</v>
      </c>
      <c r="I557" s="18" t="n">
        <v>2</v>
      </c>
      <c r="J557" s="19" t="n">
        <v>0.91027137807321</v>
      </c>
      <c r="K557" s="19" t="n">
        <v>0.525379247718</v>
      </c>
      <c r="L557" s="16" t="n">
        <v>14.1345236478604</v>
      </c>
      <c r="M557" s="19" t="n">
        <v>0.484463537915942</v>
      </c>
      <c r="N557" s="19" t="n">
        <v>0.906007751573469</v>
      </c>
      <c r="O557" s="19" t="n">
        <v>1.34230506431509</v>
      </c>
      <c r="P557" s="19" t="n">
        <v>0.874917207240724</v>
      </c>
      <c r="Q557" s="17" t="s">
        <v>31</v>
      </c>
      <c r="R557" s="5" t="str">
        <f aca="false">IF(OR(Q557="Steel plate",Q557="Concrete jacket"),"Steel plate or jacket",Q557)</f>
        <v>Polymer laminate</v>
      </c>
      <c r="S557" s="5" t="str">
        <f aca="false">IF(O557&lt;='Tree rules'!$C$4,IF(N557&lt;='Tree rules'!$C$5,IF(P557&lt;='Tree rules'!$C$6,"Monitor","Polymer laminate"),IF(P557&lt;='Tree rules'!$C$7,"Seal cracks","Polymer laminate")),IF(O557&lt;='Tree rules'!$C$8,IF(M557&lt;='Tree rules'!$C$9,"Steel plate or jacket","Polymer laminate"),IF(L557&lt;='Tree rules'!$C$10,"Steel plate or jacket","Polymer laminate")))</f>
        <v>Polymer laminate</v>
      </c>
      <c r="T557" s="5" t="str">
        <f aca="false">IF(S557=R557,"Yes","No")</f>
        <v>Yes</v>
      </c>
    </row>
    <row r="558" customFormat="false" ht="15" hidden="false" customHeight="false" outlineLevel="0" collapsed="false">
      <c r="A558" s="15" t="n">
        <v>1862</v>
      </c>
      <c r="B558" s="16" t="n">
        <v>4.74501540205998</v>
      </c>
      <c r="C558" s="15" t="n">
        <v>230</v>
      </c>
      <c r="D558" s="15" t="n">
        <v>450</v>
      </c>
      <c r="E558" s="15" t="n">
        <v>25</v>
      </c>
      <c r="F558" s="16" t="n">
        <v>0.67417658375907</v>
      </c>
      <c r="G558" s="17" t="s">
        <v>90</v>
      </c>
      <c r="H558" s="18" t="n">
        <v>0.1</v>
      </c>
      <c r="I558" s="18" t="n">
        <v>2</v>
      </c>
      <c r="J558" s="19" t="n">
        <v>0.986412960543066</v>
      </c>
      <c r="K558" s="19" t="n">
        <v>0.642140689403999</v>
      </c>
      <c r="L558" s="16" t="n">
        <v>12.1979830387146</v>
      </c>
      <c r="M558" s="19" t="n">
        <v>0.44742276084432</v>
      </c>
      <c r="N558" s="19" t="n">
        <v>3.7939973695494</v>
      </c>
      <c r="O558" s="19" t="n">
        <v>1.33941002256597</v>
      </c>
      <c r="P558" s="19" t="n">
        <v>0.869799152220838</v>
      </c>
      <c r="Q558" s="17" t="s">
        <v>31</v>
      </c>
      <c r="R558" s="5" t="str">
        <f aca="false">IF(OR(Q558="Steel plate",Q558="Concrete jacket"),"Steel plate or jacket",Q558)</f>
        <v>Polymer laminate</v>
      </c>
      <c r="S558" s="5" t="str">
        <f aca="false">IF(O558&lt;='Tree rules'!$C$4,IF(N558&lt;='Tree rules'!$C$5,IF(P558&lt;='Tree rules'!$C$6,"Monitor","Polymer laminate"),IF(P558&lt;='Tree rules'!$C$7,"Seal cracks","Polymer laminate")),IF(O558&lt;='Tree rules'!$C$8,IF(M558&lt;='Tree rules'!$C$9,"Steel plate or jacket","Polymer laminate"),IF(L558&lt;='Tree rules'!$C$10,"Steel plate or jacket","Polymer laminate")))</f>
        <v>Steel plate or jacket</v>
      </c>
      <c r="T558" s="5" t="str">
        <f aca="false">IF(S558=R558,"Yes","No")</f>
        <v>No</v>
      </c>
    </row>
    <row r="559" customFormat="false" ht="15" hidden="false" customHeight="false" outlineLevel="0" collapsed="false">
      <c r="A559" s="15" t="n">
        <v>1866</v>
      </c>
      <c r="B559" s="16" t="n">
        <v>3.43049154104126</v>
      </c>
      <c r="C559" s="15" t="n">
        <v>300</v>
      </c>
      <c r="D559" s="15" t="n">
        <v>300</v>
      </c>
      <c r="E559" s="15" t="n">
        <v>30</v>
      </c>
      <c r="F559" s="16" t="n">
        <v>0.841263304726974</v>
      </c>
      <c r="G559" s="17" t="s">
        <v>90</v>
      </c>
      <c r="H559" s="18" t="n">
        <v>0.1</v>
      </c>
      <c r="I559" s="18" t="n">
        <v>1.5</v>
      </c>
      <c r="J559" s="19" t="n">
        <v>0.854892886327235</v>
      </c>
      <c r="K559" s="19" t="n">
        <v>0.544842753048148</v>
      </c>
      <c r="L559" s="16" t="n">
        <v>14.3535210922228</v>
      </c>
      <c r="M559" s="19" t="n">
        <v>0.59011445294316</v>
      </c>
      <c r="N559" s="19" t="n">
        <v>3.33305996323391</v>
      </c>
      <c r="O559" s="19" t="n">
        <v>1.04944823261695</v>
      </c>
      <c r="P559" s="19" t="n">
        <v>0.55376121542565</v>
      </c>
      <c r="Q559" s="17" t="s">
        <v>31</v>
      </c>
      <c r="R559" s="5" t="str">
        <f aca="false">IF(OR(Q559="Steel plate",Q559="Concrete jacket"),"Steel plate or jacket",Q559)</f>
        <v>Polymer laminate</v>
      </c>
      <c r="S559" s="5" t="str">
        <f aca="false">IF(O559&lt;='Tree rules'!$C$4,IF(N559&lt;='Tree rules'!$C$5,IF(P559&lt;='Tree rules'!$C$6,"Monitor","Polymer laminate"),IF(P559&lt;='Tree rules'!$C$7,"Seal cracks","Polymer laminate")),IF(O559&lt;='Tree rules'!$C$8,IF(M559&lt;='Tree rules'!$C$9,"Steel plate or jacket","Polymer laminate"),IF(L559&lt;='Tree rules'!$C$10,"Steel plate or jacket","Polymer laminate")))</f>
        <v>Polymer laminate</v>
      </c>
      <c r="T559" s="5" t="str">
        <f aca="false">IF(S559=R559,"Yes","No")</f>
        <v>Yes</v>
      </c>
    </row>
    <row r="560" customFormat="false" ht="15" hidden="false" customHeight="false" outlineLevel="0" collapsed="false">
      <c r="A560" s="15" t="n">
        <v>1869</v>
      </c>
      <c r="B560" s="16" t="n">
        <v>4.19480029766845</v>
      </c>
      <c r="C560" s="15" t="n">
        <v>300</v>
      </c>
      <c r="D560" s="15" t="n">
        <v>400</v>
      </c>
      <c r="E560" s="15" t="n">
        <v>20</v>
      </c>
      <c r="F560" s="16" t="n">
        <v>0.567971553191375</v>
      </c>
      <c r="G560" s="17" t="s">
        <v>89</v>
      </c>
      <c r="H560" s="18" t="n">
        <v>0.3</v>
      </c>
      <c r="I560" s="18" t="n">
        <v>2</v>
      </c>
      <c r="J560" s="19" t="n">
        <v>0.870870426733783</v>
      </c>
      <c r="K560" s="19" t="n">
        <v>0.503095011995765</v>
      </c>
      <c r="L560" s="16" t="n">
        <v>11.8497183549956</v>
      </c>
      <c r="M560" s="19" t="n">
        <v>0.545279367902064</v>
      </c>
      <c r="N560" s="19" t="n">
        <v>1.09083240026287</v>
      </c>
      <c r="O560" s="19" t="n">
        <v>1.30361028568318</v>
      </c>
      <c r="P560" s="19" t="n">
        <v>0.605941590285553</v>
      </c>
      <c r="Q560" s="17" t="s">
        <v>31</v>
      </c>
      <c r="R560" s="5" t="str">
        <f aca="false">IF(OR(Q560="Steel plate",Q560="Concrete jacket"),"Steel plate or jacket",Q560)</f>
        <v>Polymer laminate</v>
      </c>
      <c r="S560" s="5" t="str">
        <f aca="false">IF(O560&lt;='Tree rules'!$C$4,IF(N560&lt;='Tree rules'!$C$5,IF(P560&lt;='Tree rules'!$C$6,"Monitor","Polymer laminate"),IF(P560&lt;='Tree rules'!$C$7,"Seal cracks","Polymer laminate")),IF(O560&lt;='Tree rules'!$C$8,IF(M560&lt;='Tree rules'!$C$9,"Steel plate or jacket","Polymer laminate"),IF(L560&lt;='Tree rules'!$C$10,"Steel plate or jacket","Polymer laminate")))</f>
        <v>Steel plate or jacket</v>
      </c>
      <c r="T560" s="5" t="str">
        <f aca="false">IF(S560=R560,"Yes","No")</f>
        <v>No</v>
      </c>
    </row>
    <row r="561" customFormat="false" ht="15" hidden="false" customHeight="false" outlineLevel="0" collapsed="false">
      <c r="A561" s="15" t="n">
        <v>1870</v>
      </c>
      <c r="B561" s="16" t="n">
        <v>6.58669603950147</v>
      </c>
      <c r="C561" s="15" t="n">
        <v>300</v>
      </c>
      <c r="D561" s="15" t="n">
        <v>625</v>
      </c>
      <c r="E561" s="15" t="n">
        <v>25</v>
      </c>
      <c r="F561" s="16" t="n">
        <v>0.544470130604817</v>
      </c>
      <c r="G561" s="17" t="s">
        <v>89</v>
      </c>
      <c r="H561" s="18" t="n">
        <v>0.3</v>
      </c>
      <c r="I561" s="18" t="n">
        <v>2</v>
      </c>
      <c r="J561" s="19" t="n">
        <v>0.886312786763677</v>
      </c>
      <c r="K561" s="19" t="n">
        <v>0.552010051557136</v>
      </c>
      <c r="L561" s="16" t="n">
        <v>11.4154177461031</v>
      </c>
      <c r="M561" s="19" t="n">
        <v>0.873396626016694</v>
      </c>
      <c r="N561" s="19" t="n">
        <v>0.995742281959956</v>
      </c>
      <c r="O561" s="19" t="n">
        <v>1.28337200641019</v>
      </c>
      <c r="P561" s="19" t="n">
        <v>0.395545983996974</v>
      </c>
      <c r="Q561" s="17" t="s">
        <v>31</v>
      </c>
      <c r="R561" s="5" t="str">
        <f aca="false">IF(OR(Q561="Steel plate",Q561="Concrete jacket"),"Steel plate or jacket",Q561)</f>
        <v>Polymer laminate</v>
      </c>
      <c r="S561" s="5" t="str">
        <f aca="false">IF(O561&lt;='Tree rules'!$C$4,IF(N561&lt;='Tree rules'!$C$5,IF(P561&lt;='Tree rules'!$C$6,"Monitor","Polymer laminate"),IF(P561&lt;='Tree rules'!$C$7,"Seal cracks","Polymer laminate")),IF(O561&lt;='Tree rules'!$C$8,IF(M561&lt;='Tree rules'!$C$9,"Steel plate or jacket","Polymer laminate"),IF(L561&lt;='Tree rules'!$C$10,"Steel plate or jacket","Polymer laminate")))</f>
        <v>Polymer laminate</v>
      </c>
      <c r="T561" s="5" t="str">
        <f aca="false">IF(S561=R561,"Yes","No")</f>
        <v>Yes</v>
      </c>
    </row>
    <row r="562" customFormat="false" ht="15" hidden="false" customHeight="false" outlineLevel="0" collapsed="false">
      <c r="A562" s="15" t="n">
        <v>1879</v>
      </c>
      <c r="B562" s="16" t="n">
        <v>3.47165536674196</v>
      </c>
      <c r="C562" s="15" t="n">
        <v>230</v>
      </c>
      <c r="D562" s="15" t="n">
        <v>300</v>
      </c>
      <c r="E562" s="15" t="n">
        <v>30</v>
      </c>
      <c r="F562" s="16" t="n">
        <v>0.768324290280112</v>
      </c>
      <c r="G562" s="17" t="s">
        <v>89</v>
      </c>
      <c r="H562" s="18" t="n">
        <v>0.3</v>
      </c>
      <c r="I562" s="18" t="n">
        <v>1</v>
      </c>
      <c r="J562" s="19" t="n">
        <v>0.852459754371629</v>
      </c>
      <c r="K562" s="19" t="n">
        <v>0.449257330563938</v>
      </c>
      <c r="L562" s="16" t="n">
        <v>13.5611537763358</v>
      </c>
      <c r="M562" s="19" t="n">
        <v>0.612591432715389</v>
      </c>
      <c r="N562" s="19" t="n">
        <v>0.574063185298146</v>
      </c>
      <c r="O562" s="19" t="n">
        <v>0.852459754371629</v>
      </c>
      <c r="P562" s="19" t="n">
        <v>0.462908791856975</v>
      </c>
      <c r="Q562" s="17" t="s">
        <v>29</v>
      </c>
      <c r="R562" s="5" t="str">
        <f aca="false">IF(OR(Q562="Steel plate",Q562="Concrete jacket"),"Steel plate or jacket",Q562)</f>
        <v>Monitor</v>
      </c>
      <c r="S562" s="5" t="str">
        <f aca="false">IF(O562&lt;='Tree rules'!$C$4,IF(N562&lt;='Tree rules'!$C$5,IF(P562&lt;='Tree rules'!$C$6,"Monitor","Polymer laminate"),IF(P562&lt;='Tree rules'!$C$7,"Seal cracks","Polymer laminate")),IF(O562&lt;='Tree rules'!$C$8,IF(M562&lt;='Tree rules'!$C$9,"Steel plate or jacket","Polymer laminate"),IF(L562&lt;='Tree rules'!$C$10,"Steel plate or jacket","Polymer laminate")))</f>
        <v>Monitor</v>
      </c>
      <c r="T562" s="5" t="str">
        <f aca="false">IF(S562=R562,"Yes","No")</f>
        <v>Yes</v>
      </c>
    </row>
    <row r="563" customFormat="false" ht="15" hidden="false" customHeight="false" outlineLevel="0" collapsed="false">
      <c r="A563" s="15" t="n">
        <v>1880</v>
      </c>
      <c r="B563" s="16" t="n">
        <v>6.20680007400441</v>
      </c>
      <c r="C563" s="15" t="n">
        <v>300</v>
      </c>
      <c r="D563" s="15" t="n">
        <v>625</v>
      </c>
      <c r="E563" s="15" t="n">
        <v>20</v>
      </c>
      <c r="F563" s="16" t="n">
        <v>0.694514438099298</v>
      </c>
      <c r="G563" s="17" t="s">
        <v>89</v>
      </c>
      <c r="H563" s="18" t="n">
        <v>0.3</v>
      </c>
      <c r="I563" s="18" t="n">
        <v>1</v>
      </c>
      <c r="J563" s="19" t="n">
        <v>0.879642760831305</v>
      </c>
      <c r="K563" s="19" t="n">
        <v>0.444320874411207</v>
      </c>
      <c r="L563" s="16" t="n">
        <v>10.7198619585568</v>
      </c>
      <c r="M563" s="19" t="n">
        <v>0.603754493683867</v>
      </c>
      <c r="N563" s="19" t="n">
        <v>0.523737248075872</v>
      </c>
      <c r="O563" s="19" t="n">
        <v>0.879642760831306</v>
      </c>
      <c r="P563" s="19" t="n">
        <v>0.506115951960538</v>
      </c>
      <c r="Q563" s="17" t="s">
        <v>29</v>
      </c>
      <c r="R563" s="5" t="str">
        <f aca="false">IF(OR(Q563="Steel plate",Q563="Concrete jacket"),"Steel plate or jacket",Q563)</f>
        <v>Monitor</v>
      </c>
      <c r="S563" s="5" t="str">
        <f aca="false">IF(O563&lt;='Tree rules'!$C$4,IF(N563&lt;='Tree rules'!$C$5,IF(P563&lt;='Tree rules'!$C$6,"Monitor","Polymer laminate"),IF(P563&lt;='Tree rules'!$C$7,"Seal cracks","Polymer laminate")),IF(O563&lt;='Tree rules'!$C$8,IF(M563&lt;='Tree rules'!$C$9,"Steel plate or jacket","Polymer laminate"),IF(L563&lt;='Tree rules'!$C$10,"Steel plate or jacket","Polymer laminate")))</f>
        <v>Monitor</v>
      </c>
      <c r="T563" s="5" t="str">
        <f aca="false">IF(S563=R563,"Yes","No")</f>
        <v>Yes</v>
      </c>
    </row>
    <row r="564" customFormat="false" ht="15" hidden="false" customHeight="false" outlineLevel="0" collapsed="false">
      <c r="A564" s="15" t="n">
        <v>1882</v>
      </c>
      <c r="B564" s="16" t="n">
        <v>3.53307815369198</v>
      </c>
      <c r="C564" s="15" t="n">
        <v>230</v>
      </c>
      <c r="D564" s="15" t="n">
        <v>300</v>
      </c>
      <c r="E564" s="15" t="n">
        <v>30</v>
      </c>
      <c r="F564" s="16" t="n">
        <v>0.731533308458238</v>
      </c>
      <c r="G564" s="17" t="s">
        <v>90</v>
      </c>
      <c r="H564" s="18" t="n">
        <v>0.1</v>
      </c>
      <c r="I564" s="18" t="n">
        <v>2</v>
      </c>
      <c r="J564" s="19" t="n">
        <v>0.878630323404566</v>
      </c>
      <c r="K564" s="19" t="n">
        <v>0.58726007275681</v>
      </c>
      <c r="L564" s="16" t="n">
        <v>14.782753781138</v>
      </c>
      <c r="M564" s="19" t="n">
        <v>0.251261553806195</v>
      </c>
      <c r="N564" s="19" t="n">
        <v>4.38240979596121</v>
      </c>
      <c r="O564" s="19" t="n">
        <v>1.24127613916023</v>
      </c>
      <c r="P564" s="19" t="n">
        <v>1.27972916848201</v>
      </c>
      <c r="Q564" s="17" t="s">
        <v>31</v>
      </c>
      <c r="R564" s="5" t="str">
        <f aca="false">IF(OR(Q564="Steel plate",Q564="Concrete jacket"),"Steel plate or jacket",Q564)</f>
        <v>Polymer laminate</v>
      </c>
      <c r="S564" s="5" t="str">
        <f aca="false">IF(O564&lt;='Tree rules'!$C$4,IF(N564&lt;='Tree rules'!$C$5,IF(P564&lt;='Tree rules'!$C$6,"Monitor","Polymer laminate"),IF(P564&lt;='Tree rules'!$C$7,"Seal cracks","Polymer laminate")),IF(O564&lt;='Tree rules'!$C$8,IF(M564&lt;='Tree rules'!$C$9,"Steel plate or jacket","Polymer laminate"),IF(L564&lt;='Tree rules'!$C$10,"Steel plate or jacket","Polymer laminate")))</f>
        <v>Steel plate or jacket</v>
      </c>
      <c r="T564" s="5" t="str">
        <f aca="false">IF(S564=R564,"Yes","No")</f>
        <v>No</v>
      </c>
    </row>
    <row r="565" customFormat="false" ht="15" hidden="false" customHeight="false" outlineLevel="0" collapsed="false">
      <c r="A565" s="15" t="n">
        <v>1884</v>
      </c>
      <c r="B565" s="16" t="n">
        <v>3.16532512381945</v>
      </c>
      <c r="C565" s="15" t="n">
        <v>300</v>
      </c>
      <c r="D565" s="15" t="n">
        <v>300</v>
      </c>
      <c r="E565" s="15" t="n">
        <v>30</v>
      </c>
      <c r="F565" s="16" t="n">
        <v>0.831109167616348</v>
      </c>
      <c r="G565" s="17" t="s">
        <v>91</v>
      </c>
      <c r="H565" s="18" t="n">
        <v>0.2</v>
      </c>
      <c r="I565" s="18" t="n">
        <v>1</v>
      </c>
      <c r="J565" s="19" t="n">
        <v>0.875826568912306</v>
      </c>
      <c r="K565" s="19" t="n">
        <v>0.632906495818447</v>
      </c>
      <c r="L565" s="16" t="n">
        <v>12.5608139834105</v>
      </c>
      <c r="M565" s="19" t="n">
        <v>0.631148542972261</v>
      </c>
      <c r="N565" s="19" t="n">
        <v>1.41428257839693</v>
      </c>
      <c r="O565" s="19" t="n">
        <v>0.875826568912306</v>
      </c>
      <c r="P565" s="19" t="n">
        <v>0.513323939296812</v>
      </c>
      <c r="Q565" s="17" t="s">
        <v>30</v>
      </c>
      <c r="R565" s="5" t="str">
        <f aca="false">IF(OR(Q565="Steel plate",Q565="Concrete jacket"),"Steel plate or jacket",Q565)</f>
        <v>Seal cracks</v>
      </c>
      <c r="S565" s="5" t="str">
        <f aca="false">IF(O565&lt;='Tree rules'!$C$4,IF(N565&lt;='Tree rules'!$C$5,IF(P565&lt;='Tree rules'!$C$6,"Monitor","Polymer laminate"),IF(P565&lt;='Tree rules'!$C$7,"Seal cracks","Polymer laminate")),IF(O565&lt;='Tree rules'!$C$8,IF(M565&lt;='Tree rules'!$C$9,"Steel plate or jacket","Polymer laminate"),IF(L565&lt;='Tree rules'!$C$10,"Steel plate or jacket","Polymer laminate")))</f>
        <v>Seal cracks</v>
      </c>
      <c r="T565" s="5" t="str">
        <f aca="false">IF(S565=R565,"Yes","No")</f>
        <v>Yes</v>
      </c>
    </row>
    <row r="566" customFormat="false" ht="15" hidden="false" customHeight="false" outlineLevel="0" collapsed="false">
      <c r="A566" s="15" t="n">
        <v>1886</v>
      </c>
      <c r="B566" s="16" t="n">
        <v>4.64775882334211</v>
      </c>
      <c r="C566" s="15" t="n">
        <v>230</v>
      </c>
      <c r="D566" s="15" t="n">
        <v>425</v>
      </c>
      <c r="E566" s="15" t="n">
        <v>20</v>
      </c>
      <c r="F566" s="16" t="n">
        <v>0.724620609754306</v>
      </c>
      <c r="G566" s="17" t="s">
        <v>89</v>
      </c>
      <c r="H566" s="18" t="n">
        <v>0.3</v>
      </c>
      <c r="I566" s="18" t="n">
        <v>1</v>
      </c>
      <c r="J566" s="19" t="n">
        <v>0.861102702977245</v>
      </c>
      <c r="K566" s="19" t="n">
        <v>0.405870502173217</v>
      </c>
      <c r="L566" s="16" t="n">
        <v>12.3282727409605</v>
      </c>
      <c r="M566" s="19" t="n">
        <v>0.828846840613417</v>
      </c>
      <c r="N566" s="19" t="n">
        <v>0.738120217208179</v>
      </c>
      <c r="O566" s="19" t="n">
        <v>0.861102702977245</v>
      </c>
      <c r="P566" s="19" t="n">
        <v>0.38515103298697</v>
      </c>
      <c r="Q566" s="17" t="s">
        <v>29</v>
      </c>
      <c r="R566" s="5" t="str">
        <f aca="false">IF(OR(Q566="Steel plate",Q566="Concrete jacket"),"Steel plate or jacket",Q566)</f>
        <v>Monitor</v>
      </c>
      <c r="S566" s="5" t="str">
        <f aca="false">IF(O566&lt;='Tree rules'!$C$4,IF(N566&lt;='Tree rules'!$C$5,IF(P566&lt;='Tree rules'!$C$6,"Monitor","Polymer laminate"),IF(P566&lt;='Tree rules'!$C$7,"Seal cracks","Polymer laminate")),IF(O566&lt;='Tree rules'!$C$8,IF(M566&lt;='Tree rules'!$C$9,"Steel plate or jacket","Polymer laminate"),IF(L566&lt;='Tree rules'!$C$10,"Steel plate or jacket","Polymer laminate")))</f>
        <v>Monitor</v>
      </c>
      <c r="T566" s="5" t="str">
        <f aca="false">IF(S566=R566,"Yes","No")</f>
        <v>Yes</v>
      </c>
    </row>
    <row r="567" customFormat="false" ht="15" hidden="false" customHeight="false" outlineLevel="0" collapsed="false">
      <c r="A567" s="15" t="n">
        <v>1888</v>
      </c>
      <c r="B567" s="16" t="n">
        <v>3.617402336083</v>
      </c>
      <c r="C567" s="15" t="n">
        <v>300</v>
      </c>
      <c r="D567" s="15" t="n">
        <v>325</v>
      </c>
      <c r="E567" s="15" t="n">
        <v>25</v>
      </c>
      <c r="F567" s="16" t="n">
        <v>0.756099314943392</v>
      </c>
      <c r="G567" s="17" t="s">
        <v>91</v>
      </c>
      <c r="H567" s="18" t="n">
        <v>0.2</v>
      </c>
      <c r="I567" s="18" t="n">
        <v>1.5</v>
      </c>
      <c r="J567" s="19" t="n">
        <v>0.888177020481724</v>
      </c>
      <c r="K567" s="19" t="n">
        <v>0.490581334746099</v>
      </c>
      <c r="L567" s="16" t="n">
        <v>13.0592142096859</v>
      </c>
      <c r="M567" s="19" t="n">
        <v>0.932991727723073</v>
      </c>
      <c r="N567" s="19" t="n">
        <v>1.72466552044654</v>
      </c>
      <c r="O567" s="19" t="n">
        <v>1.11440399662322</v>
      </c>
      <c r="P567" s="19" t="n">
        <v>0.394811683242362</v>
      </c>
      <c r="Q567" s="17" t="s">
        <v>31</v>
      </c>
      <c r="R567" s="5" t="str">
        <f aca="false">IF(OR(Q567="Steel plate",Q567="Concrete jacket"),"Steel plate or jacket",Q567)</f>
        <v>Polymer laminate</v>
      </c>
      <c r="S567" s="5" t="str">
        <f aca="false">IF(O567&lt;='Tree rules'!$C$4,IF(N567&lt;='Tree rules'!$C$5,IF(P567&lt;='Tree rules'!$C$6,"Monitor","Polymer laminate"),IF(P567&lt;='Tree rules'!$C$7,"Seal cracks","Polymer laminate")),IF(O567&lt;='Tree rules'!$C$8,IF(M567&lt;='Tree rules'!$C$9,"Steel plate or jacket","Polymer laminate"),IF(L567&lt;='Tree rules'!$C$10,"Steel plate or jacket","Polymer laminate")))</f>
        <v>Polymer laminate</v>
      </c>
      <c r="T567" s="5" t="str">
        <f aca="false">IF(S567=R567,"Yes","No")</f>
        <v>Yes</v>
      </c>
    </row>
    <row r="568" customFormat="false" ht="15" hidden="false" customHeight="false" outlineLevel="0" collapsed="false">
      <c r="A568" s="15" t="n">
        <v>1889</v>
      </c>
      <c r="B568" s="16" t="n">
        <v>6.8727354567797</v>
      </c>
      <c r="C568" s="15" t="n">
        <v>300</v>
      </c>
      <c r="D568" s="15" t="n">
        <v>675</v>
      </c>
      <c r="E568" s="15" t="n">
        <v>25</v>
      </c>
      <c r="F568" s="16" t="n">
        <v>0.835085766504464</v>
      </c>
      <c r="G568" s="17" t="s">
        <v>91</v>
      </c>
      <c r="H568" s="18" t="n">
        <v>0.2</v>
      </c>
      <c r="I568" s="18" t="n">
        <v>1</v>
      </c>
      <c r="J568" s="19" t="n">
        <v>0.950459302031677</v>
      </c>
      <c r="K568" s="19" t="n">
        <v>0.473535969349271</v>
      </c>
      <c r="L568" s="16" t="n">
        <v>10.9613005690266</v>
      </c>
      <c r="M568" s="19" t="n">
        <v>0.91124480870774</v>
      </c>
      <c r="N568" s="19" t="n">
        <v>0.842839449009641</v>
      </c>
      <c r="O568" s="19" t="n">
        <v>0.950459302031677</v>
      </c>
      <c r="P568" s="19" t="n">
        <v>0.427408800199869</v>
      </c>
      <c r="Q568" s="17" t="s">
        <v>29</v>
      </c>
      <c r="R568" s="5" t="str">
        <f aca="false">IF(OR(Q568="Steel plate",Q568="Concrete jacket"),"Steel plate or jacket",Q568)</f>
        <v>Monitor</v>
      </c>
      <c r="S568" s="5" t="str">
        <f aca="false">IF(O568&lt;='Tree rules'!$C$4,IF(N568&lt;='Tree rules'!$C$5,IF(P568&lt;='Tree rules'!$C$6,"Monitor","Polymer laminate"),IF(P568&lt;='Tree rules'!$C$7,"Seal cracks","Polymer laminate")),IF(O568&lt;='Tree rules'!$C$8,IF(M568&lt;='Tree rules'!$C$9,"Steel plate or jacket","Polymer laminate"),IF(L568&lt;='Tree rules'!$C$10,"Steel plate or jacket","Polymer laminate")))</f>
        <v>Monitor</v>
      </c>
      <c r="T568" s="5" t="str">
        <f aca="false">IF(S568=R568,"Yes","No")</f>
        <v>Yes</v>
      </c>
    </row>
    <row r="569" customFormat="false" ht="15" hidden="false" customHeight="false" outlineLevel="0" collapsed="false">
      <c r="A569" s="15" t="n">
        <v>1891</v>
      </c>
      <c r="B569" s="16" t="n">
        <v>5.36580040759588</v>
      </c>
      <c r="C569" s="15" t="n">
        <v>230</v>
      </c>
      <c r="D569" s="15" t="n">
        <v>500</v>
      </c>
      <c r="E569" s="15" t="n">
        <v>30</v>
      </c>
      <c r="F569" s="16" t="n">
        <v>0.90657733366385</v>
      </c>
      <c r="G569" s="17" t="s">
        <v>89</v>
      </c>
      <c r="H569" s="18" t="n">
        <v>0.3</v>
      </c>
      <c r="I569" s="18" t="n">
        <v>1</v>
      </c>
      <c r="J569" s="19" t="n">
        <v>0.935831752373162</v>
      </c>
      <c r="K569" s="19" t="n">
        <v>0.454668816256874</v>
      </c>
      <c r="L569" s="16" t="n">
        <v>11.8712398398139</v>
      </c>
      <c r="M569" s="19" t="n">
        <v>0.881064840641744</v>
      </c>
      <c r="N569" s="19" t="n">
        <v>0.631649120452164</v>
      </c>
      <c r="O569" s="19" t="n">
        <v>0.935831752373162</v>
      </c>
      <c r="P569" s="19" t="n">
        <v>0.437869219725332</v>
      </c>
      <c r="Q569" s="17" t="s">
        <v>29</v>
      </c>
      <c r="R569" s="5" t="str">
        <f aca="false">IF(OR(Q569="Steel plate",Q569="Concrete jacket"),"Steel plate or jacket",Q569)</f>
        <v>Monitor</v>
      </c>
      <c r="S569" s="5" t="str">
        <f aca="false">IF(O569&lt;='Tree rules'!$C$4,IF(N569&lt;='Tree rules'!$C$5,IF(P569&lt;='Tree rules'!$C$6,"Monitor","Polymer laminate"),IF(P569&lt;='Tree rules'!$C$7,"Seal cracks","Polymer laminate")),IF(O569&lt;='Tree rules'!$C$8,IF(M569&lt;='Tree rules'!$C$9,"Steel plate or jacket","Polymer laminate"),IF(L569&lt;='Tree rules'!$C$10,"Steel plate or jacket","Polymer laminate")))</f>
        <v>Monitor</v>
      </c>
      <c r="T569" s="5" t="str">
        <f aca="false">IF(S569=R569,"Yes","No")</f>
        <v>Yes</v>
      </c>
    </row>
    <row r="570" customFormat="false" ht="15" hidden="false" customHeight="false" outlineLevel="0" collapsed="false">
      <c r="A570" s="15" t="n">
        <v>1894</v>
      </c>
      <c r="B570" s="16" t="n">
        <v>6.80395539006824</v>
      </c>
      <c r="C570" s="15" t="n">
        <v>300</v>
      </c>
      <c r="D570" s="15" t="n">
        <v>650</v>
      </c>
      <c r="E570" s="15" t="n">
        <v>20</v>
      </c>
      <c r="F570" s="16" t="n">
        <v>0.554806649640582</v>
      </c>
      <c r="G570" s="17" t="s">
        <v>91</v>
      </c>
      <c r="H570" s="18" t="n">
        <v>0.2</v>
      </c>
      <c r="I570" s="18" t="n">
        <v>1</v>
      </c>
      <c r="J570" s="19" t="n">
        <v>0.956420397944438</v>
      </c>
      <c r="K570" s="19" t="n">
        <v>0.52972533874814</v>
      </c>
      <c r="L570" s="16" t="n">
        <v>11.2648268047487</v>
      </c>
      <c r="M570" s="19" t="n">
        <v>0.845495015642287</v>
      </c>
      <c r="N570" s="19" t="n">
        <v>0.832255843335772</v>
      </c>
      <c r="O570" s="19" t="n">
        <v>0.956420397944438</v>
      </c>
      <c r="P570" s="19" t="n">
        <v>0.387254110930934</v>
      </c>
      <c r="Q570" s="17" t="s">
        <v>29</v>
      </c>
      <c r="R570" s="5" t="str">
        <f aca="false">IF(OR(Q570="Steel plate",Q570="Concrete jacket"),"Steel plate or jacket",Q570)</f>
        <v>Monitor</v>
      </c>
      <c r="S570" s="5" t="str">
        <f aca="false">IF(O570&lt;='Tree rules'!$C$4,IF(N570&lt;='Tree rules'!$C$5,IF(P570&lt;='Tree rules'!$C$6,"Monitor","Polymer laminate"),IF(P570&lt;='Tree rules'!$C$7,"Seal cracks","Polymer laminate")),IF(O570&lt;='Tree rules'!$C$8,IF(M570&lt;='Tree rules'!$C$9,"Steel plate or jacket","Polymer laminate"),IF(L570&lt;='Tree rules'!$C$10,"Steel plate or jacket","Polymer laminate")))</f>
        <v>Monitor</v>
      </c>
      <c r="T570" s="5" t="str">
        <f aca="false">IF(S570=R570,"Yes","No")</f>
        <v>Yes</v>
      </c>
    </row>
    <row r="571" customFormat="false" ht="15" hidden="false" customHeight="false" outlineLevel="0" collapsed="false">
      <c r="A571" s="15" t="n">
        <v>1895</v>
      </c>
      <c r="B571" s="16" t="n">
        <v>3.20553332080423</v>
      </c>
      <c r="C571" s="15" t="n">
        <v>300</v>
      </c>
      <c r="D571" s="15" t="n">
        <v>300</v>
      </c>
      <c r="E571" s="15" t="n">
        <v>20</v>
      </c>
      <c r="F571" s="16" t="n">
        <v>0.736310778185108</v>
      </c>
      <c r="G571" s="17" t="s">
        <v>91</v>
      </c>
      <c r="H571" s="18" t="n">
        <v>0.2</v>
      </c>
      <c r="I571" s="18" t="n">
        <v>1</v>
      </c>
      <c r="J571" s="19" t="n">
        <v>0.897191770958061</v>
      </c>
      <c r="K571" s="19" t="n">
        <v>0.648959057777513</v>
      </c>
      <c r="L571" s="16" t="n">
        <v>12.5216145343915</v>
      </c>
      <c r="M571" s="19" t="n">
        <v>0.607769251219673</v>
      </c>
      <c r="N571" s="19" t="n">
        <v>0.904989221518323</v>
      </c>
      <c r="O571" s="19" t="n">
        <v>0.897191770958061</v>
      </c>
      <c r="P571" s="19" t="n">
        <v>0.588558644162721</v>
      </c>
      <c r="Q571" s="17" t="s">
        <v>29</v>
      </c>
      <c r="R571" s="5" t="str">
        <f aca="false">IF(OR(Q571="Steel plate",Q571="Concrete jacket"),"Steel plate or jacket",Q571)</f>
        <v>Monitor</v>
      </c>
      <c r="S571" s="5" t="str">
        <f aca="false">IF(O571&lt;='Tree rules'!$C$4,IF(N571&lt;='Tree rules'!$C$5,IF(P571&lt;='Tree rules'!$C$6,"Monitor","Polymer laminate"),IF(P571&lt;='Tree rules'!$C$7,"Seal cracks","Polymer laminate")),IF(O571&lt;='Tree rules'!$C$8,IF(M571&lt;='Tree rules'!$C$9,"Steel plate or jacket","Polymer laminate"),IF(L571&lt;='Tree rules'!$C$10,"Steel plate or jacket","Polymer laminate")))</f>
        <v>Monitor</v>
      </c>
      <c r="T571" s="5" t="str">
        <f aca="false">IF(S571=R571,"Yes","No")</f>
        <v>Yes</v>
      </c>
    </row>
    <row r="572" customFormat="false" ht="15" hidden="false" customHeight="false" outlineLevel="0" collapsed="false">
      <c r="A572" s="15" t="n">
        <v>1896</v>
      </c>
      <c r="B572" s="16" t="n">
        <v>3.0978550762351</v>
      </c>
      <c r="C572" s="15" t="n">
        <v>230</v>
      </c>
      <c r="D572" s="15" t="n">
        <v>300</v>
      </c>
      <c r="E572" s="15" t="n">
        <v>30</v>
      </c>
      <c r="F572" s="16" t="n">
        <v>1.0324987837885</v>
      </c>
      <c r="G572" s="17" t="s">
        <v>89</v>
      </c>
      <c r="H572" s="18" t="n">
        <v>0.3</v>
      </c>
      <c r="I572" s="18" t="n">
        <v>1</v>
      </c>
      <c r="J572" s="19" t="n">
        <v>0.908508367364125</v>
      </c>
      <c r="K572" s="19" t="n">
        <v>0.47852872334439</v>
      </c>
      <c r="L572" s="16" t="n">
        <v>12.1962798276973</v>
      </c>
      <c r="M572" s="19" t="n">
        <v>0.468463300452454</v>
      </c>
      <c r="N572" s="19" t="n">
        <v>0.695721772855493</v>
      </c>
      <c r="O572" s="19" t="n">
        <v>0.908508367364125</v>
      </c>
      <c r="P572" s="19" t="n">
        <v>0.72695699132378</v>
      </c>
      <c r="Q572" s="17" t="s">
        <v>29</v>
      </c>
      <c r="R572" s="5" t="str">
        <f aca="false">IF(OR(Q572="Steel plate",Q572="Concrete jacket"),"Steel plate or jacket",Q572)</f>
        <v>Monitor</v>
      </c>
      <c r="S572" s="5" t="str">
        <f aca="false">IF(O572&lt;='Tree rules'!$C$4,IF(N572&lt;='Tree rules'!$C$5,IF(P572&lt;='Tree rules'!$C$6,"Monitor","Polymer laminate"),IF(P572&lt;='Tree rules'!$C$7,"Seal cracks","Polymer laminate")),IF(O572&lt;='Tree rules'!$C$8,IF(M572&lt;='Tree rules'!$C$9,"Steel plate or jacket","Polymer laminate"),IF(L572&lt;='Tree rules'!$C$10,"Steel plate or jacket","Polymer laminate")))</f>
        <v>Monitor</v>
      </c>
      <c r="T572" s="5" t="str">
        <f aca="false">IF(S572=R572,"Yes","No")</f>
        <v>Yes</v>
      </c>
    </row>
    <row r="573" customFormat="false" ht="15" hidden="false" customHeight="false" outlineLevel="0" collapsed="false">
      <c r="A573" s="15" t="n">
        <v>1898</v>
      </c>
      <c r="B573" s="16" t="n">
        <v>4.44714968260073</v>
      </c>
      <c r="C573" s="15" t="n">
        <v>300</v>
      </c>
      <c r="D573" s="15" t="n">
        <v>375</v>
      </c>
      <c r="E573" s="15" t="n">
        <v>20</v>
      </c>
      <c r="F573" s="16" t="n">
        <v>0.59650493422591</v>
      </c>
      <c r="G573" s="17" t="s">
        <v>90</v>
      </c>
      <c r="H573" s="18" t="n">
        <v>0.1</v>
      </c>
      <c r="I573" s="18" t="n">
        <v>1</v>
      </c>
      <c r="J573" s="19" t="n">
        <v>0.961202156218927</v>
      </c>
      <c r="K573" s="19" t="n">
        <v>0.554061535293826</v>
      </c>
      <c r="L573" s="16" t="n">
        <v>14.0732584892428</v>
      </c>
      <c r="M573" s="19" t="n">
        <v>0.936365044257112</v>
      </c>
      <c r="N573" s="19" t="n">
        <v>2.28178557451661</v>
      </c>
      <c r="O573" s="19" t="n">
        <v>0.961202156218927</v>
      </c>
      <c r="P573" s="19" t="n">
        <v>0.363392441246963</v>
      </c>
      <c r="Q573" s="17" t="s">
        <v>30</v>
      </c>
      <c r="R573" s="5" t="str">
        <f aca="false">IF(OR(Q573="Steel plate",Q573="Concrete jacket"),"Steel plate or jacket",Q573)</f>
        <v>Seal cracks</v>
      </c>
      <c r="S573" s="5" t="str">
        <f aca="false">IF(O573&lt;='Tree rules'!$C$4,IF(N573&lt;='Tree rules'!$C$5,IF(P573&lt;='Tree rules'!$C$6,"Monitor","Polymer laminate"),IF(P573&lt;='Tree rules'!$C$7,"Seal cracks","Polymer laminate")),IF(O573&lt;='Tree rules'!$C$8,IF(M573&lt;='Tree rules'!$C$9,"Steel plate or jacket","Polymer laminate"),IF(L573&lt;='Tree rules'!$C$10,"Steel plate or jacket","Polymer laminate")))</f>
        <v>Seal cracks</v>
      </c>
      <c r="T573" s="5" t="str">
        <f aca="false">IF(S573=R573,"Yes","No")</f>
        <v>Yes</v>
      </c>
    </row>
    <row r="574" customFormat="false" ht="15" hidden="false" customHeight="false" outlineLevel="0" collapsed="false">
      <c r="A574" s="15" t="n">
        <v>1900</v>
      </c>
      <c r="B574" s="16" t="n">
        <v>6.58406767763673</v>
      </c>
      <c r="C574" s="15" t="n">
        <v>300</v>
      </c>
      <c r="D574" s="15" t="n">
        <v>650</v>
      </c>
      <c r="E574" s="15" t="n">
        <v>20</v>
      </c>
      <c r="F574" s="16" t="n">
        <v>0.695812326376477</v>
      </c>
      <c r="G574" s="17" t="s">
        <v>89</v>
      </c>
      <c r="H574" s="18" t="n">
        <v>0.3</v>
      </c>
      <c r="I574" s="18" t="n">
        <v>2</v>
      </c>
      <c r="J574" s="19" t="n">
        <v>0.931586657860138</v>
      </c>
      <c r="K574" s="19" t="n">
        <v>0.537993509239658</v>
      </c>
      <c r="L574" s="16" t="n">
        <v>10.9369894977354</v>
      </c>
      <c r="M574" s="19" t="n">
        <v>0.686116575912019</v>
      </c>
      <c r="N574" s="19" t="n">
        <v>0.918676081740548</v>
      </c>
      <c r="O574" s="19" t="n">
        <v>1.36198574049726</v>
      </c>
      <c r="P574" s="19" t="n">
        <v>0.640586024044256</v>
      </c>
      <c r="Q574" s="17" t="s">
        <v>92</v>
      </c>
      <c r="R574" s="5" t="str">
        <f aca="false">IF(OR(Q574="Steel plate",Q574="Concrete jacket"),"Steel plate or jacket",Q574)</f>
        <v>Steel plate or jacket</v>
      </c>
      <c r="S574" s="5" t="str">
        <f aca="false">IF(O574&lt;='Tree rules'!$C$4,IF(N574&lt;='Tree rules'!$C$5,IF(P574&lt;='Tree rules'!$C$6,"Monitor","Polymer laminate"),IF(P574&lt;='Tree rules'!$C$7,"Seal cracks","Polymer laminate")),IF(O574&lt;='Tree rules'!$C$8,IF(M574&lt;='Tree rules'!$C$9,"Steel plate or jacket","Polymer laminate"),IF(L574&lt;='Tree rules'!$C$10,"Steel plate or jacket","Polymer laminate")))</f>
        <v>Steel plate or jacket</v>
      </c>
      <c r="T574" s="5" t="str">
        <f aca="false">IF(S574=R574,"Yes","No")</f>
        <v>Yes</v>
      </c>
    </row>
    <row r="575" customFormat="false" ht="15" hidden="false" customHeight="false" outlineLevel="0" collapsed="false">
      <c r="A575" s="15" t="n">
        <v>1902</v>
      </c>
      <c r="B575" s="16" t="n">
        <v>4.07094574964138</v>
      </c>
      <c r="C575" s="15" t="n">
        <v>230</v>
      </c>
      <c r="D575" s="15" t="n">
        <v>400</v>
      </c>
      <c r="E575" s="15" t="n">
        <v>30</v>
      </c>
      <c r="F575" s="16" t="n">
        <v>0.776085141697083</v>
      </c>
      <c r="G575" s="17" t="s">
        <v>89</v>
      </c>
      <c r="H575" s="18" t="n">
        <v>0.3</v>
      </c>
      <c r="I575" s="18" t="n">
        <v>1.5</v>
      </c>
      <c r="J575" s="19" t="n">
        <v>0.853841213488575</v>
      </c>
      <c r="K575" s="19" t="n">
        <v>0.499030726143437</v>
      </c>
      <c r="L575" s="16" t="n">
        <v>11.5651867887539</v>
      </c>
      <c r="M575" s="19" t="n">
        <v>0.308003847606079</v>
      </c>
      <c r="N575" s="19" t="n">
        <v>1.06304269254663</v>
      </c>
      <c r="O575" s="19" t="n">
        <v>1.06771531984366</v>
      </c>
      <c r="P575" s="19" t="n">
        <v>0.984802570256241</v>
      </c>
      <c r="Q575" s="17" t="s">
        <v>31</v>
      </c>
      <c r="R575" s="5" t="str">
        <f aca="false">IF(OR(Q575="Steel plate",Q575="Concrete jacket"),"Steel plate or jacket",Q575)</f>
        <v>Polymer laminate</v>
      </c>
      <c r="S575" s="5" t="str">
        <f aca="false">IF(O575&lt;='Tree rules'!$C$4,IF(N575&lt;='Tree rules'!$C$5,IF(P575&lt;='Tree rules'!$C$6,"Monitor","Polymer laminate"),IF(P575&lt;='Tree rules'!$C$7,"Seal cracks","Polymer laminate")),IF(O575&lt;='Tree rules'!$C$8,IF(M575&lt;='Tree rules'!$C$9,"Steel plate or jacket","Polymer laminate"),IF(L575&lt;='Tree rules'!$C$10,"Steel plate or jacket","Polymer laminate")))</f>
        <v>Polymer laminate</v>
      </c>
      <c r="T575" s="5" t="str">
        <f aca="false">IF(S575=R575,"Yes","No")</f>
        <v>Yes</v>
      </c>
    </row>
    <row r="576" customFormat="false" ht="15" hidden="false" customHeight="false" outlineLevel="0" collapsed="false">
      <c r="A576" s="15" t="n">
        <v>1903</v>
      </c>
      <c r="B576" s="16" t="n">
        <v>4.6221284938554</v>
      </c>
      <c r="C576" s="15" t="n">
        <v>300</v>
      </c>
      <c r="D576" s="15" t="n">
        <v>450</v>
      </c>
      <c r="E576" s="15" t="n">
        <v>25</v>
      </c>
      <c r="F576" s="16" t="n">
        <v>0.829463406888394</v>
      </c>
      <c r="G576" s="17" t="s">
        <v>89</v>
      </c>
      <c r="H576" s="18" t="n">
        <v>0.3</v>
      </c>
      <c r="I576" s="18" t="n">
        <v>1</v>
      </c>
      <c r="J576" s="19" t="n">
        <v>0.886519648093627</v>
      </c>
      <c r="K576" s="19" t="n">
        <v>0.527648440336443</v>
      </c>
      <c r="L576" s="16" t="n">
        <v>11.4409121135035</v>
      </c>
      <c r="M576" s="19" t="n">
        <v>0.444529355640532</v>
      </c>
      <c r="N576" s="19" t="n">
        <v>0.60214333163653</v>
      </c>
      <c r="O576" s="19" t="n">
        <v>0.886519648093627</v>
      </c>
      <c r="P576" s="19" t="n">
        <v>0.765755517372223</v>
      </c>
      <c r="Q576" s="17" t="s">
        <v>29</v>
      </c>
      <c r="R576" s="5" t="str">
        <f aca="false">IF(OR(Q576="Steel plate",Q576="Concrete jacket"),"Steel plate or jacket",Q576)</f>
        <v>Monitor</v>
      </c>
      <c r="S576" s="5" t="str">
        <f aca="false">IF(O576&lt;='Tree rules'!$C$4,IF(N576&lt;='Tree rules'!$C$5,IF(P576&lt;='Tree rules'!$C$6,"Monitor","Polymer laminate"),IF(P576&lt;='Tree rules'!$C$7,"Seal cracks","Polymer laminate")),IF(O576&lt;='Tree rules'!$C$8,IF(M576&lt;='Tree rules'!$C$9,"Steel plate or jacket","Polymer laminate"),IF(L576&lt;='Tree rules'!$C$10,"Steel plate or jacket","Polymer laminate")))</f>
        <v>Monitor</v>
      </c>
      <c r="T576" s="5" t="str">
        <f aca="false">IF(S576=R576,"Yes","No")</f>
        <v>Yes</v>
      </c>
    </row>
    <row r="577" customFormat="false" ht="15" hidden="false" customHeight="false" outlineLevel="0" collapsed="false">
      <c r="A577" s="15" t="n">
        <v>1905</v>
      </c>
      <c r="B577" s="16" t="n">
        <v>5.62934630186984</v>
      </c>
      <c r="C577" s="15" t="n">
        <v>230</v>
      </c>
      <c r="D577" s="15" t="n">
        <v>550</v>
      </c>
      <c r="E577" s="15" t="n">
        <v>30</v>
      </c>
      <c r="F577" s="16" t="n">
        <v>0.816280786486175</v>
      </c>
      <c r="G577" s="17" t="s">
        <v>89</v>
      </c>
      <c r="H577" s="18" t="n">
        <v>0.3</v>
      </c>
      <c r="I577" s="18" t="n">
        <v>1</v>
      </c>
      <c r="J577" s="19" t="n">
        <v>0.937155502252328</v>
      </c>
      <c r="K577" s="19" t="n">
        <v>0.409042351855416</v>
      </c>
      <c r="L577" s="16" t="n">
        <v>11.2138372547208</v>
      </c>
      <c r="M577" s="19" t="n">
        <v>0.754988375901946</v>
      </c>
      <c r="N577" s="19" t="n">
        <v>0.641234802855238</v>
      </c>
      <c r="O577" s="19" t="n">
        <v>0.937155502252328</v>
      </c>
      <c r="P577" s="19" t="n">
        <v>0.431789318544206</v>
      </c>
      <c r="Q577" s="17" t="s">
        <v>29</v>
      </c>
      <c r="R577" s="5" t="str">
        <f aca="false">IF(OR(Q577="Steel plate",Q577="Concrete jacket"),"Steel plate or jacket",Q577)</f>
        <v>Monitor</v>
      </c>
      <c r="S577" s="5" t="str">
        <f aca="false">IF(O577&lt;='Tree rules'!$C$4,IF(N577&lt;='Tree rules'!$C$5,IF(P577&lt;='Tree rules'!$C$6,"Monitor","Polymer laminate"),IF(P577&lt;='Tree rules'!$C$7,"Seal cracks","Polymer laminate")),IF(O577&lt;='Tree rules'!$C$8,IF(M577&lt;='Tree rules'!$C$9,"Steel plate or jacket","Polymer laminate"),IF(L577&lt;='Tree rules'!$C$10,"Steel plate or jacket","Polymer laminate")))</f>
        <v>Monitor</v>
      </c>
      <c r="T577" s="5" t="str">
        <f aca="false">IF(S577=R577,"Yes","No")</f>
        <v>Yes</v>
      </c>
    </row>
    <row r="578" customFormat="false" ht="15" hidden="false" customHeight="false" outlineLevel="0" collapsed="false">
      <c r="A578" s="15" t="n">
        <v>1910</v>
      </c>
      <c r="B578" s="16" t="n">
        <v>4.90996340294691</v>
      </c>
      <c r="C578" s="15" t="n">
        <v>300</v>
      </c>
      <c r="D578" s="15" t="n">
        <v>450</v>
      </c>
      <c r="E578" s="15" t="n">
        <v>25</v>
      </c>
      <c r="F578" s="16" t="n">
        <v>0.829463406888394</v>
      </c>
      <c r="G578" s="17" t="s">
        <v>89</v>
      </c>
      <c r="H578" s="18" t="n">
        <v>0.3</v>
      </c>
      <c r="I578" s="18" t="n">
        <v>2</v>
      </c>
      <c r="J578" s="19" t="n">
        <v>0.906478052976275</v>
      </c>
      <c r="K578" s="19" t="n">
        <v>0.496409772901842</v>
      </c>
      <c r="L578" s="16" t="n">
        <v>12.1533747597696</v>
      </c>
      <c r="M578" s="19" t="n">
        <v>0.370221204966416</v>
      </c>
      <c r="N578" s="19" t="n">
        <v>0.94376986669042</v>
      </c>
      <c r="O578" s="19" t="n">
        <v>1.36297154153409</v>
      </c>
      <c r="P578" s="19" t="n">
        <v>1.21435859352889</v>
      </c>
      <c r="Q578" s="17" t="s">
        <v>31</v>
      </c>
      <c r="R578" s="5" t="str">
        <f aca="false">IF(OR(Q578="Steel plate",Q578="Concrete jacket"),"Steel plate or jacket",Q578)</f>
        <v>Polymer laminate</v>
      </c>
      <c r="S578" s="5" t="str">
        <f aca="false">IF(O578&lt;='Tree rules'!$C$4,IF(N578&lt;='Tree rules'!$C$5,IF(P578&lt;='Tree rules'!$C$6,"Monitor","Polymer laminate"),IF(P578&lt;='Tree rules'!$C$7,"Seal cracks","Polymer laminate")),IF(O578&lt;='Tree rules'!$C$8,IF(M578&lt;='Tree rules'!$C$9,"Steel plate or jacket","Polymer laminate"),IF(L578&lt;='Tree rules'!$C$10,"Steel plate or jacket","Polymer laminate")))</f>
        <v>Steel plate or jacket</v>
      </c>
      <c r="T578" s="5" t="str">
        <f aca="false">IF(S578=R578,"Yes","No")</f>
        <v>No</v>
      </c>
    </row>
    <row r="579" customFormat="false" ht="15" hidden="false" customHeight="false" outlineLevel="0" collapsed="false">
      <c r="A579" s="15" t="n">
        <v>1915</v>
      </c>
      <c r="B579" s="16" t="n">
        <v>3.51781211446812</v>
      </c>
      <c r="C579" s="15" t="n">
        <v>300</v>
      </c>
      <c r="D579" s="15" t="n">
        <v>325</v>
      </c>
      <c r="E579" s="15" t="n">
        <v>20</v>
      </c>
      <c r="F579" s="16" t="n">
        <v>0.67080270183412</v>
      </c>
      <c r="G579" s="17" t="s">
        <v>91</v>
      </c>
      <c r="H579" s="18" t="n">
        <v>0.2</v>
      </c>
      <c r="I579" s="18" t="n">
        <v>1.5</v>
      </c>
      <c r="J579" s="19" t="n">
        <v>0.898345367972915</v>
      </c>
      <c r="K579" s="19" t="n">
        <v>0.482103516576474</v>
      </c>
      <c r="L579" s="16" t="n">
        <v>12.5189043219506</v>
      </c>
      <c r="M579" s="19" t="n">
        <v>0.910000158818413</v>
      </c>
      <c r="N579" s="19" t="n">
        <v>1.07510542000218</v>
      </c>
      <c r="O579" s="19" t="n">
        <v>1.13097032145941</v>
      </c>
      <c r="P579" s="19" t="n">
        <v>0.392246225088254</v>
      </c>
      <c r="Q579" s="17" t="s">
        <v>31</v>
      </c>
      <c r="R579" s="5" t="str">
        <f aca="false">IF(OR(Q579="Steel plate",Q579="Concrete jacket"),"Steel plate or jacket",Q579)</f>
        <v>Polymer laminate</v>
      </c>
      <c r="S579" s="5" t="str">
        <f aca="false">IF(O579&lt;='Tree rules'!$C$4,IF(N579&lt;='Tree rules'!$C$5,IF(P579&lt;='Tree rules'!$C$6,"Monitor","Polymer laminate"),IF(P579&lt;='Tree rules'!$C$7,"Seal cracks","Polymer laminate")),IF(O579&lt;='Tree rules'!$C$8,IF(M579&lt;='Tree rules'!$C$9,"Steel plate or jacket","Polymer laminate"),IF(L579&lt;='Tree rules'!$C$10,"Steel plate or jacket","Polymer laminate")))</f>
        <v>Polymer laminate</v>
      </c>
      <c r="T579" s="5" t="str">
        <f aca="false">IF(S579=R579,"Yes","No")</f>
        <v>Yes</v>
      </c>
    </row>
    <row r="580" customFormat="false" ht="15" hidden="false" customHeight="false" outlineLevel="0" collapsed="false">
      <c r="A580" s="15" t="n">
        <v>1918</v>
      </c>
      <c r="B580" s="16" t="n">
        <v>6.08227706220763</v>
      </c>
      <c r="C580" s="15" t="n">
        <v>300</v>
      </c>
      <c r="D580" s="15" t="n">
        <v>500</v>
      </c>
      <c r="E580" s="15" t="n">
        <v>25</v>
      </c>
      <c r="F580" s="16" t="n">
        <v>0.695042622475618</v>
      </c>
      <c r="G580" s="17" t="s">
        <v>89</v>
      </c>
      <c r="H580" s="18" t="n">
        <v>0.3</v>
      </c>
      <c r="I580" s="18" t="n">
        <v>1.5</v>
      </c>
      <c r="J580" s="19" t="n">
        <v>0.887721383045261</v>
      </c>
      <c r="K580" s="19" t="n">
        <v>0.5644604397832</v>
      </c>
      <c r="L580" s="16" t="n">
        <v>13.4563651818753</v>
      </c>
      <c r="M580" s="19" t="n">
        <v>0.880479138071124</v>
      </c>
      <c r="N580" s="19" t="n">
        <v>0.837918267060501</v>
      </c>
      <c r="O580" s="19" t="n">
        <v>1.08104027342855</v>
      </c>
      <c r="P580" s="19" t="n">
        <v>0.489607013969219</v>
      </c>
      <c r="Q580" s="17" t="s">
        <v>31</v>
      </c>
      <c r="R580" s="5" t="str">
        <f aca="false">IF(OR(Q580="Steel plate",Q580="Concrete jacket"),"Steel plate or jacket",Q580)</f>
        <v>Polymer laminate</v>
      </c>
      <c r="S580" s="5" t="str">
        <f aca="false">IF(O580&lt;='Tree rules'!$C$4,IF(N580&lt;='Tree rules'!$C$5,IF(P580&lt;='Tree rules'!$C$6,"Monitor","Polymer laminate"),IF(P580&lt;='Tree rules'!$C$7,"Seal cracks","Polymer laminate")),IF(O580&lt;='Tree rules'!$C$8,IF(M580&lt;='Tree rules'!$C$9,"Steel plate or jacket","Polymer laminate"),IF(L580&lt;='Tree rules'!$C$10,"Steel plate or jacket","Polymer laminate")))</f>
        <v>Polymer laminate</v>
      </c>
      <c r="T580" s="5" t="str">
        <f aca="false">IF(S580=R580,"Yes","No")</f>
        <v>Yes</v>
      </c>
    </row>
    <row r="581" customFormat="false" ht="15" hidden="false" customHeight="false" outlineLevel="0" collapsed="false">
      <c r="A581" s="15" t="n">
        <v>1922</v>
      </c>
      <c r="B581" s="16" t="n">
        <v>6.18467089917314</v>
      </c>
      <c r="C581" s="15" t="n">
        <v>230</v>
      </c>
      <c r="D581" s="15" t="n">
        <v>550</v>
      </c>
      <c r="E581" s="15" t="n">
        <v>30</v>
      </c>
      <c r="F581" s="16" t="n">
        <v>0.693795479053647</v>
      </c>
      <c r="G581" s="17" t="s">
        <v>89</v>
      </c>
      <c r="H581" s="18" t="n">
        <v>0.3</v>
      </c>
      <c r="I581" s="18" t="n">
        <v>1</v>
      </c>
      <c r="J581" s="19" t="n">
        <v>0.9061103889791</v>
      </c>
      <c r="K581" s="19" t="n">
        <v>0.486891683666435</v>
      </c>
      <c r="L581" s="16" t="n">
        <v>12.2711724189943</v>
      </c>
      <c r="M581" s="19" t="n">
        <v>0.499287029899201</v>
      </c>
      <c r="N581" s="19" t="n">
        <v>0.592770510743298</v>
      </c>
      <c r="O581" s="19" t="n">
        <v>0.9061103889791</v>
      </c>
      <c r="P581" s="19" t="n">
        <v>0.629819366687052</v>
      </c>
      <c r="Q581" s="17" t="s">
        <v>29</v>
      </c>
      <c r="R581" s="5" t="str">
        <f aca="false">IF(OR(Q581="Steel plate",Q581="Concrete jacket"),"Steel plate or jacket",Q581)</f>
        <v>Monitor</v>
      </c>
      <c r="S581" s="5" t="str">
        <f aca="false">IF(O581&lt;='Tree rules'!$C$4,IF(N581&lt;='Tree rules'!$C$5,IF(P581&lt;='Tree rules'!$C$6,"Monitor","Polymer laminate"),IF(P581&lt;='Tree rules'!$C$7,"Seal cracks","Polymer laminate")),IF(O581&lt;='Tree rules'!$C$8,IF(M581&lt;='Tree rules'!$C$9,"Steel plate or jacket","Polymer laminate"),IF(L581&lt;='Tree rules'!$C$10,"Steel plate or jacket","Polymer laminate")))</f>
        <v>Monitor</v>
      </c>
      <c r="T581" s="5" t="str">
        <f aca="false">IF(S581=R581,"Yes","No")</f>
        <v>Yes</v>
      </c>
    </row>
    <row r="582" customFormat="false" ht="15" hidden="false" customHeight="false" outlineLevel="0" collapsed="false">
      <c r="A582" s="15" t="n">
        <v>1927</v>
      </c>
      <c r="B582" s="16" t="n">
        <v>5.74545003698174</v>
      </c>
      <c r="C582" s="15" t="n">
        <v>230</v>
      </c>
      <c r="D582" s="15" t="n">
        <v>550</v>
      </c>
      <c r="E582" s="15" t="n">
        <v>25</v>
      </c>
      <c r="F582" s="16" t="n">
        <v>0.693795479053647</v>
      </c>
      <c r="G582" s="17" t="s">
        <v>91</v>
      </c>
      <c r="H582" s="18" t="n">
        <v>0.2</v>
      </c>
      <c r="I582" s="18" t="n">
        <v>1</v>
      </c>
      <c r="J582" s="19" t="n">
        <v>0.976278520516091</v>
      </c>
      <c r="K582" s="19" t="n">
        <v>0.588102206761352</v>
      </c>
      <c r="L582" s="16" t="n">
        <v>11.3997024543288</v>
      </c>
      <c r="M582" s="19" t="n">
        <v>0.383014546094426</v>
      </c>
      <c r="N582" s="19" t="n">
        <v>0.976838236103563</v>
      </c>
      <c r="O582" s="19" t="n">
        <v>0.976278520516091</v>
      </c>
      <c r="P582" s="19" t="n">
        <v>0.926717003685044</v>
      </c>
      <c r="Q582" s="17" t="s">
        <v>29</v>
      </c>
      <c r="R582" s="5" t="str">
        <f aca="false">IF(OR(Q582="Steel plate",Q582="Concrete jacket"),"Steel plate or jacket",Q582)</f>
        <v>Monitor</v>
      </c>
      <c r="S582" s="5" t="str">
        <f aca="false">IF(O582&lt;='Tree rules'!$C$4,IF(N582&lt;='Tree rules'!$C$5,IF(P582&lt;='Tree rules'!$C$6,"Monitor","Polymer laminate"),IF(P582&lt;='Tree rules'!$C$7,"Seal cracks","Polymer laminate")),IF(O582&lt;='Tree rules'!$C$8,IF(M582&lt;='Tree rules'!$C$9,"Steel plate or jacket","Polymer laminate"),IF(L582&lt;='Tree rules'!$C$10,"Steel plate or jacket","Polymer laminate")))</f>
        <v>Monitor</v>
      </c>
      <c r="T582" s="5" t="str">
        <f aca="false">IF(S582=R582,"Yes","No")</f>
        <v>Yes</v>
      </c>
    </row>
    <row r="583" customFormat="false" ht="15" hidden="false" customHeight="false" outlineLevel="0" collapsed="false">
      <c r="A583" s="15" t="n">
        <v>1929</v>
      </c>
      <c r="B583" s="16" t="n">
        <v>3.9340943065525</v>
      </c>
      <c r="C583" s="15" t="n">
        <v>230</v>
      </c>
      <c r="D583" s="15" t="n">
        <v>325</v>
      </c>
      <c r="E583" s="15" t="n">
        <v>30</v>
      </c>
      <c r="F583" s="16" t="n">
        <v>0.699968036696473</v>
      </c>
      <c r="G583" s="17" t="s">
        <v>91</v>
      </c>
      <c r="H583" s="18" t="n">
        <v>0.2</v>
      </c>
      <c r="I583" s="18" t="n">
        <v>1.5</v>
      </c>
      <c r="J583" s="19" t="n">
        <v>0.933661723581677</v>
      </c>
      <c r="K583" s="19" t="n">
        <v>0.601417973460833</v>
      </c>
      <c r="L583" s="16" t="n">
        <v>14.0003356105071</v>
      </c>
      <c r="M583" s="19" t="n">
        <v>0.898471987641694</v>
      </c>
      <c r="N583" s="19" t="n">
        <v>1.07479589511115</v>
      </c>
      <c r="O583" s="19" t="n">
        <v>1.1197321145253</v>
      </c>
      <c r="P583" s="19" t="n">
        <v>0.433864515298319</v>
      </c>
      <c r="Q583" s="17" t="s">
        <v>31</v>
      </c>
      <c r="R583" s="5" t="str">
        <f aca="false">IF(OR(Q583="Steel plate",Q583="Concrete jacket"),"Steel plate or jacket",Q583)</f>
        <v>Polymer laminate</v>
      </c>
      <c r="S583" s="5" t="str">
        <f aca="false">IF(O583&lt;='Tree rules'!$C$4,IF(N583&lt;='Tree rules'!$C$5,IF(P583&lt;='Tree rules'!$C$6,"Monitor","Polymer laminate"),IF(P583&lt;='Tree rules'!$C$7,"Seal cracks","Polymer laminate")),IF(O583&lt;='Tree rules'!$C$8,IF(M583&lt;='Tree rules'!$C$9,"Steel plate or jacket","Polymer laminate"),IF(L583&lt;='Tree rules'!$C$10,"Steel plate or jacket","Polymer laminate")))</f>
        <v>Polymer laminate</v>
      </c>
      <c r="T583" s="5" t="str">
        <f aca="false">IF(S583=R583,"Yes","No")</f>
        <v>Yes</v>
      </c>
    </row>
    <row r="584" customFormat="false" ht="15" hidden="false" customHeight="false" outlineLevel="0" collapsed="false">
      <c r="A584" s="15" t="n">
        <v>1930</v>
      </c>
      <c r="B584" s="16" t="n">
        <v>7.05379709290854</v>
      </c>
      <c r="C584" s="15" t="n">
        <v>300</v>
      </c>
      <c r="D584" s="15" t="n">
        <v>650</v>
      </c>
      <c r="E584" s="15" t="n">
        <v>25</v>
      </c>
      <c r="F584" s="16" t="n">
        <v>0.665767979568698</v>
      </c>
      <c r="G584" s="17" t="s">
        <v>89</v>
      </c>
      <c r="H584" s="18" t="n">
        <v>0.3</v>
      </c>
      <c r="I584" s="18" t="n">
        <v>1</v>
      </c>
      <c r="J584" s="19" t="n">
        <v>0.952530332518224</v>
      </c>
      <c r="K584" s="19" t="n">
        <v>0.587237557435507</v>
      </c>
      <c r="L584" s="16" t="n">
        <v>11.6784720081267</v>
      </c>
      <c r="M584" s="19" t="n">
        <v>0.676633417861596</v>
      </c>
      <c r="N584" s="19" t="n">
        <v>0.570336918662411</v>
      </c>
      <c r="O584" s="19" t="n">
        <v>0.952530332518224</v>
      </c>
      <c r="P584" s="19" t="n">
        <v>0.548961394225335</v>
      </c>
      <c r="Q584" s="17" t="s">
        <v>29</v>
      </c>
      <c r="R584" s="5" t="str">
        <f aca="false">IF(OR(Q584="Steel plate",Q584="Concrete jacket"),"Steel plate or jacket",Q584)</f>
        <v>Monitor</v>
      </c>
      <c r="S584" s="5" t="str">
        <f aca="false">IF(O584&lt;='Tree rules'!$C$4,IF(N584&lt;='Tree rules'!$C$5,IF(P584&lt;='Tree rules'!$C$6,"Monitor","Polymer laminate"),IF(P584&lt;='Tree rules'!$C$7,"Seal cracks","Polymer laminate")),IF(O584&lt;='Tree rules'!$C$8,IF(M584&lt;='Tree rules'!$C$9,"Steel plate or jacket","Polymer laminate"),IF(L584&lt;='Tree rules'!$C$10,"Steel plate or jacket","Polymer laminate")))</f>
        <v>Monitor</v>
      </c>
      <c r="T584" s="5" t="str">
        <f aca="false">IF(S584=R584,"Yes","No")</f>
        <v>Yes</v>
      </c>
    </row>
    <row r="585" customFormat="false" ht="15" hidden="false" customHeight="false" outlineLevel="0" collapsed="false">
      <c r="A585" s="15" t="n">
        <v>1933</v>
      </c>
      <c r="B585" s="16" t="n">
        <v>3.21472466837824</v>
      </c>
      <c r="C585" s="15" t="n">
        <v>300</v>
      </c>
      <c r="D585" s="15" t="n">
        <v>325</v>
      </c>
      <c r="E585" s="15" t="n">
        <v>30</v>
      </c>
      <c r="F585" s="16" t="n">
        <v>0.799387443661525</v>
      </c>
      <c r="G585" s="17" t="s">
        <v>90</v>
      </c>
      <c r="H585" s="18" t="n">
        <v>0.1</v>
      </c>
      <c r="I585" s="18" t="n">
        <v>1</v>
      </c>
      <c r="J585" s="19" t="n">
        <v>0.911011677231762</v>
      </c>
      <c r="K585" s="19" t="n">
        <v>0.602167830961389</v>
      </c>
      <c r="L585" s="16" t="n">
        <v>12.2699414823597</v>
      </c>
      <c r="M585" s="19" t="n">
        <v>0.360409646005692</v>
      </c>
      <c r="N585" s="19" t="n">
        <v>3.56019793787798</v>
      </c>
      <c r="O585" s="19" t="n">
        <v>0.911011677231762</v>
      </c>
      <c r="P585" s="19" t="n">
        <v>0.738895075729993</v>
      </c>
      <c r="Q585" s="17" t="s">
        <v>30</v>
      </c>
      <c r="R585" s="5" t="str">
        <f aca="false">IF(OR(Q585="Steel plate",Q585="Concrete jacket"),"Steel plate or jacket",Q585)</f>
        <v>Seal cracks</v>
      </c>
      <c r="S585" s="5" t="str">
        <f aca="false">IF(O585&lt;='Tree rules'!$C$4,IF(N585&lt;='Tree rules'!$C$5,IF(P585&lt;='Tree rules'!$C$6,"Monitor","Polymer laminate"),IF(P585&lt;='Tree rules'!$C$7,"Seal cracks","Polymer laminate")),IF(O585&lt;='Tree rules'!$C$8,IF(M585&lt;='Tree rules'!$C$9,"Steel plate or jacket","Polymer laminate"),IF(L585&lt;='Tree rules'!$C$10,"Steel plate or jacket","Polymer laminate")))</f>
        <v>Seal cracks</v>
      </c>
      <c r="T585" s="5" t="str">
        <f aca="false">IF(S585=R585,"Yes","No")</f>
        <v>Yes</v>
      </c>
    </row>
    <row r="586" customFormat="false" ht="15" hidden="false" customHeight="false" outlineLevel="0" collapsed="false">
      <c r="A586" s="15" t="n">
        <v>1935</v>
      </c>
      <c r="B586" s="16" t="n">
        <v>3.38350502636886</v>
      </c>
      <c r="C586" s="15" t="n">
        <v>230</v>
      </c>
      <c r="D586" s="15" t="n">
        <v>300</v>
      </c>
      <c r="E586" s="15" t="n">
        <v>30</v>
      </c>
      <c r="F586" s="16" t="n">
        <v>0.688332522525665</v>
      </c>
      <c r="G586" s="17" t="s">
        <v>91</v>
      </c>
      <c r="H586" s="18" t="n">
        <v>0.2</v>
      </c>
      <c r="I586" s="18" t="n">
        <v>1</v>
      </c>
      <c r="J586" s="19" t="n">
        <v>0.900556527173376</v>
      </c>
      <c r="K586" s="19" t="n">
        <v>0.453991154204242</v>
      </c>
      <c r="L586" s="16" t="n">
        <v>13.3208859305861</v>
      </c>
      <c r="M586" s="19" t="n">
        <v>0.781680815294126</v>
      </c>
      <c r="N586" s="19" t="n">
        <v>1.18703954454435</v>
      </c>
      <c r="O586" s="19" t="n">
        <v>0.900556527173376</v>
      </c>
      <c r="P586" s="19" t="n">
        <v>0.342608406758615</v>
      </c>
      <c r="Q586" s="17" t="s">
        <v>30</v>
      </c>
      <c r="R586" s="5" t="str">
        <f aca="false">IF(OR(Q586="Steel plate",Q586="Concrete jacket"),"Steel plate or jacket",Q586)</f>
        <v>Seal cracks</v>
      </c>
      <c r="S586" s="5" t="str">
        <f aca="false">IF(O586&lt;='Tree rules'!$C$4,IF(N586&lt;='Tree rules'!$C$5,IF(P586&lt;='Tree rules'!$C$6,"Monitor","Polymer laminate"),IF(P586&lt;='Tree rules'!$C$7,"Seal cracks","Polymer laminate")),IF(O586&lt;='Tree rules'!$C$8,IF(M586&lt;='Tree rules'!$C$9,"Steel plate or jacket","Polymer laminate"),IF(L586&lt;='Tree rules'!$C$10,"Steel plate or jacket","Polymer laminate")))</f>
        <v>Seal cracks</v>
      </c>
      <c r="T586" s="5" t="str">
        <f aca="false">IF(S586=R586,"Yes","No")</f>
        <v>Yes</v>
      </c>
    </row>
    <row r="587" customFormat="false" ht="15" hidden="false" customHeight="false" outlineLevel="0" collapsed="false">
      <c r="A587" s="15" t="n">
        <v>1936</v>
      </c>
      <c r="B587" s="16" t="n">
        <v>5.27046423427385</v>
      </c>
      <c r="C587" s="15" t="n">
        <v>300</v>
      </c>
      <c r="D587" s="15" t="n">
        <v>525</v>
      </c>
      <c r="E587" s="15" t="n">
        <v>25</v>
      </c>
      <c r="F587" s="16" t="n">
        <v>0.878153082764443</v>
      </c>
      <c r="G587" s="17" t="s">
        <v>89</v>
      </c>
      <c r="H587" s="18" t="n">
        <v>0.3</v>
      </c>
      <c r="I587" s="18" t="n">
        <v>2</v>
      </c>
      <c r="J587" s="19" t="n">
        <v>0.873197171087374</v>
      </c>
      <c r="K587" s="19" t="n">
        <v>0.425257641834407</v>
      </c>
      <c r="L587" s="16" t="n">
        <v>11.0491912668215</v>
      </c>
      <c r="M587" s="19" t="n">
        <v>0.676297061725261</v>
      </c>
      <c r="N587" s="19" t="n">
        <v>0.959811472503034</v>
      </c>
      <c r="O587" s="19" t="n">
        <v>1.37506057234166</v>
      </c>
      <c r="P587" s="19" t="n">
        <v>0.640159607525861</v>
      </c>
      <c r="Q587" s="17" t="s">
        <v>92</v>
      </c>
      <c r="R587" s="5" t="str">
        <f aca="false">IF(OR(Q587="Steel plate",Q587="Concrete jacket"),"Steel plate or jacket",Q587)</f>
        <v>Steel plate or jacket</v>
      </c>
      <c r="S587" s="5" t="str">
        <f aca="false">IF(O587&lt;='Tree rules'!$C$4,IF(N587&lt;='Tree rules'!$C$5,IF(P587&lt;='Tree rules'!$C$6,"Monitor","Polymer laminate"),IF(P587&lt;='Tree rules'!$C$7,"Seal cracks","Polymer laminate")),IF(O587&lt;='Tree rules'!$C$8,IF(M587&lt;='Tree rules'!$C$9,"Steel plate or jacket","Polymer laminate"),IF(L587&lt;='Tree rules'!$C$10,"Steel plate or jacket","Polymer laminate")))</f>
        <v>Steel plate or jacket</v>
      </c>
      <c r="T587" s="5" t="str">
        <f aca="false">IF(S587=R587,"Yes","No")</f>
        <v>Yes</v>
      </c>
    </row>
    <row r="588" customFormat="false" ht="15" hidden="false" customHeight="false" outlineLevel="0" collapsed="false">
      <c r="A588" s="15" t="n">
        <v>1944</v>
      </c>
      <c r="B588" s="16" t="n">
        <v>3.15023631451524</v>
      </c>
      <c r="C588" s="15" t="n">
        <v>300</v>
      </c>
      <c r="D588" s="15" t="n">
        <v>300</v>
      </c>
      <c r="E588" s="15" t="n">
        <v>25</v>
      </c>
      <c r="F588" s="16" t="n">
        <v>0.589048622548086</v>
      </c>
      <c r="G588" s="17" t="s">
        <v>91</v>
      </c>
      <c r="H588" s="18" t="n">
        <v>0.2</v>
      </c>
      <c r="I588" s="18" t="n">
        <v>2</v>
      </c>
      <c r="J588" s="19" t="n">
        <v>0.882794520489151</v>
      </c>
      <c r="K588" s="19" t="n">
        <v>0.564488684916237</v>
      </c>
      <c r="L588" s="16" t="n">
        <v>12.3056106035752</v>
      </c>
      <c r="M588" s="19" t="n">
        <v>0.488436474757064</v>
      </c>
      <c r="N588" s="19" t="n">
        <v>1.43359836512143</v>
      </c>
      <c r="O588" s="19" t="n">
        <v>1.26726152305612</v>
      </c>
      <c r="P588" s="19" t="n">
        <v>0.609171684635221</v>
      </c>
      <c r="Q588" s="17" t="s">
        <v>31</v>
      </c>
      <c r="R588" s="5" t="str">
        <f aca="false">IF(OR(Q588="Steel plate",Q588="Concrete jacket"),"Steel plate or jacket",Q588)</f>
        <v>Polymer laminate</v>
      </c>
      <c r="S588" s="5" t="str">
        <f aca="false">IF(O588&lt;='Tree rules'!$C$4,IF(N588&lt;='Tree rules'!$C$5,IF(P588&lt;='Tree rules'!$C$6,"Monitor","Polymer laminate"),IF(P588&lt;='Tree rules'!$C$7,"Seal cracks","Polymer laminate")),IF(O588&lt;='Tree rules'!$C$8,IF(M588&lt;='Tree rules'!$C$9,"Steel plate or jacket","Polymer laminate"),IF(L588&lt;='Tree rules'!$C$10,"Steel plate or jacket","Polymer laminate")))</f>
        <v>Polymer laminate</v>
      </c>
      <c r="T588" s="5" t="str">
        <f aca="false">IF(S588=R588,"Yes","No")</f>
        <v>Yes</v>
      </c>
    </row>
    <row r="589" customFormat="false" ht="15" hidden="false" customHeight="false" outlineLevel="0" collapsed="false">
      <c r="A589" s="15" t="n">
        <v>1947</v>
      </c>
      <c r="B589" s="16" t="n">
        <v>7.17414376562899</v>
      </c>
      <c r="C589" s="15" t="n">
        <v>300</v>
      </c>
      <c r="D589" s="15" t="n">
        <v>675</v>
      </c>
      <c r="E589" s="15" t="n">
        <v>20</v>
      </c>
      <c r="F589" s="16" t="n">
        <v>0.684442843919345</v>
      </c>
      <c r="G589" s="17" t="s">
        <v>90</v>
      </c>
      <c r="H589" s="18" t="n">
        <v>0.1</v>
      </c>
      <c r="I589" s="18" t="n">
        <v>1.5</v>
      </c>
      <c r="J589" s="19" t="n">
        <v>0.851989627841135</v>
      </c>
      <c r="K589" s="19" t="n">
        <v>0.403882090699533</v>
      </c>
      <c r="L589" s="16" t="n">
        <v>11.7224571333807</v>
      </c>
      <c r="M589" s="19" t="n">
        <v>0.6426679441932</v>
      </c>
      <c r="N589" s="19" t="n">
        <v>2.824127741666</v>
      </c>
      <c r="O589" s="19" t="n">
        <v>1.10593276568831</v>
      </c>
      <c r="P589" s="19" t="n">
        <v>0.535442245633621</v>
      </c>
      <c r="Q589" s="17" t="s">
        <v>31</v>
      </c>
      <c r="R589" s="5" t="str">
        <f aca="false">IF(OR(Q589="Steel plate",Q589="Concrete jacket"),"Steel plate or jacket",Q589)</f>
        <v>Polymer laminate</v>
      </c>
      <c r="S589" s="5" t="str">
        <f aca="false">IF(O589&lt;='Tree rules'!$C$4,IF(N589&lt;='Tree rules'!$C$5,IF(P589&lt;='Tree rules'!$C$6,"Monitor","Polymer laminate"),IF(P589&lt;='Tree rules'!$C$7,"Seal cracks","Polymer laminate")),IF(O589&lt;='Tree rules'!$C$8,IF(M589&lt;='Tree rules'!$C$9,"Steel plate or jacket","Polymer laminate"),IF(L589&lt;='Tree rules'!$C$10,"Steel plate or jacket","Polymer laminate")))</f>
        <v>Polymer laminate</v>
      </c>
      <c r="T589" s="5" t="str">
        <f aca="false">IF(S589=R589,"Yes","No")</f>
        <v>Yes</v>
      </c>
    </row>
    <row r="590" customFormat="false" ht="15" hidden="false" customHeight="false" outlineLevel="0" collapsed="false">
      <c r="A590" s="15" t="n">
        <v>1948</v>
      </c>
      <c r="B590" s="16" t="n">
        <v>7.17712521666149</v>
      </c>
      <c r="C590" s="15" t="n">
        <v>230</v>
      </c>
      <c r="D590" s="15" t="n">
        <v>650</v>
      </c>
      <c r="E590" s="15" t="n">
        <v>20</v>
      </c>
      <c r="F590" s="16" t="n">
        <v>0.680685971455249</v>
      </c>
      <c r="G590" s="17" t="s">
        <v>89</v>
      </c>
      <c r="H590" s="18" t="n">
        <v>0.3</v>
      </c>
      <c r="I590" s="18" t="n">
        <v>2</v>
      </c>
      <c r="J590" s="19" t="n">
        <v>0.863226262575044</v>
      </c>
      <c r="K590" s="19" t="n">
        <v>0.585590975478373</v>
      </c>
      <c r="L590" s="16" t="n">
        <v>11.9221349113978</v>
      </c>
      <c r="M590" s="19" t="n">
        <v>0.892860811956118</v>
      </c>
      <c r="N590" s="19" t="n">
        <v>0.790473545372573</v>
      </c>
      <c r="O590" s="19" t="n">
        <v>1.22095501599022</v>
      </c>
      <c r="P590" s="19" t="n">
        <v>0.510629552513466</v>
      </c>
      <c r="Q590" s="17" t="s">
        <v>31</v>
      </c>
      <c r="R590" s="5" t="str">
        <f aca="false">IF(OR(Q590="Steel plate",Q590="Concrete jacket"),"Steel plate or jacket",Q590)</f>
        <v>Polymer laminate</v>
      </c>
      <c r="S590" s="5" t="str">
        <f aca="false">IF(O590&lt;='Tree rules'!$C$4,IF(N590&lt;='Tree rules'!$C$5,IF(P590&lt;='Tree rules'!$C$6,"Monitor","Polymer laminate"),IF(P590&lt;='Tree rules'!$C$7,"Seal cracks","Polymer laminate")),IF(O590&lt;='Tree rules'!$C$8,IF(M590&lt;='Tree rules'!$C$9,"Steel plate or jacket","Polymer laminate"),IF(L590&lt;='Tree rules'!$C$10,"Steel plate or jacket","Polymer laminate")))</f>
        <v>Polymer laminate</v>
      </c>
      <c r="T590" s="5" t="str">
        <f aca="false">IF(S590=R590,"Yes","No")</f>
        <v>Yes</v>
      </c>
    </row>
    <row r="591" customFormat="false" ht="15" hidden="false" customHeight="false" outlineLevel="0" collapsed="false">
      <c r="A591" s="15" t="n">
        <v>1950</v>
      </c>
      <c r="B591" s="16" t="n">
        <v>4.27174793693504</v>
      </c>
      <c r="C591" s="15" t="n">
        <v>230</v>
      </c>
      <c r="D591" s="15" t="n">
        <v>350</v>
      </c>
      <c r="E591" s="15" t="n">
        <v>30</v>
      </c>
      <c r="F591" s="16" t="n">
        <v>0.862679904875916</v>
      </c>
      <c r="G591" s="17" t="s">
        <v>91</v>
      </c>
      <c r="H591" s="18" t="n">
        <v>0.2</v>
      </c>
      <c r="I591" s="18" t="n">
        <v>1</v>
      </c>
      <c r="J591" s="19" t="n">
        <v>0.851846531713684</v>
      </c>
      <c r="K591" s="19" t="n">
        <v>0.468789517542982</v>
      </c>
      <c r="L591" s="16" t="n">
        <v>14.0518024241284</v>
      </c>
      <c r="M591" s="19" t="n">
        <v>0.901705024034235</v>
      </c>
      <c r="N591" s="19" t="n">
        <v>0.874895207534331</v>
      </c>
      <c r="O591" s="19" t="n">
        <v>0.851846531713684</v>
      </c>
      <c r="P591" s="19" t="n">
        <v>0.405414944283298</v>
      </c>
      <c r="Q591" s="17" t="s">
        <v>29</v>
      </c>
      <c r="R591" s="5" t="str">
        <f aca="false">IF(OR(Q591="Steel plate",Q591="Concrete jacket"),"Steel plate or jacket",Q591)</f>
        <v>Monitor</v>
      </c>
      <c r="S591" s="5" t="str">
        <f aca="false">IF(O591&lt;='Tree rules'!$C$4,IF(N591&lt;='Tree rules'!$C$5,IF(P591&lt;='Tree rules'!$C$6,"Monitor","Polymer laminate"),IF(P591&lt;='Tree rules'!$C$7,"Seal cracks","Polymer laminate")),IF(O591&lt;='Tree rules'!$C$8,IF(M591&lt;='Tree rules'!$C$9,"Steel plate or jacket","Polymer laminate"),IF(L591&lt;='Tree rules'!$C$10,"Steel plate or jacket","Polymer laminate")))</f>
        <v>Monitor</v>
      </c>
      <c r="T591" s="5" t="str">
        <f aca="false">IF(S591=R591,"Yes","No")</f>
        <v>Yes</v>
      </c>
    </row>
    <row r="592" customFormat="false" ht="15" hidden="false" customHeight="false" outlineLevel="0" collapsed="false">
      <c r="A592" s="15" t="n">
        <v>1959</v>
      </c>
      <c r="B592" s="16" t="n">
        <v>5.58240652167304</v>
      </c>
      <c r="C592" s="15" t="n">
        <v>230</v>
      </c>
      <c r="D592" s="15" t="n">
        <v>500</v>
      </c>
      <c r="E592" s="15" t="n">
        <v>25</v>
      </c>
      <c r="F592" s="16" t="n">
        <v>0.625130365852113</v>
      </c>
      <c r="G592" s="17" t="s">
        <v>90</v>
      </c>
      <c r="H592" s="18" t="n">
        <v>0.1</v>
      </c>
      <c r="I592" s="18" t="n">
        <v>1</v>
      </c>
      <c r="J592" s="19" t="n">
        <v>0.883360565223001</v>
      </c>
      <c r="K592" s="19" t="n">
        <v>0.47932530286902</v>
      </c>
      <c r="L592" s="16" t="n">
        <v>12.7743856331191</v>
      </c>
      <c r="M592" s="19" t="n">
        <v>0.900849210318629</v>
      </c>
      <c r="N592" s="19" t="n">
        <v>2.44649821556898</v>
      </c>
      <c r="O592" s="19" t="n">
        <v>0.883360565223001</v>
      </c>
      <c r="P592" s="19" t="n">
        <v>0.321361084489543</v>
      </c>
      <c r="Q592" s="17" t="s">
        <v>30</v>
      </c>
      <c r="R592" s="5" t="str">
        <f aca="false">IF(OR(Q592="Steel plate",Q592="Concrete jacket"),"Steel plate or jacket",Q592)</f>
        <v>Seal cracks</v>
      </c>
      <c r="S592" s="5" t="str">
        <f aca="false">IF(O592&lt;='Tree rules'!$C$4,IF(N592&lt;='Tree rules'!$C$5,IF(P592&lt;='Tree rules'!$C$6,"Monitor","Polymer laminate"),IF(P592&lt;='Tree rules'!$C$7,"Seal cracks","Polymer laminate")),IF(O592&lt;='Tree rules'!$C$8,IF(M592&lt;='Tree rules'!$C$9,"Steel plate or jacket","Polymer laminate"),IF(L592&lt;='Tree rules'!$C$10,"Steel plate or jacket","Polymer laminate")))</f>
        <v>Seal cracks</v>
      </c>
      <c r="T592" s="5" t="str">
        <f aca="false">IF(S592=R592,"Yes","No")</f>
        <v>Yes</v>
      </c>
    </row>
    <row r="593" customFormat="false" ht="15" hidden="false" customHeight="false" outlineLevel="0" collapsed="false">
      <c r="A593" s="15" t="n">
        <v>1965</v>
      </c>
      <c r="B593" s="16" t="n">
        <v>3.62519538051227</v>
      </c>
      <c r="C593" s="15" t="n">
        <v>230</v>
      </c>
      <c r="D593" s="15" t="n">
        <v>350</v>
      </c>
      <c r="E593" s="15" t="n">
        <v>30</v>
      </c>
      <c r="F593" s="16" t="n">
        <v>0.862679904875916</v>
      </c>
      <c r="G593" s="17" t="s">
        <v>91</v>
      </c>
      <c r="H593" s="18" t="n">
        <v>0.2</v>
      </c>
      <c r="I593" s="18" t="n">
        <v>2</v>
      </c>
      <c r="J593" s="19" t="n">
        <v>0.978407574822164</v>
      </c>
      <c r="K593" s="19" t="n">
        <v>0.520557445786987</v>
      </c>
      <c r="L593" s="16" t="n">
        <v>11.9249848043167</v>
      </c>
      <c r="M593" s="19" t="n">
        <v>0.75871770623849</v>
      </c>
      <c r="N593" s="19" t="n">
        <v>1.60221129281944</v>
      </c>
      <c r="O593" s="19" t="n">
        <v>1.44749780155626</v>
      </c>
      <c r="P593" s="19" t="n">
        <v>0.581939616564018</v>
      </c>
      <c r="Q593" s="17" t="s">
        <v>31</v>
      </c>
      <c r="R593" s="5" t="str">
        <f aca="false">IF(OR(Q593="Steel plate",Q593="Concrete jacket"),"Steel plate or jacket",Q593)</f>
        <v>Polymer laminate</v>
      </c>
      <c r="S593" s="5" t="str">
        <f aca="false">IF(O593&lt;='Tree rules'!$C$4,IF(N593&lt;='Tree rules'!$C$5,IF(P593&lt;='Tree rules'!$C$6,"Monitor","Polymer laminate"),IF(P593&lt;='Tree rules'!$C$7,"Seal cracks","Polymer laminate")),IF(O593&lt;='Tree rules'!$C$8,IF(M593&lt;='Tree rules'!$C$9,"Steel plate or jacket","Polymer laminate"),IF(L593&lt;='Tree rules'!$C$10,"Steel plate or jacket","Polymer laminate")))</f>
        <v>Steel plate or jacket</v>
      </c>
      <c r="T593" s="5" t="str">
        <f aca="false">IF(S593=R593,"Yes","No")</f>
        <v>No</v>
      </c>
    </row>
    <row r="594" customFormat="false" ht="15" hidden="false" customHeight="false" outlineLevel="0" collapsed="false">
      <c r="A594" s="15" t="n">
        <v>1967</v>
      </c>
      <c r="B594" s="16" t="n">
        <v>5.07688475295799</v>
      </c>
      <c r="C594" s="15" t="n">
        <v>300</v>
      </c>
      <c r="D594" s="15" t="n">
        <v>475</v>
      </c>
      <c r="E594" s="15" t="n">
        <v>20</v>
      </c>
      <c r="F594" s="16" t="n">
        <v>0.647542447116737</v>
      </c>
      <c r="G594" s="17" t="s">
        <v>90</v>
      </c>
      <c r="H594" s="18" t="n">
        <v>0.1</v>
      </c>
      <c r="I594" s="18" t="n">
        <v>1</v>
      </c>
      <c r="J594" s="19" t="n">
        <v>0.917088711523348</v>
      </c>
      <c r="K594" s="19" t="n">
        <v>0.451147652188567</v>
      </c>
      <c r="L594" s="16" t="n">
        <v>12.263006649657</v>
      </c>
      <c r="M594" s="19" t="n">
        <v>0.853484028023655</v>
      </c>
      <c r="N594" s="19" t="n">
        <v>2.2646446600331</v>
      </c>
      <c r="O594" s="19" t="n">
        <v>0.917088711523348</v>
      </c>
      <c r="P594" s="19" t="n">
        <v>0.360473511853024</v>
      </c>
      <c r="Q594" s="17" t="s">
        <v>30</v>
      </c>
      <c r="R594" s="5" t="str">
        <f aca="false">IF(OR(Q594="Steel plate",Q594="Concrete jacket"),"Steel plate or jacket",Q594)</f>
        <v>Seal cracks</v>
      </c>
      <c r="S594" s="5" t="str">
        <f aca="false">IF(O594&lt;='Tree rules'!$C$4,IF(N594&lt;='Tree rules'!$C$5,IF(P594&lt;='Tree rules'!$C$6,"Monitor","Polymer laminate"),IF(P594&lt;='Tree rules'!$C$7,"Seal cracks","Polymer laminate")),IF(O594&lt;='Tree rules'!$C$8,IF(M594&lt;='Tree rules'!$C$9,"Steel plate or jacket","Polymer laminate"),IF(L594&lt;='Tree rules'!$C$10,"Steel plate or jacket","Polymer laminate")))</f>
        <v>Seal cracks</v>
      </c>
      <c r="T594" s="5" t="str">
        <f aca="false">IF(S594=R594,"Yes","No")</f>
        <v>Yes</v>
      </c>
    </row>
    <row r="595" customFormat="false" ht="15" hidden="false" customHeight="false" outlineLevel="0" collapsed="false">
      <c r="A595" s="15" t="n">
        <v>1969</v>
      </c>
      <c r="B595" s="16" t="n">
        <v>4.39539685958218</v>
      </c>
      <c r="C595" s="15" t="n">
        <v>230</v>
      </c>
      <c r="D595" s="15" t="n">
        <v>375</v>
      </c>
      <c r="E595" s="15" t="n">
        <v>30</v>
      </c>
      <c r="F595" s="16" t="n">
        <v>0.594232683721175</v>
      </c>
      <c r="G595" s="17" t="s">
        <v>91</v>
      </c>
      <c r="H595" s="18" t="n">
        <v>0.2</v>
      </c>
      <c r="I595" s="18" t="n">
        <v>1</v>
      </c>
      <c r="J595" s="19" t="n">
        <v>0.962239735892536</v>
      </c>
      <c r="K595" s="19" t="n">
        <v>0.484570462464045</v>
      </c>
      <c r="L595" s="16" t="n">
        <v>13.2791445908827</v>
      </c>
      <c r="M595" s="19" t="n">
        <v>0.413958478852264</v>
      </c>
      <c r="N595" s="19" t="n">
        <v>0.98739133343612</v>
      </c>
      <c r="O595" s="19" t="n">
        <v>0.962239735892536</v>
      </c>
      <c r="P595" s="19" t="n">
        <v>0.665518727020171</v>
      </c>
      <c r="Q595" s="17" t="s">
        <v>29</v>
      </c>
      <c r="R595" s="5" t="str">
        <f aca="false">IF(OR(Q595="Steel plate",Q595="Concrete jacket"),"Steel plate or jacket",Q595)</f>
        <v>Monitor</v>
      </c>
      <c r="S595" s="5" t="str">
        <f aca="false">IF(O595&lt;='Tree rules'!$C$4,IF(N595&lt;='Tree rules'!$C$5,IF(P595&lt;='Tree rules'!$C$6,"Monitor","Polymer laminate"),IF(P595&lt;='Tree rules'!$C$7,"Seal cracks","Polymer laminate")),IF(O595&lt;='Tree rules'!$C$8,IF(M595&lt;='Tree rules'!$C$9,"Steel plate or jacket","Polymer laminate"),IF(L595&lt;='Tree rules'!$C$10,"Steel plate or jacket","Polymer laminate")))</f>
        <v>Monitor</v>
      </c>
      <c r="T595" s="5" t="str">
        <f aca="false">IF(S595=R595,"Yes","No")</f>
        <v>Yes</v>
      </c>
    </row>
    <row r="596" customFormat="false" ht="15" hidden="false" customHeight="false" outlineLevel="0" collapsed="false">
      <c r="A596" s="15" t="n">
        <v>1971</v>
      </c>
      <c r="B596" s="16" t="n">
        <v>4.80426052924709</v>
      </c>
      <c r="C596" s="15" t="n">
        <v>300</v>
      </c>
      <c r="D596" s="15" t="n">
        <v>425</v>
      </c>
      <c r="E596" s="15" t="n">
        <v>25</v>
      </c>
      <c r="F596" s="16" t="n">
        <v>0.593686800678386</v>
      </c>
      <c r="G596" s="17" t="s">
        <v>89</v>
      </c>
      <c r="H596" s="18" t="n">
        <v>0.3</v>
      </c>
      <c r="I596" s="18" t="n">
        <v>2</v>
      </c>
      <c r="J596" s="19" t="n">
        <v>0.948614697648968</v>
      </c>
      <c r="K596" s="19" t="n">
        <v>0.526804168723973</v>
      </c>
      <c r="L596" s="16" t="n">
        <v>12.6096076883126</v>
      </c>
      <c r="M596" s="19" t="n">
        <v>0.443303063815285</v>
      </c>
      <c r="N596" s="19" t="n">
        <v>0.930553341900401</v>
      </c>
      <c r="O596" s="19" t="n">
        <v>1.39749521806363</v>
      </c>
      <c r="P596" s="19" t="n">
        <v>0.84924105865789</v>
      </c>
      <c r="Q596" s="17" t="s">
        <v>31</v>
      </c>
      <c r="R596" s="5" t="str">
        <f aca="false">IF(OR(Q596="Steel plate",Q596="Concrete jacket"),"Steel plate or jacket",Q596)</f>
        <v>Polymer laminate</v>
      </c>
      <c r="S596" s="5" t="str">
        <f aca="false">IF(O596&lt;='Tree rules'!$C$4,IF(N596&lt;='Tree rules'!$C$5,IF(P596&lt;='Tree rules'!$C$6,"Monitor","Polymer laminate"),IF(P596&lt;='Tree rules'!$C$7,"Seal cracks","Polymer laminate")),IF(O596&lt;='Tree rules'!$C$8,IF(M596&lt;='Tree rules'!$C$9,"Steel plate or jacket","Polymer laminate"),IF(L596&lt;='Tree rules'!$C$10,"Steel plate or jacket","Polymer laminate")))</f>
        <v>Steel plate or jacket</v>
      </c>
      <c r="T596" s="5" t="str">
        <f aca="false">IF(S596=R596,"Yes","No")</f>
        <v>No</v>
      </c>
    </row>
    <row r="597" customFormat="false" ht="15" hidden="false" customHeight="false" outlineLevel="0" collapsed="false">
      <c r="A597" s="15" t="n">
        <v>1974</v>
      </c>
      <c r="B597" s="16" t="n">
        <v>3.87618653587822</v>
      </c>
      <c r="C597" s="15" t="n">
        <v>230</v>
      </c>
      <c r="D597" s="15" t="n">
        <v>375</v>
      </c>
      <c r="E597" s="15" t="n">
        <v>25</v>
      </c>
      <c r="F597" s="16" t="n">
        <v>0.875583236786453</v>
      </c>
      <c r="G597" s="17" t="s">
        <v>90</v>
      </c>
      <c r="H597" s="18" t="n">
        <v>0.1</v>
      </c>
      <c r="I597" s="18" t="n">
        <v>1</v>
      </c>
      <c r="J597" s="19" t="n">
        <v>0.907624050527379</v>
      </c>
      <c r="K597" s="19" t="n">
        <v>0.614286095202791</v>
      </c>
      <c r="L597" s="16" t="n">
        <v>12.4236747944815</v>
      </c>
      <c r="M597" s="19" t="n">
        <v>0.802103058764294</v>
      </c>
      <c r="N597" s="19" t="n">
        <v>2.73890384320305</v>
      </c>
      <c r="O597" s="19" t="n">
        <v>0.907624050527379</v>
      </c>
      <c r="P597" s="19" t="n">
        <v>0.448086812255993</v>
      </c>
      <c r="Q597" s="17" t="s">
        <v>30</v>
      </c>
      <c r="R597" s="5" t="str">
        <f aca="false">IF(OR(Q597="Steel plate",Q597="Concrete jacket"),"Steel plate or jacket",Q597)</f>
        <v>Seal cracks</v>
      </c>
      <c r="S597" s="5" t="str">
        <f aca="false">IF(O597&lt;='Tree rules'!$C$4,IF(N597&lt;='Tree rules'!$C$5,IF(P597&lt;='Tree rules'!$C$6,"Monitor","Polymer laminate"),IF(P597&lt;='Tree rules'!$C$7,"Seal cracks","Polymer laminate")),IF(O597&lt;='Tree rules'!$C$8,IF(M597&lt;='Tree rules'!$C$9,"Steel plate or jacket","Polymer laminate"),IF(L597&lt;='Tree rules'!$C$10,"Steel plate or jacket","Polymer laminate")))</f>
        <v>Seal cracks</v>
      </c>
      <c r="T597" s="5" t="str">
        <f aca="false">IF(S597=R597,"Yes","No")</f>
        <v>Yes</v>
      </c>
    </row>
    <row r="598" customFormat="false" ht="15" hidden="false" customHeight="false" outlineLevel="0" collapsed="false">
      <c r="A598" s="15" t="n">
        <v>1975</v>
      </c>
      <c r="B598" s="16" t="n">
        <v>6.0790322304872</v>
      </c>
      <c r="C598" s="15" t="n">
        <v>300</v>
      </c>
      <c r="D598" s="15" t="n">
        <v>600</v>
      </c>
      <c r="E598" s="15" t="n">
        <v>20</v>
      </c>
      <c r="F598" s="16" t="n">
        <v>0.758838805214926</v>
      </c>
      <c r="G598" s="17" t="s">
        <v>89</v>
      </c>
      <c r="H598" s="18" t="n">
        <v>0.3</v>
      </c>
      <c r="I598" s="18" t="n">
        <v>2</v>
      </c>
      <c r="J598" s="19" t="n">
        <v>0.851129290411947</v>
      </c>
      <c r="K598" s="19" t="n">
        <v>0.503081038547113</v>
      </c>
      <c r="L598" s="16" t="n">
        <v>11.0127395479841</v>
      </c>
      <c r="M598" s="19" t="n">
        <v>0.933047188918724</v>
      </c>
      <c r="N598" s="19" t="n">
        <v>0.821454612801176</v>
      </c>
      <c r="O598" s="19" t="n">
        <v>1.27407157346558</v>
      </c>
      <c r="P598" s="19" t="n">
        <v>0.466815687829915</v>
      </c>
      <c r="Q598" s="17" t="s">
        <v>92</v>
      </c>
      <c r="R598" s="5" t="str">
        <f aca="false">IF(OR(Q598="Steel plate",Q598="Concrete jacket"),"Steel plate or jacket",Q598)</f>
        <v>Steel plate or jacket</v>
      </c>
      <c r="S598" s="5" t="str">
        <f aca="false">IF(O598&lt;='Tree rules'!$C$4,IF(N598&lt;='Tree rules'!$C$5,IF(P598&lt;='Tree rules'!$C$6,"Monitor","Polymer laminate"),IF(P598&lt;='Tree rules'!$C$7,"Seal cracks","Polymer laminate")),IF(O598&lt;='Tree rules'!$C$8,IF(M598&lt;='Tree rules'!$C$9,"Steel plate or jacket","Polymer laminate"),IF(L598&lt;='Tree rules'!$C$10,"Steel plate or jacket","Polymer laminate")))</f>
        <v>Polymer laminate</v>
      </c>
      <c r="T598" s="5" t="str">
        <f aca="false">IF(S598=R598,"Yes","No")</f>
        <v>No</v>
      </c>
    </row>
    <row r="599" customFormat="false" ht="15" hidden="false" customHeight="false" outlineLevel="0" collapsed="false">
      <c r="A599" s="15" t="n">
        <v>1977</v>
      </c>
      <c r="B599" s="16" t="n">
        <v>3.13829163730974</v>
      </c>
      <c r="C599" s="15" t="n">
        <v>300</v>
      </c>
      <c r="D599" s="15" t="n">
        <v>300</v>
      </c>
      <c r="E599" s="15" t="n">
        <v>25</v>
      </c>
      <c r="F599" s="16" t="n">
        <v>0.736310778185108</v>
      </c>
      <c r="G599" s="17" t="s">
        <v>91</v>
      </c>
      <c r="H599" s="18" t="n">
        <v>0.2</v>
      </c>
      <c r="I599" s="18" t="n">
        <v>1</v>
      </c>
      <c r="J599" s="19" t="n">
        <v>0.886701865681133</v>
      </c>
      <c r="K599" s="19" t="n">
        <v>0.470177360675726</v>
      </c>
      <c r="L599" s="16" t="n">
        <v>12.2589517082412</v>
      </c>
      <c r="M599" s="19" t="n">
        <v>0.898545774681464</v>
      </c>
      <c r="N599" s="19" t="n">
        <v>0.839895314611621</v>
      </c>
      <c r="O599" s="19" t="n">
        <v>0.886701865681133</v>
      </c>
      <c r="P599" s="19" t="n">
        <v>0.326487116958125</v>
      </c>
      <c r="Q599" s="17" t="s">
        <v>29</v>
      </c>
      <c r="R599" s="5" t="str">
        <f aca="false">IF(OR(Q599="Steel plate",Q599="Concrete jacket"),"Steel plate or jacket",Q599)</f>
        <v>Monitor</v>
      </c>
      <c r="S599" s="5" t="str">
        <f aca="false">IF(O599&lt;='Tree rules'!$C$4,IF(N599&lt;='Tree rules'!$C$5,IF(P599&lt;='Tree rules'!$C$6,"Monitor","Polymer laminate"),IF(P599&lt;='Tree rules'!$C$7,"Seal cracks","Polymer laminate")),IF(O599&lt;='Tree rules'!$C$8,IF(M599&lt;='Tree rules'!$C$9,"Steel plate or jacket","Polymer laminate"),IF(L599&lt;='Tree rules'!$C$10,"Steel plate or jacket","Polymer laminate")))</f>
        <v>Monitor</v>
      </c>
      <c r="T599" s="5" t="str">
        <f aca="false">IF(S599=R599,"Yes","No")</f>
        <v>Yes</v>
      </c>
    </row>
    <row r="600" customFormat="false" ht="15" hidden="false" customHeight="false" outlineLevel="0" collapsed="false">
      <c r="A600" s="15" t="n">
        <v>1980</v>
      </c>
      <c r="B600" s="16" t="n">
        <v>3.75649571587727</v>
      </c>
      <c r="C600" s="15" t="n">
        <v>230</v>
      </c>
      <c r="D600" s="15" t="n">
        <v>375</v>
      </c>
      <c r="E600" s="15" t="n">
        <v>25</v>
      </c>
      <c r="F600" s="16" t="n">
        <v>0.797126720614828</v>
      </c>
      <c r="G600" s="17" t="s">
        <v>91</v>
      </c>
      <c r="H600" s="18" t="n">
        <v>0.2</v>
      </c>
      <c r="I600" s="18" t="n">
        <v>2</v>
      </c>
      <c r="J600" s="19" t="n">
        <v>0.859014441737769</v>
      </c>
      <c r="K600" s="19" t="n">
        <v>0.497725055533929</v>
      </c>
      <c r="L600" s="16" t="n">
        <v>11.4179201090495</v>
      </c>
      <c r="M600" s="19" t="n">
        <v>0.783192220644116</v>
      </c>
      <c r="N600" s="19" t="n">
        <v>1.38804913981368</v>
      </c>
      <c r="O600" s="19" t="n">
        <v>1.29047587275716</v>
      </c>
      <c r="P600" s="19" t="n">
        <v>0.490020655226805</v>
      </c>
      <c r="Q600" s="17" t="s">
        <v>31</v>
      </c>
      <c r="R600" s="5" t="str">
        <f aca="false">IF(OR(Q600="Steel plate",Q600="Concrete jacket"),"Steel plate or jacket",Q600)</f>
        <v>Polymer laminate</v>
      </c>
      <c r="S600" s="5" t="str">
        <f aca="false">IF(O600&lt;='Tree rules'!$C$4,IF(N600&lt;='Tree rules'!$C$5,IF(P600&lt;='Tree rules'!$C$6,"Monitor","Polymer laminate"),IF(P600&lt;='Tree rules'!$C$7,"Seal cracks","Polymer laminate")),IF(O600&lt;='Tree rules'!$C$8,IF(M600&lt;='Tree rules'!$C$9,"Steel plate or jacket","Polymer laminate"),IF(L600&lt;='Tree rules'!$C$10,"Steel plate or jacket","Polymer laminate")))</f>
        <v>Polymer laminate</v>
      </c>
      <c r="T600" s="5" t="str">
        <f aca="false">IF(S600=R600,"Yes","No")</f>
        <v>Yes</v>
      </c>
    </row>
    <row r="601" customFormat="false" ht="15" hidden="false" customHeight="false" outlineLevel="0" collapsed="false">
      <c r="A601" s="15" t="n">
        <v>1983</v>
      </c>
      <c r="B601" s="16" t="n">
        <v>4.78081338183014</v>
      </c>
      <c r="C601" s="15" t="n">
        <v>300</v>
      </c>
      <c r="D601" s="15" t="n">
        <v>375</v>
      </c>
      <c r="E601" s="15" t="n">
        <v>25</v>
      </c>
      <c r="F601" s="16" t="n">
        <v>0.640324617292187</v>
      </c>
      <c r="G601" s="17" t="s">
        <v>90</v>
      </c>
      <c r="H601" s="18" t="n">
        <v>0.1</v>
      </c>
      <c r="I601" s="18" t="n">
        <v>2</v>
      </c>
      <c r="J601" s="19" t="n">
        <v>0.879208188491117</v>
      </c>
      <c r="K601" s="19" t="n">
        <v>0.619438131025741</v>
      </c>
      <c r="L601" s="16" t="n">
        <v>15.2255203242998</v>
      </c>
      <c r="M601" s="19" t="n">
        <v>0.552971330303952</v>
      </c>
      <c r="N601" s="19" t="n">
        <v>3.72211862706099</v>
      </c>
      <c r="O601" s="19" t="n">
        <v>1.21380129992077</v>
      </c>
      <c r="P601" s="19" t="n">
        <v>0.697011481902518</v>
      </c>
      <c r="Q601" s="17" t="s">
        <v>31</v>
      </c>
      <c r="R601" s="5" t="str">
        <f aca="false">IF(OR(Q601="Steel plate",Q601="Concrete jacket"),"Steel plate or jacket",Q601)</f>
        <v>Polymer laminate</v>
      </c>
      <c r="S601" s="5" t="str">
        <f aca="false">IF(O601&lt;='Tree rules'!$C$4,IF(N601&lt;='Tree rules'!$C$5,IF(P601&lt;='Tree rules'!$C$6,"Monitor","Polymer laminate"),IF(P601&lt;='Tree rules'!$C$7,"Seal cracks","Polymer laminate")),IF(O601&lt;='Tree rules'!$C$8,IF(M601&lt;='Tree rules'!$C$9,"Steel plate or jacket","Polymer laminate"),IF(L601&lt;='Tree rules'!$C$10,"Steel plate or jacket","Polymer laminate")))</f>
        <v>Polymer laminate</v>
      </c>
      <c r="T601" s="5" t="str">
        <f aca="false">IF(S601=R601,"Yes","No")</f>
        <v>Yes</v>
      </c>
    </row>
    <row r="602" customFormat="false" ht="15" hidden="false" customHeight="false" outlineLevel="0" collapsed="false">
      <c r="A602" s="15" t="n">
        <v>1984</v>
      </c>
      <c r="B602" s="16" t="n">
        <v>7.07009250096793</v>
      </c>
      <c r="C602" s="15" t="n">
        <v>230</v>
      </c>
      <c r="D602" s="15" t="n">
        <v>625</v>
      </c>
      <c r="E602" s="15" t="n">
        <v>25</v>
      </c>
      <c r="F602" s="16" t="n">
        <v>0.710178431223674</v>
      </c>
      <c r="G602" s="17" t="s">
        <v>91</v>
      </c>
      <c r="H602" s="18" t="n">
        <v>0.2</v>
      </c>
      <c r="I602" s="18" t="n">
        <v>1</v>
      </c>
      <c r="J602" s="19" t="n">
        <v>0.931170294107517</v>
      </c>
      <c r="K602" s="19" t="n">
        <v>0.482438613949461</v>
      </c>
      <c r="L602" s="16" t="n">
        <v>12.2531932425787</v>
      </c>
      <c r="M602" s="19" t="n">
        <v>0.581048646184809</v>
      </c>
      <c r="N602" s="19" t="n">
        <v>0.966171115220689</v>
      </c>
      <c r="O602" s="19" t="n">
        <v>0.931170294107517</v>
      </c>
      <c r="P602" s="19" t="n">
        <v>0.616528307676292</v>
      </c>
      <c r="Q602" s="17" t="s">
        <v>29</v>
      </c>
      <c r="R602" s="5" t="str">
        <f aca="false">IF(OR(Q602="Steel plate",Q602="Concrete jacket"),"Steel plate or jacket",Q602)</f>
        <v>Monitor</v>
      </c>
      <c r="S602" s="5" t="str">
        <f aca="false">IF(O602&lt;='Tree rules'!$C$4,IF(N602&lt;='Tree rules'!$C$5,IF(P602&lt;='Tree rules'!$C$6,"Monitor","Polymer laminate"),IF(P602&lt;='Tree rules'!$C$7,"Seal cracks","Polymer laminate")),IF(O602&lt;='Tree rules'!$C$8,IF(M602&lt;='Tree rules'!$C$9,"Steel plate or jacket","Polymer laminate"),IF(L602&lt;='Tree rules'!$C$10,"Steel plate or jacket","Polymer laminate")))</f>
        <v>Monitor</v>
      </c>
      <c r="T602" s="5" t="str">
        <f aca="false">IF(S602=R602,"Yes","No")</f>
        <v>Yes</v>
      </c>
    </row>
    <row r="603" customFormat="false" ht="15" hidden="false" customHeight="false" outlineLevel="0" collapsed="false">
      <c r="A603" s="15" t="n">
        <v>1993</v>
      </c>
      <c r="B603" s="16" t="n">
        <v>4.59892096093128</v>
      </c>
      <c r="C603" s="15" t="n">
        <v>230</v>
      </c>
      <c r="D603" s="15" t="n">
        <v>450</v>
      </c>
      <c r="E603" s="15" t="n">
        <v>30</v>
      </c>
      <c r="F603" s="16" t="n">
        <v>0.679557138998441</v>
      </c>
      <c r="G603" s="17" t="s">
        <v>89</v>
      </c>
      <c r="H603" s="18" t="n">
        <v>0.3</v>
      </c>
      <c r="I603" s="18" t="n">
        <v>2</v>
      </c>
      <c r="J603" s="19" t="n">
        <v>0.877559490701549</v>
      </c>
      <c r="K603" s="19" t="n">
        <v>0.513511579544928</v>
      </c>
      <c r="L603" s="16" t="n">
        <v>11.4401018928639</v>
      </c>
      <c r="M603" s="19" t="n">
        <v>0.914631403322905</v>
      </c>
      <c r="N603" s="19" t="n">
        <v>1.1831907631479</v>
      </c>
      <c r="O603" s="19" t="n">
        <v>1.3044820211883</v>
      </c>
      <c r="P603" s="19" t="n">
        <v>0.380848635128904</v>
      </c>
      <c r="Q603" s="17" t="s">
        <v>31</v>
      </c>
      <c r="R603" s="5" t="str">
        <f aca="false">IF(OR(Q603="Steel plate",Q603="Concrete jacket"),"Steel plate or jacket",Q603)</f>
        <v>Polymer laminate</v>
      </c>
      <c r="S603" s="5" t="str">
        <f aca="false">IF(O603&lt;='Tree rules'!$C$4,IF(N603&lt;='Tree rules'!$C$5,IF(P603&lt;='Tree rules'!$C$6,"Monitor","Polymer laminate"),IF(P603&lt;='Tree rules'!$C$7,"Seal cracks","Polymer laminate")),IF(O603&lt;='Tree rules'!$C$8,IF(M603&lt;='Tree rules'!$C$9,"Steel plate or jacket","Polymer laminate"),IF(L603&lt;='Tree rules'!$C$10,"Steel plate or jacket","Polymer laminate")))</f>
        <v>Steel plate or jacket</v>
      </c>
      <c r="T603" s="5" t="str">
        <f aca="false">IF(S603=R603,"Yes","No")</f>
        <v>No</v>
      </c>
    </row>
    <row r="604" customFormat="false" ht="15" hidden="false" customHeight="false" outlineLevel="0" collapsed="false">
      <c r="A604" s="15" t="n">
        <v>1999</v>
      </c>
      <c r="B604" s="16" t="n">
        <v>7.59227626477719</v>
      </c>
      <c r="C604" s="15" t="n">
        <v>300</v>
      </c>
      <c r="D604" s="15" t="n">
        <v>650</v>
      </c>
      <c r="E604" s="15" t="n">
        <v>30</v>
      </c>
      <c r="F604" s="16" t="n">
        <v>0.695812326376477</v>
      </c>
      <c r="G604" s="17" t="s">
        <v>89</v>
      </c>
      <c r="H604" s="18" t="n">
        <v>0.3</v>
      </c>
      <c r="I604" s="18" t="n">
        <v>2</v>
      </c>
      <c r="J604" s="19" t="n">
        <v>0.880341044435317</v>
      </c>
      <c r="K604" s="19" t="n">
        <v>0.431846207149593</v>
      </c>
      <c r="L604" s="16" t="n">
        <v>12.6117545926531</v>
      </c>
      <c r="M604" s="19" t="n">
        <v>0.566644279452277</v>
      </c>
      <c r="N604" s="19" t="n">
        <v>0.986086114466757</v>
      </c>
      <c r="O604" s="19" t="n">
        <v>1.38051014783313</v>
      </c>
      <c r="P604" s="19" t="n">
        <v>0.723128876266735</v>
      </c>
      <c r="Q604" s="17" t="s">
        <v>92</v>
      </c>
      <c r="R604" s="5" t="str">
        <f aca="false">IF(OR(Q604="Steel plate",Q604="Concrete jacket"),"Steel plate or jacket",Q604)</f>
        <v>Steel plate or jacket</v>
      </c>
      <c r="S604" s="5" t="str">
        <f aca="false">IF(O604&lt;='Tree rules'!$C$4,IF(N604&lt;='Tree rules'!$C$5,IF(P604&lt;='Tree rules'!$C$6,"Monitor","Polymer laminate"),IF(P604&lt;='Tree rules'!$C$7,"Seal cracks","Polymer laminate")),IF(O604&lt;='Tree rules'!$C$8,IF(M604&lt;='Tree rules'!$C$9,"Steel plate or jacket","Polymer laminate"),IF(L604&lt;='Tree rules'!$C$10,"Steel plate or jacket","Polymer laminate")))</f>
        <v>Steel plate or jacket</v>
      </c>
      <c r="T604" s="5" t="str">
        <f aca="false">IF(S604=R604,"Yes","No")</f>
        <v>Yes</v>
      </c>
    </row>
    <row r="605" customFormat="false" ht="15" hidden="false" customHeight="false" outlineLevel="0" collapsed="false">
      <c r="A605" s="15" t="n">
        <v>2000</v>
      </c>
      <c r="B605" s="16" t="n">
        <v>4.78773932219024</v>
      </c>
      <c r="C605" s="15" t="n">
        <v>230</v>
      </c>
      <c r="D605" s="15" t="n">
        <v>425</v>
      </c>
      <c r="E605" s="15" t="n">
        <v>30</v>
      </c>
      <c r="F605" s="16" t="n">
        <v>0.724620609754306</v>
      </c>
      <c r="G605" s="17" t="s">
        <v>91</v>
      </c>
      <c r="H605" s="18" t="n">
        <v>0.2</v>
      </c>
      <c r="I605" s="18" t="n">
        <v>1.5</v>
      </c>
      <c r="J605" s="19" t="n">
        <v>0.85783371853487</v>
      </c>
      <c r="K605" s="19" t="n">
        <v>0.554436229175303</v>
      </c>
      <c r="L605" s="16" t="n">
        <v>12.6995737989131</v>
      </c>
      <c r="M605" s="19" t="n">
        <v>0.753854199441178</v>
      </c>
      <c r="N605" s="19" t="n">
        <v>1.44028217037522</v>
      </c>
      <c r="O605" s="19" t="n">
        <v>1.04894353172035</v>
      </c>
      <c r="P605" s="19" t="n">
        <v>0.469698220150026</v>
      </c>
      <c r="Q605" s="17" t="s">
        <v>31</v>
      </c>
      <c r="R605" s="5" t="str">
        <f aca="false">IF(OR(Q605="Steel plate",Q605="Concrete jacket"),"Steel plate or jacket",Q605)</f>
        <v>Polymer laminate</v>
      </c>
      <c r="S605" s="5" t="str">
        <f aca="false">IF(O605&lt;='Tree rules'!$C$4,IF(N605&lt;='Tree rules'!$C$5,IF(P605&lt;='Tree rules'!$C$6,"Monitor","Polymer laminate"),IF(P605&lt;='Tree rules'!$C$7,"Seal cracks","Polymer laminate")),IF(O605&lt;='Tree rules'!$C$8,IF(M605&lt;='Tree rules'!$C$9,"Steel plate or jacket","Polymer laminate"),IF(L605&lt;='Tree rules'!$C$10,"Steel plate or jacket","Polymer laminate")))</f>
        <v>Polymer laminate</v>
      </c>
      <c r="T605" s="5" t="str">
        <f aca="false">IF(S605=R605,"Yes","No")</f>
        <v>Yes</v>
      </c>
    </row>
    <row r="606" customFormat="false" ht="15" hidden="false" customHeight="false" outlineLevel="0" collapsed="false">
      <c r="A606" s="15" t="n">
        <v>2002</v>
      </c>
      <c r="B606" s="16" t="n">
        <v>3.05441798092426</v>
      </c>
      <c r="C606" s="15" t="n">
        <v>300</v>
      </c>
      <c r="D606" s="15" t="n">
        <v>300</v>
      </c>
      <c r="E606" s="15" t="n">
        <v>25</v>
      </c>
      <c r="F606" s="16" t="n">
        <v>0.831109167616348</v>
      </c>
      <c r="G606" s="17" t="s">
        <v>89</v>
      </c>
      <c r="H606" s="18" t="n">
        <v>0.3</v>
      </c>
      <c r="I606" s="18" t="n">
        <v>1</v>
      </c>
      <c r="J606" s="19" t="n">
        <v>0.852302877602234</v>
      </c>
      <c r="K606" s="19" t="n">
        <v>0.466375100068089</v>
      </c>
      <c r="L606" s="16" t="n">
        <v>12.120706273509</v>
      </c>
      <c r="M606" s="19" t="n">
        <v>0.446960980234409</v>
      </c>
      <c r="N606" s="19" t="n">
        <v>0.941297908096841</v>
      </c>
      <c r="O606" s="19" t="n">
        <v>0.852302877602235</v>
      </c>
      <c r="P606" s="19" t="n">
        <v>0.617250127351453</v>
      </c>
      <c r="Q606" s="17" t="s">
        <v>29</v>
      </c>
      <c r="R606" s="5" t="str">
        <f aca="false">IF(OR(Q606="Steel plate",Q606="Concrete jacket"),"Steel plate or jacket",Q606)</f>
        <v>Monitor</v>
      </c>
      <c r="S606" s="5" t="str">
        <f aca="false">IF(O606&lt;='Tree rules'!$C$4,IF(N606&lt;='Tree rules'!$C$5,IF(P606&lt;='Tree rules'!$C$6,"Monitor","Polymer laminate"),IF(P606&lt;='Tree rules'!$C$7,"Seal cracks","Polymer laminate")),IF(O606&lt;='Tree rules'!$C$8,IF(M606&lt;='Tree rules'!$C$9,"Steel plate or jacket","Polymer laminate"),IF(L606&lt;='Tree rules'!$C$10,"Steel plate or jacket","Polymer laminate")))</f>
        <v>Monitor</v>
      </c>
      <c r="T606" s="5" t="str">
        <f aca="false">IF(S606=R606,"Yes","No")</f>
        <v>Yes</v>
      </c>
    </row>
    <row r="607" customFormat="false" ht="15" hidden="false" customHeight="false" outlineLevel="0" collapsed="false">
      <c r="A607" s="15" t="n">
        <v>2006</v>
      </c>
      <c r="B607" s="16" t="n">
        <v>3.05890731568973</v>
      </c>
      <c r="C607" s="15" t="n">
        <v>300</v>
      </c>
      <c r="D607" s="15" t="n">
        <v>300</v>
      </c>
      <c r="E607" s="15" t="n">
        <v>30</v>
      </c>
      <c r="F607" s="16" t="n">
        <v>0.841263304726974</v>
      </c>
      <c r="G607" s="17" t="s">
        <v>90</v>
      </c>
      <c r="H607" s="18" t="n">
        <v>0.1</v>
      </c>
      <c r="I607" s="18" t="n">
        <v>1</v>
      </c>
      <c r="J607" s="19" t="n">
        <v>0.91644576302618</v>
      </c>
      <c r="K607" s="19" t="n">
        <v>0.467382172853725</v>
      </c>
      <c r="L607" s="16" t="n">
        <v>12.7987753794549</v>
      </c>
      <c r="M607" s="19" t="n">
        <v>0.950150261991686</v>
      </c>
      <c r="N607" s="19" t="n">
        <v>2.6572242607148</v>
      </c>
      <c r="O607" s="19" t="n">
        <v>0.91644576302618</v>
      </c>
      <c r="P607" s="19" t="n">
        <v>0.294515235392534</v>
      </c>
      <c r="Q607" s="17" t="s">
        <v>30</v>
      </c>
      <c r="R607" s="5" t="str">
        <f aca="false">IF(OR(Q607="Steel plate",Q607="Concrete jacket"),"Steel plate or jacket",Q607)</f>
        <v>Seal cracks</v>
      </c>
      <c r="S607" s="5" t="str">
        <f aca="false">IF(O607&lt;='Tree rules'!$C$4,IF(N607&lt;='Tree rules'!$C$5,IF(P607&lt;='Tree rules'!$C$6,"Monitor","Polymer laminate"),IF(P607&lt;='Tree rules'!$C$7,"Seal cracks","Polymer laminate")),IF(O607&lt;='Tree rules'!$C$8,IF(M607&lt;='Tree rules'!$C$9,"Steel plate or jacket","Polymer laminate"),IF(L607&lt;='Tree rules'!$C$10,"Steel plate or jacket","Polymer laminate")))</f>
        <v>Seal cracks</v>
      </c>
      <c r="T607" s="5" t="str">
        <f aca="false">IF(S607=R607,"Yes","No")</f>
        <v>Yes</v>
      </c>
    </row>
    <row r="608" customFormat="false" ht="15" hidden="false" customHeight="false" outlineLevel="0" collapsed="false">
      <c r="A608" s="15" t="n">
        <v>2008</v>
      </c>
      <c r="B608" s="16" t="n">
        <v>4.14563211125549</v>
      </c>
      <c r="C608" s="15" t="n">
        <v>300</v>
      </c>
      <c r="D608" s="15" t="n">
        <v>375</v>
      </c>
      <c r="E608" s="15" t="n">
        <v>30</v>
      </c>
      <c r="F608" s="16" t="n">
        <v>0.683367586279351</v>
      </c>
      <c r="G608" s="17" t="s">
        <v>91</v>
      </c>
      <c r="H608" s="18" t="n">
        <v>0.2</v>
      </c>
      <c r="I608" s="18" t="n">
        <v>2</v>
      </c>
      <c r="J608" s="19" t="n">
        <v>0.910112629759833</v>
      </c>
      <c r="K608" s="19" t="n">
        <v>0.628012643661686</v>
      </c>
      <c r="L608" s="16" t="n">
        <v>12.5245683119501</v>
      </c>
      <c r="M608" s="19" t="n">
        <v>0.452015662291156</v>
      </c>
      <c r="N608" s="19" t="n">
        <v>1.26874586701718</v>
      </c>
      <c r="O608" s="19" t="n">
        <v>1.2486630208743</v>
      </c>
      <c r="P608" s="19" t="n">
        <v>0.822347826053696</v>
      </c>
      <c r="Q608" s="17" t="s">
        <v>31</v>
      </c>
      <c r="R608" s="5" t="str">
        <f aca="false">IF(OR(Q608="Steel plate",Q608="Concrete jacket"),"Steel plate or jacket",Q608)</f>
        <v>Polymer laminate</v>
      </c>
      <c r="S608" s="5" t="str">
        <f aca="false">IF(O608&lt;='Tree rules'!$C$4,IF(N608&lt;='Tree rules'!$C$5,IF(P608&lt;='Tree rules'!$C$6,"Monitor","Polymer laminate"),IF(P608&lt;='Tree rules'!$C$7,"Seal cracks","Polymer laminate")),IF(O608&lt;='Tree rules'!$C$8,IF(M608&lt;='Tree rules'!$C$9,"Steel plate or jacket","Polymer laminate"),IF(L608&lt;='Tree rules'!$C$10,"Steel plate or jacket","Polymer laminate")))</f>
        <v>Polymer laminate</v>
      </c>
      <c r="T608" s="5" t="str">
        <f aca="false">IF(S608=R608,"Yes","No")</f>
        <v>Yes</v>
      </c>
    </row>
    <row r="609" customFormat="false" ht="15" hidden="false" customHeight="false" outlineLevel="0" collapsed="false">
      <c r="A609" s="15" t="n">
        <v>2015</v>
      </c>
      <c r="B609" s="16" t="n">
        <v>3.70564570057048</v>
      </c>
      <c r="C609" s="15" t="n">
        <v>230</v>
      </c>
      <c r="D609" s="15" t="n">
        <v>300</v>
      </c>
      <c r="E609" s="15" t="n">
        <v>30</v>
      </c>
      <c r="F609" s="16" t="n">
        <v>0.576243217710084</v>
      </c>
      <c r="G609" s="17" t="s">
        <v>91</v>
      </c>
      <c r="H609" s="18" t="n">
        <v>0.2</v>
      </c>
      <c r="I609" s="18" t="n">
        <v>1</v>
      </c>
      <c r="J609" s="19" t="n">
        <v>0.953601400010007</v>
      </c>
      <c r="K609" s="19" t="n">
        <v>0.62340834175316</v>
      </c>
      <c r="L609" s="16" t="n">
        <v>14.4751785178535</v>
      </c>
      <c r="M609" s="19" t="n">
        <v>0.940039677382101</v>
      </c>
      <c r="N609" s="19" t="n">
        <v>0.93539315854306</v>
      </c>
      <c r="O609" s="19" t="n">
        <v>0.953601400010007</v>
      </c>
      <c r="P609" s="19" t="n">
        <v>0.328598022331686</v>
      </c>
      <c r="Q609" s="17" t="s">
        <v>29</v>
      </c>
      <c r="R609" s="5" t="str">
        <f aca="false">IF(OR(Q609="Steel plate",Q609="Concrete jacket"),"Steel plate or jacket",Q609)</f>
        <v>Monitor</v>
      </c>
      <c r="S609" s="5" t="str">
        <f aca="false">IF(O609&lt;='Tree rules'!$C$4,IF(N609&lt;='Tree rules'!$C$5,IF(P609&lt;='Tree rules'!$C$6,"Monitor","Polymer laminate"),IF(P609&lt;='Tree rules'!$C$7,"Seal cracks","Polymer laminate")),IF(O609&lt;='Tree rules'!$C$8,IF(M609&lt;='Tree rules'!$C$9,"Steel plate or jacket","Polymer laminate"),IF(L609&lt;='Tree rules'!$C$10,"Steel plate or jacket","Polymer laminate")))</f>
        <v>Monitor</v>
      </c>
      <c r="T609" s="5" t="str">
        <f aca="false">IF(S609=R609,"Yes","No")</f>
        <v>Yes</v>
      </c>
    </row>
    <row r="610" customFormat="false" ht="15" hidden="false" customHeight="false" outlineLevel="0" collapsed="false">
      <c r="A610" s="15" t="n">
        <v>2019</v>
      </c>
      <c r="B610" s="16" t="n">
        <v>5.98097143039305</v>
      </c>
      <c r="C610" s="15" t="n">
        <v>230</v>
      </c>
      <c r="D610" s="15" t="n">
        <v>550</v>
      </c>
      <c r="E610" s="15" t="n">
        <v>20</v>
      </c>
      <c r="F610" s="16" t="n">
        <v>0.544187190990784</v>
      </c>
      <c r="G610" s="17" t="s">
        <v>89</v>
      </c>
      <c r="H610" s="18" t="n">
        <v>0.3</v>
      </c>
      <c r="I610" s="18" t="n">
        <v>1</v>
      </c>
      <c r="J610" s="19" t="n">
        <v>0.865944724405679</v>
      </c>
      <c r="K610" s="19" t="n">
        <v>0.53514431221965</v>
      </c>
      <c r="L610" s="16" t="n">
        <v>11.9142857179145</v>
      </c>
      <c r="M610" s="19" t="n">
        <v>0.501479637161443</v>
      </c>
      <c r="N610" s="19" t="n">
        <v>0.810577735787298</v>
      </c>
      <c r="O610" s="19" t="n">
        <v>0.865944724405679</v>
      </c>
      <c r="P610" s="19" t="n">
        <v>0.56567423790995</v>
      </c>
      <c r="Q610" s="17" t="s">
        <v>29</v>
      </c>
      <c r="R610" s="5" t="str">
        <f aca="false">IF(OR(Q610="Steel plate",Q610="Concrete jacket"),"Steel plate or jacket",Q610)</f>
        <v>Monitor</v>
      </c>
      <c r="S610" s="5" t="str">
        <f aca="false">IF(O610&lt;='Tree rules'!$C$4,IF(N610&lt;='Tree rules'!$C$5,IF(P610&lt;='Tree rules'!$C$6,"Monitor","Polymer laminate"),IF(P610&lt;='Tree rules'!$C$7,"Seal cracks","Polymer laminate")),IF(O610&lt;='Tree rules'!$C$8,IF(M610&lt;='Tree rules'!$C$9,"Steel plate or jacket","Polymer laminate"),IF(L610&lt;='Tree rules'!$C$10,"Steel plate or jacket","Polymer laminate")))</f>
        <v>Monitor</v>
      </c>
      <c r="T610" s="5" t="str">
        <f aca="false">IF(S610=R610,"Yes","No")</f>
        <v>Yes</v>
      </c>
    </row>
    <row r="611" customFormat="false" ht="15" hidden="false" customHeight="false" outlineLevel="0" collapsed="false">
      <c r="A611" s="15" t="n">
        <v>2021</v>
      </c>
      <c r="B611" s="16" t="n">
        <v>6.69968365519353</v>
      </c>
      <c r="C611" s="15" t="n">
        <v>300</v>
      </c>
      <c r="D611" s="15" t="n">
        <v>650</v>
      </c>
      <c r="E611" s="15" t="n">
        <v>20</v>
      </c>
      <c r="F611" s="16" t="n">
        <v>0.554806649640582</v>
      </c>
      <c r="G611" s="17" t="s">
        <v>89</v>
      </c>
      <c r="H611" s="18" t="n">
        <v>0.3</v>
      </c>
      <c r="I611" s="18" t="n">
        <v>1</v>
      </c>
      <c r="J611" s="19" t="n">
        <v>0.996921236569953</v>
      </c>
      <c r="K611" s="19" t="n">
        <v>0.600808571743579</v>
      </c>
      <c r="L611" s="16" t="n">
        <v>11.0921914821085</v>
      </c>
      <c r="M611" s="19" t="n">
        <v>0.506243874124714</v>
      </c>
      <c r="N611" s="19" t="n">
        <v>0.640383053097999</v>
      </c>
      <c r="O611" s="19" t="n">
        <v>0.996921236569953</v>
      </c>
      <c r="P611" s="19" t="n">
        <v>0.667607036563043</v>
      </c>
      <c r="Q611" s="17" t="s">
        <v>29</v>
      </c>
      <c r="R611" s="5" t="str">
        <f aca="false">IF(OR(Q611="Steel plate",Q611="Concrete jacket"),"Steel plate or jacket",Q611)</f>
        <v>Monitor</v>
      </c>
      <c r="S611" s="5" t="str">
        <f aca="false">IF(O611&lt;='Tree rules'!$C$4,IF(N611&lt;='Tree rules'!$C$5,IF(P611&lt;='Tree rules'!$C$6,"Monitor","Polymer laminate"),IF(P611&lt;='Tree rules'!$C$7,"Seal cracks","Polymer laminate")),IF(O611&lt;='Tree rules'!$C$8,IF(M611&lt;='Tree rules'!$C$9,"Steel plate or jacket","Polymer laminate"),IF(L611&lt;='Tree rules'!$C$10,"Steel plate or jacket","Polymer laminate")))</f>
        <v>Monitor</v>
      </c>
      <c r="T611" s="5" t="str">
        <f aca="false">IF(S611=R611,"Yes","No")</f>
        <v>Yes</v>
      </c>
    </row>
    <row r="612" customFormat="false" ht="15" hidden="false" customHeight="false" outlineLevel="0" collapsed="false">
      <c r="A612" s="15" t="n">
        <v>2026</v>
      </c>
      <c r="B612" s="16" t="n">
        <v>6.74646626036484</v>
      </c>
      <c r="C612" s="15" t="n">
        <v>300</v>
      </c>
      <c r="D612" s="15" t="n">
        <v>550</v>
      </c>
      <c r="E612" s="15" t="n">
        <v>30</v>
      </c>
      <c r="F612" s="16" t="n">
        <v>0.664887334093078</v>
      </c>
      <c r="G612" s="17" t="s">
        <v>91</v>
      </c>
      <c r="H612" s="18" t="n">
        <v>0.2</v>
      </c>
      <c r="I612" s="18" t="n">
        <v>1</v>
      </c>
      <c r="J612" s="19" t="n">
        <v>0.882927923593971</v>
      </c>
      <c r="K612" s="19" t="n">
        <v>0.503093017413054</v>
      </c>
      <c r="L612" s="16" t="n">
        <v>13.3858457546921</v>
      </c>
      <c r="M612" s="19" t="n">
        <v>0.783952547361228</v>
      </c>
      <c r="N612" s="19" t="n">
        <v>0.820036591675598</v>
      </c>
      <c r="O612" s="19" t="n">
        <v>0.882927923593971</v>
      </c>
      <c r="P612" s="19" t="n">
        <v>0.440346726304687</v>
      </c>
      <c r="Q612" s="17" t="s">
        <v>29</v>
      </c>
      <c r="R612" s="5" t="str">
        <f aca="false">IF(OR(Q612="Steel plate",Q612="Concrete jacket"),"Steel plate or jacket",Q612)</f>
        <v>Monitor</v>
      </c>
      <c r="S612" s="5" t="str">
        <f aca="false">IF(O612&lt;='Tree rules'!$C$4,IF(N612&lt;='Tree rules'!$C$5,IF(P612&lt;='Tree rules'!$C$6,"Monitor","Polymer laminate"),IF(P612&lt;='Tree rules'!$C$7,"Seal cracks","Polymer laminate")),IF(O612&lt;='Tree rules'!$C$8,IF(M612&lt;='Tree rules'!$C$9,"Steel plate or jacket","Polymer laminate"),IF(L612&lt;='Tree rules'!$C$10,"Steel plate or jacket","Polymer laminate")))</f>
        <v>Monitor</v>
      </c>
      <c r="T612" s="5" t="str">
        <f aca="false">IF(S612=R612,"Yes","No")</f>
        <v>Yes</v>
      </c>
    </row>
    <row r="613" customFormat="false" ht="15" hidden="false" customHeight="false" outlineLevel="0" collapsed="false">
      <c r="A613" s="15" t="n">
        <v>2034</v>
      </c>
      <c r="B613" s="16" t="n">
        <v>4.4727043812891</v>
      </c>
      <c r="C613" s="15" t="n">
        <v>230</v>
      </c>
      <c r="D613" s="15" t="n">
        <v>350</v>
      </c>
      <c r="E613" s="15" t="n">
        <v>30</v>
      </c>
      <c r="F613" s="16" t="n">
        <v>0.575119936583944</v>
      </c>
      <c r="G613" s="17" t="s">
        <v>89</v>
      </c>
      <c r="H613" s="18" t="n">
        <v>0.3</v>
      </c>
      <c r="I613" s="18" t="n">
        <v>1.5</v>
      </c>
      <c r="J613" s="19" t="n">
        <v>0.91773278330902</v>
      </c>
      <c r="K613" s="19" t="n">
        <v>0.452926670956139</v>
      </c>
      <c r="L613" s="16" t="n">
        <v>14.7128433595036</v>
      </c>
      <c r="M613" s="19" t="n">
        <v>0.896719473641814</v>
      </c>
      <c r="N613" s="19" t="n">
        <v>1.02590304593663</v>
      </c>
      <c r="O613" s="19" t="n">
        <v>1.1687663477778</v>
      </c>
      <c r="P613" s="19" t="n">
        <v>0.35835196175521</v>
      </c>
      <c r="Q613" s="17" t="s">
        <v>31</v>
      </c>
      <c r="R613" s="5" t="str">
        <f aca="false">IF(OR(Q613="Steel plate",Q613="Concrete jacket"),"Steel plate or jacket",Q613)</f>
        <v>Polymer laminate</v>
      </c>
      <c r="S613" s="5" t="str">
        <f aca="false">IF(O613&lt;='Tree rules'!$C$4,IF(N613&lt;='Tree rules'!$C$5,IF(P613&lt;='Tree rules'!$C$6,"Monitor","Polymer laminate"),IF(P613&lt;='Tree rules'!$C$7,"Seal cracks","Polymer laminate")),IF(O613&lt;='Tree rules'!$C$8,IF(M613&lt;='Tree rules'!$C$9,"Steel plate or jacket","Polymer laminate"),IF(L613&lt;='Tree rules'!$C$10,"Steel plate or jacket","Polymer laminate")))</f>
        <v>Polymer laminate</v>
      </c>
      <c r="T613" s="5" t="str">
        <f aca="false">IF(S613=R613,"Yes","No")</f>
        <v>Yes</v>
      </c>
    </row>
    <row r="614" customFormat="false" ht="15" hidden="false" customHeight="false" outlineLevel="0" collapsed="false">
      <c r="A614" s="15" t="n">
        <v>2036</v>
      </c>
      <c r="B614" s="16" t="n">
        <v>5.04788344353117</v>
      </c>
      <c r="C614" s="15" t="n">
        <v>300</v>
      </c>
      <c r="D614" s="15" t="n">
        <v>500</v>
      </c>
      <c r="E614" s="15" t="n">
        <v>25</v>
      </c>
      <c r="F614" s="16" t="n">
        <v>0.885735373699325</v>
      </c>
      <c r="G614" s="17" t="s">
        <v>91</v>
      </c>
      <c r="H614" s="18" t="n">
        <v>0.2</v>
      </c>
      <c r="I614" s="18" t="n">
        <v>2</v>
      </c>
      <c r="J614" s="19" t="n">
        <v>0.94375006664011</v>
      </c>
      <c r="K614" s="19" t="n">
        <v>0.503023075946933</v>
      </c>
      <c r="L614" s="16" t="n">
        <v>11.1186859989673</v>
      </c>
      <c r="M614" s="19" t="n">
        <v>0.940891303966778</v>
      </c>
      <c r="N614" s="19" t="n">
        <v>1.28607026845483</v>
      </c>
      <c r="O614" s="19" t="n">
        <v>1.41277207183379</v>
      </c>
      <c r="P614" s="19" t="n">
        <v>0.524630279948759</v>
      </c>
      <c r="Q614" s="17" t="s">
        <v>92</v>
      </c>
      <c r="R614" s="5" t="str">
        <f aca="false">IF(OR(Q614="Steel plate",Q614="Concrete jacket"),"Steel plate or jacket",Q614)</f>
        <v>Steel plate or jacket</v>
      </c>
      <c r="S614" s="5" t="str">
        <f aca="false">IF(O614&lt;='Tree rules'!$C$4,IF(N614&lt;='Tree rules'!$C$5,IF(P614&lt;='Tree rules'!$C$6,"Monitor","Polymer laminate"),IF(P614&lt;='Tree rules'!$C$7,"Seal cracks","Polymer laminate")),IF(O614&lt;='Tree rules'!$C$8,IF(M614&lt;='Tree rules'!$C$9,"Steel plate or jacket","Polymer laminate"),IF(L614&lt;='Tree rules'!$C$10,"Steel plate or jacket","Polymer laminate")))</f>
        <v>Steel plate or jacket</v>
      </c>
      <c r="T614" s="5" t="str">
        <f aca="false">IF(S614=R614,"Yes","No")</f>
        <v>Yes</v>
      </c>
    </row>
    <row r="615" customFormat="false" ht="15" hidden="false" customHeight="false" outlineLevel="0" collapsed="false">
      <c r="A615" s="15" t="n">
        <v>2037</v>
      </c>
      <c r="B615" s="16" t="n">
        <v>3.53923486131031</v>
      </c>
      <c r="C615" s="15" t="n">
        <v>230</v>
      </c>
      <c r="D615" s="15" t="n">
        <v>350</v>
      </c>
      <c r="E615" s="15" t="n">
        <v>25</v>
      </c>
      <c r="F615" s="16" t="n">
        <v>0.862679904875916</v>
      </c>
      <c r="G615" s="17" t="s">
        <v>91</v>
      </c>
      <c r="H615" s="18" t="n">
        <v>0.2</v>
      </c>
      <c r="I615" s="18" t="n">
        <v>1</v>
      </c>
      <c r="J615" s="19" t="n">
        <v>0.894643357716636</v>
      </c>
      <c r="K615" s="19" t="n">
        <v>0.616595467622348</v>
      </c>
      <c r="L615" s="16" t="n">
        <v>11.6422199385208</v>
      </c>
      <c r="M615" s="19" t="n">
        <v>0.725764159704381</v>
      </c>
      <c r="N615" s="19" t="n">
        <v>0.950962441031308</v>
      </c>
      <c r="O615" s="19" t="n">
        <v>0.894643357716636</v>
      </c>
      <c r="P615" s="19" t="n">
        <v>0.503733261145052</v>
      </c>
      <c r="Q615" s="17" t="s">
        <v>29</v>
      </c>
      <c r="R615" s="5" t="str">
        <f aca="false">IF(OR(Q615="Steel plate",Q615="Concrete jacket"),"Steel plate or jacket",Q615)</f>
        <v>Monitor</v>
      </c>
      <c r="S615" s="5" t="str">
        <f aca="false">IF(O615&lt;='Tree rules'!$C$4,IF(N615&lt;='Tree rules'!$C$5,IF(P615&lt;='Tree rules'!$C$6,"Monitor","Polymer laminate"),IF(P615&lt;='Tree rules'!$C$7,"Seal cracks","Polymer laminate")),IF(O615&lt;='Tree rules'!$C$8,IF(M615&lt;='Tree rules'!$C$9,"Steel plate or jacket","Polymer laminate"),IF(L615&lt;='Tree rules'!$C$10,"Steel plate or jacket","Polymer laminate")))</f>
        <v>Monitor</v>
      </c>
      <c r="T615" s="5" t="str">
        <f aca="false">IF(S615=R615,"Yes","No")</f>
        <v>Yes</v>
      </c>
    </row>
    <row r="616" customFormat="false" ht="15" hidden="false" customHeight="false" outlineLevel="0" collapsed="false">
      <c r="A616" s="15" t="n">
        <v>2039</v>
      </c>
      <c r="B616" s="16" t="n">
        <v>3.47369793235225</v>
      </c>
      <c r="C616" s="15" t="n">
        <v>300</v>
      </c>
      <c r="D616" s="15" t="n">
        <v>325</v>
      </c>
      <c r="E616" s="15" t="n">
        <v>25</v>
      </c>
      <c r="F616" s="16" t="n">
        <v>0.67080270183412</v>
      </c>
      <c r="G616" s="17" t="s">
        <v>91</v>
      </c>
      <c r="H616" s="18" t="n">
        <v>0.2</v>
      </c>
      <c r="I616" s="18" t="n">
        <v>1</v>
      </c>
      <c r="J616" s="19" t="n">
        <v>0.896369540482931</v>
      </c>
      <c r="K616" s="19" t="n">
        <v>0.439078579288933</v>
      </c>
      <c r="L616" s="16" t="n">
        <v>12.361914350008</v>
      </c>
      <c r="M616" s="19" t="n">
        <v>0.771387215811756</v>
      </c>
      <c r="N616" s="19" t="n">
        <v>0.863348675533833</v>
      </c>
      <c r="O616" s="19" t="n">
        <v>0.896369540482931</v>
      </c>
      <c r="P616" s="19" t="n">
        <v>0.356249184491927</v>
      </c>
      <c r="Q616" s="17" t="s">
        <v>29</v>
      </c>
      <c r="R616" s="5" t="str">
        <f aca="false">IF(OR(Q616="Steel plate",Q616="Concrete jacket"),"Steel plate or jacket",Q616)</f>
        <v>Monitor</v>
      </c>
      <c r="S616" s="5" t="str">
        <f aca="false">IF(O616&lt;='Tree rules'!$C$4,IF(N616&lt;='Tree rules'!$C$5,IF(P616&lt;='Tree rules'!$C$6,"Monitor","Polymer laminate"),IF(P616&lt;='Tree rules'!$C$7,"Seal cracks","Polymer laminate")),IF(O616&lt;='Tree rules'!$C$8,IF(M616&lt;='Tree rules'!$C$9,"Steel plate or jacket","Polymer laminate"),IF(L616&lt;='Tree rules'!$C$10,"Steel plate or jacket","Polymer laminate")))</f>
        <v>Monitor</v>
      </c>
      <c r="T616" s="5" t="str">
        <f aca="false">IF(S616=R616,"Yes","No")</f>
        <v>Yes</v>
      </c>
    </row>
    <row r="617" customFormat="false" ht="15" hidden="false" customHeight="false" outlineLevel="0" collapsed="false">
      <c r="A617" s="15" t="n">
        <v>2041</v>
      </c>
      <c r="B617" s="16" t="n">
        <v>5.00203623373779</v>
      </c>
      <c r="C617" s="15" t="n">
        <v>300</v>
      </c>
      <c r="D617" s="15" t="n">
        <v>500</v>
      </c>
      <c r="E617" s="15" t="n">
        <v>25</v>
      </c>
      <c r="F617" s="16" t="n">
        <v>0.695042622475618</v>
      </c>
      <c r="G617" s="17" t="s">
        <v>91</v>
      </c>
      <c r="H617" s="18" t="n">
        <v>0.2</v>
      </c>
      <c r="I617" s="18" t="n">
        <v>2</v>
      </c>
      <c r="J617" s="19" t="n">
        <v>0.92237661045263</v>
      </c>
      <c r="K617" s="19" t="n">
        <v>0.499972885677027</v>
      </c>
      <c r="L617" s="16" t="n">
        <v>11.0664518445526</v>
      </c>
      <c r="M617" s="19" t="n">
        <v>0.760320415576144</v>
      </c>
      <c r="N617" s="19" t="n">
        <v>1.68572317667635</v>
      </c>
      <c r="O617" s="19" t="n">
        <v>1.38358992529626</v>
      </c>
      <c r="P617" s="19" t="n">
        <v>0.511093156967109</v>
      </c>
      <c r="Q617" s="17" t="s">
        <v>31</v>
      </c>
      <c r="R617" s="5" t="str">
        <f aca="false">IF(OR(Q617="Steel plate",Q617="Concrete jacket"),"Steel plate or jacket",Q617)</f>
        <v>Polymer laminate</v>
      </c>
      <c r="S617" s="5" t="str">
        <f aca="false">IF(O617&lt;='Tree rules'!$C$4,IF(N617&lt;='Tree rules'!$C$5,IF(P617&lt;='Tree rules'!$C$6,"Monitor","Polymer laminate"),IF(P617&lt;='Tree rules'!$C$7,"Seal cracks","Polymer laminate")),IF(O617&lt;='Tree rules'!$C$8,IF(M617&lt;='Tree rules'!$C$9,"Steel plate or jacket","Polymer laminate"),IF(L617&lt;='Tree rules'!$C$10,"Steel plate or jacket","Polymer laminate")))</f>
        <v>Steel plate or jacket</v>
      </c>
      <c r="T617" s="5" t="str">
        <f aca="false">IF(S617=R617,"Yes","No")</f>
        <v>No</v>
      </c>
    </row>
    <row r="618" customFormat="false" ht="15" hidden="false" customHeight="false" outlineLevel="0" collapsed="false">
      <c r="A618" s="15" t="n">
        <v>2043</v>
      </c>
      <c r="B618" s="16" t="n">
        <v>6.34889910490535</v>
      </c>
      <c r="C618" s="15" t="n">
        <v>230</v>
      </c>
      <c r="D618" s="15" t="n">
        <v>625</v>
      </c>
      <c r="E618" s="15" t="n">
        <v>30</v>
      </c>
      <c r="F618" s="16" t="n">
        <v>0.710178431223674</v>
      </c>
      <c r="G618" s="17" t="s">
        <v>89</v>
      </c>
      <c r="H618" s="18" t="n">
        <v>0.3</v>
      </c>
      <c r="I618" s="18" t="n">
        <v>2</v>
      </c>
      <c r="J618" s="19" t="n">
        <v>0.977270289866774</v>
      </c>
      <c r="K618" s="19" t="n">
        <v>0.431110389970889</v>
      </c>
      <c r="L618" s="16" t="n">
        <v>11.0032913429902</v>
      </c>
      <c r="M618" s="19" t="n">
        <v>0.423928156268247</v>
      </c>
      <c r="N618" s="19" t="n">
        <v>1.1234230647467</v>
      </c>
      <c r="O618" s="19" t="n">
        <v>1.53322920396212</v>
      </c>
      <c r="P618" s="19" t="n">
        <v>0.918553107641988</v>
      </c>
      <c r="Q618" s="17" t="s">
        <v>92</v>
      </c>
      <c r="R618" s="5" t="str">
        <f aca="false">IF(OR(Q618="Steel plate",Q618="Concrete jacket"),"Steel plate or jacket",Q618)</f>
        <v>Steel plate or jacket</v>
      </c>
      <c r="S618" s="5" t="str">
        <f aca="false">IF(O618&lt;='Tree rules'!$C$4,IF(N618&lt;='Tree rules'!$C$5,IF(P618&lt;='Tree rules'!$C$6,"Monitor","Polymer laminate"),IF(P618&lt;='Tree rules'!$C$7,"Seal cracks","Polymer laminate")),IF(O618&lt;='Tree rules'!$C$8,IF(M618&lt;='Tree rules'!$C$9,"Steel plate or jacket","Polymer laminate"),IF(L618&lt;='Tree rules'!$C$10,"Steel plate or jacket","Polymer laminate")))</f>
        <v>Steel plate or jacket</v>
      </c>
      <c r="T618" s="5" t="str">
        <f aca="false">IF(S618=R618,"Yes","No")</f>
        <v>Yes</v>
      </c>
    </row>
    <row r="619" customFormat="false" ht="15" hidden="false" customHeight="false" outlineLevel="0" collapsed="false">
      <c r="A619" s="15" t="n">
        <v>2045</v>
      </c>
      <c r="B619" s="16" t="n">
        <v>4.10076969803642</v>
      </c>
      <c r="C619" s="15" t="n">
        <v>230</v>
      </c>
      <c r="D619" s="15" t="n">
        <v>400</v>
      </c>
      <c r="E619" s="15" t="n">
        <v>25</v>
      </c>
      <c r="F619" s="16" t="n">
        <v>0.810628990734046</v>
      </c>
      <c r="G619" s="17" t="s">
        <v>90</v>
      </c>
      <c r="H619" s="18" t="n">
        <v>0.1</v>
      </c>
      <c r="I619" s="18" t="n">
        <v>1</v>
      </c>
      <c r="J619" s="19" t="n">
        <v>0.958958768547954</v>
      </c>
      <c r="K619" s="19" t="n">
        <v>0.432305634544468</v>
      </c>
      <c r="L619" s="16" t="n">
        <v>12.1684560772594</v>
      </c>
      <c r="M619" s="19" t="n">
        <v>0.924660009958725</v>
      </c>
      <c r="N619" s="19" t="n">
        <v>2.80631277585906</v>
      </c>
      <c r="O619" s="19" t="n">
        <v>0.958958768547954</v>
      </c>
      <c r="P619" s="19" t="n">
        <v>0.344515526591004</v>
      </c>
      <c r="Q619" s="17" t="s">
        <v>30</v>
      </c>
      <c r="R619" s="5" t="str">
        <f aca="false">IF(OR(Q619="Steel plate",Q619="Concrete jacket"),"Steel plate or jacket",Q619)</f>
        <v>Seal cracks</v>
      </c>
      <c r="S619" s="5" t="str">
        <f aca="false">IF(O619&lt;='Tree rules'!$C$4,IF(N619&lt;='Tree rules'!$C$5,IF(P619&lt;='Tree rules'!$C$6,"Monitor","Polymer laminate"),IF(P619&lt;='Tree rules'!$C$7,"Seal cracks","Polymer laminate")),IF(O619&lt;='Tree rules'!$C$8,IF(M619&lt;='Tree rules'!$C$9,"Steel plate or jacket","Polymer laminate"),IF(L619&lt;='Tree rules'!$C$10,"Steel plate or jacket","Polymer laminate")))</f>
        <v>Seal cracks</v>
      </c>
      <c r="T619" s="5" t="str">
        <f aca="false">IF(S619=R619,"Yes","No")</f>
        <v>Yes</v>
      </c>
    </row>
    <row r="620" customFormat="false" ht="15" hidden="false" customHeight="false" outlineLevel="0" collapsed="false">
      <c r="A620" s="15" t="n">
        <v>2049</v>
      </c>
      <c r="B620" s="16" t="n">
        <v>7.31206073295775</v>
      </c>
      <c r="C620" s="15" t="n">
        <v>230</v>
      </c>
      <c r="D620" s="15" t="n">
        <v>675</v>
      </c>
      <c r="E620" s="15" t="n">
        <v>20</v>
      </c>
      <c r="F620" s="16" t="n">
        <v>0.653545382481754</v>
      </c>
      <c r="G620" s="17" t="s">
        <v>89</v>
      </c>
      <c r="H620" s="18" t="n">
        <v>0.3</v>
      </c>
      <c r="I620" s="18" t="n">
        <v>2</v>
      </c>
      <c r="J620" s="19" t="n">
        <v>0.867452411013741</v>
      </c>
      <c r="K620" s="19" t="n">
        <v>0.609873848618966</v>
      </c>
      <c r="L620" s="16" t="n">
        <v>11.661978840443</v>
      </c>
      <c r="M620" s="19" t="n">
        <v>0.384647124096849</v>
      </c>
      <c r="N620" s="19" t="n">
        <v>0.858251781378965</v>
      </c>
      <c r="O620" s="19" t="n">
        <v>1.20586828162873</v>
      </c>
      <c r="P620" s="19" t="n">
        <v>1.0797182559057</v>
      </c>
      <c r="Q620" s="17" t="s">
        <v>31</v>
      </c>
      <c r="R620" s="5" t="str">
        <f aca="false">IF(OR(Q620="Steel plate",Q620="Concrete jacket"),"Steel plate or jacket",Q620)</f>
        <v>Polymer laminate</v>
      </c>
      <c r="S620" s="5" t="str">
        <f aca="false">IF(O620&lt;='Tree rules'!$C$4,IF(N620&lt;='Tree rules'!$C$5,IF(P620&lt;='Tree rules'!$C$6,"Monitor","Polymer laminate"),IF(P620&lt;='Tree rules'!$C$7,"Seal cracks","Polymer laminate")),IF(O620&lt;='Tree rules'!$C$8,IF(M620&lt;='Tree rules'!$C$9,"Steel plate or jacket","Polymer laminate"),IF(L620&lt;='Tree rules'!$C$10,"Steel plate or jacket","Polymer laminate")))</f>
        <v>Polymer laminate</v>
      </c>
      <c r="T620" s="5" t="str">
        <f aca="false">IF(S620=R620,"Yes","No")</f>
        <v>Yes</v>
      </c>
    </row>
    <row r="621" customFormat="false" ht="15" hidden="false" customHeight="false" outlineLevel="0" collapsed="false">
      <c r="A621" s="15" t="n">
        <v>2050</v>
      </c>
      <c r="B621" s="16" t="n">
        <v>4.13618828733713</v>
      </c>
      <c r="C621" s="15" t="n">
        <v>300</v>
      </c>
      <c r="D621" s="15" t="n">
        <v>325</v>
      </c>
      <c r="E621" s="15" t="n">
        <v>30</v>
      </c>
      <c r="F621" s="16" t="n">
        <v>0.756099314943392</v>
      </c>
      <c r="G621" s="17" t="s">
        <v>91</v>
      </c>
      <c r="H621" s="18" t="n">
        <v>0.2</v>
      </c>
      <c r="I621" s="18" t="n">
        <v>2</v>
      </c>
      <c r="J621" s="19" t="n">
        <v>0.885378576978009</v>
      </c>
      <c r="K621" s="19" t="n">
        <v>0.401826458300609</v>
      </c>
      <c r="L621" s="16" t="n">
        <v>14.9320876799174</v>
      </c>
      <c r="M621" s="19" t="n">
        <v>0.823802477283003</v>
      </c>
      <c r="N621" s="19" t="n">
        <v>2.32207944966941</v>
      </c>
      <c r="O621" s="19" t="n">
        <v>1.41498861611371</v>
      </c>
      <c r="P621" s="19" t="n">
        <v>0.514882638418962</v>
      </c>
      <c r="Q621" s="17" t="s">
        <v>31</v>
      </c>
      <c r="R621" s="5" t="str">
        <f aca="false">IF(OR(Q621="Steel plate",Q621="Concrete jacket"),"Steel plate or jacket",Q621)</f>
        <v>Polymer laminate</v>
      </c>
      <c r="S621" s="5" t="str">
        <f aca="false">IF(O621&lt;='Tree rules'!$C$4,IF(N621&lt;='Tree rules'!$C$5,IF(P621&lt;='Tree rules'!$C$6,"Monitor","Polymer laminate"),IF(P621&lt;='Tree rules'!$C$7,"Seal cracks","Polymer laminate")),IF(O621&lt;='Tree rules'!$C$8,IF(M621&lt;='Tree rules'!$C$9,"Steel plate or jacket","Polymer laminate"),IF(L621&lt;='Tree rules'!$C$10,"Steel plate or jacket","Polymer laminate")))</f>
        <v>Polymer laminate</v>
      </c>
      <c r="T621" s="5" t="str">
        <f aca="false">IF(S621=R621,"Yes","No")</f>
        <v>Yes</v>
      </c>
    </row>
    <row r="622" customFormat="false" ht="15" hidden="false" customHeight="false" outlineLevel="0" collapsed="false">
      <c r="A622" s="15" t="n">
        <v>2051</v>
      </c>
      <c r="B622" s="16" t="n">
        <v>4.13928896993444</v>
      </c>
      <c r="C622" s="15" t="n">
        <v>230</v>
      </c>
      <c r="D622" s="15" t="n">
        <v>350</v>
      </c>
      <c r="E622" s="15" t="n">
        <v>20</v>
      </c>
      <c r="F622" s="16" t="n">
        <v>0.675914152273913</v>
      </c>
      <c r="G622" s="17" t="s">
        <v>90</v>
      </c>
      <c r="H622" s="18" t="n">
        <v>0.1</v>
      </c>
      <c r="I622" s="18" t="n">
        <v>1.5</v>
      </c>
      <c r="J622" s="19" t="n">
        <v>0.872830456823522</v>
      </c>
      <c r="K622" s="19" t="n">
        <v>0.615491367790686</v>
      </c>
      <c r="L622" s="16" t="n">
        <v>14.2243607214242</v>
      </c>
      <c r="M622" s="19" t="n">
        <v>0.679784531333558</v>
      </c>
      <c r="N622" s="19" t="n">
        <v>2.72535233807634</v>
      </c>
      <c r="O622" s="19" t="n">
        <v>1.04063587937544</v>
      </c>
      <c r="P622" s="19" t="n">
        <v>0.537670822228493</v>
      </c>
      <c r="Q622" s="17" t="s">
        <v>31</v>
      </c>
      <c r="R622" s="5" t="str">
        <f aca="false">IF(OR(Q622="Steel plate",Q622="Concrete jacket"),"Steel plate or jacket",Q622)</f>
        <v>Polymer laminate</v>
      </c>
      <c r="S622" s="5" t="str">
        <f aca="false">IF(O622&lt;='Tree rules'!$C$4,IF(N622&lt;='Tree rules'!$C$5,IF(P622&lt;='Tree rules'!$C$6,"Monitor","Polymer laminate"),IF(P622&lt;='Tree rules'!$C$7,"Seal cracks","Polymer laminate")),IF(O622&lt;='Tree rules'!$C$8,IF(M622&lt;='Tree rules'!$C$9,"Steel plate or jacket","Polymer laminate"),IF(L622&lt;='Tree rules'!$C$10,"Steel plate or jacket","Polymer laminate")))</f>
        <v>Polymer laminate</v>
      </c>
      <c r="T622" s="5" t="str">
        <f aca="false">IF(S622=R622,"Yes","No")</f>
        <v>Yes</v>
      </c>
    </row>
    <row r="623" customFormat="false" ht="15" hidden="false" customHeight="false" outlineLevel="0" collapsed="false">
      <c r="A623" s="15" t="n">
        <v>2053</v>
      </c>
      <c r="B623" s="16" t="n">
        <v>3.88170492803964</v>
      </c>
      <c r="C623" s="15" t="n">
        <v>300</v>
      </c>
      <c r="D623" s="15" t="n">
        <v>325</v>
      </c>
      <c r="E623" s="15" t="n">
        <v>30</v>
      </c>
      <c r="F623" s="16" t="n">
        <v>0.72065207824282</v>
      </c>
      <c r="G623" s="17" t="s">
        <v>91</v>
      </c>
      <c r="H623" s="18" t="n">
        <v>0.2</v>
      </c>
      <c r="I623" s="18" t="n">
        <v>1</v>
      </c>
      <c r="J623" s="19" t="n">
        <v>0.977280352726975</v>
      </c>
      <c r="K623" s="19" t="n">
        <v>0.478627400537122</v>
      </c>
      <c r="L623" s="16" t="n">
        <v>13.912920889031</v>
      </c>
      <c r="M623" s="19" t="n">
        <v>0.467909201813785</v>
      </c>
      <c r="N623" s="19" t="n">
        <v>1.26065624093438</v>
      </c>
      <c r="O623" s="19" t="n">
        <v>0.977280352726975</v>
      </c>
      <c r="P623" s="19" t="n">
        <v>0.691407233224246</v>
      </c>
      <c r="Q623" s="17" t="s">
        <v>30</v>
      </c>
      <c r="R623" s="5" t="str">
        <f aca="false">IF(OR(Q623="Steel plate",Q623="Concrete jacket"),"Steel plate or jacket",Q623)</f>
        <v>Seal cracks</v>
      </c>
      <c r="S623" s="5" t="str">
        <f aca="false">IF(O623&lt;='Tree rules'!$C$4,IF(N623&lt;='Tree rules'!$C$5,IF(P623&lt;='Tree rules'!$C$6,"Monitor","Polymer laminate"),IF(P623&lt;='Tree rules'!$C$7,"Seal cracks","Polymer laminate")),IF(O623&lt;='Tree rules'!$C$8,IF(M623&lt;='Tree rules'!$C$9,"Steel plate or jacket","Polymer laminate"),IF(L623&lt;='Tree rules'!$C$10,"Steel plate or jacket","Polymer laminate")))</f>
        <v>Seal cracks</v>
      </c>
      <c r="T623" s="5" t="str">
        <f aca="false">IF(S623=R623,"Yes","No")</f>
        <v>Yes</v>
      </c>
    </row>
    <row r="624" customFormat="false" ht="15" hidden="false" customHeight="false" outlineLevel="0" collapsed="false">
      <c r="A624" s="15" t="n">
        <v>2054</v>
      </c>
      <c r="B624" s="16" t="n">
        <v>4.34071744490188</v>
      </c>
      <c r="C624" s="15" t="n">
        <v>230</v>
      </c>
      <c r="D624" s="15" t="n">
        <v>375</v>
      </c>
      <c r="E624" s="15" t="n">
        <v>20</v>
      </c>
      <c r="F624" s="16" t="n">
        <v>0.594232683721175</v>
      </c>
      <c r="G624" s="17" t="s">
        <v>89</v>
      </c>
      <c r="H624" s="18" t="n">
        <v>0.3</v>
      </c>
      <c r="I624" s="18" t="n">
        <v>1</v>
      </c>
      <c r="J624" s="19" t="n">
        <v>0.932306746718565</v>
      </c>
      <c r="K624" s="19" t="n">
        <v>0.644609133851795</v>
      </c>
      <c r="L624" s="16" t="n">
        <v>13.1139499845978</v>
      </c>
      <c r="M624" s="19" t="n">
        <v>0.517434080881808</v>
      </c>
      <c r="N624" s="19" t="n">
        <v>0.614186098483227</v>
      </c>
      <c r="O624" s="19" t="n">
        <v>0.932306746718565</v>
      </c>
      <c r="P624" s="19" t="n">
        <v>0.681090638890098</v>
      </c>
      <c r="Q624" s="17" t="s">
        <v>29</v>
      </c>
      <c r="R624" s="5" t="str">
        <f aca="false">IF(OR(Q624="Steel plate",Q624="Concrete jacket"),"Steel plate or jacket",Q624)</f>
        <v>Monitor</v>
      </c>
      <c r="S624" s="5" t="str">
        <f aca="false">IF(O624&lt;='Tree rules'!$C$4,IF(N624&lt;='Tree rules'!$C$5,IF(P624&lt;='Tree rules'!$C$6,"Monitor","Polymer laminate"),IF(P624&lt;='Tree rules'!$C$7,"Seal cracks","Polymer laminate")),IF(O624&lt;='Tree rules'!$C$8,IF(M624&lt;='Tree rules'!$C$9,"Steel plate or jacket","Polymer laminate"),IF(L624&lt;='Tree rules'!$C$10,"Steel plate or jacket","Polymer laminate")))</f>
        <v>Monitor</v>
      </c>
      <c r="T624" s="5" t="str">
        <f aca="false">IF(S624=R624,"Yes","No")</f>
        <v>Yes</v>
      </c>
    </row>
    <row r="625" customFormat="false" ht="15" hidden="false" customHeight="false" outlineLevel="0" collapsed="false">
      <c r="A625" s="15" t="n">
        <v>2055</v>
      </c>
      <c r="B625" s="16" t="n">
        <v>4.72810424311794</v>
      </c>
      <c r="C625" s="15" t="n">
        <v>230</v>
      </c>
      <c r="D625" s="15" t="n">
        <v>475</v>
      </c>
      <c r="E625" s="15" t="n">
        <v>20</v>
      </c>
      <c r="F625" s="16" t="n">
        <v>0.663063033682945</v>
      </c>
      <c r="G625" s="17" t="s">
        <v>90</v>
      </c>
      <c r="H625" s="18" t="n">
        <v>0.1</v>
      </c>
      <c r="I625" s="18" t="n">
        <v>2</v>
      </c>
      <c r="J625" s="19" t="n">
        <v>0.922355862951374</v>
      </c>
      <c r="K625" s="19" t="n">
        <v>0.546419043975814</v>
      </c>
      <c r="L625" s="16" t="n">
        <v>11.4759811726164</v>
      </c>
      <c r="M625" s="19" t="n">
        <v>0.539727498763125</v>
      </c>
      <c r="N625" s="19" t="n">
        <v>4.21497416824406</v>
      </c>
      <c r="O625" s="19" t="n">
        <v>1.34071891706337</v>
      </c>
      <c r="P625" s="19" t="n">
        <v>0.677489009075629</v>
      </c>
      <c r="Q625" s="17" t="s">
        <v>31</v>
      </c>
      <c r="R625" s="5" t="str">
        <f aca="false">IF(OR(Q625="Steel plate",Q625="Concrete jacket"),"Steel plate or jacket",Q625)</f>
        <v>Polymer laminate</v>
      </c>
      <c r="S625" s="5" t="str">
        <f aca="false">IF(O625&lt;='Tree rules'!$C$4,IF(N625&lt;='Tree rules'!$C$5,IF(P625&lt;='Tree rules'!$C$6,"Monitor","Polymer laminate"),IF(P625&lt;='Tree rules'!$C$7,"Seal cracks","Polymer laminate")),IF(O625&lt;='Tree rules'!$C$8,IF(M625&lt;='Tree rules'!$C$9,"Steel plate or jacket","Polymer laminate"),IF(L625&lt;='Tree rules'!$C$10,"Steel plate or jacket","Polymer laminate")))</f>
        <v>Steel plate or jacket</v>
      </c>
      <c r="T625" s="5" t="str">
        <f aca="false">IF(S625=R625,"Yes","No")</f>
        <v>No</v>
      </c>
    </row>
    <row r="626" customFormat="false" ht="15" hidden="false" customHeight="false" outlineLevel="0" collapsed="false">
      <c r="A626" s="15" t="n">
        <v>2056</v>
      </c>
      <c r="B626" s="16" t="n">
        <v>4.64076532940249</v>
      </c>
      <c r="C626" s="15" t="n">
        <v>230</v>
      </c>
      <c r="D626" s="15" t="n">
        <v>375</v>
      </c>
      <c r="E626" s="15" t="n">
        <v>30</v>
      </c>
      <c r="F626" s="16" t="n">
        <v>0.797126720614828</v>
      </c>
      <c r="G626" s="17" t="s">
        <v>89</v>
      </c>
      <c r="H626" s="18" t="n">
        <v>0.3</v>
      </c>
      <c r="I626" s="18" t="n">
        <v>1</v>
      </c>
      <c r="J626" s="19" t="n">
        <v>0.868685413892352</v>
      </c>
      <c r="K626" s="19" t="n">
        <v>0.476070343847911</v>
      </c>
      <c r="L626" s="16" t="n">
        <v>14.1056696942325</v>
      </c>
      <c r="M626" s="19" t="n">
        <v>0.540438174506231</v>
      </c>
      <c r="N626" s="19" t="n">
        <v>0.639243211229432</v>
      </c>
      <c r="O626" s="19" t="n">
        <v>0.868685413892352</v>
      </c>
      <c r="P626" s="19" t="n">
        <v>0.633287721322562</v>
      </c>
      <c r="Q626" s="17" t="s">
        <v>29</v>
      </c>
      <c r="R626" s="5" t="str">
        <f aca="false">IF(OR(Q626="Steel plate",Q626="Concrete jacket"),"Steel plate or jacket",Q626)</f>
        <v>Monitor</v>
      </c>
      <c r="S626" s="5" t="str">
        <f aca="false">IF(O626&lt;='Tree rules'!$C$4,IF(N626&lt;='Tree rules'!$C$5,IF(P626&lt;='Tree rules'!$C$6,"Monitor","Polymer laminate"),IF(P626&lt;='Tree rules'!$C$7,"Seal cracks","Polymer laminate")),IF(O626&lt;='Tree rules'!$C$8,IF(M626&lt;='Tree rules'!$C$9,"Steel plate or jacket","Polymer laminate"),IF(L626&lt;='Tree rules'!$C$10,"Steel plate or jacket","Polymer laminate")))</f>
        <v>Monitor</v>
      </c>
      <c r="T626" s="5" t="str">
        <f aca="false">IF(S626=R626,"Yes","No")</f>
        <v>Yes</v>
      </c>
    </row>
    <row r="627" customFormat="false" ht="15" hidden="false" customHeight="false" outlineLevel="0" collapsed="false">
      <c r="A627" s="15" t="n">
        <v>2059</v>
      </c>
      <c r="B627" s="16" t="n">
        <v>4.30836577874909</v>
      </c>
      <c r="C627" s="15" t="n">
        <v>230</v>
      </c>
      <c r="D627" s="15" t="n">
        <v>425</v>
      </c>
      <c r="E627" s="15" t="n">
        <v>25</v>
      </c>
      <c r="F627" s="16" t="n">
        <v>0.691964884122107</v>
      </c>
      <c r="G627" s="17" t="s">
        <v>91</v>
      </c>
      <c r="H627" s="18" t="n">
        <v>0.2</v>
      </c>
      <c r="I627" s="18" t="n">
        <v>1</v>
      </c>
      <c r="J627" s="19" t="n">
        <v>0.908544443042918</v>
      </c>
      <c r="K627" s="19" t="n">
        <v>0.454316135647303</v>
      </c>
      <c r="L627" s="16" t="n">
        <v>11.3677197328472</v>
      </c>
      <c r="M627" s="19" t="n">
        <v>0.394107085055019</v>
      </c>
      <c r="N627" s="19" t="n">
        <v>1.0191668827747</v>
      </c>
      <c r="O627" s="19" t="n">
        <v>0.908544443042918</v>
      </c>
      <c r="P627" s="19" t="n">
        <v>0.695327091155402</v>
      </c>
      <c r="Q627" s="17" t="s">
        <v>30</v>
      </c>
      <c r="R627" s="5" t="str">
        <f aca="false">IF(OR(Q627="Steel plate",Q627="Concrete jacket"),"Steel plate or jacket",Q627)</f>
        <v>Seal cracks</v>
      </c>
      <c r="S627" s="5" t="str">
        <f aca="false">IF(O627&lt;='Tree rules'!$C$4,IF(N627&lt;='Tree rules'!$C$5,IF(P627&lt;='Tree rules'!$C$6,"Monitor","Polymer laminate"),IF(P627&lt;='Tree rules'!$C$7,"Seal cracks","Polymer laminate")),IF(O627&lt;='Tree rules'!$C$8,IF(M627&lt;='Tree rules'!$C$9,"Steel plate or jacket","Polymer laminate"),IF(L627&lt;='Tree rules'!$C$10,"Steel plate or jacket","Polymer laminate")))</f>
        <v>Seal cracks</v>
      </c>
      <c r="T627" s="5" t="str">
        <f aca="false">IF(S627=R627,"Yes","No")</f>
        <v>Yes</v>
      </c>
    </row>
    <row r="628" customFormat="false" ht="15" hidden="false" customHeight="false" outlineLevel="0" collapsed="false">
      <c r="A628" s="15" t="n">
        <v>2060</v>
      </c>
      <c r="B628" s="16" t="n">
        <v>6.13307825920392</v>
      </c>
      <c r="C628" s="15" t="n">
        <v>230</v>
      </c>
      <c r="D628" s="15" t="n">
        <v>600</v>
      </c>
      <c r="E628" s="15" t="n">
        <v>25</v>
      </c>
      <c r="F628" s="16" t="n">
        <v>0.742342309449384</v>
      </c>
      <c r="G628" s="17" t="s">
        <v>91</v>
      </c>
      <c r="H628" s="18" t="n">
        <v>0.2</v>
      </c>
      <c r="I628" s="18" t="n">
        <v>2</v>
      </c>
      <c r="J628" s="19" t="n">
        <v>0.97032105534288</v>
      </c>
      <c r="K628" s="19" t="n">
        <v>0.547057083565675</v>
      </c>
      <c r="L628" s="16" t="n">
        <v>11.110649020297</v>
      </c>
      <c r="M628" s="19" t="n">
        <v>0.341240475400582</v>
      </c>
      <c r="N628" s="19" t="n">
        <v>1.54837534691507</v>
      </c>
      <c r="O628" s="19" t="n">
        <v>1.40982110402752</v>
      </c>
      <c r="P628" s="19" t="n">
        <v>1.27045572563038</v>
      </c>
      <c r="Q628" s="17" t="s">
        <v>92</v>
      </c>
      <c r="R628" s="5" t="str">
        <f aca="false">IF(OR(Q628="Steel plate",Q628="Concrete jacket"),"Steel plate or jacket",Q628)</f>
        <v>Steel plate or jacket</v>
      </c>
      <c r="S628" s="5" t="str">
        <f aca="false">IF(O628&lt;='Tree rules'!$C$4,IF(N628&lt;='Tree rules'!$C$5,IF(P628&lt;='Tree rules'!$C$6,"Monitor","Polymer laminate"),IF(P628&lt;='Tree rules'!$C$7,"Seal cracks","Polymer laminate")),IF(O628&lt;='Tree rules'!$C$8,IF(M628&lt;='Tree rules'!$C$9,"Steel plate or jacket","Polymer laminate"),IF(L628&lt;='Tree rules'!$C$10,"Steel plate or jacket","Polymer laminate")))</f>
        <v>Steel plate or jacket</v>
      </c>
      <c r="T628" s="5" t="str">
        <f aca="false">IF(S628=R628,"Yes","No")</f>
        <v>Yes</v>
      </c>
    </row>
    <row r="629" customFormat="false" ht="15" hidden="false" customHeight="false" outlineLevel="0" collapsed="false">
      <c r="A629" s="15" t="n">
        <v>2061</v>
      </c>
      <c r="B629" s="16" t="n">
        <v>5.83188043640093</v>
      </c>
      <c r="C629" s="15" t="n">
        <v>300</v>
      </c>
      <c r="D629" s="15" t="n">
        <v>550</v>
      </c>
      <c r="E629" s="15" t="n">
        <v>25</v>
      </c>
      <c r="F629" s="16" t="n">
        <v>0.625815269639401</v>
      </c>
      <c r="G629" s="17" t="s">
        <v>89</v>
      </c>
      <c r="H629" s="18" t="n">
        <v>0.3</v>
      </c>
      <c r="I629" s="18" t="n">
        <v>2</v>
      </c>
      <c r="J629" s="19" t="n">
        <v>0.898000931948808</v>
      </c>
      <c r="K629" s="19" t="n">
        <v>0.453962482836243</v>
      </c>
      <c r="L629" s="16" t="n">
        <v>11.617291705978</v>
      </c>
      <c r="M629" s="19" t="n">
        <v>0.8341251697548</v>
      </c>
      <c r="N629" s="19" t="n">
        <v>1.10837246058166</v>
      </c>
      <c r="O629" s="19" t="n">
        <v>1.38834313124087</v>
      </c>
      <c r="P629" s="19" t="n">
        <v>0.449930781659774</v>
      </c>
      <c r="Q629" s="17" t="s">
        <v>31</v>
      </c>
      <c r="R629" s="5" t="str">
        <f aca="false">IF(OR(Q629="Steel plate",Q629="Concrete jacket"),"Steel plate or jacket",Q629)</f>
        <v>Polymer laminate</v>
      </c>
      <c r="S629" s="5" t="str">
        <f aca="false">IF(O629&lt;='Tree rules'!$C$4,IF(N629&lt;='Tree rules'!$C$5,IF(P629&lt;='Tree rules'!$C$6,"Monitor","Polymer laminate"),IF(P629&lt;='Tree rules'!$C$7,"Seal cracks","Polymer laminate")),IF(O629&lt;='Tree rules'!$C$8,IF(M629&lt;='Tree rules'!$C$9,"Steel plate or jacket","Polymer laminate"),IF(L629&lt;='Tree rules'!$C$10,"Steel plate or jacket","Polymer laminate")))</f>
        <v>Steel plate or jacket</v>
      </c>
      <c r="T629" s="5" t="str">
        <f aca="false">IF(S629=R629,"Yes","No")</f>
        <v>No</v>
      </c>
    </row>
    <row r="630" customFormat="false" ht="15" hidden="false" customHeight="false" outlineLevel="0" collapsed="false">
      <c r="A630" s="15" t="n">
        <v>2065</v>
      </c>
      <c r="B630" s="16" t="n">
        <v>5.40609699590371</v>
      </c>
      <c r="C630" s="15" t="n">
        <v>230</v>
      </c>
      <c r="D630" s="15" t="n">
        <v>425</v>
      </c>
      <c r="E630" s="15" t="n">
        <v>25</v>
      </c>
      <c r="F630" s="16" t="n">
        <v>0.754646325628103</v>
      </c>
      <c r="G630" s="17" t="s">
        <v>90</v>
      </c>
      <c r="H630" s="18" t="n">
        <v>0.1</v>
      </c>
      <c r="I630" s="18" t="n">
        <v>1</v>
      </c>
      <c r="J630" s="19" t="n">
        <v>0.873307547768461</v>
      </c>
      <c r="K630" s="19" t="n">
        <v>0.603354447239957</v>
      </c>
      <c r="L630" s="16" t="n">
        <v>14.9339696019439</v>
      </c>
      <c r="M630" s="19" t="n">
        <v>0.721906822888911</v>
      </c>
      <c r="N630" s="19" t="n">
        <v>2.62107868721489</v>
      </c>
      <c r="O630" s="19" t="n">
        <v>0.873307547768461</v>
      </c>
      <c r="P630" s="19" t="n">
        <v>0.538003621142207</v>
      </c>
      <c r="Q630" s="17" t="s">
        <v>30</v>
      </c>
      <c r="R630" s="5" t="str">
        <f aca="false">IF(OR(Q630="Steel plate",Q630="Concrete jacket"),"Steel plate or jacket",Q630)</f>
        <v>Seal cracks</v>
      </c>
      <c r="S630" s="5" t="str">
        <f aca="false">IF(O630&lt;='Tree rules'!$C$4,IF(N630&lt;='Tree rules'!$C$5,IF(P630&lt;='Tree rules'!$C$6,"Monitor","Polymer laminate"),IF(P630&lt;='Tree rules'!$C$7,"Seal cracks","Polymer laminate")),IF(O630&lt;='Tree rules'!$C$8,IF(M630&lt;='Tree rules'!$C$9,"Steel plate or jacket","Polymer laminate"),IF(L630&lt;='Tree rules'!$C$10,"Steel plate or jacket","Polymer laminate")))</f>
        <v>Seal cracks</v>
      </c>
      <c r="T630" s="5" t="str">
        <f aca="false">IF(S630=R630,"Yes","No")</f>
        <v>Yes</v>
      </c>
    </row>
    <row r="631" customFormat="false" ht="15" hidden="false" customHeight="false" outlineLevel="0" collapsed="false">
      <c r="A631" s="15" t="n">
        <v>2072</v>
      </c>
      <c r="B631" s="16" t="n">
        <v>5.67212199827496</v>
      </c>
      <c r="C631" s="15" t="n">
        <v>300</v>
      </c>
      <c r="D631" s="15" t="n">
        <v>475</v>
      </c>
      <c r="E631" s="15" t="n">
        <v>30</v>
      </c>
      <c r="F631" s="16" t="n">
        <v>0.735735984447258</v>
      </c>
      <c r="G631" s="17" t="s">
        <v>89</v>
      </c>
      <c r="H631" s="18" t="n">
        <v>0.3</v>
      </c>
      <c r="I631" s="18" t="n">
        <v>1</v>
      </c>
      <c r="J631" s="19" t="n">
        <v>0.908586764549238</v>
      </c>
      <c r="K631" s="19" t="n">
        <v>0.595999774577079</v>
      </c>
      <c r="L631" s="16" t="n">
        <v>13.2836580755854</v>
      </c>
      <c r="M631" s="19" t="n">
        <v>0.862350426538061</v>
      </c>
      <c r="N631" s="19" t="n">
        <v>0.703940095220929</v>
      </c>
      <c r="O631" s="19" t="n">
        <v>0.908586764549238</v>
      </c>
      <c r="P631" s="19" t="n">
        <v>0.455106401585538</v>
      </c>
      <c r="Q631" s="17" t="s">
        <v>29</v>
      </c>
      <c r="R631" s="5" t="str">
        <f aca="false">IF(OR(Q631="Steel plate",Q631="Concrete jacket"),"Steel plate or jacket",Q631)</f>
        <v>Monitor</v>
      </c>
      <c r="S631" s="5" t="str">
        <f aca="false">IF(O631&lt;='Tree rules'!$C$4,IF(N631&lt;='Tree rules'!$C$5,IF(P631&lt;='Tree rules'!$C$6,"Monitor","Polymer laminate"),IF(P631&lt;='Tree rules'!$C$7,"Seal cracks","Polymer laminate")),IF(O631&lt;='Tree rules'!$C$8,IF(M631&lt;='Tree rules'!$C$9,"Steel plate or jacket","Polymer laminate"),IF(L631&lt;='Tree rules'!$C$10,"Steel plate or jacket","Polymer laminate")))</f>
        <v>Monitor</v>
      </c>
      <c r="T631" s="5" t="str">
        <f aca="false">IF(S631=R631,"Yes","No")</f>
        <v>Yes</v>
      </c>
    </row>
    <row r="632" customFormat="false" ht="15" hidden="false" customHeight="false" outlineLevel="0" collapsed="false">
      <c r="A632" s="15" t="n">
        <v>2074</v>
      </c>
      <c r="B632" s="16" t="n">
        <v>4.11371714935106</v>
      </c>
      <c r="C632" s="15" t="n">
        <v>300</v>
      </c>
      <c r="D632" s="15" t="n">
        <v>375</v>
      </c>
      <c r="E632" s="15" t="n">
        <v>30</v>
      </c>
      <c r="F632" s="16" t="n">
        <v>0.814840647739602</v>
      </c>
      <c r="G632" s="17" t="s">
        <v>89</v>
      </c>
      <c r="H632" s="18" t="n">
        <v>0.3</v>
      </c>
      <c r="I632" s="18" t="n">
        <v>1</v>
      </c>
      <c r="J632" s="19" t="n">
        <v>0.947658824427523</v>
      </c>
      <c r="K632" s="19" t="n">
        <v>0.499417475293841</v>
      </c>
      <c r="L632" s="16" t="n">
        <v>12.5036995421005</v>
      </c>
      <c r="M632" s="19" t="n">
        <v>0.401316772305329</v>
      </c>
      <c r="N632" s="19" t="n">
        <v>0.718927074045993</v>
      </c>
      <c r="O632" s="19" t="n">
        <v>0.947658824427523</v>
      </c>
      <c r="P632" s="19" t="n">
        <v>0.837329237953601</v>
      </c>
      <c r="Q632" s="17" t="s">
        <v>29</v>
      </c>
      <c r="R632" s="5" t="str">
        <f aca="false">IF(OR(Q632="Steel plate",Q632="Concrete jacket"),"Steel plate or jacket",Q632)</f>
        <v>Monitor</v>
      </c>
      <c r="S632" s="5" t="str">
        <f aca="false">IF(O632&lt;='Tree rules'!$C$4,IF(N632&lt;='Tree rules'!$C$5,IF(P632&lt;='Tree rules'!$C$6,"Monitor","Polymer laminate"),IF(P632&lt;='Tree rules'!$C$7,"Seal cracks","Polymer laminate")),IF(O632&lt;='Tree rules'!$C$8,IF(M632&lt;='Tree rules'!$C$9,"Steel plate or jacket","Polymer laminate"),IF(L632&lt;='Tree rules'!$C$10,"Steel plate or jacket","Polymer laminate")))</f>
        <v>Monitor</v>
      </c>
      <c r="T632" s="5" t="str">
        <f aca="false">IF(S632=R632,"Yes","No")</f>
        <v>Yes</v>
      </c>
    </row>
    <row r="633" customFormat="false" ht="15" hidden="false" customHeight="false" outlineLevel="0" collapsed="false">
      <c r="A633" s="15" t="n">
        <v>2081</v>
      </c>
      <c r="B633" s="16" t="n">
        <v>4.30147797225285</v>
      </c>
      <c r="C633" s="15" t="n">
        <v>230</v>
      </c>
      <c r="D633" s="15" t="n">
        <v>425</v>
      </c>
      <c r="E633" s="15" t="n">
        <v>25</v>
      </c>
      <c r="F633" s="16" t="n">
        <v>0.691964884122107</v>
      </c>
      <c r="G633" s="17" t="s">
        <v>89</v>
      </c>
      <c r="H633" s="18" t="n">
        <v>0.3</v>
      </c>
      <c r="I633" s="18" t="n">
        <v>2</v>
      </c>
      <c r="J633" s="19" t="n">
        <v>0.9544335601617</v>
      </c>
      <c r="K633" s="19" t="n">
        <v>0.502297424658961</v>
      </c>
      <c r="L633" s="16" t="n">
        <v>11.349546100931</v>
      </c>
      <c r="M633" s="19" t="n">
        <v>0.955362602358837</v>
      </c>
      <c r="N633" s="19" t="n">
        <v>0.991374358292189</v>
      </c>
      <c r="O633" s="19" t="n">
        <v>1.42945760104609</v>
      </c>
      <c r="P633" s="19" t="n">
        <v>0.418678417992314</v>
      </c>
      <c r="Q633" s="17" t="s">
        <v>31</v>
      </c>
      <c r="R633" s="5" t="str">
        <f aca="false">IF(OR(Q633="Steel plate",Q633="Concrete jacket"),"Steel plate or jacket",Q633)</f>
        <v>Polymer laminate</v>
      </c>
      <c r="S633" s="5" t="str">
        <f aca="false">IF(O633&lt;='Tree rules'!$C$4,IF(N633&lt;='Tree rules'!$C$5,IF(P633&lt;='Tree rules'!$C$6,"Monitor","Polymer laminate"),IF(P633&lt;='Tree rules'!$C$7,"Seal cracks","Polymer laminate")),IF(O633&lt;='Tree rules'!$C$8,IF(M633&lt;='Tree rules'!$C$9,"Steel plate or jacket","Polymer laminate"),IF(L633&lt;='Tree rules'!$C$10,"Steel plate or jacket","Polymer laminate")))</f>
        <v>Steel plate or jacket</v>
      </c>
      <c r="T633" s="5" t="str">
        <f aca="false">IF(S633=R633,"Yes","No")</f>
        <v>No</v>
      </c>
    </row>
    <row r="634" customFormat="false" ht="15" hidden="false" customHeight="false" outlineLevel="0" collapsed="false">
      <c r="A634" s="15" t="n">
        <v>2082</v>
      </c>
      <c r="B634" s="16" t="n">
        <v>3.52639380827011</v>
      </c>
      <c r="C634" s="15" t="n">
        <v>300</v>
      </c>
      <c r="D634" s="15" t="n">
        <v>300</v>
      </c>
      <c r="E634" s="15" t="n">
        <v>30</v>
      </c>
      <c r="F634" s="16" t="n">
        <v>0.736310778185108</v>
      </c>
      <c r="G634" s="17" t="s">
        <v>91</v>
      </c>
      <c r="H634" s="18" t="n">
        <v>0.2</v>
      </c>
      <c r="I634" s="18" t="n">
        <v>1.5</v>
      </c>
      <c r="J634" s="19" t="n">
        <v>0.854239578006059</v>
      </c>
      <c r="K634" s="19" t="n">
        <v>0.643450518267605</v>
      </c>
      <c r="L634" s="16" t="n">
        <v>13.7749758135551</v>
      </c>
      <c r="M634" s="19" t="n">
        <v>0.947743743286327</v>
      </c>
      <c r="N634" s="19" t="n">
        <v>0.972603414542771</v>
      </c>
      <c r="O634" s="19" t="n">
        <v>1.00652891741274</v>
      </c>
      <c r="P634" s="19" t="n">
        <v>0.39119332172949</v>
      </c>
      <c r="Q634" s="17" t="s">
        <v>31</v>
      </c>
      <c r="R634" s="5" t="str">
        <f aca="false">IF(OR(Q634="Steel plate",Q634="Concrete jacket"),"Steel plate or jacket",Q634)</f>
        <v>Polymer laminate</v>
      </c>
      <c r="S634" s="5" t="str">
        <f aca="false">IF(O634&lt;='Tree rules'!$C$4,IF(N634&lt;='Tree rules'!$C$5,IF(P634&lt;='Tree rules'!$C$6,"Monitor","Polymer laminate"),IF(P634&lt;='Tree rules'!$C$7,"Seal cracks","Polymer laminate")),IF(O634&lt;='Tree rules'!$C$8,IF(M634&lt;='Tree rules'!$C$9,"Steel plate or jacket","Polymer laminate"),IF(L634&lt;='Tree rules'!$C$10,"Steel plate or jacket","Polymer laminate")))</f>
        <v>Polymer laminate</v>
      </c>
      <c r="T634" s="5" t="str">
        <f aca="false">IF(S634=R634,"Yes","No")</f>
        <v>Yes</v>
      </c>
    </row>
    <row r="635" customFormat="false" ht="15" hidden="false" customHeight="false" outlineLevel="0" collapsed="false">
      <c r="A635" s="15" t="n">
        <v>2083</v>
      </c>
      <c r="B635" s="16" t="n">
        <v>4.57572905309975</v>
      </c>
      <c r="C635" s="15" t="n">
        <v>230</v>
      </c>
      <c r="D635" s="15" t="n">
        <v>450</v>
      </c>
      <c r="E635" s="15" t="n">
        <v>30</v>
      </c>
      <c r="F635" s="16" t="n">
        <v>1.01933570849766</v>
      </c>
      <c r="G635" s="17" t="s">
        <v>91</v>
      </c>
      <c r="H635" s="18" t="n">
        <v>0.2</v>
      </c>
      <c r="I635" s="18" t="n">
        <v>1.5</v>
      </c>
      <c r="J635" s="19" t="n">
        <v>0.887148398034225</v>
      </c>
      <c r="K635" s="19" t="n">
        <v>0.595250078755057</v>
      </c>
      <c r="L635" s="16" t="n">
        <v>11.3824105798501</v>
      </c>
      <c r="M635" s="19" t="n">
        <v>0.492846034480753</v>
      </c>
      <c r="N635" s="19" t="n">
        <v>1.17114370629084</v>
      </c>
      <c r="O635" s="19" t="n">
        <v>1.06668502015269</v>
      </c>
      <c r="P635" s="19" t="n">
        <v>0.875663069243469</v>
      </c>
      <c r="Q635" s="17" t="s">
        <v>31</v>
      </c>
      <c r="R635" s="5" t="str">
        <f aca="false">IF(OR(Q635="Steel plate",Q635="Concrete jacket"),"Steel plate or jacket",Q635)</f>
        <v>Polymer laminate</v>
      </c>
      <c r="S635" s="5" t="str">
        <f aca="false">IF(O635&lt;='Tree rules'!$C$4,IF(N635&lt;='Tree rules'!$C$5,IF(P635&lt;='Tree rules'!$C$6,"Monitor","Polymer laminate"),IF(P635&lt;='Tree rules'!$C$7,"Seal cracks","Polymer laminate")),IF(O635&lt;='Tree rules'!$C$8,IF(M635&lt;='Tree rules'!$C$9,"Steel plate or jacket","Polymer laminate"),IF(L635&lt;='Tree rules'!$C$10,"Steel plate or jacket","Polymer laminate")))</f>
        <v>Polymer laminate</v>
      </c>
      <c r="T635" s="5" t="str">
        <f aca="false">IF(S635=R635,"Yes","No")</f>
        <v>Yes</v>
      </c>
    </row>
    <row r="636" customFormat="false" ht="15" hidden="false" customHeight="false" outlineLevel="0" collapsed="false">
      <c r="A636" s="15" t="n">
        <v>2088</v>
      </c>
      <c r="B636" s="16" t="n">
        <v>3.33942816331784</v>
      </c>
      <c r="C636" s="15" t="n">
        <v>300</v>
      </c>
      <c r="D636" s="15" t="n">
        <v>300</v>
      </c>
      <c r="E636" s="15" t="n">
        <v>30</v>
      </c>
      <c r="F636" s="16" t="n">
        <v>0.831109167616348</v>
      </c>
      <c r="G636" s="17" t="s">
        <v>89</v>
      </c>
      <c r="H636" s="18" t="n">
        <v>0.3</v>
      </c>
      <c r="I636" s="18" t="n">
        <v>2</v>
      </c>
      <c r="J636" s="19" t="n">
        <v>0.968500563380295</v>
      </c>
      <c r="K636" s="19" t="n">
        <v>0.45639535424933</v>
      </c>
      <c r="L636" s="16" t="n">
        <v>13.2516990607851</v>
      </c>
      <c r="M636" s="19" t="n">
        <v>0.587935374533869</v>
      </c>
      <c r="N636" s="19" t="n">
        <v>1.67484638420159</v>
      </c>
      <c r="O636" s="19" t="n">
        <v>1.49498196904597</v>
      </c>
      <c r="P636" s="19" t="n">
        <v>0.708780856586981</v>
      </c>
      <c r="Q636" s="17" t="s">
        <v>31</v>
      </c>
      <c r="R636" s="5" t="str">
        <f aca="false">IF(OR(Q636="Steel plate",Q636="Concrete jacket"),"Steel plate or jacket",Q636)</f>
        <v>Polymer laminate</v>
      </c>
      <c r="S636" s="5" t="str">
        <f aca="false">IF(O636&lt;='Tree rules'!$C$4,IF(N636&lt;='Tree rules'!$C$5,IF(P636&lt;='Tree rules'!$C$6,"Monitor","Polymer laminate"),IF(P636&lt;='Tree rules'!$C$7,"Seal cracks","Polymer laminate")),IF(O636&lt;='Tree rules'!$C$8,IF(M636&lt;='Tree rules'!$C$9,"Steel plate or jacket","Polymer laminate"),IF(L636&lt;='Tree rules'!$C$10,"Steel plate or jacket","Polymer laminate")))</f>
        <v>Polymer laminate</v>
      </c>
      <c r="T636" s="5" t="str">
        <f aca="false">IF(S636=R636,"Yes","No")</f>
        <v>Yes</v>
      </c>
    </row>
    <row r="637" customFormat="false" ht="15" hidden="false" customHeight="false" outlineLevel="0" collapsed="false">
      <c r="A637" s="15" t="n">
        <v>2097</v>
      </c>
      <c r="B637" s="16" t="n">
        <v>4.7891662653865</v>
      </c>
      <c r="C637" s="15" t="n">
        <v>230</v>
      </c>
      <c r="D637" s="15" t="n">
        <v>425</v>
      </c>
      <c r="E637" s="15" t="n">
        <v>25</v>
      </c>
      <c r="F637" s="16" t="n">
        <v>0.724620609754306</v>
      </c>
      <c r="G637" s="17" t="s">
        <v>91</v>
      </c>
      <c r="H637" s="18" t="n">
        <v>0.2</v>
      </c>
      <c r="I637" s="18" t="n">
        <v>1.5</v>
      </c>
      <c r="J637" s="19" t="n">
        <v>0.931905843523359</v>
      </c>
      <c r="K637" s="19" t="n">
        <v>0.577052227911875</v>
      </c>
      <c r="L637" s="16" t="n">
        <v>12.7033587941286</v>
      </c>
      <c r="M637" s="19" t="n">
        <v>0.298835050712966</v>
      </c>
      <c r="N637" s="19" t="n">
        <v>1.68231492174335</v>
      </c>
      <c r="O637" s="19" t="n">
        <v>1.12897959368041</v>
      </c>
      <c r="P637" s="19" t="n">
        <v>1.2994469523778</v>
      </c>
      <c r="Q637" s="17" t="s">
        <v>31</v>
      </c>
      <c r="R637" s="5" t="str">
        <f aca="false">IF(OR(Q637="Steel plate",Q637="Concrete jacket"),"Steel plate or jacket",Q637)</f>
        <v>Polymer laminate</v>
      </c>
      <c r="S637" s="5" t="str">
        <f aca="false">IF(O637&lt;='Tree rules'!$C$4,IF(N637&lt;='Tree rules'!$C$5,IF(P637&lt;='Tree rules'!$C$6,"Monitor","Polymer laminate"),IF(P637&lt;='Tree rules'!$C$7,"Seal cracks","Polymer laminate")),IF(O637&lt;='Tree rules'!$C$8,IF(M637&lt;='Tree rules'!$C$9,"Steel plate or jacket","Polymer laminate"),IF(L637&lt;='Tree rules'!$C$10,"Steel plate or jacket","Polymer laminate")))</f>
        <v>Polymer laminate</v>
      </c>
      <c r="T637" s="5" t="str">
        <f aca="false">IF(S637=R637,"Yes","No")</f>
        <v>Yes</v>
      </c>
    </row>
    <row r="638" customFormat="false" ht="15" hidden="false" customHeight="false" outlineLevel="0" collapsed="false">
      <c r="A638" s="15" t="n">
        <v>2101</v>
      </c>
      <c r="B638" s="16" t="n">
        <v>6.64396714061766</v>
      </c>
      <c r="C638" s="15" t="n">
        <v>300</v>
      </c>
      <c r="D638" s="15" t="n">
        <v>600</v>
      </c>
      <c r="E638" s="15" t="n">
        <v>25</v>
      </c>
      <c r="F638" s="16" t="n">
        <v>0.569129103911194</v>
      </c>
      <c r="G638" s="17" t="s">
        <v>91</v>
      </c>
      <c r="H638" s="18" t="n">
        <v>0.2</v>
      </c>
      <c r="I638" s="18" t="n">
        <v>1.5</v>
      </c>
      <c r="J638" s="19" t="n">
        <v>0.868115963037746</v>
      </c>
      <c r="K638" s="19" t="n">
        <v>0.597440769288416</v>
      </c>
      <c r="L638" s="16" t="n">
        <v>12.0361723561914</v>
      </c>
      <c r="M638" s="19" t="n">
        <v>0.384275677517271</v>
      </c>
      <c r="N638" s="19" t="n">
        <v>1.33670377524295</v>
      </c>
      <c r="O638" s="19" t="n">
        <v>1.04285001016221</v>
      </c>
      <c r="P638" s="19" t="n">
        <v>0.832381816860987</v>
      </c>
      <c r="Q638" s="17" t="s">
        <v>31</v>
      </c>
      <c r="R638" s="5" t="str">
        <f aca="false">IF(OR(Q638="Steel plate",Q638="Concrete jacket"),"Steel plate or jacket",Q638)</f>
        <v>Polymer laminate</v>
      </c>
      <c r="S638" s="5" t="str">
        <f aca="false">IF(O638&lt;='Tree rules'!$C$4,IF(N638&lt;='Tree rules'!$C$5,IF(P638&lt;='Tree rules'!$C$6,"Monitor","Polymer laminate"),IF(P638&lt;='Tree rules'!$C$7,"Seal cracks","Polymer laminate")),IF(O638&lt;='Tree rules'!$C$8,IF(M638&lt;='Tree rules'!$C$9,"Steel plate or jacket","Polymer laminate"),IF(L638&lt;='Tree rules'!$C$10,"Steel plate or jacket","Polymer laminate")))</f>
        <v>Polymer laminate</v>
      </c>
      <c r="T638" s="5" t="str">
        <f aca="false">IF(S638=R638,"Yes","No")</f>
        <v>Yes</v>
      </c>
    </row>
    <row r="639" customFormat="false" ht="15" hidden="false" customHeight="false" outlineLevel="0" collapsed="false">
      <c r="A639" s="15" t="n">
        <v>2106</v>
      </c>
      <c r="B639" s="16" t="n">
        <v>6.48107645449571</v>
      </c>
      <c r="C639" s="15" t="n">
        <v>230</v>
      </c>
      <c r="D639" s="15" t="n">
        <v>500</v>
      </c>
      <c r="E639" s="15" t="n">
        <v>25</v>
      </c>
      <c r="F639" s="16" t="n">
        <v>0.577653504586516</v>
      </c>
      <c r="G639" s="17" t="s">
        <v>91</v>
      </c>
      <c r="H639" s="18" t="n">
        <v>0.2</v>
      </c>
      <c r="I639" s="18" t="n">
        <v>1</v>
      </c>
      <c r="J639" s="19" t="n">
        <v>0.938161797057772</v>
      </c>
      <c r="K639" s="19" t="n">
        <v>0.558869249179471</v>
      </c>
      <c r="L639" s="16" t="n">
        <v>14.2754987984487</v>
      </c>
      <c r="M639" s="19" t="n">
        <v>0.856097970536083</v>
      </c>
      <c r="N639" s="19" t="n">
        <v>0.91341074585069</v>
      </c>
      <c r="O639" s="19" t="n">
        <v>0.938161797057772</v>
      </c>
      <c r="P639" s="19" t="n">
        <v>0.436339074347299</v>
      </c>
      <c r="Q639" s="17" t="s">
        <v>29</v>
      </c>
      <c r="R639" s="5" t="str">
        <f aca="false">IF(OR(Q639="Steel plate",Q639="Concrete jacket"),"Steel plate or jacket",Q639)</f>
        <v>Monitor</v>
      </c>
      <c r="S639" s="5" t="str">
        <f aca="false">IF(O639&lt;='Tree rules'!$C$4,IF(N639&lt;='Tree rules'!$C$5,IF(P639&lt;='Tree rules'!$C$6,"Monitor","Polymer laminate"),IF(P639&lt;='Tree rules'!$C$7,"Seal cracks","Polymer laminate")),IF(O639&lt;='Tree rules'!$C$8,IF(M639&lt;='Tree rules'!$C$9,"Steel plate or jacket","Polymer laminate"),IF(L639&lt;='Tree rules'!$C$10,"Steel plate or jacket","Polymer laminate")))</f>
        <v>Monitor</v>
      </c>
      <c r="T639" s="5" t="str">
        <f aca="false">IF(S639=R639,"Yes","No")</f>
        <v>Yes</v>
      </c>
    </row>
    <row r="640" customFormat="false" ht="15" hidden="false" customHeight="false" outlineLevel="0" collapsed="false">
      <c r="A640" s="15" t="n">
        <v>2110</v>
      </c>
      <c r="B640" s="16" t="n">
        <v>3.08900975777997</v>
      </c>
      <c r="C640" s="15" t="n">
        <v>300</v>
      </c>
      <c r="D640" s="15" t="n">
        <v>300</v>
      </c>
      <c r="E640" s="15" t="n">
        <v>25</v>
      </c>
      <c r="F640" s="16" t="n">
        <v>0.831109167616348</v>
      </c>
      <c r="G640" s="17" t="s">
        <v>89</v>
      </c>
      <c r="H640" s="18" t="n">
        <v>0.3</v>
      </c>
      <c r="I640" s="18" t="n">
        <v>1.5</v>
      </c>
      <c r="J640" s="19" t="n">
        <v>0.946232423941746</v>
      </c>
      <c r="K640" s="19" t="n">
        <v>0.495142985510597</v>
      </c>
      <c r="L640" s="16" t="n">
        <v>12.2579752292856</v>
      </c>
      <c r="M640" s="19" t="n">
        <v>0.942984489226293</v>
      </c>
      <c r="N640" s="19" t="n">
        <v>1.21915337016284</v>
      </c>
      <c r="O640" s="19" t="n">
        <v>1.1850884622239</v>
      </c>
      <c r="P640" s="19" t="n">
        <v>0.402874393872243</v>
      </c>
      <c r="Q640" s="17" t="s">
        <v>31</v>
      </c>
      <c r="R640" s="5" t="str">
        <f aca="false">IF(OR(Q640="Steel plate",Q640="Concrete jacket"),"Steel plate or jacket",Q640)</f>
        <v>Polymer laminate</v>
      </c>
      <c r="S640" s="5" t="str">
        <f aca="false">IF(O640&lt;='Tree rules'!$C$4,IF(N640&lt;='Tree rules'!$C$5,IF(P640&lt;='Tree rules'!$C$6,"Monitor","Polymer laminate"),IF(P640&lt;='Tree rules'!$C$7,"Seal cracks","Polymer laminate")),IF(O640&lt;='Tree rules'!$C$8,IF(M640&lt;='Tree rules'!$C$9,"Steel plate or jacket","Polymer laminate"),IF(L640&lt;='Tree rules'!$C$10,"Steel plate or jacket","Polymer laminate")))</f>
        <v>Polymer laminate</v>
      </c>
      <c r="T640" s="5" t="str">
        <f aca="false">IF(S640=R640,"Yes","No")</f>
        <v>Yes</v>
      </c>
    </row>
    <row r="641" customFormat="false" ht="15" hidden="false" customHeight="false" outlineLevel="0" collapsed="false">
      <c r="A641" s="15" t="n">
        <v>2112</v>
      </c>
      <c r="B641" s="16" t="n">
        <v>3.14619570844457</v>
      </c>
      <c r="C641" s="15" t="n">
        <v>300</v>
      </c>
      <c r="D641" s="15" t="n">
        <v>300</v>
      </c>
      <c r="E641" s="15" t="n">
        <v>30</v>
      </c>
      <c r="F641" s="16" t="n">
        <v>0.589048622548086</v>
      </c>
      <c r="G641" s="17" t="s">
        <v>89</v>
      </c>
      <c r="H641" s="18" t="n">
        <v>0.3</v>
      </c>
      <c r="I641" s="18" t="n">
        <v>1.5</v>
      </c>
      <c r="J641" s="19" t="n">
        <v>0.856531230720097</v>
      </c>
      <c r="K641" s="19" t="n">
        <v>0.544004768978056</v>
      </c>
      <c r="L641" s="16" t="n">
        <v>12.2898269861116</v>
      </c>
      <c r="M641" s="19" t="n">
        <v>0.497604626821251</v>
      </c>
      <c r="N641" s="19" t="n">
        <v>0.788880370508326</v>
      </c>
      <c r="O641" s="19" t="n">
        <v>1.05181830893496</v>
      </c>
      <c r="P641" s="19" t="n">
        <v>0.492229883182162</v>
      </c>
      <c r="Q641" s="17" t="s">
        <v>31</v>
      </c>
      <c r="R641" s="5" t="str">
        <f aca="false">IF(OR(Q641="Steel plate",Q641="Concrete jacket"),"Steel plate or jacket",Q641)</f>
        <v>Polymer laminate</v>
      </c>
      <c r="S641" s="5" t="str">
        <f aca="false">IF(O641&lt;='Tree rules'!$C$4,IF(N641&lt;='Tree rules'!$C$5,IF(P641&lt;='Tree rules'!$C$6,"Monitor","Polymer laminate"),IF(P641&lt;='Tree rules'!$C$7,"Seal cracks","Polymer laminate")),IF(O641&lt;='Tree rules'!$C$8,IF(M641&lt;='Tree rules'!$C$9,"Steel plate or jacket","Polymer laminate"),IF(L641&lt;='Tree rules'!$C$10,"Steel plate or jacket","Polymer laminate")))</f>
        <v>Polymer laminate</v>
      </c>
      <c r="T641" s="5" t="str">
        <f aca="false">IF(S641=R641,"Yes","No")</f>
        <v>Yes</v>
      </c>
    </row>
    <row r="642" customFormat="false" ht="15" hidden="false" customHeight="false" outlineLevel="0" collapsed="false">
      <c r="A642" s="15" t="n">
        <v>2114</v>
      </c>
      <c r="B642" s="16" t="n">
        <v>4.44884751502332</v>
      </c>
      <c r="C642" s="15" t="n">
        <v>300</v>
      </c>
      <c r="D642" s="15" t="n">
        <v>350</v>
      </c>
      <c r="E642" s="15" t="n">
        <v>30</v>
      </c>
      <c r="F642" s="16" t="n">
        <v>0.661387927071535</v>
      </c>
      <c r="G642" s="17" t="s">
        <v>91</v>
      </c>
      <c r="H642" s="18" t="n">
        <v>0.2</v>
      </c>
      <c r="I642" s="18" t="n">
        <v>1</v>
      </c>
      <c r="J642" s="19" t="n">
        <v>0.947941931640652</v>
      </c>
      <c r="K642" s="19" t="n">
        <v>0.42721377797986</v>
      </c>
      <c r="L642" s="16" t="n">
        <v>14.6343668257346</v>
      </c>
      <c r="M642" s="19" t="n">
        <v>0.251927770572477</v>
      </c>
      <c r="N642" s="19" t="n">
        <v>1.27800981303389</v>
      </c>
      <c r="O642" s="19" t="n">
        <v>0.947941931640652</v>
      </c>
      <c r="P642" s="19" t="n">
        <v>1.16469359222846</v>
      </c>
      <c r="Q642" s="17" t="s">
        <v>31</v>
      </c>
      <c r="R642" s="5" t="str">
        <f aca="false">IF(OR(Q642="Steel plate",Q642="Concrete jacket"),"Steel plate or jacket",Q642)</f>
        <v>Polymer laminate</v>
      </c>
      <c r="S642" s="5" t="str">
        <f aca="false">IF(O642&lt;='Tree rules'!$C$4,IF(N642&lt;='Tree rules'!$C$5,IF(P642&lt;='Tree rules'!$C$6,"Monitor","Polymer laminate"),IF(P642&lt;='Tree rules'!$C$7,"Seal cracks","Polymer laminate")),IF(O642&lt;='Tree rules'!$C$8,IF(M642&lt;='Tree rules'!$C$9,"Steel plate or jacket","Polymer laminate"),IF(L642&lt;='Tree rules'!$C$10,"Steel plate or jacket","Polymer laminate")))</f>
        <v>Polymer laminate</v>
      </c>
      <c r="T642" s="5" t="str">
        <f aca="false">IF(S642=R642,"Yes","No")</f>
        <v>Yes</v>
      </c>
    </row>
    <row r="643" customFormat="false" ht="15" hidden="false" customHeight="false" outlineLevel="0" collapsed="false">
      <c r="A643" s="15" t="n">
        <v>2119</v>
      </c>
      <c r="B643" s="16" t="n">
        <v>3.17751150546301</v>
      </c>
      <c r="C643" s="15" t="n">
        <v>230</v>
      </c>
      <c r="D643" s="15" t="n">
        <v>300</v>
      </c>
      <c r="E643" s="15" t="n">
        <v>25</v>
      </c>
      <c r="F643" s="16" t="n">
        <v>0.576243217710084</v>
      </c>
      <c r="G643" s="17" t="s">
        <v>89</v>
      </c>
      <c r="H643" s="18" t="n">
        <v>0.3</v>
      </c>
      <c r="I643" s="18" t="n">
        <v>1</v>
      </c>
      <c r="J643" s="19" t="n">
        <v>0.991853199031325</v>
      </c>
      <c r="K643" s="19" t="n">
        <v>0.624096976693699</v>
      </c>
      <c r="L643" s="16" t="n">
        <v>12.4121543182149</v>
      </c>
      <c r="M643" s="19" t="n">
        <v>0.529653042387778</v>
      </c>
      <c r="N643" s="19" t="n">
        <v>0.728890924605087</v>
      </c>
      <c r="O643" s="19" t="n">
        <v>0.991853199031325</v>
      </c>
      <c r="P643" s="19" t="n">
        <v>0.529426968359485</v>
      </c>
      <c r="Q643" s="17" t="s">
        <v>29</v>
      </c>
      <c r="R643" s="5" t="str">
        <f aca="false">IF(OR(Q643="Steel plate",Q643="Concrete jacket"),"Steel plate or jacket",Q643)</f>
        <v>Monitor</v>
      </c>
      <c r="S643" s="5" t="str">
        <f aca="false">IF(O643&lt;='Tree rules'!$C$4,IF(N643&lt;='Tree rules'!$C$5,IF(P643&lt;='Tree rules'!$C$6,"Monitor","Polymer laminate"),IF(P643&lt;='Tree rules'!$C$7,"Seal cracks","Polymer laminate")),IF(O643&lt;='Tree rules'!$C$8,IF(M643&lt;='Tree rules'!$C$9,"Steel plate or jacket","Polymer laminate"),IF(L643&lt;='Tree rules'!$C$10,"Steel plate or jacket","Polymer laminate")))</f>
        <v>Monitor</v>
      </c>
      <c r="T643" s="5" t="str">
        <f aca="false">IF(S643=R643,"Yes","No")</f>
        <v>Yes</v>
      </c>
    </row>
    <row r="644" customFormat="false" ht="15" hidden="false" customHeight="false" outlineLevel="0" collapsed="false">
      <c r="A644" s="15" t="n">
        <v>2120</v>
      </c>
      <c r="B644" s="16" t="n">
        <v>3.31794807841637</v>
      </c>
      <c r="C644" s="15" t="n">
        <v>230</v>
      </c>
      <c r="D644" s="15" t="n">
        <v>300</v>
      </c>
      <c r="E644" s="15" t="n">
        <v>20</v>
      </c>
      <c r="F644" s="16" t="n">
        <v>0.688332522525665</v>
      </c>
      <c r="G644" s="17" t="s">
        <v>89</v>
      </c>
      <c r="H644" s="18" t="n">
        <v>0.3</v>
      </c>
      <c r="I644" s="18" t="n">
        <v>1</v>
      </c>
      <c r="J644" s="19" t="n">
        <v>0.981456413198622</v>
      </c>
      <c r="K644" s="19" t="n">
        <v>0.419845120241753</v>
      </c>
      <c r="L644" s="16" t="n">
        <v>13.0627877103007</v>
      </c>
      <c r="M644" s="19" t="n">
        <v>0.883344673431012</v>
      </c>
      <c r="N644" s="19" t="n">
        <v>0.832069848905476</v>
      </c>
      <c r="O644" s="19" t="n">
        <v>0.981456413198622</v>
      </c>
      <c r="P644" s="19" t="n">
        <v>0.361920767179545</v>
      </c>
      <c r="Q644" s="17" t="s">
        <v>29</v>
      </c>
      <c r="R644" s="5" t="str">
        <f aca="false">IF(OR(Q644="Steel plate",Q644="Concrete jacket"),"Steel plate or jacket",Q644)</f>
        <v>Monitor</v>
      </c>
      <c r="S644" s="5" t="str">
        <f aca="false">IF(O644&lt;='Tree rules'!$C$4,IF(N644&lt;='Tree rules'!$C$5,IF(P644&lt;='Tree rules'!$C$6,"Monitor","Polymer laminate"),IF(P644&lt;='Tree rules'!$C$7,"Seal cracks","Polymer laminate")),IF(O644&lt;='Tree rules'!$C$8,IF(M644&lt;='Tree rules'!$C$9,"Steel plate or jacket","Polymer laminate"),IF(L644&lt;='Tree rules'!$C$10,"Steel plate or jacket","Polymer laminate")))</f>
        <v>Monitor</v>
      </c>
      <c r="T644" s="5" t="str">
        <f aca="false">IF(S644=R644,"Yes","No")</f>
        <v>Yes</v>
      </c>
    </row>
    <row r="645" customFormat="false" ht="15" hidden="false" customHeight="false" outlineLevel="0" collapsed="false">
      <c r="A645" s="15" t="n">
        <v>2129</v>
      </c>
      <c r="B645" s="16" t="n">
        <v>6.55466422315233</v>
      </c>
      <c r="C645" s="15" t="n">
        <v>300</v>
      </c>
      <c r="D645" s="15" t="n">
        <v>550</v>
      </c>
      <c r="E645" s="15" t="n">
        <v>25</v>
      </c>
      <c r="F645" s="16" t="n">
        <v>0.625815269639401</v>
      </c>
      <c r="G645" s="17" t="s">
        <v>89</v>
      </c>
      <c r="H645" s="18" t="n">
        <v>0.3</v>
      </c>
      <c r="I645" s="18" t="n">
        <v>1</v>
      </c>
      <c r="J645" s="19" t="n">
        <v>0.966633382038407</v>
      </c>
      <c r="K645" s="19" t="n">
        <v>0.481274129091375</v>
      </c>
      <c r="L645" s="16" t="n">
        <v>13.0571000461202</v>
      </c>
      <c r="M645" s="19" t="n">
        <v>0.457110852633663</v>
      </c>
      <c r="N645" s="19" t="n">
        <v>0.811696523454019</v>
      </c>
      <c r="O645" s="19" t="n">
        <v>0.966633382038407</v>
      </c>
      <c r="P645" s="19" t="n">
        <v>0.745613513099814</v>
      </c>
      <c r="Q645" s="17" t="s">
        <v>29</v>
      </c>
      <c r="R645" s="5" t="str">
        <f aca="false">IF(OR(Q645="Steel plate",Q645="Concrete jacket"),"Steel plate or jacket",Q645)</f>
        <v>Monitor</v>
      </c>
      <c r="S645" s="5" t="str">
        <f aca="false">IF(O645&lt;='Tree rules'!$C$4,IF(N645&lt;='Tree rules'!$C$5,IF(P645&lt;='Tree rules'!$C$6,"Monitor","Polymer laminate"),IF(P645&lt;='Tree rules'!$C$7,"Seal cracks","Polymer laminate")),IF(O645&lt;='Tree rules'!$C$8,IF(M645&lt;='Tree rules'!$C$9,"Steel plate or jacket","Polymer laminate"),IF(L645&lt;='Tree rules'!$C$10,"Steel plate or jacket","Polymer laminate")))</f>
        <v>Monitor</v>
      </c>
      <c r="T645" s="5" t="str">
        <f aca="false">IF(S645=R645,"Yes","No")</f>
        <v>Yes</v>
      </c>
    </row>
    <row r="646" customFormat="false" ht="15" hidden="false" customHeight="false" outlineLevel="0" collapsed="false">
      <c r="A646" s="15" t="n">
        <v>2130</v>
      </c>
      <c r="B646" s="16" t="n">
        <v>4.02123883848973</v>
      </c>
      <c r="C646" s="15" t="n">
        <v>300</v>
      </c>
      <c r="D646" s="15" t="n">
        <v>325</v>
      </c>
      <c r="E646" s="15" t="n">
        <v>25</v>
      </c>
      <c r="F646" s="16" t="n">
        <v>0.708629921862359</v>
      </c>
      <c r="G646" s="17" t="s">
        <v>90</v>
      </c>
      <c r="H646" s="18" t="n">
        <v>0.1</v>
      </c>
      <c r="I646" s="18" t="n">
        <v>1</v>
      </c>
      <c r="J646" s="19" t="n">
        <v>0.879832629606505</v>
      </c>
      <c r="K646" s="19" t="n">
        <v>0.635460467907986</v>
      </c>
      <c r="L646" s="16" t="n">
        <v>15.1174392424426</v>
      </c>
      <c r="M646" s="19" t="n">
        <v>0.909698976435934</v>
      </c>
      <c r="N646" s="19" t="n">
        <v>2.20933980246216</v>
      </c>
      <c r="O646" s="19" t="n">
        <v>0.879832629606505</v>
      </c>
      <c r="P646" s="19" t="n">
        <v>0.388463841388023</v>
      </c>
      <c r="Q646" s="17" t="s">
        <v>30</v>
      </c>
      <c r="R646" s="5" t="str">
        <f aca="false">IF(OR(Q646="Steel plate",Q646="Concrete jacket"),"Steel plate or jacket",Q646)</f>
        <v>Seal cracks</v>
      </c>
      <c r="S646" s="5" t="str">
        <f aca="false">IF(O646&lt;='Tree rules'!$C$4,IF(N646&lt;='Tree rules'!$C$5,IF(P646&lt;='Tree rules'!$C$6,"Monitor","Polymer laminate"),IF(P646&lt;='Tree rules'!$C$7,"Seal cracks","Polymer laminate")),IF(O646&lt;='Tree rules'!$C$8,IF(M646&lt;='Tree rules'!$C$9,"Steel plate or jacket","Polymer laminate"),IF(L646&lt;='Tree rules'!$C$10,"Steel plate or jacket","Polymer laminate")))</f>
        <v>Seal cracks</v>
      </c>
      <c r="T646" s="5" t="str">
        <f aca="false">IF(S646=R646,"Yes","No")</f>
        <v>Yes</v>
      </c>
    </row>
    <row r="647" customFormat="false" ht="15" hidden="false" customHeight="false" outlineLevel="0" collapsed="false">
      <c r="A647" s="15" t="n">
        <v>2132</v>
      </c>
      <c r="B647" s="16" t="n">
        <v>3.29637189645503</v>
      </c>
      <c r="C647" s="15" t="n">
        <v>300</v>
      </c>
      <c r="D647" s="15" t="n">
        <v>325</v>
      </c>
      <c r="E647" s="15" t="n">
        <v>30</v>
      </c>
      <c r="F647" s="16" t="n">
        <v>0.67080270183412</v>
      </c>
      <c r="G647" s="17" t="s">
        <v>91</v>
      </c>
      <c r="H647" s="18" t="n">
        <v>0.2</v>
      </c>
      <c r="I647" s="18" t="n">
        <v>1</v>
      </c>
      <c r="J647" s="19" t="n">
        <v>0.879284903164546</v>
      </c>
      <c r="K647" s="19" t="n">
        <v>0.575554914142654</v>
      </c>
      <c r="L647" s="16" t="n">
        <v>11.730860841477</v>
      </c>
      <c r="M647" s="19" t="n">
        <v>0.658354915283524</v>
      </c>
      <c r="N647" s="19" t="n">
        <v>0.878269278484645</v>
      </c>
      <c r="O647" s="19" t="n">
        <v>0.879284903164546</v>
      </c>
      <c r="P647" s="19" t="n">
        <v>0.400833436205613</v>
      </c>
      <c r="Q647" s="17" t="s">
        <v>29</v>
      </c>
      <c r="R647" s="5" t="str">
        <f aca="false">IF(OR(Q647="Steel plate",Q647="Concrete jacket"),"Steel plate or jacket",Q647)</f>
        <v>Monitor</v>
      </c>
      <c r="S647" s="5" t="str">
        <f aca="false">IF(O647&lt;='Tree rules'!$C$4,IF(N647&lt;='Tree rules'!$C$5,IF(P647&lt;='Tree rules'!$C$6,"Monitor","Polymer laminate"),IF(P647&lt;='Tree rules'!$C$7,"Seal cracks","Polymer laminate")),IF(O647&lt;='Tree rules'!$C$8,IF(M647&lt;='Tree rules'!$C$9,"Steel plate or jacket","Polymer laminate"),IF(L647&lt;='Tree rules'!$C$10,"Steel plate or jacket","Polymer laminate")))</f>
        <v>Monitor</v>
      </c>
      <c r="T647" s="5" t="str">
        <f aca="false">IF(S647=R647,"Yes","No")</f>
        <v>Yes</v>
      </c>
    </row>
    <row r="648" customFormat="false" ht="15" hidden="false" customHeight="false" outlineLevel="0" collapsed="false">
      <c r="A648" s="15" t="n">
        <v>2134</v>
      </c>
      <c r="B648" s="16" t="n">
        <v>3.87304681510925</v>
      </c>
      <c r="C648" s="15" t="n">
        <v>300</v>
      </c>
      <c r="D648" s="15" t="n">
        <v>375</v>
      </c>
      <c r="E648" s="15" t="n">
        <v>25</v>
      </c>
      <c r="F648" s="16" t="n">
        <v>0.59650493422591</v>
      </c>
      <c r="G648" s="17" t="s">
        <v>90</v>
      </c>
      <c r="H648" s="18" t="n">
        <v>0.1</v>
      </c>
      <c r="I648" s="18" t="n">
        <v>2</v>
      </c>
      <c r="J648" s="19" t="n">
        <v>0.946125953828597</v>
      </c>
      <c r="K648" s="19" t="n">
        <v>0.510663488177805</v>
      </c>
      <c r="L648" s="16" t="n">
        <v>12.2564772630039</v>
      </c>
      <c r="M648" s="19" t="n">
        <v>0.892072722436829</v>
      </c>
      <c r="N648" s="19" t="n">
        <v>3.66927557752923</v>
      </c>
      <c r="O648" s="19" t="n">
        <v>1.40909992781953</v>
      </c>
      <c r="P648" s="19" t="n">
        <v>0.362092141572194</v>
      </c>
      <c r="Q648" s="17" t="s">
        <v>31</v>
      </c>
      <c r="R648" s="5" t="str">
        <f aca="false">IF(OR(Q648="Steel plate",Q648="Concrete jacket"),"Steel plate or jacket",Q648)</f>
        <v>Polymer laminate</v>
      </c>
      <c r="S648" s="5" t="str">
        <f aca="false">IF(O648&lt;='Tree rules'!$C$4,IF(N648&lt;='Tree rules'!$C$5,IF(P648&lt;='Tree rules'!$C$6,"Monitor","Polymer laminate"),IF(P648&lt;='Tree rules'!$C$7,"Seal cracks","Polymer laminate")),IF(O648&lt;='Tree rules'!$C$8,IF(M648&lt;='Tree rules'!$C$9,"Steel plate or jacket","Polymer laminate"),IF(L648&lt;='Tree rules'!$C$10,"Steel plate or jacket","Polymer laminate")))</f>
        <v>Steel plate or jacket</v>
      </c>
      <c r="T648" s="5" t="str">
        <f aca="false">IF(S648=R648,"Yes","No")</f>
        <v>No</v>
      </c>
    </row>
    <row r="649" customFormat="false" ht="15" hidden="false" customHeight="false" outlineLevel="0" collapsed="false">
      <c r="A649" s="15" t="n">
        <v>2136</v>
      </c>
      <c r="B649" s="16" t="n">
        <v>3.61381917494297</v>
      </c>
      <c r="C649" s="15" t="n">
        <v>300</v>
      </c>
      <c r="D649" s="15" t="n">
        <v>300</v>
      </c>
      <c r="E649" s="15" t="n">
        <v>25</v>
      </c>
      <c r="F649" s="16" t="n">
        <v>0.52772160060301</v>
      </c>
      <c r="G649" s="17" t="s">
        <v>89</v>
      </c>
      <c r="H649" s="18" t="n">
        <v>0.3</v>
      </c>
      <c r="I649" s="18" t="n">
        <v>1</v>
      </c>
      <c r="J649" s="19" t="n">
        <v>0.89695665934</v>
      </c>
      <c r="K649" s="19" t="n">
        <v>0.600092845744545</v>
      </c>
      <c r="L649" s="16" t="n">
        <v>14.2276345470196</v>
      </c>
      <c r="M649" s="19" t="n">
        <v>0.265368730909169</v>
      </c>
      <c r="N649" s="19" t="n">
        <v>1.04322954948824</v>
      </c>
      <c r="O649" s="19" t="n">
        <v>0.89695665934</v>
      </c>
      <c r="P649" s="19" t="n">
        <v>0.960396015422187</v>
      </c>
      <c r="Q649" s="17" t="s">
        <v>30</v>
      </c>
      <c r="R649" s="5" t="str">
        <f aca="false">IF(OR(Q649="Steel plate",Q649="Concrete jacket"),"Steel plate or jacket",Q649)</f>
        <v>Seal cracks</v>
      </c>
      <c r="S649" s="5" t="str">
        <f aca="false">IF(O649&lt;='Tree rules'!$C$4,IF(N649&lt;='Tree rules'!$C$5,IF(P649&lt;='Tree rules'!$C$6,"Monitor","Polymer laminate"),IF(P649&lt;='Tree rules'!$C$7,"Seal cracks","Polymer laminate")),IF(O649&lt;='Tree rules'!$C$8,IF(M649&lt;='Tree rules'!$C$9,"Steel plate or jacket","Polymer laminate"),IF(L649&lt;='Tree rules'!$C$10,"Steel plate or jacket","Polymer laminate")))</f>
        <v>Seal cracks</v>
      </c>
      <c r="T649" s="5" t="str">
        <f aca="false">IF(S649=R649,"Yes","No")</f>
        <v>Yes</v>
      </c>
    </row>
    <row r="650" customFormat="false" ht="15" hidden="false" customHeight="false" outlineLevel="0" collapsed="false">
      <c r="A650" s="15" t="n">
        <v>2146</v>
      </c>
      <c r="B650" s="16" t="n">
        <v>6.29746842179524</v>
      </c>
      <c r="C650" s="15" t="n">
        <v>300</v>
      </c>
      <c r="D650" s="15" t="n">
        <v>600</v>
      </c>
      <c r="E650" s="15" t="n">
        <v>30</v>
      </c>
      <c r="F650" s="16" t="n">
        <v>0.758838805214926</v>
      </c>
      <c r="G650" s="17" t="s">
        <v>91</v>
      </c>
      <c r="H650" s="18" t="n">
        <v>0.2</v>
      </c>
      <c r="I650" s="18" t="n">
        <v>1.5</v>
      </c>
      <c r="J650" s="19" t="n">
        <v>0.85835747602473</v>
      </c>
      <c r="K650" s="19" t="n">
        <v>0.524766375547049</v>
      </c>
      <c r="L650" s="16" t="n">
        <v>11.4084572858609</v>
      </c>
      <c r="M650" s="19" t="n">
        <v>0.360463002973787</v>
      </c>
      <c r="N650" s="19" t="n">
        <v>1.17337513304798</v>
      </c>
      <c r="O650" s="19" t="n">
        <v>1.06231764322849</v>
      </c>
      <c r="P650" s="19" t="n">
        <v>0.948150317735309</v>
      </c>
      <c r="Q650" s="17" t="s">
        <v>31</v>
      </c>
      <c r="R650" s="5" t="str">
        <f aca="false">IF(OR(Q650="Steel plate",Q650="Concrete jacket"),"Steel plate or jacket",Q650)</f>
        <v>Polymer laminate</v>
      </c>
      <c r="S650" s="5" t="str">
        <f aca="false">IF(O650&lt;='Tree rules'!$C$4,IF(N650&lt;='Tree rules'!$C$5,IF(P650&lt;='Tree rules'!$C$6,"Monitor","Polymer laminate"),IF(P650&lt;='Tree rules'!$C$7,"Seal cracks","Polymer laminate")),IF(O650&lt;='Tree rules'!$C$8,IF(M650&lt;='Tree rules'!$C$9,"Steel plate or jacket","Polymer laminate"),IF(L650&lt;='Tree rules'!$C$10,"Steel plate or jacket","Polymer laminate")))</f>
        <v>Polymer laminate</v>
      </c>
      <c r="T650" s="5" t="str">
        <f aca="false">IF(S650=R650,"Yes","No")</f>
        <v>Yes</v>
      </c>
    </row>
    <row r="651" customFormat="false" ht="15" hidden="false" customHeight="false" outlineLevel="0" collapsed="false">
      <c r="A651" s="15" t="n">
        <v>2150</v>
      </c>
      <c r="B651" s="16" t="n">
        <v>7.7870024316087</v>
      </c>
      <c r="C651" s="15" t="n">
        <v>300</v>
      </c>
      <c r="D651" s="15" t="n">
        <v>775</v>
      </c>
      <c r="E651" s="15" t="n">
        <v>20</v>
      </c>
      <c r="F651" s="16" t="n">
        <v>0.551610232729072</v>
      </c>
      <c r="G651" s="17" t="s">
        <v>89</v>
      </c>
      <c r="H651" s="18" t="n">
        <v>0.3</v>
      </c>
      <c r="I651" s="18" t="n">
        <v>1</v>
      </c>
      <c r="J651" s="19" t="n">
        <v>0.98227613667204</v>
      </c>
      <c r="K651" s="19" t="n">
        <v>0.580735277488506</v>
      </c>
      <c r="L651" s="16" t="n">
        <v>10.681759165444</v>
      </c>
      <c r="M651" s="19" t="n">
        <v>0.473556542564796</v>
      </c>
      <c r="N651" s="19" t="n">
        <v>0.599650716425714</v>
      </c>
      <c r="O651" s="19" t="n">
        <v>0.98227613667204</v>
      </c>
      <c r="P651" s="19" t="n">
        <v>0.682246733281538</v>
      </c>
      <c r="Q651" s="17" t="s">
        <v>29</v>
      </c>
      <c r="R651" s="5" t="str">
        <f aca="false">IF(OR(Q651="Steel plate",Q651="Concrete jacket"),"Steel plate or jacket",Q651)</f>
        <v>Monitor</v>
      </c>
      <c r="S651" s="5" t="str">
        <f aca="false">IF(O651&lt;='Tree rules'!$C$4,IF(N651&lt;='Tree rules'!$C$5,IF(P651&lt;='Tree rules'!$C$6,"Monitor","Polymer laminate"),IF(P651&lt;='Tree rules'!$C$7,"Seal cracks","Polymer laminate")),IF(O651&lt;='Tree rules'!$C$8,IF(M651&lt;='Tree rules'!$C$9,"Steel plate or jacket","Polymer laminate"),IF(L651&lt;='Tree rules'!$C$10,"Steel plate or jacket","Polymer laminate")))</f>
        <v>Monitor</v>
      </c>
      <c r="T651" s="5" t="str">
        <f aca="false">IF(S651=R651,"Yes","No")</f>
        <v>Yes</v>
      </c>
    </row>
    <row r="652" customFormat="false" ht="15" hidden="false" customHeight="false" outlineLevel="0" collapsed="false">
      <c r="A652" s="15" t="n">
        <v>2160</v>
      </c>
      <c r="B652" s="16" t="n">
        <v>6.95599776009476</v>
      </c>
      <c r="C652" s="15" t="n">
        <v>300</v>
      </c>
      <c r="D652" s="15" t="n">
        <v>700</v>
      </c>
      <c r="E652" s="15" t="n">
        <v>30</v>
      </c>
      <c r="F652" s="16" t="n">
        <v>0.614868286941122</v>
      </c>
      <c r="G652" s="17" t="s">
        <v>91</v>
      </c>
      <c r="H652" s="18" t="n">
        <v>0.2</v>
      </c>
      <c r="I652" s="18" t="n">
        <v>1</v>
      </c>
      <c r="J652" s="19" t="n">
        <v>0.871420273059466</v>
      </c>
      <c r="K652" s="19" t="n">
        <v>0.462764774825099</v>
      </c>
      <c r="L652" s="16" t="n">
        <v>10.6360822019798</v>
      </c>
      <c r="M652" s="19" t="n">
        <v>0.265943137840672</v>
      </c>
      <c r="N652" s="19" t="n">
        <v>0.864920488362541</v>
      </c>
      <c r="O652" s="19" t="n">
        <v>0.871420273059466</v>
      </c>
      <c r="P652" s="19" t="n">
        <v>0.888954308828115</v>
      </c>
      <c r="Q652" s="17" t="s">
        <v>29</v>
      </c>
      <c r="R652" s="5" t="str">
        <f aca="false">IF(OR(Q652="Steel plate",Q652="Concrete jacket"),"Steel plate or jacket",Q652)</f>
        <v>Monitor</v>
      </c>
      <c r="S652" s="5" t="str">
        <f aca="false">IF(O652&lt;='Tree rules'!$C$4,IF(N652&lt;='Tree rules'!$C$5,IF(P652&lt;='Tree rules'!$C$6,"Monitor","Polymer laminate"),IF(P652&lt;='Tree rules'!$C$7,"Seal cracks","Polymer laminate")),IF(O652&lt;='Tree rules'!$C$8,IF(M652&lt;='Tree rules'!$C$9,"Steel plate or jacket","Polymer laminate"),IF(L652&lt;='Tree rules'!$C$10,"Steel plate or jacket","Polymer laminate")))</f>
        <v>Monitor</v>
      </c>
      <c r="T652" s="5" t="str">
        <f aca="false">IF(S652=R652,"Yes","No")</f>
        <v>Yes</v>
      </c>
    </row>
    <row r="653" customFormat="false" ht="15" hidden="false" customHeight="false" outlineLevel="0" collapsed="false">
      <c r="A653" s="15" t="n">
        <v>2163</v>
      </c>
      <c r="B653" s="16" t="n">
        <v>6.05538368090913</v>
      </c>
      <c r="C653" s="15" t="n">
        <v>300</v>
      </c>
      <c r="D653" s="15" t="n">
        <v>525</v>
      </c>
      <c r="E653" s="15" t="n">
        <v>20</v>
      </c>
      <c r="F653" s="16" t="n">
        <v>0.658614812073332</v>
      </c>
      <c r="G653" s="17" t="s">
        <v>89</v>
      </c>
      <c r="H653" s="18" t="n">
        <v>0.3</v>
      </c>
      <c r="I653" s="18" t="n">
        <v>1</v>
      </c>
      <c r="J653" s="19" t="n">
        <v>0.915091743110221</v>
      </c>
      <c r="K653" s="19" t="n">
        <v>0.431598083443488</v>
      </c>
      <c r="L653" s="16" t="n">
        <v>12.6947246979227</v>
      </c>
      <c r="M653" s="19" t="n">
        <v>0.933369882059942</v>
      </c>
      <c r="N653" s="19" t="n">
        <v>0.664139378007721</v>
      </c>
      <c r="O653" s="19" t="n">
        <v>0.915091743110221</v>
      </c>
      <c r="P653" s="19" t="n">
        <v>0.383285321369837</v>
      </c>
      <c r="Q653" s="17" t="s">
        <v>29</v>
      </c>
      <c r="R653" s="5" t="str">
        <f aca="false">IF(OR(Q653="Steel plate",Q653="Concrete jacket"),"Steel plate or jacket",Q653)</f>
        <v>Monitor</v>
      </c>
      <c r="S653" s="5" t="str">
        <f aca="false">IF(O653&lt;='Tree rules'!$C$4,IF(N653&lt;='Tree rules'!$C$5,IF(P653&lt;='Tree rules'!$C$6,"Monitor","Polymer laminate"),IF(P653&lt;='Tree rules'!$C$7,"Seal cracks","Polymer laminate")),IF(O653&lt;='Tree rules'!$C$8,IF(M653&lt;='Tree rules'!$C$9,"Steel plate or jacket","Polymer laminate"),IF(L653&lt;='Tree rules'!$C$10,"Steel plate or jacket","Polymer laminate")))</f>
        <v>Monitor</v>
      </c>
      <c r="T653" s="5" t="str">
        <f aca="false">IF(S653=R653,"Yes","No")</f>
        <v>Yes</v>
      </c>
    </row>
    <row r="654" customFormat="false" ht="15" hidden="false" customHeight="false" outlineLevel="0" collapsed="false">
      <c r="A654" s="15" t="n">
        <v>2170</v>
      </c>
      <c r="B654" s="16" t="n">
        <v>3.91291279654434</v>
      </c>
      <c r="C654" s="15" t="n">
        <v>300</v>
      </c>
      <c r="D654" s="15" t="n">
        <v>375</v>
      </c>
      <c r="E654" s="15" t="n">
        <v>25</v>
      </c>
      <c r="F654" s="16" t="n">
        <v>0.640487798897002</v>
      </c>
      <c r="G654" s="17" t="s">
        <v>91</v>
      </c>
      <c r="H654" s="18" t="n">
        <v>0.2</v>
      </c>
      <c r="I654" s="18" t="n">
        <v>1.5</v>
      </c>
      <c r="J654" s="19" t="n">
        <v>0.904712802276317</v>
      </c>
      <c r="K654" s="19" t="n">
        <v>0.615085889283058</v>
      </c>
      <c r="L654" s="16" t="n">
        <v>11.9660941790347</v>
      </c>
      <c r="M654" s="19" t="n">
        <v>0.418033785533122</v>
      </c>
      <c r="N654" s="19" t="n">
        <v>1.8848747919504</v>
      </c>
      <c r="O654" s="19" t="n">
        <v>1.07883116414753</v>
      </c>
      <c r="P654" s="19" t="n">
        <v>0.757358979229427</v>
      </c>
      <c r="Q654" s="17" t="s">
        <v>31</v>
      </c>
      <c r="R654" s="5" t="str">
        <f aca="false">IF(OR(Q654="Steel plate",Q654="Concrete jacket"),"Steel plate or jacket",Q654)</f>
        <v>Polymer laminate</v>
      </c>
      <c r="S654" s="5" t="str">
        <f aca="false">IF(O654&lt;='Tree rules'!$C$4,IF(N654&lt;='Tree rules'!$C$5,IF(P654&lt;='Tree rules'!$C$6,"Monitor","Polymer laminate"),IF(P654&lt;='Tree rules'!$C$7,"Seal cracks","Polymer laminate")),IF(O654&lt;='Tree rules'!$C$8,IF(M654&lt;='Tree rules'!$C$9,"Steel plate or jacket","Polymer laminate"),IF(L654&lt;='Tree rules'!$C$10,"Steel plate or jacket","Polymer laminate")))</f>
        <v>Polymer laminate</v>
      </c>
      <c r="T654" s="5" t="str">
        <f aca="false">IF(S654=R654,"Yes","No")</f>
        <v>Yes</v>
      </c>
    </row>
    <row r="655" customFormat="false" ht="15" hidden="false" customHeight="false" outlineLevel="0" collapsed="false">
      <c r="A655" s="15" t="n">
        <v>2171</v>
      </c>
      <c r="B655" s="16" t="n">
        <v>3.32451735525505</v>
      </c>
      <c r="C655" s="15" t="n">
        <v>300</v>
      </c>
      <c r="D655" s="15" t="n">
        <v>300</v>
      </c>
      <c r="E655" s="15" t="n">
        <v>25</v>
      </c>
      <c r="F655" s="16" t="n">
        <v>0.831109167616348</v>
      </c>
      <c r="G655" s="17" t="s">
        <v>89</v>
      </c>
      <c r="H655" s="18" t="n">
        <v>0.3</v>
      </c>
      <c r="I655" s="18" t="n">
        <v>1</v>
      </c>
      <c r="J655" s="19" t="n">
        <v>0.864199620828712</v>
      </c>
      <c r="K655" s="19" t="n">
        <v>0.616312447341194</v>
      </c>
      <c r="L655" s="16" t="n">
        <v>13.19252918752</v>
      </c>
      <c r="M655" s="19" t="n">
        <v>0.905992426093638</v>
      </c>
      <c r="N655" s="19" t="n">
        <v>0.85813753206564</v>
      </c>
      <c r="O655" s="19" t="n">
        <v>0.864199620828712</v>
      </c>
      <c r="P655" s="19" t="n">
        <v>0.404283819570547</v>
      </c>
      <c r="Q655" s="17" t="s">
        <v>29</v>
      </c>
      <c r="R655" s="5" t="str">
        <f aca="false">IF(OR(Q655="Steel plate",Q655="Concrete jacket"),"Steel plate or jacket",Q655)</f>
        <v>Monitor</v>
      </c>
      <c r="S655" s="5" t="str">
        <f aca="false">IF(O655&lt;='Tree rules'!$C$4,IF(N655&lt;='Tree rules'!$C$5,IF(P655&lt;='Tree rules'!$C$6,"Monitor","Polymer laminate"),IF(P655&lt;='Tree rules'!$C$7,"Seal cracks","Polymer laminate")),IF(O655&lt;='Tree rules'!$C$8,IF(M655&lt;='Tree rules'!$C$9,"Steel plate or jacket","Polymer laminate"),IF(L655&lt;='Tree rules'!$C$10,"Steel plate or jacket","Polymer laminate")))</f>
        <v>Monitor</v>
      </c>
      <c r="T655" s="5" t="str">
        <f aca="false">IF(S655=R655,"Yes","No")</f>
        <v>Yes</v>
      </c>
    </row>
    <row r="656" customFormat="false" ht="15" hidden="false" customHeight="false" outlineLevel="0" collapsed="false">
      <c r="A656" s="15" t="n">
        <v>2173</v>
      </c>
      <c r="B656" s="16" t="n">
        <v>4.56222422248934</v>
      </c>
      <c r="C656" s="15" t="n">
        <v>230</v>
      </c>
      <c r="D656" s="15" t="n">
        <v>425</v>
      </c>
      <c r="E656" s="15" t="n">
        <v>30</v>
      </c>
      <c r="F656" s="16" t="n">
        <v>0.724620609754306</v>
      </c>
      <c r="G656" s="17" t="s">
        <v>89</v>
      </c>
      <c r="H656" s="18" t="n">
        <v>0.3</v>
      </c>
      <c r="I656" s="18" t="n">
        <v>2</v>
      </c>
      <c r="J656" s="19" t="n">
        <v>0.990161903836278</v>
      </c>
      <c r="K656" s="19" t="n">
        <v>0.442635675186824</v>
      </c>
      <c r="L656" s="16" t="n">
        <v>12.1013905105818</v>
      </c>
      <c r="M656" s="19" t="n">
        <v>0.371554558743804</v>
      </c>
      <c r="N656" s="19" t="n">
        <v>1.53148310590404</v>
      </c>
      <c r="O656" s="19" t="n">
        <v>1.54204282482371</v>
      </c>
      <c r="P656" s="19" t="n">
        <v>1.05545285767514</v>
      </c>
      <c r="Q656" s="17" t="s">
        <v>31</v>
      </c>
      <c r="R656" s="5" t="str">
        <f aca="false">IF(OR(Q656="Steel plate",Q656="Concrete jacket"),"Steel plate or jacket",Q656)</f>
        <v>Polymer laminate</v>
      </c>
      <c r="S656" s="5" t="str">
        <f aca="false">IF(O656&lt;='Tree rules'!$C$4,IF(N656&lt;='Tree rules'!$C$5,IF(P656&lt;='Tree rules'!$C$6,"Monitor","Polymer laminate"),IF(P656&lt;='Tree rules'!$C$7,"Seal cracks","Polymer laminate")),IF(O656&lt;='Tree rules'!$C$8,IF(M656&lt;='Tree rules'!$C$9,"Steel plate or jacket","Polymer laminate"),IF(L656&lt;='Tree rules'!$C$10,"Steel plate or jacket","Polymer laminate")))</f>
        <v>Steel plate or jacket</v>
      </c>
      <c r="T656" s="5" t="str">
        <f aca="false">IF(S656=R656,"Yes","No")</f>
        <v>No</v>
      </c>
    </row>
    <row r="657" customFormat="false" ht="15" hidden="false" customHeight="false" outlineLevel="0" collapsed="false">
      <c r="A657" s="15" t="n">
        <v>2174</v>
      </c>
      <c r="B657" s="16" t="n">
        <v>5.49320372965399</v>
      </c>
      <c r="C657" s="15" t="n">
        <v>300</v>
      </c>
      <c r="D657" s="15" t="n">
        <v>525</v>
      </c>
      <c r="E657" s="15" t="n">
        <v>20</v>
      </c>
      <c r="F657" s="16" t="n">
        <v>0.679998409867921</v>
      </c>
      <c r="G657" s="17" t="s">
        <v>90</v>
      </c>
      <c r="H657" s="18" t="n">
        <v>0.1</v>
      </c>
      <c r="I657" s="18" t="n">
        <v>1</v>
      </c>
      <c r="J657" s="19" t="n">
        <v>0.889307785830606</v>
      </c>
      <c r="K657" s="19" t="n">
        <v>0.588516681866933</v>
      </c>
      <c r="L657" s="16" t="n">
        <v>11.8900513628874</v>
      </c>
      <c r="M657" s="19" t="n">
        <v>0.669856452780298</v>
      </c>
      <c r="N657" s="19" t="n">
        <v>2.47520854974613</v>
      </c>
      <c r="O657" s="19" t="n">
        <v>0.889307785830606</v>
      </c>
      <c r="P657" s="19" t="n">
        <v>0.501323051155032</v>
      </c>
      <c r="Q657" s="17" t="s">
        <v>30</v>
      </c>
      <c r="R657" s="5" t="str">
        <f aca="false">IF(OR(Q657="Steel plate",Q657="Concrete jacket"),"Steel plate or jacket",Q657)</f>
        <v>Seal cracks</v>
      </c>
      <c r="S657" s="5" t="str">
        <f aca="false">IF(O657&lt;='Tree rules'!$C$4,IF(N657&lt;='Tree rules'!$C$5,IF(P657&lt;='Tree rules'!$C$6,"Monitor","Polymer laminate"),IF(P657&lt;='Tree rules'!$C$7,"Seal cracks","Polymer laminate")),IF(O657&lt;='Tree rules'!$C$8,IF(M657&lt;='Tree rules'!$C$9,"Steel plate or jacket","Polymer laminate"),IF(L657&lt;='Tree rules'!$C$10,"Steel plate or jacket","Polymer laminate")))</f>
        <v>Seal cracks</v>
      </c>
      <c r="T657" s="5" t="str">
        <f aca="false">IF(S657=R657,"Yes","No")</f>
        <v>Yes</v>
      </c>
    </row>
    <row r="658" customFormat="false" ht="15" hidden="false" customHeight="false" outlineLevel="0" collapsed="false">
      <c r="A658" s="15" t="n">
        <v>2183</v>
      </c>
      <c r="B658" s="16" t="n">
        <v>5.52305067512773</v>
      </c>
      <c r="C658" s="15" t="n">
        <v>300</v>
      </c>
      <c r="D658" s="15" t="n">
        <v>475</v>
      </c>
      <c r="E658" s="15" t="n">
        <v>30</v>
      </c>
      <c r="F658" s="16" t="n">
        <v>0.624901102811956</v>
      </c>
      <c r="G658" s="17" t="s">
        <v>89</v>
      </c>
      <c r="H658" s="18" t="n">
        <v>0.3</v>
      </c>
      <c r="I658" s="18" t="n">
        <v>2</v>
      </c>
      <c r="J658" s="19" t="n">
        <v>0.903772874730362</v>
      </c>
      <c r="K658" s="19" t="n">
        <v>0.574606185427992</v>
      </c>
      <c r="L658" s="16" t="n">
        <v>12.8742439979667</v>
      </c>
      <c r="M658" s="19" t="n">
        <v>0.71523631063261</v>
      </c>
      <c r="N658" s="19" t="n">
        <v>0.914029961889441</v>
      </c>
      <c r="O658" s="19" t="n">
        <v>1.28823226541862</v>
      </c>
      <c r="P658" s="19" t="n">
        <v>0.539049773803718</v>
      </c>
      <c r="Q658" s="17" t="s">
        <v>31</v>
      </c>
      <c r="R658" s="5" t="str">
        <f aca="false">IF(OR(Q658="Steel plate",Q658="Concrete jacket"),"Steel plate or jacket",Q658)</f>
        <v>Polymer laminate</v>
      </c>
      <c r="S658" s="5" t="str">
        <f aca="false">IF(O658&lt;='Tree rules'!$C$4,IF(N658&lt;='Tree rules'!$C$5,IF(P658&lt;='Tree rules'!$C$6,"Monitor","Polymer laminate"),IF(P658&lt;='Tree rules'!$C$7,"Seal cracks","Polymer laminate")),IF(O658&lt;='Tree rules'!$C$8,IF(M658&lt;='Tree rules'!$C$9,"Steel plate or jacket","Polymer laminate"),IF(L658&lt;='Tree rules'!$C$10,"Steel plate or jacket","Polymer laminate")))</f>
        <v>Polymer laminate</v>
      </c>
      <c r="T658" s="5" t="str">
        <f aca="false">IF(S658=R658,"Yes","No")</f>
        <v>Yes</v>
      </c>
    </row>
    <row r="659" customFormat="false" ht="15" hidden="false" customHeight="false" outlineLevel="0" collapsed="false">
      <c r="A659" s="15" t="n">
        <v>2186</v>
      </c>
      <c r="B659" s="16" t="n">
        <v>5.2300366834594</v>
      </c>
      <c r="C659" s="15" t="n">
        <v>300</v>
      </c>
      <c r="D659" s="15" t="n">
        <v>400</v>
      </c>
      <c r="E659" s="15" t="n">
        <v>30</v>
      </c>
      <c r="F659" s="16" t="n">
        <v>0.757295404255167</v>
      </c>
      <c r="G659" s="17" t="s">
        <v>91</v>
      </c>
      <c r="H659" s="18" t="n">
        <v>0.2</v>
      </c>
      <c r="I659" s="18" t="n">
        <v>2</v>
      </c>
      <c r="J659" s="19" t="n">
        <v>0.878477449472371</v>
      </c>
      <c r="K659" s="19" t="n">
        <v>0.443427314425335</v>
      </c>
      <c r="L659" s="16" t="n">
        <v>14.7741149250266</v>
      </c>
      <c r="M659" s="19" t="n">
        <v>0.50263099027392</v>
      </c>
      <c r="N659" s="19" t="n">
        <v>1.53857185240092</v>
      </c>
      <c r="O659" s="19" t="n">
        <v>1.36741400274199</v>
      </c>
      <c r="P659" s="19" t="n">
        <v>0.894450778097817</v>
      </c>
      <c r="Q659" s="17" t="s">
        <v>31</v>
      </c>
      <c r="R659" s="5" t="str">
        <f aca="false">IF(OR(Q659="Steel plate",Q659="Concrete jacket"),"Steel plate or jacket",Q659)</f>
        <v>Polymer laminate</v>
      </c>
      <c r="S659" s="5" t="str">
        <f aca="false">IF(O659&lt;='Tree rules'!$C$4,IF(N659&lt;='Tree rules'!$C$5,IF(P659&lt;='Tree rules'!$C$6,"Monitor","Polymer laminate"),IF(P659&lt;='Tree rules'!$C$7,"Seal cracks","Polymer laminate")),IF(O659&lt;='Tree rules'!$C$8,IF(M659&lt;='Tree rules'!$C$9,"Steel plate or jacket","Polymer laminate"),IF(L659&lt;='Tree rules'!$C$10,"Steel plate or jacket","Polymer laminate")))</f>
        <v>Polymer laminate</v>
      </c>
      <c r="T659" s="5" t="str">
        <f aca="false">IF(S659=R659,"Yes","No")</f>
        <v>Yes</v>
      </c>
    </row>
    <row r="660" customFormat="false" ht="15" hidden="false" customHeight="false" outlineLevel="0" collapsed="false">
      <c r="A660" s="15" t="n">
        <v>2187</v>
      </c>
      <c r="B660" s="16" t="n">
        <v>3.43214796220732</v>
      </c>
      <c r="C660" s="15" t="n">
        <v>230</v>
      </c>
      <c r="D660" s="15" t="n">
        <v>300</v>
      </c>
      <c r="E660" s="15" t="n">
        <v>20</v>
      </c>
      <c r="F660" s="16" t="n">
        <v>0.576243217710084</v>
      </c>
      <c r="G660" s="17" t="s">
        <v>89</v>
      </c>
      <c r="H660" s="18" t="n">
        <v>0.3</v>
      </c>
      <c r="I660" s="18" t="n">
        <v>1.5</v>
      </c>
      <c r="J660" s="19" t="n">
        <v>0.94874556902241</v>
      </c>
      <c r="K660" s="19" t="n">
        <v>0.480656392281754</v>
      </c>
      <c r="L660" s="16" t="n">
        <v>13.4068279773724</v>
      </c>
      <c r="M660" s="19" t="n">
        <v>0.927440393127566</v>
      </c>
      <c r="N660" s="19" t="n">
        <v>0.804590182397559</v>
      </c>
      <c r="O660" s="19" t="n">
        <v>1.19510804233381</v>
      </c>
      <c r="P660" s="19" t="n">
        <v>0.357766408613084</v>
      </c>
      <c r="Q660" s="17" t="s">
        <v>31</v>
      </c>
      <c r="R660" s="5" t="str">
        <f aca="false">IF(OR(Q660="Steel plate",Q660="Concrete jacket"),"Steel plate or jacket",Q660)</f>
        <v>Polymer laminate</v>
      </c>
      <c r="S660" s="5" t="str">
        <f aca="false">IF(O660&lt;='Tree rules'!$C$4,IF(N660&lt;='Tree rules'!$C$5,IF(P660&lt;='Tree rules'!$C$6,"Monitor","Polymer laminate"),IF(P660&lt;='Tree rules'!$C$7,"Seal cracks","Polymer laminate")),IF(O660&lt;='Tree rules'!$C$8,IF(M660&lt;='Tree rules'!$C$9,"Steel plate or jacket","Polymer laminate"),IF(L660&lt;='Tree rules'!$C$10,"Steel plate or jacket","Polymer laminate")))</f>
        <v>Polymer laminate</v>
      </c>
      <c r="T660" s="5" t="str">
        <f aca="false">IF(S660=R660,"Yes","No")</f>
        <v>Yes</v>
      </c>
    </row>
    <row r="661" customFormat="false" ht="15" hidden="false" customHeight="false" outlineLevel="0" collapsed="false">
      <c r="A661" s="15" t="n">
        <v>2190</v>
      </c>
      <c r="B661" s="16" t="n">
        <v>3.59405725931301</v>
      </c>
      <c r="C661" s="15" t="n">
        <v>300</v>
      </c>
      <c r="D661" s="15" t="n">
        <v>325</v>
      </c>
      <c r="E661" s="15" t="n">
        <v>25</v>
      </c>
      <c r="F661" s="16" t="n">
        <v>0.756099314943392</v>
      </c>
      <c r="G661" s="17" t="s">
        <v>89</v>
      </c>
      <c r="H661" s="18" t="n">
        <v>0.3</v>
      </c>
      <c r="I661" s="18" t="n">
        <v>1</v>
      </c>
      <c r="J661" s="19" t="n">
        <v>0.85472237366446</v>
      </c>
      <c r="K661" s="19" t="n">
        <v>0.519921026468513</v>
      </c>
      <c r="L661" s="16" t="n">
        <v>12.9749359541986</v>
      </c>
      <c r="M661" s="19" t="n">
        <v>0.928821654993552</v>
      </c>
      <c r="N661" s="19" t="n">
        <v>0.84663204478623</v>
      </c>
      <c r="O661" s="19" t="n">
        <v>0.85472237366446</v>
      </c>
      <c r="P661" s="19" t="n">
        <v>0.34697490693528</v>
      </c>
      <c r="Q661" s="17" t="s">
        <v>29</v>
      </c>
      <c r="R661" s="5" t="str">
        <f aca="false">IF(OR(Q661="Steel plate",Q661="Concrete jacket"),"Steel plate or jacket",Q661)</f>
        <v>Monitor</v>
      </c>
      <c r="S661" s="5" t="str">
        <f aca="false">IF(O661&lt;='Tree rules'!$C$4,IF(N661&lt;='Tree rules'!$C$5,IF(P661&lt;='Tree rules'!$C$6,"Monitor","Polymer laminate"),IF(P661&lt;='Tree rules'!$C$7,"Seal cracks","Polymer laminate")),IF(O661&lt;='Tree rules'!$C$8,IF(M661&lt;='Tree rules'!$C$9,"Steel plate or jacket","Polymer laminate"),IF(L661&lt;='Tree rules'!$C$10,"Steel plate or jacket","Polymer laminate")))</f>
        <v>Monitor</v>
      </c>
      <c r="T661" s="5" t="str">
        <f aca="false">IF(S661=R661,"Yes","No")</f>
        <v>Yes</v>
      </c>
    </row>
    <row r="662" customFormat="false" ht="15" hidden="false" customHeight="false" outlineLevel="0" collapsed="false">
      <c r="A662" s="15" t="n">
        <v>2196</v>
      </c>
      <c r="B662" s="16" t="n">
        <v>6.01050832615293</v>
      </c>
      <c r="C662" s="15" t="n">
        <v>300</v>
      </c>
      <c r="D662" s="15" t="n">
        <v>600</v>
      </c>
      <c r="E662" s="15" t="n">
        <v>25</v>
      </c>
      <c r="F662" s="16" t="n">
        <v>0.948548506518657</v>
      </c>
      <c r="G662" s="17" t="s">
        <v>89</v>
      </c>
      <c r="H662" s="18" t="n">
        <v>0.3</v>
      </c>
      <c r="I662" s="18" t="n">
        <v>2</v>
      </c>
      <c r="J662" s="19" t="n">
        <v>0.906977507321597</v>
      </c>
      <c r="K662" s="19" t="n">
        <v>0.587647225448361</v>
      </c>
      <c r="L662" s="16" t="n">
        <v>10.8886020401321</v>
      </c>
      <c r="M662" s="19" t="n">
        <v>0.38186182787822</v>
      </c>
      <c r="N662" s="19" t="n">
        <v>0.842915619650817</v>
      </c>
      <c r="O662" s="19" t="n">
        <v>1.28097219892159</v>
      </c>
      <c r="P662" s="19" t="n">
        <v>1.26042614028851</v>
      </c>
      <c r="Q662" s="17" t="s">
        <v>92</v>
      </c>
      <c r="R662" s="5" t="str">
        <f aca="false">IF(OR(Q662="Steel plate",Q662="Concrete jacket"),"Steel plate or jacket",Q662)</f>
        <v>Steel plate or jacket</v>
      </c>
      <c r="S662" s="5" t="str">
        <f aca="false">IF(O662&lt;='Tree rules'!$C$4,IF(N662&lt;='Tree rules'!$C$5,IF(P662&lt;='Tree rules'!$C$6,"Monitor","Polymer laminate"),IF(P662&lt;='Tree rules'!$C$7,"Seal cracks","Polymer laminate")),IF(O662&lt;='Tree rules'!$C$8,IF(M662&lt;='Tree rules'!$C$9,"Steel plate or jacket","Polymer laminate"),IF(L662&lt;='Tree rules'!$C$10,"Steel plate or jacket","Polymer laminate")))</f>
        <v>Polymer laminate</v>
      </c>
      <c r="T662" s="5" t="str">
        <f aca="false">IF(S662=R662,"Yes","No")</f>
        <v>No</v>
      </c>
    </row>
    <row r="663" customFormat="false" ht="15" hidden="false" customHeight="false" outlineLevel="0" collapsed="false">
      <c r="A663" s="15" t="n">
        <v>2197</v>
      </c>
      <c r="B663" s="16" t="n">
        <v>3.07685427004222</v>
      </c>
      <c r="C663" s="15" t="n">
        <v>230</v>
      </c>
      <c r="D663" s="15" t="n">
        <v>300</v>
      </c>
      <c r="E663" s="15" t="n">
        <v>30</v>
      </c>
      <c r="F663" s="16" t="n">
        <v>0.688332522525665</v>
      </c>
      <c r="G663" s="17" t="s">
        <v>89</v>
      </c>
      <c r="H663" s="18" t="n">
        <v>0.3</v>
      </c>
      <c r="I663" s="18" t="n">
        <v>1.5</v>
      </c>
      <c r="J663" s="19" t="n">
        <v>0.933727066382919</v>
      </c>
      <c r="K663" s="19" t="n">
        <v>0.631616643764386</v>
      </c>
      <c r="L663" s="16" t="n">
        <v>12.1135994883552</v>
      </c>
      <c r="M663" s="19" t="n">
        <v>0.643419215007084</v>
      </c>
      <c r="N663" s="19" t="n">
        <v>1.02758830511693</v>
      </c>
      <c r="O663" s="19" t="n">
        <v>1.10571182164401</v>
      </c>
      <c r="P663" s="19" t="n">
        <v>0.477876134215278</v>
      </c>
      <c r="Q663" s="17" t="s">
        <v>31</v>
      </c>
      <c r="R663" s="5" t="str">
        <f aca="false">IF(OR(Q663="Steel plate",Q663="Concrete jacket"),"Steel plate or jacket",Q663)</f>
        <v>Polymer laminate</v>
      </c>
      <c r="S663" s="5" t="str">
        <f aca="false">IF(O663&lt;='Tree rules'!$C$4,IF(N663&lt;='Tree rules'!$C$5,IF(P663&lt;='Tree rules'!$C$6,"Monitor","Polymer laminate"),IF(P663&lt;='Tree rules'!$C$7,"Seal cracks","Polymer laminate")),IF(O663&lt;='Tree rules'!$C$8,IF(M663&lt;='Tree rules'!$C$9,"Steel plate or jacket","Polymer laminate"),IF(L663&lt;='Tree rules'!$C$10,"Steel plate or jacket","Polymer laminate")))</f>
        <v>Polymer laminate</v>
      </c>
      <c r="T663" s="5" t="str">
        <f aca="false">IF(S663=R663,"Yes","No")</f>
        <v>Yes</v>
      </c>
    </row>
    <row r="664" customFormat="false" ht="15" hidden="false" customHeight="false" outlineLevel="0" collapsed="false">
      <c r="A664" s="15" t="n">
        <v>2198</v>
      </c>
      <c r="B664" s="16" t="n">
        <v>7.38406899532219</v>
      </c>
      <c r="C664" s="15" t="n">
        <v>230</v>
      </c>
      <c r="D664" s="15" t="n">
        <v>600</v>
      </c>
      <c r="E664" s="15" t="n">
        <v>30</v>
      </c>
      <c r="F664" s="16" t="n">
        <v>0.742342309449384</v>
      </c>
      <c r="G664" s="17" t="s">
        <v>91</v>
      </c>
      <c r="H664" s="18" t="n">
        <v>0.2</v>
      </c>
      <c r="I664" s="18" t="n">
        <v>1</v>
      </c>
      <c r="J664" s="19" t="n">
        <v>0.888590161608763</v>
      </c>
      <c r="K664" s="19" t="n">
        <v>0.428149116956516</v>
      </c>
      <c r="L664" s="16" t="n">
        <v>13.3769365857286</v>
      </c>
      <c r="M664" s="19" t="n">
        <v>0.503051174615219</v>
      </c>
      <c r="N664" s="19" t="n">
        <v>0.950217589412504</v>
      </c>
      <c r="O664" s="19" t="n">
        <v>0.888590161608763</v>
      </c>
      <c r="P664" s="19" t="n">
        <v>0.680958903106302</v>
      </c>
      <c r="Q664" s="17" t="s">
        <v>29</v>
      </c>
      <c r="R664" s="5" t="str">
        <f aca="false">IF(OR(Q664="Steel plate",Q664="Concrete jacket"),"Steel plate or jacket",Q664)</f>
        <v>Monitor</v>
      </c>
      <c r="S664" s="5" t="str">
        <f aca="false">IF(O664&lt;='Tree rules'!$C$4,IF(N664&lt;='Tree rules'!$C$5,IF(P664&lt;='Tree rules'!$C$6,"Monitor","Polymer laminate"),IF(P664&lt;='Tree rules'!$C$7,"Seal cracks","Polymer laminate")),IF(O664&lt;='Tree rules'!$C$8,IF(M664&lt;='Tree rules'!$C$9,"Steel plate or jacket","Polymer laminate"),IF(L664&lt;='Tree rules'!$C$10,"Steel plate or jacket","Polymer laminate")))</f>
        <v>Monitor</v>
      </c>
      <c r="T664" s="5" t="str">
        <f aca="false">IF(S664=R664,"Yes","No")</f>
        <v>Yes</v>
      </c>
    </row>
    <row r="665" customFormat="false" ht="15" hidden="false" customHeight="false" outlineLevel="0" collapsed="false">
      <c r="A665" s="15" t="n">
        <v>2213</v>
      </c>
      <c r="B665" s="16" t="n">
        <v>5.35994005913197</v>
      </c>
      <c r="C665" s="15" t="n">
        <v>230</v>
      </c>
      <c r="D665" s="15" t="n">
        <v>500</v>
      </c>
      <c r="E665" s="15" t="n">
        <v>30</v>
      </c>
      <c r="F665" s="16" t="n">
        <v>0.90657733366385</v>
      </c>
      <c r="G665" s="17" t="s">
        <v>89</v>
      </c>
      <c r="H665" s="18" t="n">
        <v>0.3</v>
      </c>
      <c r="I665" s="18" t="n">
        <v>1.5</v>
      </c>
      <c r="J665" s="19" t="n">
        <v>0.863447990297996</v>
      </c>
      <c r="K665" s="19" t="n">
        <v>0.560981188500757</v>
      </c>
      <c r="L665" s="16" t="n">
        <v>11.8582744671061</v>
      </c>
      <c r="M665" s="19" t="n">
        <v>0.922424951708791</v>
      </c>
      <c r="N665" s="19" t="n">
        <v>0.714202632985778</v>
      </c>
      <c r="O665" s="19" t="n">
        <v>1.05298294554401</v>
      </c>
      <c r="P665" s="19" t="n">
        <v>0.467806255633026</v>
      </c>
      <c r="Q665" s="17" t="s">
        <v>31</v>
      </c>
      <c r="R665" s="5" t="str">
        <f aca="false">IF(OR(Q665="Steel plate",Q665="Concrete jacket"),"Steel plate or jacket",Q665)</f>
        <v>Polymer laminate</v>
      </c>
      <c r="S665" s="5" t="str">
        <f aca="false">IF(O665&lt;='Tree rules'!$C$4,IF(N665&lt;='Tree rules'!$C$5,IF(P665&lt;='Tree rules'!$C$6,"Monitor","Polymer laminate"),IF(P665&lt;='Tree rules'!$C$7,"Seal cracks","Polymer laminate")),IF(O665&lt;='Tree rules'!$C$8,IF(M665&lt;='Tree rules'!$C$9,"Steel plate or jacket","Polymer laminate"),IF(L665&lt;='Tree rules'!$C$10,"Steel plate or jacket","Polymer laminate")))</f>
        <v>Polymer laminate</v>
      </c>
      <c r="T665" s="5" t="str">
        <f aca="false">IF(S665=R665,"Yes","No")</f>
        <v>Yes</v>
      </c>
    </row>
    <row r="666" customFormat="false" ht="15" hidden="false" customHeight="false" outlineLevel="0" collapsed="false">
      <c r="A666" s="15" t="n">
        <v>2215</v>
      </c>
      <c r="B666" s="16" t="n">
        <v>4.40150045000239</v>
      </c>
      <c r="C666" s="15" t="n">
        <v>300</v>
      </c>
      <c r="D666" s="15" t="n">
        <v>350</v>
      </c>
      <c r="E666" s="15" t="n">
        <v>25</v>
      </c>
      <c r="F666" s="16" t="n">
        <v>0.695716020172134</v>
      </c>
      <c r="G666" s="17" t="s">
        <v>90</v>
      </c>
      <c r="H666" s="18" t="n">
        <v>0.1</v>
      </c>
      <c r="I666" s="18" t="n">
        <v>1</v>
      </c>
      <c r="J666" s="19" t="n">
        <v>0.87965400124147</v>
      </c>
      <c r="K666" s="19" t="n">
        <v>0.415713269603381</v>
      </c>
      <c r="L666" s="16" t="n">
        <v>15.2301053633301</v>
      </c>
      <c r="M666" s="19" t="n">
        <v>0.706682516135622</v>
      </c>
      <c r="N666" s="19" t="n">
        <v>2.55315139733405</v>
      </c>
      <c r="O666" s="19" t="n">
        <v>0.879654001241471</v>
      </c>
      <c r="P666" s="19" t="n">
        <v>0.418092810773814</v>
      </c>
      <c r="Q666" s="17" t="s">
        <v>30</v>
      </c>
      <c r="R666" s="5" t="str">
        <f aca="false">IF(OR(Q666="Steel plate",Q666="Concrete jacket"),"Steel plate or jacket",Q666)</f>
        <v>Seal cracks</v>
      </c>
      <c r="S666" s="5" t="str">
        <f aca="false">IF(O666&lt;='Tree rules'!$C$4,IF(N666&lt;='Tree rules'!$C$5,IF(P666&lt;='Tree rules'!$C$6,"Monitor","Polymer laminate"),IF(P666&lt;='Tree rules'!$C$7,"Seal cracks","Polymer laminate")),IF(O666&lt;='Tree rules'!$C$8,IF(M666&lt;='Tree rules'!$C$9,"Steel plate or jacket","Polymer laminate"),IF(L666&lt;='Tree rules'!$C$10,"Steel plate or jacket","Polymer laminate")))</f>
        <v>Seal cracks</v>
      </c>
      <c r="T666" s="5" t="str">
        <f aca="false">IF(S666=R666,"Yes","No")</f>
        <v>Yes</v>
      </c>
    </row>
    <row r="667" customFormat="false" ht="15" hidden="false" customHeight="false" outlineLevel="0" collapsed="false">
      <c r="A667" s="15" t="n">
        <v>2219</v>
      </c>
      <c r="B667" s="16" t="n">
        <v>4.62163495074144</v>
      </c>
      <c r="C667" s="15" t="n">
        <v>230</v>
      </c>
      <c r="D667" s="15" t="n">
        <v>375</v>
      </c>
      <c r="E667" s="15" t="n">
        <v>30</v>
      </c>
      <c r="F667" s="16" t="n">
        <v>0.797126720614828</v>
      </c>
      <c r="G667" s="17" t="s">
        <v>91</v>
      </c>
      <c r="H667" s="18" t="n">
        <v>0.2</v>
      </c>
      <c r="I667" s="18" t="n">
        <v>1.5</v>
      </c>
      <c r="J667" s="19" t="n">
        <v>0.882074037719128</v>
      </c>
      <c r="K667" s="19" t="n">
        <v>0.449924557362841</v>
      </c>
      <c r="L667" s="16" t="n">
        <v>14.0475226466305</v>
      </c>
      <c r="M667" s="19" t="n">
        <v>0.42691161634022</v>
      </c>
      <c r="N667" s="19" t="n">
        <v>1.2821684131592</v>
      </c>
      <c r="O667" s="19" t="n">
        <v>1.12467767108768</v>
      </c>
      <c r="P667" s="19" t="n">
        <v>0.892983728425601</v>
      </c>
      <c r="Q667" s="17" t="s">
        <v>31</v>
      </c>
      <c r="R667" s="5" t="str">
        <f aca="false">IF(OR(Q667="Steel plate",Q667="Concrete jacket"),"Steel plate or jacket",Q667)</f>
        <v>Polymer laminate</v>
      </c>
      <c r="S667" s="5" t="str">
        <f aca="false">IF(O667&lt;='Tree rules'!$C$4,IF(N667&lt;='Tree rules'!$C$5,IF(P667&lt;='Tree rules'!$C$6,"Monitor","Polymer laminate"),IF(P667&lt;='Tree rules'!$C$7,"Seal cracks","Polymer laminate")),IF(O667&lt;='Tree rules'!$C$8,IF(M667&lt;='Tree rules'!$C$9,"Steel plate or jacket","Polymer laminate"),IF(L667&lt;='Tree rules'!$C$10,"Steel plate or jacket","Polymer laminate")))</f>
        <v>Polymer laminate</v>
      </c>
      <c r="T667" s="5" t="str">
        <f aca="false">IF(S667=R667,"Yes","No")</f>
        <v>Yes</v>
      </c>
    </row>
    <row r="668" customFormat="false" ht="15" hidden="false" customHeight="false" outlineLevel="0" collapsed="false">
      <c r="A668" s="15" t="n">
        <v>2222</v>
      </c>
      <c r="B668" s="16" t="n">
        <v>6.90272522876262</v>
      </c>
      <c r="C668" s="15" t="n">
        <v>300</v>
      </c>
      <c r="D668" s="15" t="n">
        <v>600</v>
      </c>
      <c r="E668" s="15" t="n">
        <v>20</v>
      </c>
      <c r="F668" s="16" t="n">
        <v>0.569129103911194</v>
      </c>
      <c r="G668" s="17" t="s">
        <v>91</v>
      </c>
      <c r="H668" s="18" t="n">
        <v>0.2</v>
      </c>
      <c r="I668" s="18" t="n">
        <v>1</v>
      </c>
      <c r="J668" s="19" t="n">
        <v>0.857025254535649</v>
      </c>
      <c r="K668" s="19" t="n">
        <v>0.579214085750679</v>
      </c>
      <c r="L668" s="16" t="n">
        <v>12.5049370086279</v>
      </c>
      <c r="M668" s="19" t="n">
        <v>0.894592995803756</v>
      </c>
      <c r="N668" s="19" t="n">
        <v>0.914865251199128</v>
      </c>
      <c r="O668" s="19" t="n">
        <v>0.857025254535649</v>
      </c>
      <c r="P668" s="19" t="n">
        <v>0.383216570562183</v>
      </c>
      <c r="Q668" s="17" t="s">
        <v>29</v>
      </c>
      <c r="R668" s="5" t="str">
        <f aca="false">IF(OR(Q668="Steel plate",Q668="Concrete jacket"),"Steel plate or jacket",Q668)</f>
        <v>Monitor</v>
      </c>
      <c r="S668" s="5" t="str">
        <f aca="false">IF(O668&lt;='Tree rules'!$C$4,IF(N668&lt;='Tree rules'!$C$5,IF(P668&lt;='Tree rules'!$C$6,"Monitor","Polymer laminate"),IF(P668&lt;='Tree rules'!$C$7,"Seal cracks","Polymer laminate")),IF(O668&lt;='Tree rules'!$C$8,IF(M668&lt;='Tree rules'!$C$9,"Steel plate or jacket","Polymer laminate"),IF(L668&lt;='Tree rules'!$C$10,"Steel plate or jacket","Polymer laminate")))</f>
        <v>Monitor</v>
      </c>
      <c r="T668" s="5" t="str">
        <f aca="false">IF(S668=R668,"Yes","No")</f>
        <v>Yes</v>
      </c>
    </row>
    <row r="669" customFormat="false" ht="15" hidden="false" customHeight="false" outlineLevel="0" collapsed="false">
      <c r="A669" s="15" t="n">
        <v>2230</v>
      </c>
      <c r="B669" s="16" t="n">
        <v>3.28740145515109</v>
      </c>
      <c r="C669" s="15" t="n">
        <v>300</v>
      </c>
      <c r="D669" s="15" t="n">
        <v>300</v>
      </c>
      <c r="E669" s="15" t="n">
        <v>25</v>
      </c>
      <c r="F669" s="16" t="n">
        <v>0.589048622548086</v>
      </c>
      <c r="G669" s="17" t="s">
        <v>91</v>
      </c>
      <c r="H669" s="18" t="n">
        <v>0.2</v>
      </c>
      <c r="I669" s="18" t="n">
        <v>1</v>
      </c>
      <c r="J669" s="19" t="n">
        <v>0.864449667383568</v>
      </c>
      <c r="K669" s="19" t="n">
        <v>0.514373335758785</v>
      </c>
      <c r="L669" s="16" t="n">
        <v>12.8414119341839</v>
      </c>
      <c r="M669" s="19" t="n">
        <v>0.847948438840708</v>
      </c>
      <c r="N669" s="19" t="n">
        <v>0.848958937970578</v>
      </c>
      <c r="O669" s="19" t="n">
        <v>0.864449667383568</v>
      </c>
      <c r="P669" s="19" t="n">
        <v>0.300263620859649</v>
      </c>
      <c r="Q669" s="17" t="s">
        <v>29</v>
      </c>
      <c r="R669" s="5" t="str">
        <f aca="false">IF(OR(Q669="Steel plate",Q669="Concrete jacket"),"Steel plate or jacket",Q669)</f>
        <v>Monitor</v>
      </c>
      <c r="S669" s="5" t="str">
        <f aca="false">IF(O669&lt;='Tree rules'!$C$4,IF(N669&lt;='Tree rules'!$C$5,IF(P669&lt;='Tree rules'!$C$6,"Monitor","Polymer laminate"),IF(P669&lt;='Tree rules'!$C$7,"Seal cracks","Polymer laminate")),IF(O669&lt;='Tree rules'!$C$8,IF(M669&lt;='Tree rules'!$C$9,"Steel plate or jacket","Polymer laminate"),IF(L669&lt;='Tree rules'!$C$10,"Steel plate or jacket","Polymer laminate")))</f>
        <v>Monitor</v>
      </c>
      <c r="T669" s="5" t="str">
        <f aca="false">IF(S669=R669,"Yes","No")</f>
        <v>Yes</v>
      </c>
    </row>
    <row r="670" customFormat="false" ht="15" hidden="false" customHeight="false" outlineLevel="0" collapsed="false">
      <c r="A670" s="15" t="n">
        <v>2231</v>
      </c>
      <c r="B670" s="16" t="n">
        <v>6.64474979250889</v>
      </c>
      <c r="C670" s="15" t="n">
        <v>300</v>
      </c>
      <c r="D670" s="15" t="n">
        <v>600</v>
      </c>
      <c r="E670" s="15" t="n">
        <v>30</v>
      </c>
      <c r="F670" s="16" t="n">
        <v>0.758838805214926</v>
      </c>
      <c r="G670" s="17" t="s">
        <v>91</v>
      </c>
      <c r="H670" s="18" t="n">
        <v>0.2</v>
      </c>
      <c r="I670" s="18" t="n">
        <v>1</v>
      </c>
      <c r="J670" s="19" t="n">
        <v>0.933068098728079</v>
      </c>
      <c r="K670" s="19" t="n">
        <v>0.538217682555479</v>
      </c>
      <c r="L670" s="16" t="n">
        <v>12.0375902038205</v>
      </c>
      <c r="M670" s="19" t="n">
        <v>0.506619819064233</v>
      </c>
      <c r="N670" s="19" t="n">
        <v>0.998712511596603</v>
      </c>
      <c r="O670" s="19" t="n">
        <v>0.933068098728079</v>
      </c>
      <c r="P670" s="19" t="n">
        <v>0.710771563878631</v>
      </c>
      <c r="Q670" s="17" t="s">
        <v>29</v>
      </c>
      <c r="R670" s="5" t="str">
        <f aca="false">IF(OR(Q670="Steel plate",Q670="Concrete jacket"),"Steel plate or jacket",Q670)</f>
        <v>Monitor</v>
      </c>
      <c r="S670" s="5" t="str">
        <f aca="false">IF(O670&lt;='Tree rules'!$C$4,IF(N670&lt;='Tree rules'!$C$5,IF(P670&lt;='Tree rules'!$C$6,"Monitor","Polymer laminate"),IF(P670&lt;='Tree rules'!$C$7,"Seal cracks","Polymer laminate")),IF(O670&lt;='Tree rules'!$C$8,IF(M670&lt;='Tree rules'!$C$9,"Steel plate or jacket","Polymer laminate"),IF(L670&lt;='Tree rules'!$C$10,"Steel plate or jacket","Polymer laminate")))</f>
        <v>Monitor</v>
      </c>
      <c r="T670" s="5" t="str">
        <f aca="false">IF(S670=R670,"Yes","No")</f>
        <v>Yes</v>
      </c>
    </row>
    <row r="671" customFormat="false" ht="15" hidden="false" customHeight="false" outlineLevel="0" collapsed="false">
      <c r="A671" s="15" t="n">
        <v>2235</v>
      </c>
      <c r="B671" s="16" t="n">
        <v>4.03104770489528</v>
      </c>
      <c r="C671" s="15" t="n">
        <v>300</v>
      </c>
      <c r="D671" s="15" t="n">
        <v>375</v>
      </c>
      <c r="E671" s="15" t="n">
        <v>30</v>
      </c>
      <c r="F671" s="16" t="n">
        <v>0.569472988566126</v>
      </c>
      <c r="G671" s="17" t="s">
        <v>91</v>
      </c>
      <c r="H671" s="18" t="n">
        <v>0.2</v>
      </c>
      <c r="I671" s="18" t="n">
        <v>1</v>
      </c>
      <c r="J671" s="19" t="n">
        <v>0.950775216053673</v>
      </c>
      <c r="K671" s="19" t="n">
        <v>0.498195005737519</v>
      </c>
      <c r="L671" s="16" t="n">
        <v>12.1783918576897</v>
      </c>
      <c r="M671" s="19" t="n">
        <v>0.695921539780699</v>
      </c>
      <c r="N671" s="19" t="n">
        <v>0.919008642760369</v>
      </c>
      <c r="O671" s="19" t="n">
        <v>0.950775216053673</v>
      </c>
      <c r="P671" s="19" t="n">
        <v>0.369578683433632</v>
      </c>
      <c r="Q671" s="17" t="s">
        <v>29</v>
      </c>
      <c r="R671" s="5" t="str">
        <f aca="false">IF(OR(Q671="Steel plate",Q671="Concrete jacket"),"Steel plate or jacket",Q671)</f>
        <v>Monitor</v>
      </c>
      <c r="S671" s="5" t="str">
        <f aca="false">IF(O671&lt;='Tree rules'!$C$4,IF(N671&lt;='Tree rules'!$C$5,IF(P671&lt;='Tree rules'!$C$6,"Monitor","Polymer laminate"),IF(P671&lt;='Tree rules'!$C$7,"Seal cracks","Polymer laminate")),IF(O671&lt;='Tree rules'!$C$8,IF(M671&lt;='Tree rules'!$C$9,"Steel plate or jacket","Polymer laminate"),IF(L671&lt;='Tree rules'!$C$10,"Steel plate or jacket","Polymer laminate")))</f>
        <v>Monitor</v>
      </c>
      <c r="T671" s="5" t="str">
        <f aca="false">IF(S671=R671,"Yes","No")</f>
        <v>Yes</v>
      </c>
    </row>
    <row r="672" customFormat="false" ht="15" hidden="false" customHeight="false" outlineLevel="0" collapsed="false">
      <c r="A672" s="15" t="n">
        <v>2239</v>
      </c>
      <c r="B672" s="16" t="n">
        <v>6.32735436881517</v>
      </c>
      <c r="C672" s="15" t="n">
        <v>300</v>
      </c>
      <c r="D672" s="15" t="n">
        <v>550</v>
      </c>
      <c r="E672" s="15" t="n">
        <v>20</v>
      </c>
      <c r="F672" s="16" t="n">
        <v>0.664887334093078</v>
      </c>
      <c r="G672" s="17" t="s">
        <v>91</v>
      </c>
      <c r="H672" s="18" t="n">
        <v>0.2</v>
      </c>
      <c r="I672" s="18" t="n">
        <v>2</v>
      </c>
      <c r="J672" s="19" t="n">
        <v>0.895622510101709</v>
      </c>
      <c r="K672" s="19" t="n">
        <v>0.435053868030409</v>
      </c>
      <c r="L672" s="16" t="n">
        <v>12.5542745413</v>
      </c>
      <c r="M672" s="19" t="n">
        <v>0.356011595789591</v>
      </c>
      <c r="N672" s="19" t="n">
        <v>1.41955572988806</v>
      </c>
      <c r="O672" s="19" t="n">
        <v>1.40160098288857</v>
      </c>
      <c r="P672" s="19" t="n">
        <v>1.20768567664149</v>
      </c>
      <c r="Q672" s="17" t="s">
        <v>92</v>
      </c>
      <c r="R672" s="5" t="str">
        <f aca="false">IF(OR(Q672="Steel plate",Q672="Concrete jacket"),"Steel plate or jacket",Q672)</f>
        <v>Steel plate or jacket</v>
      </c>
      <c r="S672" s="5" t="str">
        <f aca="false">IF(O672&lt;='Tree rules'!$C$4,IF(N672&lt;='Tree rules'!$C$5,IF(P672&lt;='Tree rules'!$C$6,"Monitor","Polymer laminate"),IF(P672&lt;='Tree rules'!$C$7,"Seal cracks","Polymer laminate")),IF(O672&lt;='Tree rules'!$C$8,IF(M672&lt;='Tree rules'!$C$9,"Steel plate or jacket","Polymer laminate"),IF(L672&lt;='Tree rules'!$C$10,"Steel plate or jacket","Polymer laminate")))</f>
        <v>Steel plate or jacket</v>
      </c>
      <c r="T672" s="5" t="str">
        <f aca="false">IF(S672=R672,"Yes","No")</f>
        <v>Yes</v>
      </c>
    </row>
    <row r="673" customFormat="false" ht="15" hidden="false" customHeight="false" outlineLevel="0" collapsed="false">
      <c r="A673" s="15" t="n">
        <v>2243</v>
      </c>
      <c r="B673" s="16" t="n">
        <v>3.06389470277165</v>
      </c>
      <c r="C673" s="15" t="n">
        <v>300</v>
      </c>
      <c r="D673" s="15" t="n">
        <v>300</v>
      </c>
      <c r="E673" s="15" t="n">
        <v>30</v>
      </c>
      <c r="F673" s="16" t="n">
        <v>0.736310778185108</v>
      </c>
      <c r="G673" s="17" t="s">
        <v>89</v>
      </c>
      <c r="H673" s="18" t="n">
        <v>0.3</v>
      </c>
      <c r="I673" s="18" t="n">
        <v>2</v>
      </c>
      <c r="J673" s="19" t="n">
        <v>0.98011986842098</v>
      </c>
      <c r="K673" s="19" t="n">
        <v>0.48448283497352</v>
      </c>
      <c r="L673" s="16" t="n">
        <v>11.9683386827018</v>
      </c>
      <c r="M673" s="19" t="n">
        <v>0.692416962596767</v>
      </c>
      <c r="N673" s="19" t="n">
        <v>1.04390132874977</v>
      </c>
      <c r="O673" s="19" t="n">
        <v>1.48538848437549</v>
      </c>
      <c r="P673" s="19" t="n">
        <v>0.52692484781955</v>
      </c>
      <c r="Q673" s="17" t="s">
        <v>31</v>
      </c>
      <c r="R673" s="5" t="str">
        <f aca="false">IF(OR(Q673="Steel plate",Q673="Concrete jacket"),"Steel plate or jacket",Q673)</f>
        <v>Polymer laminate</v>
      </c>
      <c r="S673" s="5" t="str">
        <f aca="false">IF(O673&lt;='Tree rules'!$C$4,IF(N673&lt;='Tree rules'!$C$5,IF(P673&lt;='Tree rules'!$C$6,"Monitor","Polymer laminate"),IF(P673&lt;='Tree rules'!$C$7,"Seal cracks","Polymer laminate")),IF(O673&lt;='Tree rules'!$C$8,IF(M673&lt;='Tree rules'!$C$9,"Steel plate or jacket","Polymer laminate"),IF(L673&lt;='Tree rules'!$C$10,"Steel plate or jacket","Polymer laminate")))</f>
        <v>Steel plate or jacket</v>
      </c>
      <c r="T673" s="5" t="str">
        <f aca="false">IF(S673=R673,"Yes","No")</f>
        <v>No</v>
      </c>
    </row>
    <row r="674" customFormat="false" ht="15" hidden="false" customHeight="false" outlineLevel="0" collapsed="false">
      <c r="A674" s="15" t="n">
        <v>2246</v>
      </c>
      <c r="B674" s="16" t="n">
        <v>6.13441419970896</v>
      </c>
      <c r="C674" s="15" t="n">
        <v>230</v>
      </c>
      <c r="D674" s="15" t="n">
        <v>525</v>
      </c>
      <c r="E674" s="15" t="n">
        <v>30</v>
      </c>
      <c r="F674" s="16" t="n">
        <v>0.730006099046008</v>
      </c>
      <c r="G674" s="17" t="s">
        <v>89</v>
      </c>
      <c r="H674" s="18" t="n">
        <v>0.3</v>
      </c>
      <c r="I674" s="18" t="n">
        <v>1</v>
      </c>
      <c r="J674" s="19" t="n">
        <v>0.959301023569881</v>
      </c>
      <c r="K674" s="19" t="n">
        <v>0.4240391750457</v>
      </c>
      <c r="L674" s="16" t="n">
        <v>12.8067102290375</v>
      </c>
      <c r="M674" s="19" t="n">
        <v>0.747064649701662</v>
      </c>
      <c r="N674" s="19" t="n">
        <v>0.600319317093121</v>
      </c>
      <c r="O674" s="19" t="n">
        <v>0.959301023569881</v>
      </c>
      <c r="P674" s="19" t="n">
        <v>0.469910053863514</v>
      </c>
      <c r="Q674" s="17" t="s">
        <v>29</v>
      </c>
      <c r="R674" s="5" t="str">
        <f aca="false">IF(OR(Q674="Steel plate",Q674="Concrete jacket"),"Steel plate or jacket",Q674)</f>
        <v>Monitor</v>
      </c>
      <c r="S674" s="5" t="str">
        <f aca="false">IF(O674&lt;='Tree rules'!$C$4,IF(N674&lt;='Tree rules'!$C$5,IF(P674&lt;='Tree rules'!$C$6,"Monitor","Polymer laminate"),IF(P674&lt;='Tree rules'!$C$7,"Seal cracks","Polymer laminate")),IF(O674&lt;='Tree rules'!$C$8,IF(M674&lt;='Tree rules'!$C$9,"Steel plate or jacket","Polymer laminate"),IF(L674&lt;='Tree rules'!$C$10,"Steel plate or jacket","Polymer laminate")))</f>
        <v>Monitor</v>
      </c>
      <c r="T674" s="5" t="str">
        <f aca="false">IF(S674=R674,"Yes","No")</f>
        <v>Yes</v>
      </c>
    </row>
    <row r="675" customFormat="false" ht="15" hidden="false" customHeight="false" outlineLevel="0" collapsed="false">
      <c r="A675" s="15" t="n">
        <v>2250</v>
      </c>
      <c r="B675" s="16" t="n">
        <v>5.97193044022084</v>
      </c>
      <c r="C675" s="15" t="n">
        <v>230</v>
      </c>
      <c r="D675" s="15" t="n">
        <v>500</v>
      </c>
      <c r="E675" s="15" t="n">
        <v>25</v>
      </c>
      <c r="F675" s="16" t="n">
        <v>0.604384889109233</v>
      </c>
      <c r="G675" s="17" t="s">
        <v>89</v>
      </c>
      <c r="H675" s="18" t="n">
        <v>0.3</v>
      </c>
      <c r="I675" s="18" t="n">
        <v>1.5</v>
      </c>
      <c r="J675" s="19" t="n">
        <v>0.977538905622282</v>
      </c>
      <c r="K675" s="19" t="n">
        <v>0.432274561184053</v>
      </c>
      <c r="L675" s="16" t="n">
        <v>13.2122354872142</v>
      </c>
      <c r="M675" s="19" t="n">
        <v>0.575141366294659</v>
      </c>
      <c r="N675" s="19" t="n">
        <v>1.19497567973022</v>
      </c>
      <c r="O675" s="19" t="n">
        <v>1.25502575769932</v>
      </c>
      <c r="P675" s="19" t="n">
        <v>0.642421704535287</v>
      </c>
      <c r="Q675" s="17" t="s">
        <v>31</v>
      </c>
      <c r="R675" s="5" t="str">
        <f aca="false">IF(OR(Q675="Steel plate",Q675="Concrete jacket"),"Steel plate or jacket",Q675)</f>
        <v>Polymer laminate</v>
      </c>
      <c r="S675" s="5" t="str">
        <f aca="false">IF(O675&lt;='Tree rules'!$C$4,IF(N675&lt;='Tree rules'!$C$5,IF(P675&lt;='Tree rules'!$C$6,"Monitor","Polymer laminate"),IF(P675&lt;='Tree rules'!$C$7,"Seal cracks","Polymer laminate")),IF(O675&lt;='Tree rules'!$C$8,IF(M675&lt;='Tree rules'!$C$9,"Steel plate or jacket","Polymer laminate"),IF(L675&lt;='Tree rules'!$C$10,"Steel plate or jacket","Polymer laminate")))</f>
        <v>Polymer laminate</v>
      </c>
      <c r="T675" s="5" t="str">
        <f aca="false">IF(S675=R675,"Yes","No")</f>
        <v>Yes</v>
      </c>
    </row>
    <row r="676" customFormat="false" ht="15" hidden="false" customHeight="false" outlineLevel="0" collapsed="false">
      <c r="A676" s="15" t="n">
        <v>2251</v>
      </c>
      <c r="B676" s="16" t="n">
        <v>6.2186981859518</v>
      </c>
      <c r="C676" s="15" t="n">
        <v>300</v>
      </c>
      <c r="D676" s="15" t="n">
        <v>575</v>
      </c>
      <c r="E676" s="15" t="n">
        <v>25</v>
      </c>
      <c r="F676" s="16" t="n">
        <v>0.79483685100311</v>
      </c>
      <c r="G676" s="17" t="s">
        <v>91</v>
      </c>
      <c r="H676" s="18" t="n">
        <v>0.2</v>
      </c>
      <c r="I676" s="18" t="n">
        <v>1</v>
      </c>
      <c r="J676" s="19" t="n">
        <v>0.881730154996476</v>
      </c>
      <c r="K676" s="19" t="n">
        <v>0.644812214590455</v>
      </c>
      <c r="L676" s="16" t="n">
        <v>11.800186311104</v>
      </c>
      <c r="M676" s="19" t="n">
        <v>0.931592027227509</v>
      </c>
      <c r="N676" s="19" t="n">
        <v>0.842849528933502</v>
      </c>
      <c r="O676" s="19" t="n">
        <v>0.881730154996476</v>
      </c>
      <c r="P676" s="19" t="n">
        <v>0.448323410195186</v>
      </c>
      <c r="Q676" s="17" t="s">
        <v>29</v>
      </c>
      <c r="R676" s="5" t="str">
        <f aca="false">IF(OR(Q676="Steel plate",Q676="Concrete jacket"),"Steel plate or jacket",Q676)</f>
        <v>Monitor</v>
      </c>
      <c r="S676" s="5" t="str">
        <f aca="false">IF(O676&lt;='Tree rules'!$C$4,IF(N676&lt;='Tree rules'!$C$5,IF(P676&lt;='Tree rules'!$C$6,"Monitor","Polymer laminate"),IF(P676&lt;='Tree rules'!$C$7,"Seal cracks","Polymer laminate")),IF(O676&lt;='Tree rules'!$C$8,IF(M676&lt;='Tree rules'!$C$9,"Steel plate or jacket","Polymer laminate"),IF(L676&lt;='Tree rules'!$C$10,"Steel plate or jacket","Polymer laminate")))</f>
        <v>Monitor</v>
      </c>
      <c r="T676" s="5" t="str">
        <f aca="false">IF(S676=R676,"Yes","No")</f>
        <v>Yes</v>
      </c>
    </row>
    <row r="677" customFormat="false" ht="15" hidden="false" customHeight="false" outlineLevel="0" collapsed="false">
      <c r="A677" s="15" t="n">
        <v>2254</v>
      </c>
      <c r="B677" s="16" t="n">
        <v>4.83710448972778</v>
      </c>
      <c r="C677" s="15" t="n">
        <v>300</v>
      </c>
      <c r="D677" s="15" t="n">
        <v>475</v>
      </c>
      <c r="E677" s="15" t="n">
        <v>30</v>
      </c>
      <c r="F677" s="16" t="n">
        <v>1.01669665164718</v>
      </c>
      <c r="G677" s="17" t="s">
        <v>90</v>
      </c>
      <c r="H677" s="18" t="n">
        <v>0.1</v>
      </c>
      <c r="I677" s="18" t="n">
        <v>2</v>
      </c>
      <c r="J677" s="19" t="n">
        <v>0.879149365863958</v>
      </c>
      <c r="K677" s="19" t="n">
        <v>0.598385051121442</v>
      </c>
      <c r="L677" s="16" t="n">
        <v>11.7405448779801</v>
      </c>
      <c r="M677" s="19" t="n">
        <v>0.521011387396452</v>
      </c>
      <c r="N677" s="19" t="n">
        <v>3.48451951186411</v>
      </c>
      <c r="O677" s="19" t="n">
        <v>1.23222889349203</v>
      </c>
      <c r="P677" s="19" t="n">
        <v>0.856463799533812</v>
      </c>
      <c r="Q677" s="17" t="s">
        <v>31</v>
      </c>
      <c r="R677" s="5" t="str">
        <f aca="false">IF(OR(Q677="Steel plate",Q677="Concrete jacket"),"Steel plate or jacket",Q677)</f>
        <v>Polymer laminate</v>
      </c>
      <c r="S677" s="5" t="str">
        <f aca="false">IF(O677&lt;='Tree rules'!$C$4,IF(N677&lt;='Tree rules'!$C$5,IF(P677&lt;='Tree rules'!$C$6,"Monitor","Polymer laminate"),IF(P677&lt;='Tree rules'!$C$7,"Seal cracks","Polymer laminate")),IF(O677&lt;='Tree rules'!$C$8,IF(M677&lt;='Tree rules'!$C$9,"Steel plate or jacket","Polymer laminate"),IF(L677&lt;='Tree rules'!$C$10,"Steel plate or jacket","Polymer laminate")))</f>
        <v>Polymer laminate</v>
      </c>
      <c r="T677" s="5" t="str">
        <f aca="false">IF(S677=R677,"Yes","No")</f>
        <v>Yes</v>
      </c>
    </row>
    <row r="678" customFormat="false" ht="15" hidden="false" customHeight="false" outlineLevel="0" collapsed="false">
      <c r="A678" s="15" t="n">
        <v>2260</v>
      </c>
      <c r="B678" s="16" t="n">
        <v>6.82406583726526</v>
      </c>
      <c r="C678" s="15" t="n">
        <v>230</v>
      </c>
      <c r="D678" s="15" t="n">
        <v>625</v>
      </c>
      <c r="E678" s="15" t="n">
        <v>20</v>
      </c>
      <c r="F678" s="16" t="n">
        <v>0.710178431223674</v>
      </c>
      <c r="G678" s="17" t="s">
        <v>89</v>
      </c>
      <c r="H678" s="18" t="n">
        <v>0.3</v>
      </c>
      <c r="I678" s="18" t="n">
        <v>1</v>
      </c>
      <c r="J678" s="19" t="n">
        <v>0.977192803671114</v>
      </c>
      <c r="K678" s="19" t="n">
        <v>0.405180160038539</v>
      </c>
      <c r="L678" s="16" t="n">
        <v>11.8268038774095</v>
      </c>
      <c r="M678" s="19" t="n">
        <v>0.937987377291471</v>
      </c>
      <c r="N678" s="19" t="n">
        <v>0.610858180207474</v>
      </c>
      <c r="O678" s="19" t="n">
        <v>0.977192803671114</v>
      </c>
      <c r="P678" s="19" t="n">
        <v>0.404199273530313</v>
      </c>
      <c r="Q678" s="17" t="s">
        <v>29</v>
      </c>
      <c r="R678" s="5" t="str">
        <f aca="false">IF(OR(Q678="Steel plate",Q678="Concrete jacket"),"Steel plate or jacket",Q678)</f>
        <v>Monitor</v>
      </c>
      <c r="S678" s="5" t="str">
        <f aca="false">IF(O678&lt;='Tree rules'!$C$4,IF(N678&lt;='Tree rules'!$C$5,IF(P678&lt;='Tree rules'!$C$6,"Monitor","Polymer laminate"),IF(P678&lt;='Tree rules'!$C$7,"Seal cracks","Polymer laminate")),IF(O678&lt;='Tree rules'!$C$8,IF(M678&lt;='Tree rules'!$C$9,"Steel plate or jacket","Polymer laminate"),IF(L678&lt;='Tree rules'!$C$10,"Steel plate or jacket","Polymer laminate")))</f>
        <v>Monitor</v>
      </c>
      <c r="T678" s="5" t="str">
        <f aca="false">IF(S678=R678,"Yes","No")</f>
        <v>Yes</v>
      </c>
    </row>
    <row r="679" customFormat="false" ht="15" hidden="false" customHeight="false" outlineLevel="0" collapsed="false">
      <c r="A679" s="15" t="n">
        <v>2261</v>
      </c>
      <c r="B679" s="16" t="n">
        <v>5.48115569498362</v>
      </c>
      <c r="C679" s="15" t="n">
        <v>300</v>
      </c>
      <c r="D679" s="15" t="n">
        <v>550</v>
      </c>
      <c r="E679" s="15" t="n">
        <v>25</v>
      </c>
      <c r="F679" s="16" t="n">
        <v>0.664887334093078</v>
      </c>
      <c r="G679" s="17" t="s">
        <v>91</v>
      </c>
      <c r="H679" s="18" t="n">
        <v>0.2</v>
      </c>
      <c r="I679" s="18" t="n">
        <v>1.5</v>
      </c>
      <c r="J679" s="19" t="n">
        <v>0.899008076905172</v>
      </c>
      <c r="K679" s="19" t="n">
        <v>0.515830324803577</v>
      </c>
      <c r="L679" s="16" t="n">
        <v>10.8753089186183</v>
      </c>
      <c r="M679" s="19" t="n">
        <v>0.938283000111445</v>
      </c>
      <c r="N679" s="19" t="n">
        <v>1.0199075924805</v>
      </c>
      <c r="O679" s="19" t="n">
        <v>1.11664430120224</v>
      </c>
      <c r="P679" s="19" t="n">
        <v>0.370072319444075</v>
      </c>
      <c r="Q679" s="17" t="s">
        <v>31</v>
      </c>
      <c r="R679" s="5" t="str">
        <f aca="false">IF(OR(Q679="Steel plate",Q679="Concrete jacket"),"Steel plate or jacket",Q679)</f>
        <v>Polymer laminate</v>
      </c>
      <c r="S679" s="5" t="str">
        <f aca="false">IF(O679&lt;='Tree rules'!$C$4,IF(N679&lt;='Tree rules'!$C$5,IF(P679&lt;='Tree rules'!$C$6,"Monitor","Polymer laminate"),IF(P679&lt;='Tree rules'!$C$7,"Seal cracks","Polymer laminate")),IF(O679&lt;='Tree rules'!$C$8,IF(M679&lt;='Tree rules'!$C$9,"Steel plate or jacket","Polymer laminate"),IF(L679&lt;='Tree rules'!$C$10,"Steel plate or jacket","Polymer laminate")))</f>
        <v>Polymer laminate</v>
      </c>
      <c r="T679" s="5" t="str">
        <f aca="false">IF(S679=R679,"Yes","No")</f>
        <v>Yes</v>
      </c>
    </row>
    <row r="680" customFormat="false" ht="15" hidden="false" customHeight="false" outlineLevel="0" collapsed="false">
      <c r="A680" s="15" t="n">
        <v>2263</v>
      </c>
      <c r="B680" s="16" t="n">
        <v>5.12270723098516</v>
      </c>
      <c r="C680" s="15" t="n">
        <v>300</v>
      </c>
      <c r="D680" s="15" t="n">
        <v>475</v>
      </c>
      <c r="E680" s="15" t="n">
        <v>30</v>
      </c>
      <c r="F680" s="16" t="n">
        <v>0.735735984447258</v>
      </c>
      <c r="G680" s="17" t="s">
        <v>91</v>
      </c>
      <c r="H680" s="18" t="n">
        <v>0.2</v>
      </c>
      <c r="I680" s="18" t="n">
        <v>1</v>
      </c>
      <c r="J680" s="19" t="n">
        <v>0.915282019386207</v>
      </c>
      <c r="K680" s="19" t="n">
        <v>0.525383705707531</v>
      </c>
      <c r="L680" s="16" t="n">
        <v>11.9969724379044</v>
      </c>
      <c r="M680" s="19" t="n">
        <v>0.774221719903777</v>
      </c>
      <c r="N680" s="19" t="n">
        <v>1.08711369509466</v>
      </c>
      <c r="O680" s="19" t="n">
        <v>0.915282019386207</v>
      </c>
      <c r="P680" s="19" t="n">
        <v>0.431537796920285</v>
      </c>
      <c r="Q680" s="17" t="s">
        <v>30</v>
      </c>
      <c r="R680" s="5" t="str">
        <f aca="false">IF(OR(Q680="Steel plate",Q680="Concrete jacket"),"Steel plate or jacket",Q680)</f>
        <v>Seal cracks</v>
      </c>
      <c r="S680" s="5" t="str">
        <f aca="false">IF(O680&lt;='Tree rules'!$C$4,IF(N680&lt;='Tree rules'!$C$5,IF(P680&lt;='Tree rules'!$C$6,"Monitor","Polymer laminate"),IF(P680&lt;='Tree rules'!$C$7,"Seal cracks","Polymer laminate")),IF(O680&lt;='Tree rules'!$C$8,IF(M680&lt;='Tree rules'!$C$9,"Steel plate or jacket","Polymer laminate"),IF(L680&lt;='Tree rules'!$C$10,"Steel plate or jacket","Polymer laminate")))</f>
        <v>Seal cracks</v>
      </c>
      <c r="T680" s="5" t="str">
        <f aca="false">IF(S680=R680,"Yes","No")</f>
        <v>Yes</v>
      </c>
    </row>
    <row r="681" customFormat="false" ht="15" hidden="false" customHeight="false" outlineLevel="0" collapsed="false">
      <c r="A681" s="15" t="n">
        <v>2266</v>
      </c>
      <c r="B681" s="16" t="n">
        <v>7.20672809507927</v>
      </c>
      <c r="C681" s="15" t="n">
        <v>300</v>
      </c>
      <c r="D681" s="15" t="n">
        <v>650</v>
      </c>
      <c r="E681" s="15" t="n">
        <v>20</v>
      </c>
      <c r="F681" s="16" t="n">
        <v>0.713592879861395</v>
      </c>
      <c r="G681" s="17" t="s">
        <v>90</v>
      </c>
      <c r="H681" s="18" t="n">
        <v>0.1</v>
      </c>
      <c r="I681" s="18" t="n">
        <v>2</v>
      </c>
      <c r="J681" s="19" t="n">
        <v>0.895666704498583</v>
      </c>
      <c r="K681" s="19" t="n">
        <v>0.433275267621294</v>
      </c>
      <c r="L681" s="16" t="n">
        <v>12.2772199234741</v>
      </c>
      <c r="M681" s="19" t="n">
        <v>0.361718322284119</v>
      </c>
      <c r="N681" s="19" t="n">
        <v>3.80882461598975</v>
      </c>
      <c r="O681" s="19" t="n">
        <v>1.40326317790606</v>
      </c>
      <c r="P681" s="19" t="n">
        <v>1.17784276968674</v>
      </c>
      <c r="Q681" s="17" t="s">
        <v>92</v>
      </c>
      <c r="R681" s="5" t="str">
        <f aca="false">IF(OR(Q681="Steel plate",Q681="Concrete jacket"),"Steel plate or jacket",Q681)</f>
        <v>Steel plate or jacket</v>
      </c>
      <c r="S681" s="5" t="str">
        <f aca="false">IF(O681&lt;='Tree rules'!$C$4,IF(N681&lt;='Tree rules'!$C$5,IF(P681&lt;='Tree rules'!$C$6,"Monitor","Polymer laminate"),IF(P681&lt;='Tree rules'!$C$7,"Seal cracks","Polymer laminate")),IF(O681&lt;='Tree rules'!$C$8,IF(M681&lt;='Tree rules'!$C$9,"Steel plate or jacket","Polymer laminate"),IF(L681&lt;='Tree rules'!$C$10,"Steel plate or jacket","Polymer laminate")))</f>
        <v>Steel plate or jacket</v>
      </c>
      <c r="T681" s="5" t="str">
        <f aca="false">IF(S681=R681,"Yes","No")</f>
        <v>Yes</v>
      </c>
    </row>
    <row r="682" customFormat="false" ht="15" hidden="false" customHeight="false" outlineLevel="0" collapsed="false">
      <c r="A682" s="15" t="n">
        <v>2267</v>
      </c>
      <c r="B682" s="16" t="n">
        <v>3.75643088538336</v>
      </c>
      <c r="C682" s="15" t="n">
        <v>300</v>
      </c>
      <c r="D682" s="15" t="n">
        <v>375</v>
      </c>
      <c r="E682" s="15" t="n">
        <v>30</v>
      </c>
      <c r="F682" s="16" t="n">
        <v>0.814840647739602</v>
      </c>
      <c r="G682" s="17" t="s">
        <v>89</v>
      </c>
      <c r="H682" s="18" t="n">
        <v>0.3</v>
      </c>
      <c r="I682" s="18" t="n">
        <v>1</v>
      </c>
      <c r="J682" s="19" t="n">
        <v>0.906693511397065</v>
      </c>
      <c r="K682" s="19" t="n">
        <v>0.483258770146704</v>
      </c>
      <c r="L682" s="16" t="n">
        <v>11.4177230558765</v>
      </c>
      <c r="M682" s="19" t="n">
        <v>0.833850253197039</v>
      </c>
      <c r="N682" s="19" t="n">
        <v>0.627274190108309</v>
      </c>
      <c r="O682" s="19" t="n">
        <v>0.906693511397065</v>
      </c>
      <c r="P682" s="19" t="n">
        <v>0.373846775601252</v>
      </c>
      <c r="Q682" s="17" t="s">
        <v>29</v>
      </c>
      <c r="R682" s="5" t="str">
        <f aca="false">IF(OR(Q682="Steel plate",Q682="Concrete jacket"),"Steel plate or jacket",Q682)</f>
        <v>Monitor</v>
      </c>
      <c r="S682" s="5" t="str">
        <f aca="false">IF(O682&lt;='Tree rules'!$C$4,IF(N682&lt;='Tree rules'!$C$5,IF(P682&lt;='Tree rules'!$C$6,"Monitor","Polymer laminate"),IF(P682&lt;='Tree rules'!$C$7,"Seal cracks","Polymer laminate")),IF(O682&lt;='Tree rules'!$C$8,IF(M682&lt;='Tree rules'!$C$9,"Steel plate or jacket","Polymer laminate"),IF(L682&lt;='Tree rules'!$C$10,"Steel plate or jacket","Polymer laminate")))</f>
        <v>Monitor</v>
      </c>
      <c r="T682" s="5" t="str">
        <f aca="false">IF(S682=R682,"Yes","No")</f>
        <v>Yes</v>
      </c>
    </row>
    <row r="683" customFormat="false" ht="15" hidden="false" customHeight="false" outlineLevel="0" collapsed="false">
      <c r="A683" s="15" t="n">
        <v>2270</v>
      </c>
      <c r="B683" s="16" t="n">
        <v>3.10439634805004</v>
      </c>
      <c r="C683" s="15" t="n">
        <v>230</v>
      </c>
      <c r="D683" s="15" t="n">
        <v>300</v>
      </c>
      <c r="E683" s="15" t="n">
        <v>25</v>
      </c>
      <c r="F683" s="16" t="n">
        <v>0.688332522525665</v>
      </c>
      <c r="G683" s="17" t="s">
        <v>91</v>
      </c>
      <c r="H683" s="18" t="n">
        <v>0.2</v>
      </c>
      <c r="I683" s="18" t="n">
        <v>1</v>
      </c>
      <c r="J683" s="19" t="n">
        <v>0.990976930304091</v>
      </c>
      <c r="K683" s="19" t="n">
        <v>0.569821269089309</v>
      </c>
      <c r="L683" s="16" t="n">
        <v>12.2220328663388</v>
      </c>
      <c r="M683" s="19" t="n">
        <v>0.632034894868231</v>
      </c>
      <c r="N683" s="19" t="n">
        <v>1.35836226534211</v>
      </c>
      <c r="O683" s="19" t="n">
        <v>0.990976930304091</v>
      </c>
      <c r="P683" s="19" t="n">
        <v>0.485733878622842</v>
      </c>
      <c r="Q683" s="17" t="s">
        <v>30</v>
      </c>
      <c r="R683" s="5" t="str">
        <f aca="false">IF(OR(Q683="Steel plate",Q683="Concrete jacket"),"Steel plate or jacket",Q683)</f>
        <v>Seal cracks</v>
      </c>
      <c r="S683" s="5" t="str">
        <f aca="false">IF(O683&lt;='Tree rules'!$C$4,IF(N683&lt;='Tree rules'!$C$5,IF(P683&lt;='Tree rules'!$C$6,"Monitor","Polymer laminate"),IF(P683&lt;='Tree rules'!$C$7,"Seal cracks","Polymer laminate")),IF(O683&lt;='Tree rules'!$C$8,IF(M683&lt;='Tree rules'!$C$9,"Steel plate or jacket","Polymer laminate"),IF(L683&lt;='Tree rules'!$C$10,"Steel plate or jacket","Polymer laminate")))</f>
        <v>Seal cracks</v>
      </c>
      <c r="T683" s="5" t="str">
        <f aca="false">IF(S683=R683,"Yes","No")</f>
        <v>Yes</v>
      </c>
    </row>
    <row r="684" customFormat="false" ht="15" hidden="false" customHeight="false" outlineLevel="0" collapsed="false">
      <c r="A684" s="15" t="n">
        <v>2282</v>
      </c>
      <c r="B684" s="16" t="n">
        <v>4.62637005798542</v>
      </c>
      <c r="C684" s="15" t="n">
        <v>300</v>
      </c>
      <c r="D684" s="15" t="n">
        <v>425</v>
      </c>
      <c r="E684" s="15" t="n">
        <v>25</v>
      </c>
      <c r="F684" s="16" t="n">
        <v>0.884177351933803</v>
      </c>
      <c r="G684" s="17" t="s">
        <v>91</v>
      </c>
      <c r="H684" s="18" t="n">
        <v>0.2</v>
      </c>
      <c r="I684" s="18" t="n">
        <v>1.5</v>
      </c>
      <c r="J684" s="19" t="n">
        <v>0.867805423366603</v>
      </c>
      <c r="K684" s="19" t="n">
        <v>0.547175399137754</v>
      </c>
      <c r="L684" s="16" t="n">
        <v>12.2067811556343</v>
      </c>
      <c r="M684" s="19" t="n">
        <v>0.644981003141689</v>
      </c>
      <c r="N684" s="19" t="n">
        <v>1.0565864746984</v>
      </c>
      <c r="O684" s="19" t="n">
        <v>1.06428724559764</v>
      </c>
      <c r="P684" s="19" t="n">
        <v>0.66108797452675</v>
      </c>
      <c r="Q684" s="17" t="s">
        <v>31</v>
      </c>
      <c r="R684" s="5" t="str">
        <f aca="false">IF(OR(Q684="Steel plate",Q684="Concrete jacket"),"Steel plate or jacket",Q684)</f>
        <v>Polymer laminate</v>
      </c>
      <c r="S684" s="5" t="str">
        <f aca="false">IF(O684&lt;='Tree rules'!$C$4,IF(N684&lt;='Tree rules'!$C$5,IF(P684&lt;='Tree rules'!$C$6,"Monitor","Polymer laminate"),IF(P684&lt;='Tree rules'!$C$7,"Seal cracks","Polymer laminate")),IF(O684&lt;='Tree rules'!$C$8,IF(M684&lt;='Tree rules'!$C$9,"Steel plate or jacket","Polymer laminate"),IF(L684&lt;='Tree rules'!$C$10,"Steel plate or jacket","Polymer laminate")))</f>
        <v>Polymer laminate</v>
      </c>
      <c r="T684" s="5" t="str">
        <f aca="false">IF(S684=R684,"Yes","No")</f>
        <v>Yes</v>
      </c>
    </row>
    <row r="685" customFormat="false" ht="15" hidden="false" customHeight="false" outlineLevel="0" collapsed="false">
      <c r="A685" s="15" t="n">
        <v>2288</v>
      </c>
      <c r="B685" s="16" t="n">
        <v>6.85998254559466</v>
      </c>
      <c r="C685" s="15" t="n">
        <v>300</v>
      </c>
      <c r="D685" s="15" t="n">
        <v>625</v>
      </c>
      <c r="E685" s="15" t="n">
        <v>20</v>
      </c>
      <c r="F685" s="16" t="n">
        <v>0.694514438099298</v>
      </c>
      <c r="G685" s="17" t="s">
        <v>91</v>
      </c>
      <c r="H685" s="18" t="n">
        <v>0.2</v>
      </c>
      <c r="I685" s="18" t="n">
        <v>1</v>
      </c>
      <c r="J685" s="19" t="n">
        <v>0.954754376732344</v>
      </c>
      <c r="K685" s="19" t="n">
        <v>0.507942578720885</v>
      </c>
      <c r="L685" s="16" t="n">
        <v>11.847983671148</v>
      </c>
      <c r="M685" s="19" t="n">
        <v>0.587417470264788</v>
      </c>
      <c r="N685" s="19" t="n">
        <v>0.860887398558827</v>
      </c>
      <c r="O685" s="19" t="n">
        <v>0.954754376732344</v>
      </c>
      <c r="P685" s="19" t="n">
        <v>0.651384756707564</v>
      </c>
      <c r="Q685" s="17" t="s">
        <v>29</v>
      </c>
      <c r="R685" s="5" t="str">
        <f aca="false">IF(OR(Q685="Steel plate",Q685="Concrete jacket"),"Steel plate or jacket",Q685)</f>
        <v>Monitor</v>
      </c>
      <c r="S685" s="5" t="str">
        <f aca="false">IF(O685&lt;='Tree rules'!$C$4,IF(N685&lt;='Tree rules'!$C$5,IF(P685&lt;='Tree rules'!$C$6,"Monitor","Polymer laminate"),IF(P685&lt;='Tree rules'!$C$7,"Seal cracks","Polymer laminate")),IF(O685&lt;='Tree rules'!$C$8,IF(M685&lt;='Tree rules'!$C$9,"Steel plate or jacket","Polymer laminate"),IF(L685&lt;='Tree rules'!$C$10,"Steel plate or jacket","Polymer laminate")))</f>
        <v>Monitor</v>
      </c>
      <c r="T685" s="5" t="str">
        <f aca="false">IF(S685=R685,"Yes","No")</f>
        <v>Yes</v>
      </c>
    </row>
    <row r="686" customFormat="false" ht="15" hidden="false" customHeight="false" outlineLevel="0" collapsed="false">
      <c r="A686" s="15" t="n">
        <v>2291</v>
      </c>
      <c r="B686" s="16" t="n">
        <v>7.41458177747615</v>
      </c>
      <c r="C686" s="15" t="n">
        <v>300</v>
      </c>
      <c r="D686" s="15" t="n">
        <v>725</v>
      </c>
      <c r="E686" s="15" t="n">
        <v>30</v>
      </c>
      <c r="F686" s="16" t="n">
        <v>0.6187282429522</v>
      </c>
      <c r="G686" s="17" t="s">
        <v>89</v>
      </c>
      <c r="H686" s="18" t="n">
        <v>0.3</v>
      </c>
      <c r="I686" s="18" t="n">
        <v>1.5</v>
      </c>
      <c r="J686" s="19" t="n">
        <v>0.86611911924485</v>
      </c>
      <c r="K686" s="19" t="n">
        <v>0.647864991296712</v>
      </c>
      <c r="L686" s="16" t="n">
        <v>10.9521148854891</v>
      </c>
      <c r="M686" s="19" t="n">
        <v>0.945659151193217</v>
      </c>
      <c r="N686" s="19" t="n">
        <v>0.648505330211067</v>
      </c>
      <c r="O686" s="19" t="n">
        <v>1.01861455104153</v>
      </c>
      <c r="P686" s="19" t="n">
        <v>0.357235227624014</v>
      </c>
      <c r="Q686" s="17" t="s">
        <v>31</v>
      </c>
      <c r="R686" s="5" t="str">
        <f aca="false">IF(OR(Q686="Steel plate",Q686="Concrete jacket"),"Steel plate or jacket",Q686)</f>
        <v>Polymer laminate</v>
      </c>
      <c r="S686" s="5" t="str">
        <f aca="false">IF(O686&lt;='Tree rules'!$C$4,IF(N686&lt;='Tree rules'!$C$5,IF(P686&lt;='Tree rules'!$C$6,"Monitor","Polymer laminate"),IF(P686&lt;='Tree rules'!$C$7,"Seal cracks","Polymer laminate")),IF(O686&lt;='Tree rules'!$C$8,IF(M686&lt;='Tree rules'!$C$9,"Steel plate or jacket","Polymer laminate"),IF(L686&lt;='Tree rules'!$C$10,"Steel plate or jacket","Polymer laminate")))</f>
        <v>Polymer laminate</v>
      </c>
      <c r="T686" s="5" t="str">
        <f aca="false">IF(S686=R686,"Yes","No")</f>
        <v>Yes</v>
      </c>
    </row>
    <row r="687" customFormat="false" ht="15" hidden="false" customHeight="false" outlineLevel="0" collapsed="false">
      <c r="A687" s="15" t="n">
        <v>2292</v>
      </c>
      <c r="B687" s="16" t="n">
        <v>5.41412403710445</v>
      </c>
      <c r="C687" s="15" t="n">
        <v>230</v>
      </c>
      <c r="D687" s="15" t="n">
        <v>425</v>
      </c>
      <c r="E687" s="15" t="n">
        <v>30</v>
      </c>
      <c r="F687" s="16" t="n">
        <v>0.516249391894249</v>
      </c>
      <c r="G687" s="17" t="s">
        <v>89</v>
      </c>
      <c r="H687" s="18" t="n">
        <v>0.3</v>
      </c>
      <c r="I687" s="18" t="n">
        <v>1.5</v>
      </c>
      <c r="J687" s="19" t="n">
        <v>0.968065235708795</v>
      </c>
      <c r="K687" s="19" t="n">
        <v>0.460831409282601</v>
      </c>
      <c r="L687" s="16" t="n">
        <v>14.2102993099854</v>
      </c>
      <c r="M687" s="19" t="n">
        <v>0.772265290969916</v>
      </c>
      <c r="N687" s="19" t="n">
        <v>0.76898564057388</v>
      </c>
      <c r="O687" s="19" t="n">
        <v>1.2290404201386</v>
      </c>
      <c r="P687" s="19" t="n">
        <v>0.41810312806827</v>
      </c>
      <c r="Q687" s="17" t="s">
        <v>31</v>
      </c>
      <c r="R687" s="5" t="str">
        <f aca="false">IF(OR(Q687="Steel plate",Q687="Concrete jacket"),"Steel plate or jacket",Q687)</f>
        <v>Polymer laminate</v>
      </c>
      <c r="S687" s="5" t="str">
        <f aca="false">IF(O687&lt;='Tree rules'!$C$4,IF(N687&lt;='Tree rules'!$C$5,IF(P687&lt;='Tree rules'!$C$6,"Monitor","Polymer laminate"),IF(P687&lt;='Tree rules'!$C$7,"Seal cracks","Polymer laminate")),IF(O687&lt;='Tree rules'!$C$8,IF(M687&lt;='Tree rules'!$C$9,"Steel plate or jacket","Polymer laminate"),IF(L687&lt;='Tree rules'!$C$10,"Steel plate or jacket","Polymer laminate")))</f>
        <v>Polymer laminate</v>
      </c>
      <c r="T687" s="5" t="str">
        <f aca="false">IF(S687=R687,"Yes","No")</f>
        <v>Yes</v>
      </c>
    </row>
    <row r="688" customFormat="false" ht="15" hidden="false" customHeight="false" outlineLevel="0" collapsed="false">
      <c r="A688" s="15" t="n">
        <v>2294</v>
      </c>
      <c r="B688" s="16" t="n">
        <v>7.57894444354366</v>
      </c>
      <c r="C688" s="15" t="n">
        <v>300</v>
      </c>
      <c r="D688" s="15" t="n">
        <v>700</v>
      </c>
      <c r="E688" s="15" t="n">
        <v>20</v>
      </c>
      <c r="F688" s="16" t="n">
        <v>0.642452485396686</v>
      </c>
      <c r="G688" s="17" t="s">
        <v>89</v>
      </c>
      <c r="H688" s="18" t="n">
        <v>0.3</v>
      </c>
      <c r="I688" s="18" t="n">
        <v>2</v>
      </c>
      <c r="J688" s="19" t="n">
        <v>0.908659397900193</v>
      </c>
      <c r="K688" s="19" t="n">
        <v>0.423321130343183</v>
      </c>
      <c r="L688" s="16" t="n">
        <v>11.6241479195455</v>
      </c>
      <c r="M688" s="19" t="n">
        <v>0.563043131473356</v>
      </c>
      <c r="N688" s="19" t="n">
        <v>0.987485443334713</v>
      </c>
      <c r="O688" s="19" t="n">
        <v>1.43266407238432</v>
      </c>
      <c r="P688" s="19" t="n">
        <v>0.74346136174549</v>
      </c>
      <c r="Q688" s="17" t="s">
        <v>92</v>
      </c>
      <c r="R688" s="5" t="str">
        <f aca="false">IF(OR(Q688="Steel plate",Q688="Concrete jacket"),"Steel plate or jacket",Q688)</f>
        <v>Steel plate or jacket</v>
      </c>
      <c r="S688" s="5" t="str">
        <f aca="false">IF(O688&lt;='Tree rules'!$C$4,IF(N688&lt;='Tree rules'!$C$5,IF(P688&lt;='Tree rules'!$C$6,"Monitor","Polymer laminate"),IF(P688&lt;='Tree rules'!$C$7,"Seal cracks","Polymer laminate")),IF(O688&lt;='Tree rules'!$C$8,IF(M688&lt;='Tree rules'!$C$9,"Steel plate or jacket","Polymer laminate"),IF(L688&lt;='Tree rules'!$C$10,"Steel plate or jacket","Polymer laminate")))</f>
        <v>Steel plate or jacket</v>
      </c>
      <c r="T688" s="5" t="str">
        <f aca="false">IF(S688=R688,"Yes","No")</f>
        <v>Yes</v>
      </c>
    </row>
    <row r="689" customFormat="false" ht="15" hidden="false" customHeight="false" outlineLevel="0" collapsed="false">
      <c r="A689" s="15" t="n">
        <v>2301</v>
      </c>
      <c r="B689" s="16" t="n">
        <v>3.31117583707796</v>
      </c>
      <c r="C689" s="15" t="n">
        <v>300</v>
      </c>
      <c r="D689" s="15" t="n">
        <v>300</v>
      </c>
      <c r="E689" s="15" t="n">
        <v>20</v>
      </c>
      <c r="F689" s="16" t="n">
        <v>0.589048622548086</v>
      </c>
      <c r="G689" s="17" t="s">
        <v>89</v>
      </c>
      <c r="H689" s="18" t="n">
        <v>0.3</v>
      </c>
      <c r="I689" s="18" t="n">
        <v>1</v>
      </c>
      <c r="J689" s="19" t="n">
        <v>0.951081401131638</v>
      </c>
      <c r="K689" s="19" t="n">
        <v>0.486872377042899</v>
      </c>
      <c r="L689" s="16" t="n">
        <v>12.9342806135858</v>
      </c>
      <c r="M689" s="19" t="n">
        <v>0.891661466709816</v>
      </c>
      <c r="N689" s="19" t="n">
        <v>0.618962678459531</v>
      </c>
      <c r="O689" s="19" t="n">
        <v>0.951081401131638</v>
      </c>
      <c r="P689" s="19" t="n">
        <v>0.331696727813818</v>
      </c>
      <c r="Q689" s="17" t="s">
        <v>29</v>
      </c>
      <c r="R689" s="5" t="str">
        <f aca="false">IF(OR(Q689="Steel plate",Q689="Concrete jacket"),"Steel plate or jacket",Q689)</f>
        <v>Monitor</v>
      </c>
      <c r="S689" s="5" t="str">
        <f aca="false">IF(O689&lt;='Tree rules'!$C$4,IF(N689&lt;='Tree rules'!$C$5,IF(P689&lt;='Tree rules'!$C$6,"Monitor","Polymer laminate"),IF(P689&lt;='Tree rules'!$C$7,"Seal cracks","Polymer laminate")),IF(O689&lt;='Tree rules'!$C$8,IF(M689&lt;='Tree rules'!$C$9,"Steel plate or jacket","Polymer laminate"),IF(L689&lt;='Tree rules'!$C$10,"Steel plate or jacket","Polymer laminate")))</f>
        <v>Monitor</v>
      </c>
      <c r="T689" s="5" t="str">
        <f aca="false">IF(S689=R689,"Yes","No")</f>
        <v>Yes</v>
      </c>
    </row>
    <row r="690" customFormat="false" ht="15" hidden="false" customHeight="false" outlineLevel="0" collapsed="false">
      <c r="A690" s="15" t="n">
        <v>2305</v>
      </c>
      <c r="B690" s="16" t="n">
        <v>3.08069471589646</v>
      </c>
      <c r="C690" s="15" t="n">
        <v>300</v>
      </c>
      <c r="D690" s="15" t="n">
        <v>300</v>
      </c>
      <c r="E690" s="15" t="n">
        <v>25</v>
      </c>
      <c r="F690" s="16" t="n">
        <v>0.831109167616348</v>
      </c>
      <c r="G690" s="17" t="s">
        <v>91</v>
      </c>
      <c r="H690" s="18" t="n">
        <v>0.2</v>
      </c>
      <c r="I690" s="18" t="n">
        <v>2</v>
      </c>
      <c r="J690" s="19" t="n">
        <v>0.887567281295984</v>
      </c>
      <c r="K690" s="19" t="n">
        <v>0.568678991588212</v>
      </c>
      <c r="L690" s="16" t="n">
        <v>12.2249790313352</v>
      </c>
      <c r="M690" s="19" t="n">
        <v>0.621357606369211</v>
      </c>
      <c r="N690" s="19" t="n">
        <v>2.07757302976016</v>
      </c>
      <c r="O690" s="19" t="n">
        <v>1.27039369609788</v>
      </c>
      <c r="P690" s="19" t="n">
        <v>0.625057032421618</v>
      </c>
      <c r="Q690" s="17" t="s">
        <v>31</v>
      </c>
      <c r="R690" s="5" t="str">
        <f aca="false">IF(OR(Q690="Steel plate",Q690="Concrete jacket"),"Steel plate or jacket",Q690)</f>
        <v>Polymer laminate</v>
      </c>
      <c r="S690" s="5" t="str">
        <f aca="false">IF(O690&lt;='Tree rules'!$C$4,IF(N690&lt;='Tree rules'!$C$5,IF(P690&lt;='Tree rules'!$C$6,"Monitor","Polymer laminate"),IF(P690&lt;='Tree rules'!$C$7,"Seal cracks","Polymer laminate")),IF(O690&lt;='Tree rules'!$C$8,IF(M690&lt;='Tree rules'!$C$9,"Steel plate or jacket","Polymer laminate"),IF(L690&lt;='Tree rules'!$C$10,"Steel plate or jacket","Polymer laminate")))</f>
        <v>Polymer laminate</v>
      </c>
      <c r="T690" s="5" t="str">
        <f aca="false">IF(S690=R690,"Yes","No")</f>
        <v>Yes</v>
      </c>
    </row>
    <row r="691" customFormat="false" ht="15" hidden="false" customHeight="false" outlineLevel="0" collapsed="false">
      <c r="A691" s="15" t="n">
        <v>2310</v>
      </c>
      <c r="B691" s="16" t="n">
        <v>5.04049882776377</v>
      </c>
      <c r="C691" s="15" t="n">
        <v>230</v>
      </c>
      <c r="D691" s="15" t="n">
        <v>425</v>
      </c>
      <c r="E691" s="15" t="n">
        <v>25</v>
      </c>
      <c r="F691" s="16" t="n">
        <v>0.724620609754306</v>
      </c>
      <c r="G691" s="17" t="s">
        <v>89</v>
      </c>
      <c r="H691" s="18" t="n">
        <v>0.3</v>
      </c>
      <c r="I691" s="18" t="n">
        <v>1</v>
      </c>
      <c r="J691" s="19" t="n">
        <v>0.873518548000306</v>
      </c>
      <c r="K691" s="19" t="n">
        <v>0.586353547602164</v>
      </c>
      <c r="L691" s="16" t="n">
        <v>13.370023415819</v>
      </c>
      <c r="M691" s="19" t="n">
        <v>0.473237302836422</v>
      </c>
      <c r="N691" s="19" t="n">
        <v>0.832326923526601</v>
      </c>
      <c r="O691" s="19" t="n">
        <v>0.873518548000306</v>
      </c>
      <c r="P691" s="19" t="n">
        <v>0.758609485250425</v>
      </c>
      <c r="Q691" s="17" t="s">
        <v>29</v>
      </c>
      <c r="R691" s="5" t="str">
        <f aca="false">IF(OR(Q691="Steel plate",Q691="Concrete jacket"),"Steel plate or jacket",Q691)</f>
        <v>Monitor</v>
      </c>
      <c r="S691" s="5" t="str">
        <f aca="false">IF(O691&lt;='Tree rules'!$C$4,IF(N691&lt;='Tree rules'!$C$5,IF(P691&lt;='Tree rules'!$C$6,"Monitor","Polymer laminate"),IF(P691&lt;='Tree rules'!$C$7,"Seal cracks","Polymer laminate")),IF(O691&lt;='Tree rules'!$C$8,IF(M691&lt;='Tree rules'!$C$9,"Steel plate or jacket","Polymer laminate"),IF(L691&lt;='Tree rules'!$C$10,"Steel plate or jacket","Polymer laminate")))</f>
        <v>Monitor</v>
      </c>
      <c r="T691" s="5" t="str">
        <f aca="false">IF(S691=R691,"Yes","No")</f>
        <v>Yes</v>
      </c>
    </row>
    <row r="692" customFormat="false" ht="15" hidden="false" customHeight="false" outlineLevel="0" collapsed="false">
      <c r="A692" s="15" t="n">
        <v>2313</v>
      </c>
      <c r="B692" s="16" t="n">
        <v>7.8944842685524</v>
      </c>
      <c r="C692" s="15" t="n">
        <v>230</v>
      </c>
      <c r="D692" s="15" t="n">
        <v>675</v>
      </c>
      <c r="E692" s="15" t="n">
        <v>30</v>
      </c>
      <c r="F692" s="16" t="n">
        <v>0.653545382481754</v>
      </c>
      <c r="G692" s="17" t="s">
        <v>89</v>
      </c>
      <c r="H692" s="18" t="n">
        <v>0.3</v>
      </c>
      <c r="I692" s="18" t="n">
        <v>1.5</v>
      </c>
      <c r="J692" s="19" t="n">
        <v>0.853944022738792</v>
      </c>
      <c r="K692" s="19" t="n">
        <v>0.621419752630725</v>
      </c>
      <c r="L692" s="16" t="n">
        <v>12.590884000881</v>
      </c>
      <c r="M692" s="19" t="n">
        <v>0.686095176407329</v>
      </c>
      <c r="N692" s="19" t="n">
        <v>0.693035368386217</v>
      </c>
      <c r="O692" s="19" t="n">
        <v>1.01558719242277</v>
      </c>
      <c r="P692" s="19" t="n">
        <v>0.546742088071875</v>
      </c>
      <c r="Q692" s="17" t="s">
        <v>31</v>
      </c>
      <c r="R692" s="5" t="str">
        <f aca="false">IF(OR(Q692="Steel plate",Q692="Concrete jacket"),"Steel plate or jacket",Q692)</f>
        <v>Polymer laminate</v>
      </c>
      <c r="S692" s="5" t="str">
        <f aca="false">IF(O692&lt;='Tree rules'!$C$4,IF(N692&lt;='Tree rules'!$C$5,IF(P692&lt;='Tree rules'!$C$6,"Monitor","Polymer laminate"),IF(P692&lt;='Tree rules'!$C$7,"Seal cracks","Polymer laminate")),IF(O692&lt;='Tree rules'!$C$8,IF(M692&lt;='Tree rules'!$C$9,"Steel plate or jacket","Polymer laminate"),IF(L692&lt;='Tree rules'!$C$10,"Steel plate or jacket","Polymer laminate")))</f>
        <v>Polymer laminate</v>
      </c>
      <c r="T692" s="5" t="str">
        <f aca="false">IF(S692=R692,"Yes","No")</f>
        <v>Yes</v>
      </c>
    </row>
    <row r="693" customFormat="false" ht="15" hidden="false" customHeight="false" outlineLevel="0" collapsed="false">
      <c r="A693" s="15" t="n">
        <v>2320</v>
      </c>
      <c r="B693" s="16" t="n">
        <v>3.81878354109426</v>
      </c>
      <c r="C693" s="15" t="n">
        <v>300</v>
      </c>
      <c r="D693" s="15" t="n">
        <v>325</v>
      </c>
      <c r="E693" s="15" t="n">
        <v>30</v>
      </c>
      <c r="F693" s="16" t="n">
        <v>0.72065207824282</v>
      </c>
      <c r="G693" s="17" t="s">
        <v>89</v>
      </c>
      <c r="H693" s="18" t="n">
        <v>0.3</v>
      </c>
      <c r="I693" s="18" t="n">
        <v>1.5</v>
      </c>
      <c r="J693" s="19" t="n">
        <v>0.881937935044494</v>
      </c>
      <c r="K693" s="19" t="n">
        <v>0.525369666506347</v>
      </c>
      <c r="L693" s="16" t="n">
        <v>13.6873962046389</v>
      </c>
      <c r="M693" s="19" t="n">
        <v>0.826412622958885</v>
      </c>
      <c r="N693" s="19" t="n">
        <v>0.878948823668755</v>
      </c>
      <c r="O693" s="19" t="n">
        <v>1.09123518315993</v>
      </c>
      <c r="P693" s="19" t="n">
        <v>0.42883673051634</v>
      </c>
      <c r="Q693" s="17" t="s">
        <v>31</v>
      </c>
      <c r="R693" s="5" t="str">
        <f aca="false">IF(OR(Q693="Steel plate",Q693="Concrete jacket"),"Steel plate or jacket",Q693)</f>
        <v>Polymer laminate</v>
      </c>
      <c r="S693" s="5" t="str">
        <f aca="false">IF(O693&lt;='Tree rules'!$C$4,IF(N693&lt;='Tree rules'!$C$5,IF(P693&lt;='Tree rules'!$C$6,"Monitor","Polymer laminate"),IF(P693&lt;='Tree rules'!$C$7,"Seal cracks","Polymer laminate")),IF(O693&lt;='Tree rules'!$C$8,IF(M693&lt;='Tree rules'!$C$9,"Steel plate or jacket","Polymer laminate"),IF(L693&lt;='Tree rules'!$C$10,"Steel plate or jacket","Polymer laminate")))</f>
        <v>Polymer laminate</v>
      </c>
      <c r="T693" s="5" t="str">
        <f aca="false">IF(S693=R693,"Yes","No")</f>
        <v>Yes</v>
      </c>
    </row>
    <row r="694" customFormat="false" ht="15" hidden="false" customHeight="false" outlineLevel="0" collapsed="false">
      <c r="A694" s="15" t="n">
        <v>2323</v>
      </c>
      <c r="B694" s="16" t="n">
        <v>4.24203391912969</v>
      </c>
      <c r="C694" s="15" t="n">
        <v>300</v>
      </c>
      <c r="D694" s="15" t="n">
        <v>375</v>
      </c>
      <c r="E694" s="15" t="n">
        <v>30</v>
      </c>
      <c r="F694" s="16" t="n">
        <v>0.683367586279351</v>
      </c>
      <c r="G694" s="17" t="s">
        <v>89</v>
      </c>
      <c r="H694" s="18" t="n">
        <v>0.3</v>
      </c>
      <c r="I694" s="18" t="n">
        <v>1</v>
      </c>
      <c r="J694" s="19" t="n">
        <v>0.979370490009156</v>
      </c>
      <c r="K694" s="19" t="n">
        <v>0.473180030193885</v>
      </c>
      <c r="L694" s="16" t="n">
        <v>12.8158124445006</v>
      </c>
      <c r="M694" s="19" t="n">
        <v>0.93114597273054</v>
      </c>
      <c r="N694" s="19" t="n">
        <v>0.588282205081547</v>
      </c>
      <c r="O694" s="19" t="n">
        <v>0.979370490009156</v>
      </c>
      <c r="P694" s="19" t="n">
        <v>0.354733397769975</v>
      </c>
      <c r="Q694" s="17" t="s">
        <v>29</v>
      </c>
      <c r="R694" s="5" t="str">
        <f aca="false">IF(OR(Q694="Steel plate",Q694="Concrete jacket"),"Steel plate or jacket",Q694)</f>
        <v>Monitor</v>
      </c>
      <c r="S694" s="5" t="str">
        <f aca="false">IF(O694&lt;='Tree rules'!$C$4,IF(N694&lt;='Tree rules'!$C$5,IF(P694&lt;='Tree rules'!$C$6,"Monitor","Polymer laminate"),IF(P694&lt;='Tree rules'!$C$7,"Seal cracks","Polymer laminate")),IF(O694&lt;='Tree rules'!$C$8,IF(M694&lt;='Tree rules'!$C$9,"Steel plate or jacket","Polymer laminate"),IF(L694&lt;='Tree rules'!$C$10,"Steel plate or jacket","Polymer laminate")))</f>
        <v>Monitor</v>
      </c>
      <c r="T694" s="5" t="str">
        <f aca="false">IF(S694=R694,"Yes","No")</f>
        <v>Yes</v>
      </c>
    </row>
    <row r="695" customFormat="false" ht="15" hidden="false" customHeight="false" outlineLevel="0" collapsed="false">
      <c r="A695" s="15" t="n">
        <v>2327</v>
      </c>
      <c r="B695" s="16" t="n">
        <v>5.15662745283378</v>
      </c>
      <c r="C695" s="15" t="n">
        <v>300</v>
      </c>
      <c r="D695" s="15" t="n">
        <v>425</v>
      </c>
      <c r="E695" s="15" t="n">
        <v>30</v>
      </c>
      <c r="F695" s="16" t="n">
        <v>0.707341881547042</v>
      </c>
      <c r="G695" s="17" t="s">
        <v>89</v>
      </c>
      <c r="H695" s="18" t="n">
        <v>0.3</v>
      </c>
      <c r="I695" s="18" t="n">
        <v>2</v>
      </c>
      <c r="J695" s="19" t="n">
        <v>0.882358641277686</v>
      </c>
      <c r="K695" s="19" t="n">
        <v>0.585062288149362</v>
      </c>
      <c r="L695" s="16" t="n">
        <v>13.605877184258</v>
      </c>
      <c r="M695" s="19" t="n">
        <v>0.918342248169408</v>
      </c>
      <c r="N695" s="19" t="n">
        <v>0.864955273131192</v>
      </c>
      <c r="O695" s="19" t="n">
        <v>1.24848251692109</v>
      </c>
      <c r="P695" s="19" t="n">
        <v>0.477571209236725</v>
      </c>
      <c r="Q695" s="17" t="s">
        <v>31</v>
      </c>
      <c r="R695" s="5" t="str">
        <f aca="false">IF(OR(Q695="Steel plate",Q695="Concrete jacket"),"Steel plate or jacket",Q695)</f>
        <v>Polymer laminate</v>
      </c>
      <c r="S695" s="5" t="str">
        <f aca="false">IF(O695&lt;='Tree rules'!$C$4,IF(N695&lt;='Tree rules'!$C$5,IF(P695&lt;='Tree rules'!$C$6,"Monitor","Polymer laminate"),IF(P695&lt;='Tree rules'!$C$7,"Seal cracks","Polymer laminate")),IF(O695&lt;='Tree rules'!$C$8,IF(M695&lt;='Tree rules'!$C$9,"Steel plate or jacket","Polymer laminate"),IF(L695&lt;='Tree rules'!$C$10,"Steel plate or jacket","Polymer laminate")))</f>
        <v>Polymer laminate</v>
      </c>
      <c r="T695" s="5" t="str">
        <f aca="false">IF(S695=R695,"Yes","No")</f>
        <v>Yes</v>
      </c>
    </row>
    <row r="696" customFormat="false" ht="15" hidden="false" customHeight="false" outlineLevel="0" collapsed="false">
      <c r="A696" s="15" t="n">
        <v>2328</v>
      </c>
      <c r="B696" s="16" t="n">
        <v>5.9579922154796</v>
      </c>
      <c r="C696" s="15" t="n">
        <v>230</v>
      </c>
      <c r="D696" s="15" t="n">
        <v>475</v>
      </c>
      <c r="E696" s="15" t="n">
        <v>30</v>
      </c>
      <c r="F696" s="16" t="n">
        <v>0.611316296229087</v>
      </c>
      <c r="G696" s="17" t="s">
        <v>89</v>
      </c>
      <c r="H696" s="18" t="n">
        <v>0.3</v>
      </c>
      <c r="I696" s="18" t="n">
        <v>1</v>
      </c>
      <c r="J696" s="19" t="n">
        <v>0.936273399064792</v>
      </c>
      <c r="K696" s="19" t="n">
        <v>0.575043825859882</v>
      </c>
      <c r="L696" s="16" t="n">
        <v>13.8880937423767</v>
      </c>
      <c r="M696" s="19" t="n">
        <v>0.771357984642702</v>
      </c>
      <c r="N696" s="19" t="n">
        <v>0.632216984606093</v>
      </c>
      <c r="O696" s="19" t="n">
        <v>0.936273399064792</v>
      </c>
      <c r="P696" s="19" t="n">
        <v>0.455727407885552</v>
      </c>
      <c r="Q696" s="17" t="s">
        <v>29</v>
      </c>
      <c r="R696" s="5" t="str">
        <f aca="false">IF(OR(Q696="Steel plate",Q696="Concrete jacket"),"Steel plate or jacket",Q696)</f>
        <v>Monitor</v>
      </c>
      <c r="S696" s="5" t="str">
        <f aca="false">IF(O696&lt;='Tree rules'!$C$4,IF(N696&lt;='Tree rules'!$C$5,IF(P696&lt;='Tree rules'!$C$6,"Monitor","Polymer laminate"),IF(P696&lt;='Tree rules'!$C$7,"Seal cracks","Polymer laminate")),IF(O696&lt;='Tree rules'!$C$8,IF(M696&lt;='Tree rules'!$C$9,"Steel plate or jacket","Polymer laminate"),IF(L696&lt;='Tree rules'!$C$10,"Steel plate or jacket","Polymer laminate")))</f>
        <v>Monitor</v>
      </c>
      <c r="T696" s="5" t="str">
        <f aca="false">IF(S696=R696,"Yes","No")</f>
        <v>Yes</v>
      </c>
    </row>
    <row r="697" customFormat="false" ht="15" hidden="false" customHeight="false" outlineLevel="0" collapsed="false">
      <c r="A697" s="15" t="n">
        <v>2334</v>
      </c>
      <c r="B697" s="16" t="n">
        <v>3.67431029324687</v>
      </c>
      <c r="C697" s="15" t="n">
        <v>300</v>
      </c>
      <c r="D697" s="15" t="n">
        <v>350</v>
      </c>
      <c r="E697" s="15" t="n">
        <v>25</v>
      </c>
      <c r="F697" s="16" t="n">
        <v>0.695716020172134</v>
      </c>
      <c r="G697" s="17" t="s">
        <v>90</v>
      </c>
      <c r="H697" s="18" t="n">
        <v>0.1</v>
      </c>
      <c r="I697" s="18" t="n">
        <v>1</v>
      </c>
      <c r="J697" s="19" t="n">
        <v>0.974391001121325</v>
      </c>
      <c r="K697" s="19" t="n">
        <v>0.433400102387622</v>
      </c>
      <c r="L697" s="16" t="n">
        <v>12.713876447221</v>
      </c>
      <c r="M697" s="19" t="n">
        <v>0.555846001103473</v>
      </c>
      <c r="N697" s="19" t="n">
        <v>2.971826846877</v>
      </c>
      <c r="O697" s="19" t="n">
        <v>0.974391001121325</v>
      </c>
      <c r="P697" s="19" t="n">
        <v>0.480976988444965</v>
      </c>
      <c r="Q697" s="17" t="s">
        <v>30</v>
      </c>
      <c r="R697" s="5" t="str">
        <f aca="false">IF(OR(Q697="Steel plate",Q697="Concrete jacket"),"Steel plate or jacket",Q697)</f>
        <v>Seal cracks</v>
      </c>
      <c r="S697" s="5" t="str">
        <f aca="false">IF(O697&lt;='Tree rules'!$C$4,IF(N697&lt;='Tree rules'!$C$5,IF(P697&lt;='Tree rules'!$C$6,"Monitor","Polymer laminate"),IF(P697&lt;='Tree rules'!$C$7,"Seal cracks","Polymer laminate")),IF(O697&lt;='Tree rules'!$C$8,IF(M697&lt;='Tree rules'!$C$9,"Steel plate or jacket","Polymer laminate"),IF(L697&lt;='Tree rules'!$C$10,"Steel plate or jacket","Polymer laminate")))</f>
        <v>Seal cracks</v>
      </c>
      <c r="T697" s="5" t="str">
        <f aca="false">IF(S697=R697,"Yes","No")</f>
        <v>Yes</v>
      </c>
    </row>
    <row r="698" customFormat="false" ht="15" hidden="false" customHeight="false" outlineLevel="0" collapsed="false">
      <c r="A698" s="15" t="n">
        <v>2335</v>
      </c>
      <c r="B698" s="16" t="n">
        <v>5.51501527798889</v>
      </c>
      <c r="C698" s="15" t="n">
        <v>230</v>
      </c>
      <c r="D698" s="15" t="n">
        <v>450</v>
      </c>
      <c r="E698" s="15" t="n">
        <v>25</v>
      </c>
      <c r="F698" s="16" t="n">
        <v>0.649145274956135</v>
      </c>
      <c r="G698" s="17" t="s">
        <v>91</v>
      </c>
      <c r="H698" s="18" t="n">
        <v>0.2</v>
      </c>
      <c r="I698" s="18" t="n">
        <v>1.5</v>
      </c>
      <c r="J698" s="19" t="n">
        <v>0.88849125262258</v>
      </c>
      <c r="K698" s="19" t="n">
        <v>0.484704151200263</v>
      </c>
      <c r="L698" s="16" t="n">
        <v>13.6510279158141</v>
      </c>
      <c r="M698" s="19" t="n">
        <v>0.82974650063214</v>
      </c>
      <c r="N698" s="19" t="n">
        <v>1.14662656842557</v>
      </c>
      <c r="O698" s="19" t="n">
        <v>1.11740917970823</v>
      </c>
      <c r="P698" s="19" t="n">
        <v>0.463976341256134</v>
      </c>
      <c r="Q698" s="17" t="s">
        <v>31</v>
      </c>
      <c r="R698" s="5" t="str">
        <f aca="false">IF(OR(Q698="Steel plate",Q698="Concrete jacket"),"Steel plate or jacket",Q698)</f>
        <v>Polymer laminate</v>
      </c>
      <c r="S698" s="5" t="str">
        <f aca="false">IF(O698&lt;='Tree rules'!$C$4,IF(N698&lt;='Tree rules'!$C$5,IF(P698&lt;='Tree rules'!$C$6,"Monitor","Polymer laminate"),IF(P698&lt;='Tree rules'!$C$7,"Seal cracks","Polymer laminate")),IF(O698&lt;='Tree rules'!$C$8,IF(M698&lt;='Tree rules'!$C$9,"Steel plate or jacket","Polymer laminate"),IF(L698&lt;='Tree rules'!$C$10,"Steel plate or jacket","Polymer laminate")))</f>
        <v>Polymer laminate</v>
      </c>
      <c r="T698" s="5" t="str">
        <f aca="false">IF(S698=R698,"Yes","No")</f>
        <v>Yes</v>
      </c>
    </row>
    <row r="699" customFormat="false" ht="15" hidden="false" customHeight="false" outlineLevel="0" collapsed="false">
      <c r="A699" s="15" t="n">
        <v>2342</v>
      </c>
      <c r="B699" s="16" t="n">
        <v>4.00510610198067</v>
      </c>
      <c r="C699" s="15" t="n">
        <v>300</v>
      </c>
      <c r="D699" s="15" t="n">
        <v>325</v>
      </c>
      <c r="E699" s="15" t="n">
        <v>25</v>
      </c>
      <c r="F699" s="16" t="n">
        <v>0.799387443661525</v>
      </c>
      <c r="G699" s="17" t="s">
        <v>90</v>
      </c>
      <c r="H699" s="18" t="n">
        <v>0.1</v>
      </c>
      <c r="I699" s="18" t="n">
        <v>1</v>
      </c>
      <c r="J699" s="19" t="n">
        <v>0.926906724381147</v>
      </c>
      <c r="K699" s="19" t="n">
        <v>0.507608814322128</v>
      </c>
      <c r="L699" s="16" t="n">
        <v>15.2866645113766</v>
      </c>
      <c r="M699" s="19" t="n">
        <v>0.659023401205045</v>
      </c>
      <c r="N699" s="19" t="n">
        <v>3.34004811076173</v>
      </c>
      <c r="O699" s="19" t="n">
        <v>0.926906724381147</v>
      </c>
      <c r="P699" s="19" t="n">
        <v>0.528642494730715</v>
      </c>
      <c r="Q699" s="17" t="s">
        <v>30</v>
      </c>
      <c r="R699" s="5" t="str">
        <f aca="false">IF(OR(Q699="Steel plate",Q699="Concrete jacket"),"Steel plate or jacket",Q699)</f>
        <v>Seal cracks</v>
      </c>
      <c r="S699" s="5" t="str">
        <f aca="false">IF(O699&lt;='Tree rules'!$C$4,IF(N699&lt;='Tree rules'!$C$5,IF(P699&lt;='Tree rules'!$C$6,"Monitor","Polymer laminate"),IF(P699&lt;='Tree rules'!$C$7,"Seal cracks","Polymer laminate")),IF(O699&lt;='Tree rules'!$C$8,IF(M699&lt;='Tree rules'!$C$9,"Steel plate or jacket","Polymer laminate"),IF(L699&lt;='Tree rules'!$C$10,"Steel plate or jacket","Polymer laminate")))</f>
        <v>Seal cracks</v>
      </c>
      <c r="T699" s="5" t="str">
        <f aca="false">IF(S699=R699,"Yes","No")</f>
        <v>Yes</v>
      </c>
    </row>
    <row r="700" customFormat="false" ht="15" hidden="false" customHeight="false" outlineLevel="0" collapsed="false">
      <c r="A700" s="15" t="n">
        <v>2347</v>
      </c>
      <c r="B700" s="16" t="n">
        <v>5.2114969617659</v>
      </c>
      <c r="C700" s="15" t="n">
        <v>230</v>
      </c>
      <c r="D700" s="15" t="n">
        <v>525</v>
      </c>
      <c r="E700" s="15" t="n">
        <v>25</v>
      </c>
      <c r="F700" s="16" t="n">
        <v>0.85906279835652</v>
      </c>
      <c r="G700" s="17" t="s">
        <v>89</v>
      </c>
      <c r="H700" s="18" t="n">
        <v>0.3</v>
      </c>
      <c r="I700" s="18" t="n">
        <v>1</v>
      </c>
      <c r="J700" s="19" t="n">
        <v>0.90632521694551</v>
      </c>
      <c r="K700" s="19" t="n">
        <v>0.509942419596214</v>
      </c>
      <c r="L700" s="16" t="n">
        <v>10.9255701504526</v>
      </c>
      <c r="M700" s="19" t="n">
        <v>0.648659027901107</v>
      </c>
      <c r="N700" s="19" t="n">
        <v>0.624809854033732</v>
      </c>
      <c r="O700" s="19" t="n">
        <v>0.90632521694551</v>
      </c>
      <c r="P700" s="19" t="n">
        <v>0.549942364061768</v>
      </c>
      <c r="Q700" s="17" t="s">
        <v>29</v>
      </c>
      <c r="R700" s="5" t="str">
        <f aca="false">IF(OR(Q700="Steel plate",Q700="Concrete jacket"),"Steel plate or jacket",Q700)</f>
        <v>Monitor</v>
      </c>
      <c r="S700" s="5" t="str">
        <f aca="false">IF(O700&lt;='Tree rules'!$C$4,IF(N700&lt;='Tree rules'!$C$5,IF(P700&lt;='Tree rules'!$C$6,"Monitor","Polymer laminate"),IF(P700&lt;='Tree rules'!$C$7,"Seal cracks","Polymer laminate")),IF(O700&lt;='Tree rules'!$C$8,IF(M700&lt;='Tree rules'!$C$9,"Steel plate or jacket","Polymer laminate"),IF(L700&lt;='Tree rules'!$C$10,"Steel plate or jacket","Polymer laminate")))</f>
        <v>Monitor</v>
      </c>
      <c r="T700" s="5" t="str">
        <f aca="false">IF(S700=R700,"Yes","No")</f>
        <v>Yes</v>
      </c>
    </row>
    <row r="701" customFormat="false" ht="15" hidden="false" customHeight="false" outlineLevel="0" collapsed="false">
      <c r="A701" s="15" t="n">
        <v>2348</v>
      </c>
      <c r="B701" s="16" t="n">
        <v>3.9121042862258</v>
      </c>
      <c r="C701" s="15" t="n">
        <v>230</v>
      </c>
      <c r="D701" s="15" t="n">
        <v>375</v>
      </c>
      <c r="E701" s="15" t="n">
        <v>25</v>
      </c>
      <c r="F701" s="16" t="n">
        <v>0.835418868126524</v>
      </c>
      <c r="G701" s="17" t="s">
        <v>89</v>
      </c>
      <c r="H701" s="18" t="n">
        <v>0.3</v>
      </c>
      <c r="I701" s="18" t="n">
        <v>1</v>
      </c>
      <c r="J701" s="19" t="n">
        <v>0.901322840630044</v>
      </c>
      <c r="K701" s="19" t="n">
        <v>0.532983430346086</v>
      </c>
      <c r="L701" s="16" t="n">
        <v>11.9636216704153</v>
      </c>
      <c r="M701" s="19" t="n">
        <v>0.934743285731118</v>
      </c>
      <c r="N701" s="19" t="n">
        <v>0.775106119821585</v>
      </c>
      <c r="O701" s="19" t="n">
        <v>0.901322840630044</v>
      </c>
      <c r="P701" s="19" t="n">
        <v>0.386368297072065</v>
      </c>
      <c r="Q701" s="17" t="s">
        <v>29</v>
      </c>
      <c r="R701" s="5" t="str">
        <f aca="false">IF(OR(Q701="Steel plate",Q701="Concrete jacket"),"Steel plate or jacket",Q701)</f>
        <v>Monitor</v>
      </c>
      <c r="S701" s="5" t="str">
        <f aca="false">IF(O701&lt;='Tree rules'!$C$4,IF(N701&lt;='Tree rules'!$C$5,IF(P701&lt;='Tree rules'!$C$6,"Monitor","Polymer laminate"),IF(P701&lt;='Tree rules'!$C$7,"Seal cracks","Polymer laminate")),IF(O701&lt;='Tree rules'!$C$8,IF(M701&lt;='Tree rules'!$C$9,"Steel plate or jacket","Polymer laminate"),IF(L701&lt;='Tree rules'!$C$10,"Steel plate or jacket","Polymer laminate")))</f>
        <v>Monitor</v>
      </c>
      <c r="T701" s="5" t="str">
        <f aca="false">IF(S701=R701,"Yes","No")</f>
        <v>Yes</v>
      </c>
    </row>
    <row r="702" customFormat="false" ht="15" hidden="false" customHeight="false" outlineLevel="0" collapsed="false">
      <c r="A702" s="15" t="n">
        <v>2349</v>
      </c>
      <c r="B702" s="16" t="n">
        <v>3.01562153679988</v>
      </c>
      <c r="C702" s="15" t="n">
        <v>230</v>
      </c>
      <c r="D702" s="15" t="n">
        <v>300</v>
      </c>
      <c r="E702" s="15" t="n">
        <v>20</v>
      </c>
      <c r="F702" s="16" t="n">
        <v>0.576243217710084</v>
      </c>
      <c r="G702" s="17" t="s">
        <v>91</v>
      </c>
      <c r="H702" s="18" t="n">
        <v>0.2</v>
      </c>
      <c r="I702" s="18" t="n">
        <v>1</v>
      </c>
      <c r="J702" s="19" t="n">
        <v>0.966143805218654</v>
      </c>
      <c r="K702" s="19" t="n">
        <v>0.407303957869015</v>
      </c>
      <c r="L702" s="16" t="n">
        <v>11.7797716281245</v>
      </c>
      <c r="M702" s="19" t="n">
        <v>0.27172628009859</v>
      </c>
      <c r="N702" s="19" t="n">
        <v>1.13142560611936</v>
      </c>
      <c r="O702" s="19" t="n">
        <v>0.966143805218654</v>
      </c>
      <c r="P702" s="19" t="n">
        <v>0.838919305176625</v>
      </c>
      <c r="Q702" s="17" t="s">
        <v>30</v>
      </c>
      <c r="R702" s="5" t="str">
        <f aca="false">IF(OR(Q702="Steel plate",Q702="Concrete jacket"),"Steel plate or jacket",Q702)</f>
        <v>Seal cracks</v>
      </c>
      <c r="S702" s="5" t="str">
        <f aca="false">IF(O702&lt;='Tree rules'!$C$4,IF(N702&lt;='Tree rules'!$C$5,IF(P702&lt;='Tree rules'!$C$6,"Monitor","Polymer laminate"),IF(P702&lt;='Tree rules'!$C$7,"Seal cracks","Polymer laminate")),IF(O702&lt;='Tree rules'!$C$8,IF(M702&lt;='Tree rules'!$C$9,"Steel plate or jacket","Polymer laminate"),IF(L702&lt;='Tree rules'!$C$10,"Steel plate or jacket","Polymer laminate")))</f>
        <v>Seal cracks</v>
      </c>
      <c r="T702" s="5" t="str">
        <f aca="false">IF(S702=R702,"Yes","No")</f>
        <v>Yes</v>
      </c>
    </row>
    <row r="703" customFormat="false" ht="15" hidden="false" customHeight="false" outlineLevel="0" collapsed="false">
      <c r="A703" s="15" t="n">
        <v>2353</v>
      </c>
      <c r="B703" s="16" t="n">
        <v>3.19665223700269</v>
      </c>
      <c r="C703" s="15" t="n">
        <v>300</v>
      </c>
      <c r="D703" s="15" t="n">
        <v>300</v>
      </c>
      <c r="E703" s="15" t="n">
        <v>30</v>
      </c>
      <c r="F703" s="16" t="n">
        <v>1.12168440630263</v>
      </c>
      <c r="G703" s="17" t="s">
        <v>90</v>
      </c>
      <c r="H703" s="18" t="n">
        <v>0.1</v>
      </c>
      <c r="I703" s="18" t="n">
        <v>1</v>
      </c>
      <c r="J703" s="19" t="n">
        <v>0.876833366393645</v>
      </c>
      <c r="K703" s="19" t="n">
        <v>0.512057681971725</v>
      </c>
      <c r="L703" s="16" t="n">
        <v>13.3751139623544</v>
      </c>
      <c r="M703" s="19" t="n">
        <v>0.534397423926285</v>
      </c>
      <c r="N703" s="19" t="n">
        <v>2.63721409701378</v>
      </c>
      <c r="O703" s="19" t="n">
        <v>0.876833366393645</v>
      </c>
      <c r="P703" s="19" t="n">
        <v>0.639733182420855</v>
      </c>
      <c r="Q703" s="17" t="s">
        <v>30</v>
      </c>
      <c r="R703" s="5" t="str">
        <f aca="false">IF(OR(Q703="Steel plate",Q703="Concrete jacket"),"Steel plate or jacket",Q703)</f>
        <v>Seal cracks</v>
      </c>
      <c r="S703" s="5" t="str">
        <f aca="false">IF(O703&lt;='Tree rules'!$C$4,IF(N703&lt;='Tree rules'!$C$5,IF(P703&lt;='Tree rules'!$C$6,"Monitor","Polymer laminate"),IF(P703&lt;='Tree rules'!$C$7,"Seal cracks","Polymer laminate")),IF(O703&lt;='Tree rules'!$C$8,IF(M703&lt;='Tree rules'!$C$9,"Steel plate or jacket","Polymer laminate"),IF(L703&lt;='Tree rules'!$C$10,"Steel plate or jacket","Polymer laminate")))</f>
        <v>Seal cracks</v>
      </c>
      <c r="T703" s="5" t="str">
        <f aca="false">IF(S703=R703,"Yes","No")</f>
        <v>Yes</v>
      </c>
    </row>
    <row r="704" customFormat="false" ht="15" hidden="false" customHeight="false" outlineLevel="0" collapsed="false">
      <c r="A704" s="15" t="n">
        <v>2355</v>
      </c>
      <c r="B704" s="16" t="n">
        <v>7.90241958334881</v>
      </c>
      <c r="C704" s="15" t="n">
        <v>300</v>
      </c>
      <c r="D704" s="15" t="n">
        <v>725</v>
      </c>
      <c r="E704" s="15" t="n">
        <v>30</v>
      </c>
      <c r="F704" s="16" t="n">
        <v>0.6187282429522</v>
      </c>
      <c r="G704" s="17" t="s">
        <v>91</v>
      </c>
      <c r="H704" s="18" t="n">
        <v>0.2</v>
      </c>
      <c r="I704" s="18" t="n">
        <v>1</v>
      </c>
      <c r="J704" s="19" t="n">
        <v>0.909763646272396</v>
      </c>
      <c r="K704" s="19" t="n">
        <v>0.580320671215712</v>
      </c>
      <c r="L704" s="16" t="n">
        <v>11.6727024864827</v>
      </c>
      <c r="M704" s="19" t="n">
        <v>0.308636460647427</v>
      </c>
      <c r="N704" s="19" t="n">
        <v>1.00532929979131</v>
      </c>
      <c r="O704" s="19" t="n">
        <v>0.909763646272396</v>
      </c>
      <c r="P704" s="19" t="n">
        <v>0.976602706134344</v>
      </c>
      <c r="Q704" s="17" t="s">
        <v>31</v>
      </c>
      <c r="R704" s="5" t="str">
        <f aca="false">IF(OR(Q704="Steel plate",Q704="Concrete jacket"),"Steel plate or jacket",Q704)</f>
        <v>Polymer laminate</v>
      </c>
      <c r="S704" s="5" t="str">
        <f aca="false">IF(O704&lt;='Tree rules'!$C$4,IF(N704&lt;='Tree rules'!$C$5,IF(P704&lt;='Tree rules'!$C$6,"Monitor","Polymer laminate"),IF(P704&lt;='Tree rules'!$C$7,"Seal cracks","Polymer laminate")),IF(O704&lt;='Tree rules'!$C$8,IF(M704&lt;='Tree rules'!$C$9,"Steel plate or jacket","Polymer laminate"),IF(L704&lt;='Tree rules'!$C$10,"Steel plate or jacket","Polymer laminate")))</f>
        <v>Seal cracks</v>
      </c>
      <c r="T704" s="5" t="str">
        <f aca="false">IF(S704=R704,"Yes","No")</f>
        <v>No</v>
      </c>
    </row>
    <row r="705" customFormat="false" ht="15" hidden="false" customHeight="false" outlineLevel="0" collapsed="false">
      <c r="A705" s="15" t="n">
        <v>2356</v>
      </c>
      <c r="B705" s="16" t="n">
        <v>7.08835273066624</v>
      </c>
      <c r="C705" s="15" t="n">
        <v>300</v>
      </c>
      <c r="D705" s="15" t="n">
        <v>625</v>
      </c>
      <c r="E705" s="15" t="n">
        <v>30</v>
      </c>
      <c r="F705" s="16" t="n">
        <v>0.544470130604817</v>
      </c>
      <c r="G705" s="17" t="s">
        <v>89</v>
      </c>
      <c r="H705" s="18" t="n">
        <v>0.3</v>
      </c>
      <c r="I705" s="18" t="n">
        <v>1</v>
      </c>
      <c r="J705" s="19" t="n">
        <v>0.966991700035266</v>
      </c>
      <c r="K705" s="19" t="n">
        <v>0.550517893845478</v>
      </c>
      <c r="L705" s="16" t="n">
        <v>12.2848400878098</v>
      </c>
      <c r="M705" s="19" t="n">
        <v>0.926159131060285</v>
      </c>
      <c r="N705" s="19" t="n">
        <v>0.71188838016256</v>
      </c>
      <c r="O705" s="19" t="n">
        <v>0.966991700035266</v>
      </c>
      <c r="P705" s="19" t="n">
        <v>0.340056285730078</v>
      </c>
      <c r="Q705" s="17" t="s">
        <v>29</v>
      </c>
      <c r="R705" s="5" t="str">
        <f aca="false">IF(OR(Q705="Steel plate",Q705="Concrete jacket"),"Steel plate or jacket",Q705)</f>
        <v>Monitor</v>
      </c>
      <c r="S705" s="5" t="str">
        <f aca="false">IF(O705&lt;='Tree rules'!$C$4,IF(N705&lt;='Tree rules'!$C$5,IF(P705&lt;='Tree rules'!$C$6,"Monitor","Polymer laminate"),IF(P705&lt;='Tree rules'!$C$7,"Seal cracks","Polymer laminate")),IF(O705&lt;='Tree rules'!$C$8,IF(M705&lt;='Tree rules'!$C$9,"Steel plate or jacket","Polymer laminate"),IF(L705&lt;='Tree rules'!$C$10,"Steel plate or jacket","Polymer laminate")))</f>
        <v>Monitor</v>
      </c>
      <c r="T705" s="5" t="str">
        <f aca="false">IF(S705=R705,"Yes","No")</f>
        <v>Yes</v>
      </c>
    </row>
    <row r="706" customFormat="false" ht="15" hidden="false" customHeight="false" outlineLevel="0" collapsed="false">
      <c r="A706" s="15" t="n">
        <v>2358</v>
      </c>
      <c r="B706" s="16" t="n">
        <v>3.27604060796388</v>
      </c>
      <c r="C706" s="15" t="n">
        <v>300</v>
      </c>
      <c r="D706" s="15" t="n">
        <v>300</v>
      </c>
      <c r="E706" s="15" t="n">
        <v>30</v>
      </c>
      <c r="F706" s="16" t="n">
        <v>0.831109167616348</v>
      </c>
      <c r="G706" s="17" t="s">
        <v>91</v>
      </c>
      <c r="H706" s="18" t="n">
        <v>0.2</v>
      </c>
      <c r="I706" s="18" t="n">
        <v>2</v>
      </c>
      <c r="J706" s="19" t="n">
        <v>0.971650836336741</v>
      </c>
      <c r="K706" s="19" t="n">
        <v>0.461670209188421</v>
      </c>
      <c r="L706" s="16" t="n">
        <v>13.0001611427138</v>
      </c>
      <c r="M706" s="19" t="n">
        <v>0.494667203413789</v>
      </c>
      <c r="N706" s="19" t="n">
        <v>2.54101585414317</v>
      </c>
      <c r="O706" s="19" t="n">
        <v>1.49471942780379</v>
      </c>
      <c r="P706" s="19" t="n">
        <v>0.820490238840825</v>
      </c>
      <c r="Q706" s="17" t="s">
        <v>31</v>
      </c>
      <c r="R706" s="5" t="str">
        <f aca="false">IF(OR(Q706="Steel plate",Q706="Concrete jacket"),"Steel plate or jacket",Q706)</f>
        <v>Polymer laminate</v>
      </c>
      <c r="S706" s="5" t="str">
        <f aca="false">IF(O706&lt;='Tree rules'!$C$4,IF(N706&lt;='Tree rules'!$C$5,IF(P706&lt;='Tree rules'!$C$6,"Monitor","Polymer laminate"),IF(P706&lt;='Tree rules'!$C$7,"Seal cracks","Polymer laminate")),IF(O706&lt;='Tree rules'!$C$8,IF(M706&lt;='Tree rules'!$C$9,"Steel plate or jacket","Polymer laminate"),IF(L706&lt;='Tree rules'!$C$10,"Steel plate or jacket","Polymer laminate")))</f>
        <v>Steel plate or jacket</v>
      </c>
      <c r="T706" s="5" t="str">
        <f aca="false">IF(S706=R706,"Yes","No")</f>
        <v>No</v>
      </c>
    </row>
    <row r="707" customFormat="false" ht="15" hidden="false" customHeight="false" outlineLevel="0" collapsed="false">
      <c r="A707" s="15" t="n">
        <v>2362</v>
      </c>
      <c r="B707" s="16" t="n">
        <v>5.79063046193328</v>
      </c>
      <c r="C707" s="15" t="n">
        <v>300</v>
      </c>
      <c r="D707" s="15" t="n">
        <v>500</v>
      </c>
      <c r="E707" s="15" t="n">
        <v>25</v>
      </c>
      <c r="F707" s="16" t="n">
        <v>0.738112811416104</v>
      </c>
      <c r="G707" s="17" t="s">
        <v>89</v>
      </c>
      <c r="H707" s="18" t="n">
        <v>0.3</v>
      </c>
      <c r="I707" s="18" t="n">
        <v>1</v>
      </c>
      <c r="J707" s="19" t="n">
        <v>0.85508883672943</v>
      </c>
      <c r="K707" s="19" t="n">
        <v>0.492628161984357</v>
      </c>
      <c r="L707" s="16" t="n">
        <v>12.7546926474301</v>
      </c>
      <c r="M707" s="19" t="n">
        <v>0.417108635542733</v>
      </c>
      <c r="N707" s="19" t="n">
        <v>0.5792587308242</v>
      </c>
      <c r="O707" s="19" t="n">
        <v>0.85508883672943</v>
      </c>
      <c r="P707" s="19" t="n">
        <v>0.801844187957891</v>
      </c>
      <c r="Q707" s="17" t="s">
        <v>29</v>
      </c>
      <c r="R707" s="5" t="str">
        <f aca="false">IF(OR(Q707="Steel plate",Q707="Concrete jacket"),"Steel plate or jacket",Q707)</f>
        <v>Monitor</v>
      </c>
      <c r="S707" s="5" t="str">
        <f aca="false">IF(O707&lt;='Tree rules'!$C$4,IF(N707&lt;='Tree rules'!$C$5,IF(P707&lt;='Tree rules'!$C$6,"Monitor","Polymer laminate"),IF(P707&lt;='Tree rules'!$C$7,"Seal cracks","Polymer laminate")),IF(O707&lt;='Tree rules'!$C$8,IF(M707&lt;='Tree rules'!$C$9,"Steel plate or jacket","Polymer laminate"),IF(L707&lt;='Tree rules'!$C$10,"Steel plate or jacket","Polymer laminate")))</f>
        <v>Monitor</v>
      </c>
      <c r="T707" s="5" t="str">
        <f aca="false">IF(S707=R707,"Yes","No")</f>
        <v>Yes</v>
      </c>
    </row>
    <row r="708" customFormat="false" ht="15" hidden="false" customHeight="false" outlineLevel="0" collapsed="false">
      <c r="A708" s="15" t="n">
        <v>2364</v>
      </c>
      <c r="B708" s="16" t="n">
        <v>3.73121926558384</v>
      </c>
      <c r="C708" s="15" t="n">
        <v>300</v>
      </c>
      <c r="D708" s="15" t="n">
        <v>350</v>
      </c>
      <c r="E708" s="15" t="n">
        <v>20</v>
      </c>
      <c r="F708" s="16" t="n">
        <v>0.739198271432892</v>
      </c>
      <c r="G708" s="17" t="s">
        <v>89</v>
      </c>
      <c r="H708" s="18" t="n">
        <v>0.3</v>
      </c>
      <c r="I708" s="18" t="n">
        <v>1.5</v>
      </c>
      <c r="J708" s="19" t="n">
        <v>0.939321821967857</v>
      </c>
      <c r="K708" s="19" t="n">
        <v>0.531987476118708</v>
      </c>
      <c r="L708" s="16" t="n">
        <v>12.1935270117119</v>
      </c>
      <c r="M708" s="19" t="n">
        <v>0.608060561681396</v>
      </c>
      <c r="N708" s="19" t="n">
        <v>0.752569339196302</v>
      </c>
      <c r="O708" s="19" t="n">
        <v>1.15912901028583</v>
      </c>
      <c r="P708" s="19" t="n">
        <v>0.657623035408572</v>
      </c>
      <c r="Q708" s="17" t="s">
        <v>31</v>
      </c>
      <c r="R708" s="5" t="str">
        <f aca="false">IF(OR(Q708="Steel plate",Q708="Concrete jacket"),"Steel plate or jacket",Q708)</f>
        <v>Polymer laminate</v>
      </c>
      <c r="S708" s="5" t="str">
        <f aca="false">IF(O708&lt;='Tree rules'!$C$4,IF(N708&lt;='Tree rules'!$C$5,IF(P708&lt;='Tree rules'!$C$6,"Monitor","Polymer laminate"),IF(P708&lt;='Tree rules'!$C$7,"Seal cracks","Polymer laminate")),IF(O708&lt;='Tree rules'!$C$8,IF(M708&lt;='Tree rules'!$C$9,"Steel plate or jacket","Polymer laminate"),IF(L708&lt;='Tree rules'!$C$10,"Steel plate or jacket","Polymer laminate")))</f>
        <v>Polymer laminate</v>
      </c>
      <c r="T708" s="5" t="str">
        <f aca="false">IF(S708=R708,"Yes","No")</f>
        <v>Yes</v>
      </c>
    </row>
    <row r="709" customFormat="false" ht="15" hidden="false" customHeight="false" outlineLevel="0" collapsed="false">
      <c r="A709" s="15" t="n">
        <v>2365</v>
      </c>
      <c r="B709" s="16" t="n">
        <v>7.8408170379707</v>
      </c>
      <c r="C709" s="15" t="n">
        <v>230</v>
      </c>
      <c r="D709" s="15" t="n">
        <v>700</v>
      </c>
      <c r="E709" s="15" t="n">
        <v>30</v>
      </c>
      <c r="F709" s="16" t="n">
        <v>0.643285643353312</v>
      </c>
      <c r="G709" s="17" t="s">
        <v>90</v>
      </c>
      <c r="H709" s="18" t="n">
        <v>0.1</v>
      </c>
      <c r="I709" s="18" t="n">
        <v>1</v>
      </c>
      <c r="J709" s="19" t="n">
        <v>0.893838039233019</v>
      </c>
      <c r="K709" s="19" t="n">
        <v>0.634328337408771</v>
      </c>
      <c r="L709" s="16" t="n">
        <v>12.3089749418692</v>
      </c>
      <c r="M709" s="19" t="n">
        <v>0.935484878897071</v>
      </c>
      <c r="N709" s="19" t="n">
        <v>2.10040788661103</v>
      </c>
      <c r="O709" s="19" t="n">
        <v>0.893838039233019</v>
      </c>
      <c r="P709" s="19" t="n">
        <v>0.368972727809024</v>
      </c>
      <c r="Q709" s="17" t="s">
        <v>30</v>
      </c>
      <c r="R709" s="5" t="str">
        <f aca="false">IF(OR(Q709="Steel plate",Q709="Concrete jacket"),"Steel plate or jacket",Q709)</f>
        <v>Seal cracks</v>
      </c>
      <c r="S709" s="5" t="str">
        <f aca="false">IF(O709&lt;='Tree rules'!$C$4,IF(N709&lt;='Tree rules'!$C$5,IF(P709&lt;='Tree rules'!$C$6,"Monitor","Polymer laminate"),IF(P709&lt;='Tree rules'!$C$7,"Seal cracks","Polymer laminate")),IF(O709&lt;='Tree rules'!$C$8,IF(M709&lt;='Tree rules'!$C$9,"Steel plate or jacket","Polymer laminate"),IF(L709&lt;='Tree rules'!$C$10,"Steel plate or jacket","Polymer laminate")))</f>
        <v>Seal cracks</v>
      </c>
      <c r="T709" s="5" t="str">
        <f aca="false">IF(S709=R709,"Yes","No")</f>
        <v>Yes</v>
      </c>
    </row>
    <row r="710" customFormat="false" ht="15" hidden="false" customHeight="false" outlineLevel="0" collapsed="false">
      <c r="A710" s="15" t="n">
        <v>2375</v>
      </c>
      <c r="B710" s="16" t="n">
        <v>5.57780892256641</v>
      </c>
      <c r="C710" s="15" t="n">
        <v>230</v>
      </c>
      <c r="D710" s="15" t="n">
        <v>550</v>
      </c>
      <c r="E710" s="15" t="n">
        <v>30</v>
      </c>
      <c r="F710" s="16" t="n">
        <v>0.693795479053647</v>
      </c>
      <c r="G710" s="17" t="s">
        <v>91</v>
      </c>
      <c r="H710" s="18" t="n">
        <v>0.2</v>
      </c>
      <c r="I710" s="18" t="n">
        <v>2</v>
      </c>
      <c r="J710" s="19" t="n">
        <v>0.871769817754601</v>
      </c>
      <c r="K710" s="19" t="n">
        <v>0.627370078790556</v>
      </c>
      <c r="L710" s="16" t="n">
        <v>11.0670811955683</v>
      </c>
      <c r="M710" s="19" t="n">
        <v>0.48371985262476</v>
      </c>
      <c r="N710" s="19" t="n">
        <v>1.19206521715159</v>
      </c>
      <c r="O710" s="19" t="n">
        <v>1.19661733625727</v>
      </c>
      <c r="P710" s="19" t="n">
        <v>0.738514324242266</v>
      </c>
      <c r="Q710" s="17" t="s">
        <v>31</v>
      </c>
      <c r="R710" s="5" t="str">
        <f aca="false">IF(OR(Q710="Steel plate",Q710="Concrete jacket"),"Steel plate or jacket",Q710)</f>
        <v>Polymer laminate</v>
      </c>
      <c r="S710" s="5" t="str">
        <f aca="false">IF(O710&lt;='Tree rules'!$C$4,IF(N710&lt;='Tree rules'!$C$5,IF(P710&lt;='Tree rules'!$C$6,"Monitor","Polymer laminate"),IF(P710&lt;='Tree rules'!$C$7,"Seal cracks","Polymer laminate")),IF(O710&lt;='Tree rules'!$C$8,IF(M710&lt;='Tree rules'!$C$9,"Steel plate or jacket","Polymer laminate"),IF(L710&lt;='Tree rules'!$C$10,"Steel plate or jacket","Polymer laminate")))</f>
        <v>Polymer laminate</v>
      </c>
      <c r="T710" s="5" t="str">
        <f aca="false">IF(S710=R710,"Yes","No")</f>
        <v>Yes</v>
      </c>
    </row>
    <row r="711" customFormat="false" ht="15" hidden="false" customHeight="false" outlineLevel="0" collapsed="false">
      <c r="A711" s="15" t="n">
        <v>2376</v>
      </c>
      <c r="B711" s="16" t="n">
        <v>4.32093362448748</v>
      </c>
      <c r="C711" s="15" t="n">
        <v>300</v>
      </c>
      <c r="D711" s="15" t="n">
        <v>400</v>
      </c>
      <c r="E711" s="15" t="n">
        <v>20</v>
      </c>
      <c r="F711" s="16" t="n">
        <v>0.635378289490071</v>
      </c>
      <c r="G711" s="17" t="s">
        <v>91</v>
      </c>
      <c r="H711" s="18" t="n">
        <v>0.2</v>
      </c>
      <c r="I711" s="18" t="n">
        <v>1</v>
      </c>
      <c r="J711" s="19" t="n">
        <v>0.886909638322818</v>
      </c>
      <c r="K711" s="19" t="n">
        <v>0.415782806191092</v>
      </c>
      <c r="L711" s="16" t="n">
        <v>12.1374540013693</v>
      </c>
      <c r="M711" s="19" t="n">
        <v>0.711577442247027</v>
      </c>
      <c r="N711" s="19" t="n">
        <v>0.806454017768861</v>
      </c>
      <c r="O711" s="19" t="n">
        <v>0.886909638322818</v>
      </c>
      <c r="P711" s="19" t="n">
        <v>0.409457633129691</v>
      </c>
      <c r="Q711" s="17" t="s">
        <v>29</v>
      </c>
      <c r="R711" s="5" t="str">
        <f aca="false">IF(OR(Q711="Steel plate",Q711="Concrete jacket"),"Steel plate or jacket",Q711)</f>
        <v>Monitor</v>
      </c>
      <c r="S711" s="5" t="str">
        <f aca="false">IF(O711&lt;='Tree rules'!$C$4,IF(N711&lt;='Tree rules'!$C$5,IF(P711&lt;='Tree rules'!$C$6,"Monitor","Polymer laminate"),IF(P711&lt;='Tree rules'!$C$7,"Seal cracks","Polymer laminate")),IF(O711&lt;='Tree rules'!$C$8,IF(M711&lt;='Tree rules'!$C$9,"Steel plate or jacket","Polymer laminate"),IF(L711&lt;='Tree rules'!$C$10,"Steel plate or jacket","Polymer laminate")))</f>
        <v>Monitor</v>
      </c>
      <c r="T711" s="5" t="str">
        <f aca="false">IF(S711=R711,"Yes","No")</f>
        <v>Yes</v>
      </c>
    </row>
    <row r="712" customFormat="false" ht="15" hidden="false" customHeight="false" outlineLevel="0" collapsed="false">
      <c r="A712" s="15" t="n">
        <v>2380</v>
      </c>
      <c r="B712" s="16" t="n">
        <v>4.66404646282505</v>
      </c>
      <c r="C712" s="15" t="n">
        <v>300</v>
      </c>
      <c r="D712" s="15" t="n">
        <v>400</v>
      </c>
      <c r="E712" s="15" t="n">
        <v>30</v>
      </c>
      <c r="F712" s="16" t="n">
        <v>0.757295404255167</v>
      </c>
      <c r="G712" s="17" t="s">
        <v>89</v>
      </c>
      <c r="H712" s="18" t="n">
        <v>0.3</v>
      </c>
      <c r="I712" s="18" t="n">
        <v>1.5</v>
      </c>
      <c r="J712" s="19" t="n">
        <v>0.916147600224348</v>
      </c>
      <c r="K712" s="19" t="n">
        <v>0.574789635099143</v>
      </c>
      <c r="L712" s="16" t="n">
        <v>13.1752724938561</v>
      </c>
      <c r="M712" s="19" t="n">
        <v>0.886588491426899</v>
      </c>
      <c r="N712" s="19" t="n">
        <v>0.770966194631283</v>
      </c>
      <c r="O712" s="19" t="n">
        <v>1.11092532792157</v>
      </c>
      <c r="P712" s="19" t="n">
        <v>0.468212258393605</v>
      </c>
      <c r="Q712" s="17" t="s">
        <v>31</v>
      </c>
      <c r="R712" s="5" t="str">
        <f aca="false">IF(OR(Q712="Steel plate",Q712="Concrete jacket"),"Steel plate or jacket",Q712)</f>
        <v>Polymer laminate</v>
      </c>
      <c r="S712" s="5" t="str">
        <f aca="false">IF(O712&lt;='Tree rules'!$C$4,IF(N712&lt;='Tree rules'!$C$5,IF(P712&lt;='Tree rules'!$C$6,"Monitor","Polymer laminate"),IF(P712&lt;='Tree rules'!$C$7,"Seal cracks","Polymer laminate")),IF(O712&lt;='Tree rules'!$C$8,IF(M712&lt;='Tree rules'!$C$9,"Steel plate or jacket","Polymer laminate"),IF(L712&lt;='Tree rules'!$C$10,"Steel plate or jacket","Polymer laminate")))</f>
        <v>Polymer laminate</v>
      </c>
      <c r="T712" s="5" t="str">
        <f aca="false">IF(S712=R712,"Yes","No")</f>
        <v>Yes</v>
      </c>
    </row>
    <row r="713" customFormat="false" ht="15" hidden="false" customHeight="false" outlineLevel="0" collapsed="false">
      <c r="A713" s="15" t="n">
        <v>2382</v>
      </c>
      <c r="B713" s="16" t="n">
        <v>3.01704282244191</v>
      </c>
      <c r="C713" s="15" t="n">
        <v>300</v>
      </c>
      <c r="D713" s="15" t="n">
        <v>300</v>
      </c>
      <c r="E713" s="15" t="n">
        <v>25</v>
      </c>
      <c r="F713" s="16" t="n">
        <v>0.791582400904515</v>
      </c>
      <c r="G713" s="17" t="s">
        <v>89</v>
      </c>
      <c r="H713" s="18" t="n">
        <v>0.3</v>
      </c>
      <c r="I713" s="18" t="n">
        <v>2</v>
      </c>
      <c r="J713" s="19" t="n">
        <v>0.940188044614554</v>
      </c>
      <c r="K713" s="19" t="n">
        <v>0.614993504448189</v>
      </c>
      <c r="L713" s="16" t="n">
        <v>11.8781213481965</v>
      </c>
      <c r="M713" s="19" t="n">
        <v>0.877576222047981</v>
      </c>
      <c r="N713" s="19" t="n">
        <v>1.05422399718616</v>
      </c>
      <c r="O713" s="19" t="n">
        <v>1.30216654883131</v>
      </c>
      <c r="P713" s="19" t="n">
        <v>0.462717968649531</v>
      </c>
      <c r="Q713" s="17" t="s">
        <v>31</v>
      </c>
      <c r="R713" s="5" t="str">
        <f aca="false">IF(OR(Q713="Steel plate",Q713="Concrete jacket"),"Steel plate or jacket",Q713)</f>
        <v>Polymer laminate</v>
      </c>
      <c r="S713" s="5" t="str">
        <f aca="false">IF(O713&lt;='Tree rules'!$C$4,IF(N713&lt;='Tree rules'!$C$5,IF(P713&lt;='Tree rules'!$C$6,"Monitor","Polymer laminate"),IF(P713&lt;='Tree rules'!$C$7,"Seal cracks","Polymer laminate")),IF(O713&lt;='Tree rules'!$C$8,IF(M713&lt;='Tree rules'!$C$9,"Steel plate or jacket","Polymer laminate"),IF(L713&lt;='Tree rules'!$C$10,"Steel plate or jacket","Polymer laminate")))</f>
        <v>Steel plate or jacket</v>
      </c>
      <c r="T713" s="5" t="str">
        <f aca="false">IF(S713=R713,"Yes","No")</f>
        <v>No</v>
      </c>
    </row>
    <row r="714" customFormat="false" ht="15" hidden="false" customHeight="false" outlineLevel="0" collapsed="false">
      <c r="A714" s="15" t="n">
        <v>2384</v>
      </c>
      <c r="B714" s="16" t="n">
        <v>7.3861561142106</v>
      </c>
      <c r="C714" s="15" t="n">
        <v>300</v>
      </c>
      <c r="D714" s="15" t="n">
        <v>650</v>
      </c>
      <c r="E714" s="15" t="n">
        <v>30</v>
      </c>
      <c r="F714" s="16" t="n">
        <v>0.695812326376477</v>
      </c>
      <c r="G714" s="17" t="s">
        <v>89</v>
      </c>
      <c r="H714" s="18" t="n">
        <v>0.3</v>
      </c>
      <c r="I714" s="18" t="n">
        <v>2</v>
      </c>
      <c r="J714" s="19" t="n">
        <v>0.853867141671237</v>
      </c>
      <c r="K714" s="19" t="n">
        <v>0.407955098654053</v>
      </c>
      <c r="L714" s="16" t="n">
        <v>12.2693623159645</v>
      </c>
      <c r="M714" s="19" t="n">
        <v>0.448251522967539</v>
      </c>
      <c r="N714" s="19" t="n">
        <v>0.987826630097771</v>
      </c>
      <c r="O714" s="19" t="n">
        <v>1.35939482932453</v>
      </c>
      <c r="P714" s="19" t="n">
        <v>0.844865954827964</v>
      </c>
      <c r="Q714" s="17" t="s">
        <v>31</v>
      </c>
      <c r="R714" s="5" t="str">
        <f aca="false">IF(OR(Q714="Steel plate",Q714="Concrete jacket"),"Steel plate or jacket",Q714)</f>
        <v>Polymer laminate</v>
      </c>
      <c r="S714" s="5" t="str">
        <f aca="false">IF(O714&lt;='Tree rules'!$C$4,IF(N714&lt;='Tree rules'!$C$5,IF(P714&lt;='Tree rules'!$C$6,"Monitor","Polymer laminate"),IF(P714&lt;='Tree rules'!$C$7,"Seal cracks","Polymer laminate")),IF(O714&lt;='Tree rules'!$C$8,IF(M714&lt;='Tree rules'!$C$9,"Steel plate or jacket","Polymer laminate"),IF(L714&lt;='Tree rules'!$C$10,"Steel plate or jacket","Polymer laminate")))</f>
        <v>Steel plate or jacket</v>
      </c>
      <c r="T714" s="5" t="str">
        <f aca="false">IF(S714=R714,"Yes","No")</f>
        <v>No</v>
      </c>
    </row>
    <row r="715" customFormat="false" ht="15" hidden="false" customHeight="false" outlineLevel="0" collapsed="false">
      <c r="A715" s="15" t="n">
        <v>2386</v>
      </c>
      <c r="B715" s="16" t="n">
        <v>3.28903055185681</v>
      </c>
      <c r="C715" s="15" t="n">
        <v>300</v>
      </c>
      <c r="D715" s="15" t="n">
        <v>300</v>
      </c>
      <c r="E715" s="15" t="n">
        <v>25</v>
      </c>
      <c r="F715" s="16" t="n">
        <v>0.791582400904515</v>
      </c>
      <c r="G715" s="17" t="s">
        <v>89</v>
      </c>
      <c r="H715" s="18" t="n">
        <v>0.3</v>
      </c>
      <c r="I715" s="18" t="n">
        <v>1</v>
      </c>
      <c r="J715" s="19" t="n">
        <v>0.871871996626989</v>
      </c>
      <c r="K715" s="19" t="n">
        <v>0.470747922747051</v>
      </c>
      <c r="L715" s="16" t="n">
        <v>12.9489391805386</v>
      </c>
      <c r="M715" s="19" t="n">
        <v>0.295751341533917</v>
      </c>
      <c r="N715" s="19" t="n">
        <v>0.769853854798837</v>
      </c>
      <c r="O715" s="19" t="n">
        <v>0.871871996626989</v>
      </c>
      <c r="P715" s="19" t="n">
        <v>0.976756656108246</v>
      </c>
      <c r="Q715" s="17" t="s">
        <v>31</v>
      </c>
      <c r="R715" s="5" t="str">
        <f aca="false">IF(OR(Q715="Steel plate",Q715="Concrete jacket"),"Steel plate or jacket",Q715)</f>
        <v>Polymer laminate</v>
      </c>
      <c r="S715" s="5" t="str">
        <f aca="false">IF(O715&lt;='Tree rules'!$C$4,IF(N715&lt;='Tree rules'!$C$5,IF(P715&lt;='Tree rules'!$C$6,"Monitor","Polymer laminate"),IF(P715&lt;='Tree rules'!$C$7,"Seal cracks","Polymer laminate")),IF(O715&lt;='Tree rules'!$C$8,IF(M715&lt;='Tree rules'!$C$9,"Steel plate or jacket","Polymer laminate"),IF(L715&lt;='Tree rules'!$C$10,"Steel plate or jacket","Polymer laminate")))</f>
        <v>Polymer laminate</v>
      </c>
      <c r="T715" s="5" t="str">
        <f aca="false">IF(S715=R715,"Yes","No")</f>
        <v>Yes</v>
      </c>
    </row>
    <row r="716" customFormat="false" ht="15" hidden="false" customHeight="false" outlineLevel="0" collapsed="false">
      <c r="A716" s="15" t="n">
        <v>2387</v>
      </c>
      <c r="B716" s="16" t="n">
        <v>4.90080589794793</v>
      </c>
      <c r="C716" s="15" t="n">
        <v>230</v>
      </c>
      <c r="D716" s="15" t="n">
        <v>475</v>
      </c>
      <c r="E716" s="15" t="n">
        <v>25</v>
      </c>
      <c r="F716" s="16" t="n">
        <v>0.815088394972116</v>
      </c>
      <c r="G716" s="17" t="s">
        <v>89</v>
      </c>
      <c r="H716" s="18" t="n">
        <v>0.3</v>
      </c>
      <c r="I716" s="18" t="n">
        <v>1</v>
      </c>
      <c r="J716" s="19" t="n">
        <v>0.929157312411641</v>
      </c>
      <c r="K716" s="19" t="n">
        <v>0.580074147048576</v>
      </c>
      <c r="L716" s="16" t="n">
        <v>11.4237899719066</v>
      </c>
      <c r="M716" s="19" t="n">
        <v>0.37277763870193</v>
      </c>
      <c r="N716" s="19" t="n">
        <v>0.627509397765914</v>
      </c>
      <c r="O716" s="19" t="n">
        <v>0.929157312411642</v>
      </c>
      <c r="P716" s="19" t="n">
        <v>0.985807390938823</v>
      </c>
      <c r="Q716" s="17" t="s">
        <v>29</v>
      </c>
      <c r="R716" s="5" t="str">
        <f aca="false">IF(OR(Q716="Steel plate",Q716="Concrete jacket"),"Steel plate or jacket",Q716)</f>
        <v>Monitor</v>
      </c>
      <c r="S716" s="5" t="str">
        <f aca="false">IF(O716&lt;='Tree rules'!$C$4,IF(N716&lt;='Tree rules'!$C$5,IF(P716&lt;='Tree rules'!$C$6,"Monitor","Polymer laminate"),IF(P716&lt;='Tree rules'!$C$7,"Seal cracks","Polymer laminate")),IF(O716&lt;='Tree rules'!$C$8,IF(M716&lt;='Tree rules'!$C$9,"Steel plate or jacket","Polymer laminate"),IF(L716&lt;='Tree rules'!$C$10,"Steel plate or jacket","Polymer laminate")))</f>
        <v>Polymer laminate</v>
      </c>
      <c r="T716" s="5" t="str">
        <f aca="false">IF(S716=R716,"Yes","No")</f>
        <v>No</v>
      </c>
    </row>
    <row r="717" customFormat="false" ht="15" hidden="false" customHeight="false" outlineLevel="0" collapsed="false">
      <c r="A717" s="15" t="n">
        <v>2389</v>
      </c>
      <c r="B717" s="16" t="n">
        <v>5.75692257812068</v>
      </c>
      <c r="C717" s="15" t="n">
        <v>300</v>
      </c>
      <c r="D717" s="15" t="n">
        <v>575</v>
      </c>
      <c r="E717" s="15" t="n">
        <v>25</v>
      </c>
      <c r="F717" s="16" t="n">
        <v>0.79483685100311</v>
      </c>
      <c r="G717" s="17" t="s">
        <v>89</v>
      </c>
      <c r="H717" s="18" t="n">
        <v>0.3</v>
      </c>
      <c r="I717" s="18" t="n">
        <v>2</v>
      </c>
      <c r="J717" s="19" t="n">
        <v>0.875750766447062</v>
      </c>
      <c r="K717" s="19" t="n">
        <v>0.470814093198136</v>
      </c>
      <c r="L717" s="16" t="n">
        <v>10.9239517611398</v>
      </c>
      <c r="M717" s="19" t="n">
        <v>0.429281888316066</v>
      </c>
      <c r="N717" s="19" t="n">
        <v>0.96465978825531</v>
      </c>
      <c r="O717" s="19" t="n">
        <v>1.33918572992178</v>
      </c>
      <c r="P717" s="19" t="n">
        <v>0.930045757182555</v>
      </c>
      <c r="Q717" s="17" t="s">
        <v>92</v>
      </c>
      <c r="R717" s="5" t="str">
        <f aca="false">IF(OR(Q717="Steel plate",Q717="Concrete jacket"),"Steel plate or jacket",Q717)</f>
        <v>Steel plate or jacket</v>
      </c>
      <c r="S717" s="5" t="str">
        <f aca="false">IF(O717&lt;='Tree rules'!$C$4,IF(N717&lt;='Tree rules'!$C$5,IF(P717&lt;='Tree rules'!$C$6,"Monitor","Polymer laminate"),IF(P717&lt;='Tree rules'!$C$7,"Seal cracks","Polymer laminate")),IF(O717&lt;='Tree rules'!$C$8,IF(M717&lt;='Tree rules'!$C$9,"Steel plate or jacket","Polymer laminate"),IF(L717&lt;='Tree rules'!$C$10,"Steel plate or jacket","Polymer laminate")))</f>
        <v>Steel plate or jacket</v>
      </c>
      <c r="T717" s="5" t="str">
        <f aca="false">IF(S717=R717,"Yes","No")</f>
        <v>Yes</v>
      </c>
    </row>
    <row r="718" customFormat="false" ht="15" hidden="false" customHeight="false" outlineLevel="0" collapsed="false">
      <c r="A718" s="15" t="n">
        <v>2392</v>
      </c>
      <c r="B718" s="16" t="n">
        <v>3.13357309449419</v>
      </c>
      <c r="C718" s="15" t="n">
        <v>230</v>
      </c>
      <c r="D718" s="15" t="n">
        <v>300</v>
      </c>
      <c r="E718" s="15" t="n">
        <v>30</v>
      </c>
      <c r="F718" s="16" t="n">
        <v>0.768324290280112</v>
      </c>
      <c r="G718" s="17" t="s">
        <v>91</v>
      </c>
      <c r="H718" s="18" t="n">
        <v>0.2</v>
      </c>
      <c r="I718" s="18" t="n">
        <v>2</v>
      </c>
      <c r="J718" s="19" t="n">
        <v>0.912919556203308</v>
      </c>
      <c r="K718" s="19" t="n">
        <v>0.573759502096766</v>
      </c>
      <c r="L718" s="16" t="n">
        <v>12.2405199003679</v>
      </c>
      <c r="M718" s="19" t="n">
        <v>0.80652346872597</v>
      </c>
      <c r="N718" s="19" t="n">
        <v>1.31532967341698</v>
      </c>
      <c r="O718" s="19" t="n">
        <v>1.30204284238501</v>
      </c>
      <c r="P718" s="19" t="n">
        <v>0.459127138821718</v>
      </c>
      <c r="Q718" s="17" t="s">
        <v>31</v>
      </c>
      <c r="R718" s="5" t="str">
        <f aca="false">IF(OR(Q718="Steel plate",Q718="Concrete jacket"),"Steel plate or jacket",Q718)</f>
        <v>Polymer laminate</v>
      </c>
      <c r="S718" s="5" t="str">
        <f aca="false">IF(O718&lt;='Tree rules'!$C$4,IF(N718&lt;='Tree rules'!$C$5,IF(P718&lt;='Tree rules'!$C$6,"Monitor","Polymer laminate"),IF(P718&lt;='Tree rules'!$C$7,"Seal cracks","Polymer laminate")),IF(O718&lt;='Tree rules'!$C$8,IF(M718&lt;='Tree rules'!$C$9,"Steel plate or jacket","Polymer laminate"),IF(L718&lt;='Tree rules'!$C$10,"Steel plate or jacket","Polymer laminate")))</f>
        <v>Steel plate or jacket</v>
      </c>
      <c r="T718" s="5" t="str">
        <f aca="false">IF(S718=R718,"Yes","No")</f>
        <v>No</v>
      </c>
    </row>
    <row r="719" customFormat="false" ht="15" hidden="false" customHeight="false" outlineLevel="0" collapsed="false">
      <c r="A719" s="15" t="n">
        <v>2396</v>
      </c>
      <c r="B719" s="16" t="n">
        <v>7.3944493525742</v>
      </c>
      <c r="C719" s="15" t="n">
        <v>230</v>
      </c>
      <c r="D719" s="15" t="n">
        <v>575</v>
      </c>
      <c r="E719" s="15" t="n">
        <v>30</v>
      </c>
      <c r="F719" s="16" t="n">
        <v>0.661007412935799</v>
      </c>
      <c r="G719" s="17" t="s">
        <v>89</v>
      </c>
      <c r="H719" s="18" t="n">
        <v>0.3</v>
      </c>
      <c r="I719" s="18" t="n">
        <v>1.5</v>
      </c>
      <c r="J719" s="19" t="n">
        <v>0.911628356153204</v>
      </c>
      <c r="K719" s="19" t="n">
        <v>0.401399907135853</v>
      </c>
      <c r="L719" s="16" t="n">
        <v>13.9781651277395</v>
      </c>
      <c r="M719" s="19" t="n">
        <v>0.917458005871392</v>
      </c>
      <c r="N719" s="19" t="n">
        <v>0.721529876413002</v>
      </c>
      <c r="O719" s="19" t="n">
        <v>1.18447876547865</v>
      </c>
      <c r="P719" s="19" t="n">
        <v>0.439422553864254</v>
      </c>
      <c r="Q719" s="17" t="s">
        <v>31</v>
      </c>
      <c r="R719" s="5" t="str">
        <f aca="false">IF(OR(Q719="Steel plate",Q719="Concrete jacket"),"Steel plate or jacket",Q719)</f>
        <v>Polymer laminate</v>
      </c>
      <c r="S719" s="5" t="str">
        <f aca="false">IF(O719&lt;='Tree rules'!$C$4,IF(N719&lt;='Tree rules'!$C$5,IF(P719&lt;='Tree rules'!$C$6,"Monitor","Polymer laminate"),IF(P719&lt;='Tree rules'!$C$7,"Seal cracks","Polymer laminate")),IF(O719&lt;='Tree rules'!$C$8,IF(M719&lt;='Tree rules'!$C$9,"Steel plate or jacket","Polymer laminate"),IF(L719&lt;='Tree rules'!$C$10,"Steel plate or jacket","Polymer laminate")))</f>
        <v>Polymer laminate</v>
      </c>
      <c r="T719" s="5" t="str">
        <f aca="false">IF(S719=R719,"Yes","No")</f>
        <v>Yes</v>
      </c>
    </row>
    <row r="720" customFormat="false" ht="15" hidden="false" customHeight="false" outlineLevel="0" collapsed="false">
      <c r="A720" s="15" t="n">
        <v>2397</v>
      </c>
      <c r="B720" s="16" t="n">
        <v>6.54642879975334</v>
      </c>
      <c r="C720" s="15" t="n">
        <v>300</v>
      </c>
      <c r="D720" s="15" t="n">
        <v>550</v>
      </c>
      <c r="E720" s="15" t="n">
        <v>30</v>
      </c>
      <c r="F720" s="16" t="n">
        <v>0.797864800911693</v>
      </c>
      <c r="G720" s="17" t="s">
        <v>89</v>
      </c>
      <c r="H720" s="18" t="n">
        <v>0.3</v>
      </c>
      <c r="I720" s="18" t="n">
        <v>1</v>
      </c>
      <c r="J720" s="19" t="n">
        <v>0.914213511866161</v>
      </c>
      <c r="K720" s="19" t="n">
        <v>0.428382984831781</v>
      </c>
      <c r="L720" s="16" t="n">
        <v>12.9889460312566</v>
      </c>
      <c r="M720" s="19" t="n">
        <v>0.941751562692017</v>
      </c>
      <c r="N720" s="19" t="n">
        <v>0.533367754020791</v>
      </c>
      <c r="O720" s="19" t="n">
        <v>0.914213511866161</v>
      </c>
      <c r="P720" s="19" t="n">
        <v>0.409249531225004</v>
      </c>
      <c r="Q720" s="17" t="s">
        <v>29</v>
      </c>
      <c r="R720" s="5" t="str">
        <f aca="false">IF(OR(Q720="Steel plate",Q720="Concrete jacket"),"Steel plate or jacket",Q720)</f>
        <v>Monitor</v>
      </c>
      <c r="S720" s="5" t="str">
        <f aca="false">IF(O720&lt;='Tree rules'!$C$4,IF(N720&lt;='Tree rules'!$C$5,IF(P720&lt;='Tree rules'!$C$6,"Monitor","Polymer laminate"),IF(P720&lt;='Tree rules'!$C$7,"Seal cracks","Polymer laminate")),IF(O720&lt;='Tree rules'!$C$8,IF(M720&lt;='Tree rules'!$C$9,"Steel plate or jacket","Polymer laminate"),IF(L720&lt;='Tree rules'!$C$10,"Steel plate or jacket","Polymer laminate")))</f>
        <v>Monitor</v>
      </c>
      <c r="T720" s="5" t="str">
        <f aca="false">IF(S720=R720,"Yes","No")</f>
        <v>Yes</v>
      </c>
    </row>
    <row r="721" customFormat="false" ht="15" hidden="false" customHeight="false" outlineLevel="0" collapsed="false">
      <c r="A721" s="15" t="n">
        <v>2398</v>
      </c>
      <c r="B721" s="16" t="n">
        <v>4.84238861785015</v>
      </c>
      <c r="C721" s="15" t="n">
        <v>300</v>
      </c>
      <c r="D721" s="15" t="n">
        <v>475</v>
      </c>
      <c r="E721" s="15" t="n">
        <v>25</v>
      </c>
      <c r="F721" s="16" t="n">
        <v>0.937351654217934</v>
      </c>
      <c r="G721" s="17" t="s">
        <v>91</v>
      </c>
      <c r="H721" s="18" t="n">
        <v>0.2</v>
      </c>
      <c r="I721" s="18" t="n">
        <v>1</v>
      </c>
      <c r="J721" s="19" t="n">
        <v>0.861383158115248</v>
      </c>
      <c r="K721" s="19" t="n">
        <v>0.418776667192237</v>
      </c>
      <c r="L721" s="16" t="n">
        <v>11.2876191558279</v>
      </c>
      <c r="M721" s="19" t="n">
        <v>0.515119577298901</v>
      </c>
      <c r="N721" s="19" t="n">
        <v>0.819178324096122</v>
      </c>
      <c r="O721" s="19" t="n">
        <v>0.861383158115248</v>
      </c>
      <c r="P721" s="19" t="n">
        <v>0.649813009007742</v>
      </c>
      <c r="Q721" s="17" t="s">
        <v>29</v>
      </c>
      <c r="R721" s="5" t="str">
        <f aca="false">IF(OR(Q721="Steel plate",Q721="Concrete jacket"),"Steel plate or jacket",Q721)</f>
        <v>Monitor</v>
      </c>
      <c r="S721" s="5" t="str">
        <f aca="false">IF(O721&lt;='Tree rules'!$C$4,IF(N721&lt;='Tree rules'!$C$5,IF(P721&lt;='Tree rules'!$C$6,"Monitor","Polymer laminate"),IF(P721&lt;='Tree rules'!$C$7,"Seal cracks","Polymer laminate")),IF(O721&lt;='Tree rules'!$C$8,IF(M721&lt;='Tree rules'!$C$9,"Steel plate or jacket","Polymer laminate"),IF(L721&lt;='Tree rules'!$C$10,"Steel plate or jacket","Polymer laminate")))</f>
        <v>Monitor</v>
      </c>
      <c r="T721" s="5" t="str">
        <f aca="false">IF(S721=R721,"Yes","No")</f>
        <v>Yes</v>
      </c>
    </row>
    <row r="722" customFormat="false" ht="15" hidden="false" customHeight="false" outlineLevel="0" collapsed="false">
      <c r="A722" s="15" t="n">
        <v>2399</v>
      </c>
      <c r="B722" s="16" t="n">
        <v>6.23055433261867</v>
      </c>
      <c r="C722" s="15" t="n">
        <v>230</v>
      </c>
      <c r="D722" s="15" t="n">
        <v>600</v>
      </c>
      <c r="E722" s="15" t="n">
        <v>30</v>
      </c>
      <c r="F722" s="16" t="n">
        <v>0.763078128149088</v>
      </c>
      <c r="G722" s="17" t="s">
        <v>90</v>
      </c>
      <c r="H722" s="18" t="n">
        <v>0.1</v>
      </c>
      <c r="I722" s="18" t="n">
        <v>2</v>
      </c>
      <c r="J722" s="19" t="n">
        <v>0.926284683687797</v>
      </c>
      <c r="K722" s="19" t="n">
        <v>0.624937362807934</v>
      </c>
      <c r="L722" s="16" t="n">
        <v>11.6025220346716</v>
      </c>
      <c r="M722" s="19" t="n">
        <v>0.727621383133708</v>
      </c>
      <c r="N722" s="19" t="n">
        <v>3.36795596754198</v>
      </c>
      <c r="O722" s="19" t="n">
        <v>1.27369945994236</v>
      </c>
      <c r="P722" s="19" t="n">
        <v>0.569816113983545</v>
      </c>
      <c r="Q722" s="17" t="s">
        <v>31</v>
      </c>
      <c r="R722" s="5" t="str">
        <f aca="false">IF(OR(Q722="Steel plate",Q722="Concrete jacket"),"Steel plate or jacket",Q722)</f>
        <v>Polymer laminate</v>
      </c>
      <c r="S722" s="5" t="str">
        <f aca="false">IF(O722&lt;='Tree rules'!$C$4,IF(N722&lt;='Tree rules'!$C$5,IF(P722&lt;='Tree rules'!$C$6,"Monitor","Polymer laminate"),IF(P722&lt;='Tree rules'!$C$7,"Seal cracks","Polymer laminate")),IF(O722&lt;='Tree rules'!$C$8,IF(M722&lt;='Tree rules'!$C$9,"Steel plate or jacket","Polymer laminate"),IF(L722&lt;='Tree rules'!$C$10,"Steel plate or jacket","Polymer laminate")))</f>
        <v>Polymer laminate</v>
      </c>
      <c r="T722" s="5" t="str">
        <f aca="false">IF(S722=R722,"Yes","No")</f>
        <v>Yes</v>
      </c>
    </row>
    <row r="723" customFormat="false" ht="15" hidden="false" customHeight="false" outlineLevel="0" collapsed="false">
      <c r="A723" s="15" t="n">
        <v>2401</v>
      </c>
      <c r="B723" s="16" t="n">
        <v>4.81445306123991</v>
      </c>
      <c r="C723" s="15" t="n">
        <v>230</v>
      </c>
      <c r="D723" s="15" t="n">
        <v>425</v>
      </c>
      <c r="E723" s="15" t="n">
        <v>30</v>
      </c>
      <c r="F723" s="16" t="n">
        <v>0.691964884122107</v>
      </c>
      <c r="G723" s="17" t="s">
        <v>89</v>
      </c>
      <c r="H723" s="18" t="n">
        <v>0.3</v>
      </c>
      <c r="I723" s="18" t="n">
        <v>1</v>
      </c>
      <c r="J723" s="19" t="n">
        <v>0.970202349676976</v>
      </c>
      <c r="K723" s="19" t="n">
        <v>0.410142583227764</v>
      </c>
      <c r="L723" s="16" t="n">
        <v>12.7030423779417</v>
      </c>
      <c r="M723" s="19" t="n">
        <v>0.355028129750745</v>
      </c>
      <c r="N723" s="19" t="n">
        <v>0.736717510762498</v>
      </c>
      <c r="O723" s="19" t="n">
        <v>0.970202349676976</v>
      </c>
      <c r="P723" s="19" t="n">
        <v>0.821369653226261</v>
      </c>
      <c r="Q723" s="17" t="s">
        <v>29</v>
      </c>
      <c r="R723" s="5" t="str">
        <f aca="false">IF(OR(Q723="Steel plate",Q723="Concrete jacket"),"Steel plate or jacket",Q723)</f>
        <v>Monitor</v>
      </c>
      <c r="S723" s="5" t="str">
        <f aca="false">IF(O723&lt;='Tree rules'!$C$4,IF(N723&lt;='Tree rules'!$C$5,IF(P723&lt;='Tree rules'!$C$6,"Monitor","Polymer laminate"),IF(P723&lt;='Tree rules'!$C$7,"Seal cracks","Polymer laminate")),IF(O723&lt;='Tree rules'!$C$8,IF(M723&lt;='Tree rules'!$C$9,"Steel plate or jacket","Polymer laminate"),IF(L723&lt;='Tree rules'!$C$10,"Steel plate or jacket","Polymer laminate")))</f>
        <v>Monitor</v>
      </c>
      <c r="T723" s="5" t="str">
        <f aca="false">IF(S723=R723,"Yes","No")</f>
        <v>Yes</v>
      </c>
    </row>
    <row r="724" customFormat="false" ht="15" hidden="false" customHeight="false" outlineLevel="0" collapsed="false">
      <c r="A724" s="15" t="n">
        <v>2403</v>
      </c>
      <c r="B724" s="16" t="n">
        <v>4.81522882342848</v>
      </c>
      <c r="C724" s="15" t="n">
        <v>300</v>
      </c>
      <c r="D724" s="15" t="n">
        <v>450</v>
      </c>
      <c r="E724" s="15" t="n">
        <v>20</v>
      </c>
      <c r="F724" s="16" t="n">
        <v>0.689158285620383</v>
      </c>
      <c r="G724" s="17" t="s">
        <v>90</v>
      </c>
      <c r="H724" s="18" t="n">
        <v>0.1</v>
      </c>
      <c r="I724" s="18" t="n">
        <v>1</v>
      </c>
      <c r="J724" s="19" t="n">
        <v>0.964299595562112</v>
      </c>
      <c r="K724" s="19" t="n">
        <v>0.467831322633868</v>
      </c>
      <c r="L724" s="16" t="n">
        <v>12.378480265883</v>
      </c>
      <c r="M724" s="19" t="n">
        <v>0.397594553723863</v>
      </c>
      <c r="N724" s="19" t="n">
        <v>2.71922717374053</v>
      </c>
      <c r="O724" s="19" t="n">
        <v>0.964299595562112</v>
      </c>
      <c r="P724" s="19" t="n">
        <v>0.79361091349039</v>
      </c>
      <c r="Q724" s="17" t="s">
        <v>30</v>
      </c>
      <c r="R724" s="5" t="str">
        <f aca="false">IF(OR(Q724="Steel plate",Q724="Concrete jacket"),"Steel plate or jacket",Q724)</f>
        <v>Seal cracks</v>
      </c>
      <c r="S724" s="5" t="str">
        <f aca="false">IF(O724&lt;='Tree rules'!$C$4,IF(N724&lt;='Tree rules'!$C$5,IF(P724&lt;='Tree rules'!$C$6,"Monitor","Polymer laminate"),IF(P724&lt;='Tree rules'!$C$7,"Seal cracks","Polymer laminate")),IF(O724&lt;='Tree rules'!$C$8,IF(M724&lt;='Tree rules'!$C$9,"Steel plate or jacket","Polymer laminate"),IF(L724&lt;='Tree rules'!$C$10,"Steel plate or jacket","Polymer laminate")))</f>
        <v>Seal cracks</v>
      </c>
      <c r="T724" s="5" t="str">
        <f aca="false">IF(S724=R724,"Yes","No")</f>
        <v>Yes</v>
      </c>
    </row>
    <row r="725" customFormat="false" ht="15" hidden="false" customHeight="false" outlineLevel="0" collapsed="false">
      <c r="A725" s="15" t="n">
        <v>2406</v>
      </c>
      <c r="B725" s="16" t="n">
        <v>4.46607756760015</v>
      </c>
      <c r="C725" s="15" t="n">
        <v>300</v>
      </c>
      <c r="D725" s="15" t="n">
        <v>450</v>
      </c>
      <c r="E725" s="15" t="n">
        <v>30</v>
      </c>
      <c r="F725" s="16" t="n">
        <v>0.663570725510715</v>
      </c>
      <c r="G725" s="17" t="s">
        <v>91</v>
      </c>
      <c r="H725" s="18" t="n">
        <v>0.2</v>
      </c>
      <c r="I725" s="18" t="n">
        <v>1</v>
      </c>
      <c r="J725" s="19" t="n">
        <v>0.862574779202238</v>
      </c>
      <c r="K725" s="19" t="n">
        <v>0.600264945531963</v>
      </c>
      <c r="L725" s="16" t="n">
        <v>11.0546474445548</v>
      </c>
      <c r="M725" s="19" t="n">
        <v>0.796474537956767</v>
      </c>
      <c r="N725" s="19" t="n">
        <v>0.868043748647833</v>
      </c>
      <c r="O725" s="19" t="n">
        <v>0.862574779202238</v>
      </c>
      <c r="P725" s="19" t="n">
        <v>0.355277186913389</v>
      </c>
      <c r="Q725" s="17" t="s">
        <v>29</v>
      </c>
      <c r="R725" s="5" t="str">
        <f aca="false">IF(OR(Q725="Steel plate",Q725="Concrete jacket"),"Steel plate or jacket",Q725)</f>
        <v>Monitor</v>
      </c>
      <c r="S725" s="5" t="str">
        <f aca="false">IF(O725&lt;='Tree rules'!$C$4,IF(N725&lt;='Tree rules'!$C$5,IF(P725&lt;='Tree rules'!$C$6,"Monitor","Polymer laminate"),IF(P725&lt;='Tree rules'!$C$7,"Seal cracks","Polymer laminate")),IF(O725&lt;='Tree rules'!$C$8,IF(M725&lt;='Tree rules'!$C$9,"Steel plate or jacket","Polymer laminate"),IF(L725&lt;='Tree rules'!$C$10,"Steel plate or jacket","Polymer laminate")))</f>
        <v>Monitor</v>
      </c>
      <c r="T725" s="5" t="str">
        <f aca="false">IF(S725=R725,"Yes","No")</f>
        <v>Yes</v>
      </c>
    </row>
    <row r="726" customFormat="false" ht="15" hidden="false" customHeight="false" outlineLevel="0" collapsed="false">
      <c r="A726" s="15" t="n">
        <v>2412</v>
      </c>
      <c r="B726" s="16" t="n">
        <v>5.69118112691082</v>
      </c>
      <c r="C726" s="15" t="n">
        <v>300</v>
      </c>
      <c r="D726" s="15" t="n">
        <v>475</v>
      </c>
      <c r="E726" s="15" t="n">
        <v>25</v>
      </c>
      <c r="F726" s="16" t="n">
        <v>0.762522488735387</v>
      </c>
      <c r="G726" s="17" t="s">
        <v>90</v>
      </c>
      <c r="H726" s="18" t="n">
        <v>0.1</v>
      </c>
      <c r="I726" s="18" t="n">
        <v>1</v>
      </c>
      <c r="J726" s="19" t="n">
        <v>0.901356527477778</v>
      </c>
      <c r="K726" s="19" t="n">
        <v>0.502090287625103</v>
      </c>
      <c r="L726" s="16" t="n">
        <v>13.8135464245408</v>
      </c>
      <c r="M726" s="19" t="n">
        <v>0.59703351838985</v>
      </c>
      <c r="N726" s="19" t="n">
        <v>2.63766337401736</v>
      </c>
      <c r="O726" s="19" t="n">
        <v>0.901356527477778</v>
      </c>
      <c r="P726" s="19" t="n">
        <v>0.60116073462255</v>
      </c>
      <c r="Q726" s="17" t="s">
        <v>30</v>
      </c>
      <c r="R726" s="5" t="str">
        <f aca="false">IF(OR(Q726="Steel plate",Q726="Concrete jacket"),"Steel plate or jacket",Q726)</f>
        <v>Seal cracks</v>
      </c>
      <c r="S726" s="5" t="str">
        <f aca="false">IF(O726&lt;='Tree rules'!$C$4,IF(N726&lt;='Tree rules'!$C$5,IF(P726&lt;='Tree rules'!$C$6,"Monitor","Polymer laminate"),IF(P726&lt;='Tree rules'!$C$7,"Seal cracks","Polymer laminate")),IF(O726&lt;='Tree rules'!$C$8,IF(M726&lt;='Tree rules'!$C$9,"Steel plate or jacket","Polymer laminate"),IF(L726&lt;='Tree rules'!$C$10,"Steel plate or jacket","Polymer laminate")))</f>
        <v>Seal cracks</v>
      </c>
      <c r="T726" s="5" t="str">
        <f aca="false">IF(S726=R726,"Yes","No")</f>
        <v>Yes</v>
      </c>
    </row>
    <row r="727" customFormat="false" ht="15" hidden="false" customHeight="false" outlineLevel="0" collapsed="false">
      <c r="A727" s="15" t="n">
        <v>2415</v>
      </c>
      <c r="B727" s="16" t="n">
        <v>3.14834090112983</v>
      </c>
      <c r="C727" s="15" t="n">
        <v>300</v>
      </c>
      <c r="D727" s="15" t="n">
        <v>300</v>
      </c>
      <c r="E727" s="15" t="n">
        <v>25</v>
      </c>
      <c r="F727" s="16" t="n">
        <v>0.831109167616348</v>
      </c>
      <c r="G727" s="17" t="s">
        <v>91</v>
      </c>
      <c r="H727" s="18" t="n">
        <v>0.2</v>
      </c>
      <c r="I727" s="18" t="n">
        <v>1</v>
      </c>
      <c r="J727" s="19" t="n">
        <v>0.864038446933423</v>
      </c>
      <c r="K727" s="19" t="n">
        <v>0.591654467451951</v>
      </c>
      <c r="L727" s="16" t="n">
        <v>12.4934162743247</v>
      </c>
      <c r="M727" s="19" t="n">
        <v>0.729846748718724</v>
      </c>
      <c r="N727" s="19" t="n">
        <v>1.34266614543003</v>
      </c>
      <c r="O727" s="19" t="n">
        <v>0.864038446933423</v>
      </c>
      <c r="P727" s="19" t="n">
        <v>0.455249411627392</v>
      </c>
      <c r="Q727" s="17" t="s">
        <v>30</v>
      </c>
      <c r="R727" s="5" t="str">
        <f aca="false">IF(OR(Q727="Steel plate",Q727="Concrete jacket"),"Steel plate or jacket",Q727)</f>
        <v>Seal cracks</v>
      </c>
      <c r="S727" s="5" t="str">
        <f aca="false">IF(O727&lt;='Tree rules'!$C$4,IF(N727&lt;='Tree rules'!$C$5,IF(P727&lt;='Tree rules'!$C$6,"Monitor","Polymer laminate"),IF(P727&lt;='Tree rules'!$C$7,"Seal cracks","Polymer laminate")),IF(O727&lt;='Tree rules'!$C$8,IF(M727&lt;='Tree rules'!$C$9,"Steel plate or jacket","Polymer laminate"),IF(L727&lt;='Tree rules'!$C$10,"Steel plate or jacket","Polymer laminate")))</f>
        <v>Seal cracks</v>
      </c>
      <c r="T727" s="5" t="str">
        <f aca="false">IF(S727=R727,"Yes","No")</f>
        <v>Yes</v>
      </c>
    </row>
    <row r="728" customFormat="false" ht="15" hidden="false" customHeight="false" outlineLevel="0" collapsed="false">
      <c r="A728" s="15" t="n">
        <v>2425</v>
      </c>
      <c r="B728" s="16" t="n">
        <v>3.77430712080206</v>
      </c>
      <c r="C728" s="15" t="n">
        <v>300</v>
      </c>
      <c r="D728" s="15" t="n">
        <v>325</v>
      </c>
      <c r="E728" s="15" t="n">
        <v>20</v>
      </c>
      <c r="F728" s="16" t="n">
        <v>0.536642161467296</v>
      </c>
      <c r="G728" s="17" t="s">
        <v>89</v>
      </c>
      <c r="H728" s="18" t="n">
        <v>0.3</v>
      </c>
      <c r="I728" s="18" t="n">
        <v>2</v>
      </c>
      <c r="J728" s="19" t="n">
        <v>0.998574823272058</v>
      </c>
      <c r="K728" s="19" t="n">
        <v>0.407129727746685</v>
      </c>
      <c r="L728" s="16" t="n">
        <v>13.4316979387974</v>
      </c>
      <c r="M728" s="19" t="n">
        <v>0.68773916371526</v>
      </c>
      <c r="N728" s="19" t="n">
        <v>1.1500202067162</v>
      </c>
      <c r="O728" s="19" t="n">
        <v>1.59060015061067</v>
      </c>
      <c r="P728" s="19" t="n">
        <v>0.54201033523659</v>
      </c>
      <c r="Q728" s="17" t="s">
        <v>31</v>
      </c>
      <c r="R728" s="5" t="str">
        <f aca="false">IF(OR(Q728="Steel plate",Q728="Concrete jacket"),"Steel plate or jacket",Q728)</f>
        <v>Polymer laminate</v>
      </c>
      <c r="S728" s="5" t="str">
        <f aca="false">IF(O728&lt;='Tree rules'!$C$4,IF(N728&lt;='Tree rules'!$C$5,IF(P728&lt;='Tree rules'!$C$6,"Monitor","Polymer laminate"),IF(P728&lt;='Tree rules'!$C$7,"Seal cracks","Polymer laminate")),IF(O728&lt;='Tree rules'!$C$8,IF(M728&lt;='Tree rules'!$C$9,"Steel plate or jacket","Polymer laminate"),IF(L728&lt;='Tree rules'!$C$10,"Steel plate or jacket","Polymer laminate")))</f>
        <v>Polymer laminate</v>
      </c>
      <c r="T728" s="5" t="str">
        <f aca="false">IF(S728=R728,"Yes","No")</f>
        <v>Yes</v>
      </c>
    </row>
    <row r="729" customFormat="false" ht="15" hidden="false" customHeight="false" outlineLevel="0" collapsed="false">
      <c r="A729" s="15" t="n">
        <v>2429</v>
      </c>
      <c r="B729" s="16" t="n">
        <v>3.77941715835353</v>
      </c>
      <c r="C729" s="15" t="n">
        <v>300</v>
      </c>
      <c r="D729" s="15" t="n">
        <v>300</v>
      </c>
      <c r="E729" s="15" t="n">
        <v>30</v>
      </c>
      <c r="F729" s="16" t="n">
        <v>0.589048622548086</v>
      </c>
      <c r="G729" s="17" t="s">
        <v>91</v>
      </c>
      <c r="H729" s="18" t="n">
        <v>0.2</v>
      </c>
      <c r="I729" s="18" t="n">
        <v>2</v>
      </c>
      <c r="J729" s="19" t="n">
        <v>0.897364431111133</v>
      </c>
      <c r="K729" s="19" t="n">
        <v>0.44618528223806</v>
      </c>
      <c r="L729" s="16" t="n">
        <v>14.7633482748185</v>
      </c>
      <c r="M729" s="19" t="n">
        <v>0.24496207163685</v>
      </c>
      <c r="N729" s="19" t="n">
        <v>1.66859447145685</v>
      </c>
      <c r="O729" s="19" t="n">
        <v>1.39433806025655</v>
      </c>
      <c r="P729" s="19" t="n">
        <v>1.30454951575559</v>
      </c>
      <c r="Q729" s="17" t="s">
        <v>31</v>
      </c>
      <c r="R729" s="5" t="str">
        <f aca="false">IF(OR(Q729="Steel plate",Q729="Concrete jacket"),"Steel plate or jacket",Q729)</f>
        <v>Polymer laminate</v>
      </c>
      <c r="S729" s="5" t="str">
        <f aca="false">IF(O729&lt;='Tree rules'!$C$4,IF(N729&lt;='Tree rules'!$C$5,IF(P729&lt;='Tree rules'!$C$6,"Monitor","Polymer laminate"),IF(P729&lt;='Tree rules'!$C$7,"Seal cracks","Polymer laminate")),IF(O729&lt;='Tree rules'!$C$8,IF(M729&lt;='Tree rules'!$C$9,"Steel plate or jacket","Polymer laminate"),IF(L729&lt;='Tree rules'!$C$10,"Steel plate or jacket","Polymer laminate")))</f>
        <v>Polymer laminate</v>
      </c>
      <c r="T729" s="5" t="str">
        <f aca="false">IF(S729=R729,"Yes","No")</f>
        <v>Yes</v>
      </c>
    </row>
    <row r="730" customFormat="false" ht="15" hidden="false" customHeight="false" outlineLevel="0" collapsed="false">
      <c r="A730" s="15" t="n">
        <v>2430</v>
      </c>
      <c r="B730" s="16" t="n">
        <v>7.11108732741358</v>
      </c>
      <c r="C730" s="15" t="n">
        <v>230</v>
      </c>
      <c r="D730" s="15" t="n">
        <v>650</v>
      </c>
      <c r="E730" s="15" t="n">
        <v>20</v>
      </c>
      <c r="F730" s="16" t="n">
        <v>0.578928677885824</v>
      </c>
      <c r="G730" s="17" t="s">
        <v>89</v>
      </c>
      <c r="H730" s="18" t="n">
        <v>0.3</v>
      </c>
      <c r="I730" s="18" t="n">
        <v>1</v>
      </c>
      <c r="J730" s="19" t="n">
        <v>0.88422585998114</v>
      </c>
      <c r="K730" s="19" t="n">
        <v>0.41403466401258</v>
      </c>
      <c r="L730" s="16" t="n">
        <v>11.7733233897576</v>
      </c>
      <c r="M730" s="19" t="n">
        <v>0.564991771563222</v>
      </c>
      <c r="N730" s="19" t="n">
        <v>0.544479660851543</v>
      </c>
      <c r="O730" s="19" t="n">
        <v>0.88422585998114</v>
      </c>
      <c r="P730" s="19" t="n">
        <v>0.508350621028002</v>
      </c>
      <c r="Q730" s="17" t="s">
        <v>29</v>
      </c>
      <c r="R730" s="5" t="str">
        <f aca="false">IF(OR(Q730="Steel plate",Q730="Concrete jacket"),"Steel plate or jacket",Q730)</f>
        <v>Monitor</v>
      </c>
      <c r="S730" s="5" t="str">
        <f aca="false">IF(O730&lt;='Tree rules'!$C$4,IF(N730&lt;='Tree rules'!$C$5,IF(P730&lt;='Tree rules'!$C$6,"Monitor","Polymer laminate"),IF(P730&lt;='Tree rules'!$C$7,"Seal cracks","Polymer laminate")),IF(O730&lt;='Tree rules'!$C$8,IF(M730&lt;='Tree rules'!$C$9,"Steel plate or jacket","Polymer laminate"),IF(L730&lt;='Tree rules'!$C$10,"Steel plate or jacket","Polymer laminate")))</f>
        <v>Monitor</v>
      </c>
      <c r="T730" s="5" t="str">
        <f aca="false">IF(S730=R730,"Yes","No")</f>
        <v>Yes</v>
      </c>
    </row>
    <row r="731" customFormat="false" ht="15" hidden="false" customHeight="false" outlineLevel="0" collapsed="false">
      <c r="A731" s="15" t="n">
        <v>2433</v>
      </c>
      <c r="B731" s="16" t="n">
        <v>4.35644170771702</v>
      </c>
      <c r="C731" s="15" t="n">
        <v>230</v>
      </c>
      <c r="D731" s="15" t="n">
        <v>400</v>
      </c>
      <c r="E731" s="15" t="n">
        <v>30</v>
      </c>
      <c r="F731" s="16" t="n">
        <v>0.552502860426148</v>
      </c>
      <c r="G731" s="17" t="s">
        <v>89</v>
      </c>
      <c r="H731" s="18" t="n">
        <v>0.3</v>
      </c>
      <c r="I731" s="18" t="n">
        <v>1.5</v>
      </c>
      <c r="J731" s="19" t="n">
        <v>0.876434555362526</v>
      </c>
      <c r="K731" s="19" t="n">
        <v>0.51031714168371</v>
      </c>
      <c r="L731" s="16" t="n">
        <v>12.2371958081939</v>
      </c>
      <c r="M731" s="19" t="n">
        <v>0.729961975712694</v>
      </c>
      <c r="N731" s="19" t="n">
        <v>0.688388680184953</v>
      </c>
      <c r="O731" s="19" t="n">
        <v>1.09102204446107</v>
      </c>
      <c r="P731" s="19" t="n">
        <v>0.368197909301642</v>
      </c>
      <c r="Q731" s="17" t="s">
        <v>31</v>
      </c>
      <c r="R731" s="5" t="str">
        <f aca="false">IF(OR(Q731="Steel plate",Q731="Concrete jacket"),"Steel plate or jacket",Q731)</f>
        <v>Polymer laminate</v>
      </c>
      <c r="S731" s="5" t="str">
        <f aca="false">IF(O731&lt;='Tree rules'!$C$4,IF(N731&lt;='Tree rules'!$C$5,IF(P731&lt;='Tree rules'!$C$6,"Monitor","Polymer laminate"),IF(P731&lt;='Tree rules'!$C$7,"Seal cracks","Polymer laminate")),IF(O731&lt;='Tree rules'!$C$8,IF(M731&lt;='Tree rules'!$C$9,"Steel plate or jacket","Polymer laminate"),IF(L731&lt;='Tree rules'!$C$10,"Steel plate or jacket","Polymer laminate")))</f>
        <v>Polymer laminate</v>
      </c>
      <c r="T731" s="5" t="str">
        <f aca="false">IF(S731=R731,"Yes","No")</f>
        <v>Yes</v>
      </c>
    </row>
    <row r="732" customFormat="false" ht="15" hidden="false" customHeight="false" outlineLevel="0" collapsed="false">
      <c r="A732" s="15" t="n">
        <v>2434</v>
      </c>
      <c r="B732" s="16" t="n">
        <v>5.92660291614288</v>
      </c>
      <c r="C732" s="15" t="n">
        <v>300</v>
      </c>
      <c r="D732" s="15" t="n">
        <v>575</v>
      </c>
      <c r="E732" s="15" t="n">
        <v>30</v>
      </c>
      <c r="F732" s="16" t="n">
        <v>0.993546063753888</v>
      </c>
      <c r="G732" s="17" t="s">
        <v>91</v>
      </c>
      <c r="H732" s="18" t="n">
        <v>0.2</v>
      </c>
      <c r="I732" s="18" t="n">
        <v>1</v>
      </c>
      <c r="J732" s="19" t="n">
        <v>0.938587043039789</v>
      </c>
      <c r="K732" s="19" t="n">
        <v>0.401178247306767</v>
      </c>
      <c r="L732" s="16" t="n">
        <v>11.2459258370833</v>
      </c>
      <c r="M732" s="19" t="n">
        <v>0.7906044135343</v>
      </c>
      <c r="N732" s="19" t="n">
        <v>0.882832889610655</v>
      </c>
      <c r="O732" s="19" t="n">
        <v>0.938587043039789</v>
      </c>
      <c r="P732" s="19" t="n">
        <v>0.484638783691566</v>
      </c>
      <c r="Q732" s="17" t="s">
        <v>29</v>
      </c>
      <c r="R732" s="5" t="str">
        <f aca="false">IF(OR(Q732="Steel plate",Q732="Concrete jacket"),"Steel plate or jacket",Q732)</f>
        <v>Monitor</v>
      </c>
      <c r="S732" s="5" t="str">
        <f aca="false">IF(O732&lt;='Tree rules'!$C$4,IF(N732&lt;='Tree rules'!$C$5,IF(P732&lt;='Tree rules'!$C$6,"Monitor","Polymer laminate"),IF(P732&lt;='Tree rules'!$C$7,"Seal cracks","Polymer laminate")),IF(O732&lt;='Tree rules'!$C$8,IF(M732&lt;='Tree rules'!$C$9,"Steel plate or jacket","Polymer laminate"),IF(L732&lt;='Tree rules'!$C$10,"Steel plate or jacket","Polymer laminate")))</f>
        <v>Monitor</v>
      </c>
      <c r="T732" s="5" t="str">
        <f aca="false">IF(S732=R732,"Yes","No")</f>
        <v>Yes</v>
      </c>
    </row>
    <row r="733" customFormat="false" ht="15" hidden="false" customHeight="false" outlineLevel="0" collapsed="false">
      <c r="A733" s="15" t="n">
        <v>2436</v>
      </c>
      <c r="B733" s="16" t="n">
        <v>3.65474689855133</v>
      </c>
      <c r="C733" s="15" t="n">
        <v>300</v>
      </c>
      <c r="D733" s="15" t="n">
        <v>325</v>
      </c>
      <c r="E733" s="15" t="n">
        <v>25</v>
      </c>
      <c r="F733" s="16" t="n">
        <v>0.72065207824282</v>
      </c>
      <c r="G733" s="17" t="s">
        <v>89</v>
      </c>
      <c r="H733" s="18" t="n">
        <v>0.3</v>
      </c>
      <c r="I733" s="18" t="n">
        <v>1.5</v>
      </c>
      <c r="J733" s="19" t="n">
        <v>0.933700415435865</v>
      </c>
      <c r="K733" s="19" t="n">
        <v>0.491358365684928</v>
      </c>
      <c r="L733" s="16" t="n">
        <v>13.0994512492879</v>
      </c>
      <c r="M733" s="19" t="n">
        <v>0.941714084380626</v>
      </c>
      <c r="N733" s="19" t="n">
        <v>0.919731500621432</v>
      </c>
      <c r="O733" s="19" t="n">
        <v>1.17115986806985</v>
      </c>
      <c r="P733" s="19" t="n">
        <v>0.401702025607337</v>
      </c>
      <c r="Q733" s="17" t="s">
        <v>31</v>
      </c>
      <c r="R733" s="5" t="str">
        <f aca="false">IF(OR(Q733="Steel plate",Q733="Concrete jacket"),"Steel plate or jacket",Q733)</f>
        <v>Polymer laminate</v>
      </c>
      <c r="S733" s="5" t="str">
        <f aca="false">IF(O733&lt;='Tree rules'!$C$4,IF(N733&lt;='Tree rules'!$C$5,IF(P733&lt;='Tree rules'!$C$6,"Monitor","Polymer laminate"),IF(P733&lt;='Tree rules'!$C$7,"Seal cracks","Polymer laminate")),IF(O733&lt;='Tree rules'!$C$8,IF(M733&lt;='Tree rules'!$C$9,"Steel plate or jacket","Polymer laminate"),IF(L733&lt;='Tree rules'!$C$10,"Steel plate or jacket","Polymer laminate")))</f>
        <v>Polymer laminate</v>
      </c>
      <c r="T733" s="5" t="str">
        <f aca="false">IF(S733=R733,"Yes","No")</f>
        <v>Yes</v>
      </c>
    </row>
    <row r="734" customFormat="false" ht="15" hidden="false" customHeight="false" outlineLevel="0" collapsed="false">
      <c r="A734" s="15" t="n">
        <v>2438</v>
      </c>
      <c r="B734" s="16" t="n">
        <v>5.04791668347312</v>
      </c>
      <c r="C734" s="15" t="n">
        <v>300</v>
      </c>
      <c r="D734" s="15" t="n">
        <v>475</v>
      </c>
      <c r="E734" s="15" t="n">
        <v>25</v>
      </c>
      <c r="F734" s="16" t="n">
        <v>0.735735984447258</v>
      </c>
      <c r="G734" s="17" t="s">
        <v>91</v>
      </c>
      <c r="H734" s="18" t="n">
        <v>0.2</v>
      </c>
      <c r="I734" s="18" t="n">
        <v>1.5</v>
      </c>
      <c r="J734" s="19" t="n">
        <v>0.8684654303217</v>
      </c>
      <c r="K734" s="19" t="n">
        <v>0.486853929209646</v>
      </c>
      <c r="L734" s="16" t="n">
        <v>11.8218189308504</v>
      </c>
      <c r="M734" s="19" t="n">
        <v>0.818455245150693</v>
      </c>
      <c r="N734" s="19" t="n">
        <v>1.29168499522024</v>
      </c>
      <c r="O734" s="19" t="n">
        <v>1.09129024191512</v>
      </c>
      <c r="P734" s="19" t="n">
        <v>0.446941078343445</v>
      </c>
      <c r="Q734" s="17" t="s">
        <v>31</v>
      </c>
      <c r="R734" s="5" t="str">
        <f aca="false">IF(OR(Q734="Steel plate",Q734="Concrete jacket"),"Steel plate or jacket",Q734)</f>
        <v>Polymer laminate</v>
      </c>
      <c r="S734" s="5" t="str">
        <f aca="false">IF(O734&lt;='Tree rules'!$C$4,IF(N734&lt;='Tree rules'!$C$5,IF(P734&lt;='Tree rules'!$C$6,"Monitor","Polymer laminate"),IF(P734&lt;='Tree rules'!$C$7,"Seal cracks","Polymer laminate")),IF(O734&lt;='Tree rules'!$C$8,IF(M734&lt;='Tree rules'!$C$9,"Steel plate or jacket","Polymer laminate"),IF(L734&lt;='Tree rules'!$C$10,"Steel plate or jacket","Polymer laminate")))</f>
        <v>Polymer laminate</v>
      </c>
      <c r="T734" s="5" t="str">
        <f aca="false">IF(S734=R734,"Yes","No")</f>
        <v>Yes</v>
      </c>
    </row>
    <row r="735" customFormat="false" ht="15" hidden="false" customHeight="false" outlineLevel="0" collapsed="false">
      <c r="A735" s="15" t="n">
        <v>2440</v>
      </c>
      <c r="B735" s="16" t="n">
        <v>6.77767352359087</v>
      </c>
      <c r="C735" s="15" t="n">
        <v>230</v>
      </c>
      <c r="D735" s="15" t="n">
        <v>600</v>
      </c>
      <c r="E735" s="15" t="n">
        <v>25</v>
      </c>
      <c r="F735" s="16" t="n">
        <v>0.63117855856144</v>
      </c>
      <c r="G735" s="17" t="s">
        <v>91</v>
      </c>
      <c r="H735" s="18" t="n">
        <v>0.2</v>
      </c>
      <c r="I735" s="18" t="n">
        <v>1</v>
      </c>
      <c r="J735" s="19" t="n">
        <v>0.949376262560962</v>
      </c>
      <c r="K735" s="19" t="n">
        <v>0.462612660812655</v>
      </c>
      <c r="L735" s="16" t="n">
        <v>12.2340677321135</v>
      </c>
      <c r="M735" s="19" t="n">
        <v>0.340173618783824</v>
      </c>
      <c r="N735" s="19" t="n">
        <v>0.952009922396216</v>
      </c>
      <c r="O735" s="19" t="n">
        <v>0.949376262560962</v>
      </c>
      <c r="P735" s="19" t="n">
        <v>0.924690057266597</v>
      </c>
      <c r="Q735" s="17" t="s">
        <v>29</v>
      </c>
      <c r="R735" s="5" t="str">
        <f aca="false">IF(OR(Q735="Steel plate",Q735="Concrete jacket"),"Steel plate or jacket",Q735)</f>
        <v>Monitor</v>
      </c>
      <c r="S735" s="5" t="str">
        <f aca="false">IF(O735&lt;='Tree rules'!$C$4,IF(N735&lt;='Tree rules'!$C$5,IF(P735&lt;='Tree rules'!$C$6,"Monitor","Polymer laminate"),IF(P735&lt;='Tree rules'!$C$7,"Seal cracks","Polymer laminate")),IF(O735&lt;='Tree rules'!$C$8,IF(M735&lt;='Tree rules'!$C$9,"Steel plate or jacket","Polymer laminate"),IF(L735&lt;='Tree rules'!$C$10,"Steel plate or jacket","Polymer laminate")))</f>
        <v>Monitor</v>
      </c>
      <c r="T735" s="5" t="str">
        <f aca="false">IF(S735=R735,"Yes","No")</f>
        <v>Yes</v>
      </c>
    </row>
    <row r="736" customFormat="false" ht="15" hidden="false" customHeight="false" outlineLevel="0" collapsed="false">
      <c r="A736" s="15" t="n">
        <v>2441</v>
      </c>
      <c r="B736" s="16" t="n">
        <v>6.47166467218104</v>
      </c>
      <c r="C736" s="15" t="n">
        <v>300</v>
      </c>
      <c r="D736" s="15" t="n">
        <v>575</v>
      </c>
      <c r="E736" s="15" t="n">
        <v>25</v>
      </c>
      <c r="F736" s="16" t="n">
        <v>0.633465437396808</v>
      </c>
      <c r="G736" s="17" t="s">
        <v>91</v>
      </c>
      <c r="H736" s="18" t="n">
        <v>0.2</v>
      </c>
      <c r="I736" s="18" t="n">
        <v>1.5</v>
      </c>
      <c r="J736" s="19" t="n">
        <v>0.880905756901193</v>
      </c>
      <c r="K736" s="19" t="n">
        <v>0.527393258595591</v>
      </c>
      <c r="L736" s="16" t="n">
        <v>12.2337706468451</v>
      </c>
      <c r="M736" s="19" t="n">
        <v>0.401965004704032</v>
      </c>
      <c r="N736" s="19" t="n">
        <v>1.10579983312262</v>
      </c>
      <c r="O736" s="19" t="n">
        <v>1.08906675652792</v>
      </c>
      <c r="P736" s="19" t="n">
        <v>0.865729530906939</v>
      </c>
      <c r="Q736" s="17" t="s">
        <v>31</v>
      </c>
      <c r="R736" s="5" t="str">
        <f aca="false">IF(OR(Q736="Steel plate",Q736="Concrete jacket"),"Steel plate or jacket",Q736)</f>
        <v>Polymer laminate</v>
      </c>
      <c r="S736" s="5" t="str">
        <f aca="false">IF(O736&lt;='Tree rules'!$C$4,IF(N736&lt;='Tree rules'!$C$5,IF(P736&lt;='Tree rules'!$C$6,"Monitor","Polymer laminate"),IF(P736&lt;='Tree rules'!$C$7,"Seal cracks","Polymer laminate")),IF(O736&lt;='Tree rules'!$C$8,IF(M736&lt;='Tree rules'!$C$9,"Steel plate or jacket","Polymer laminate"),IF(L736&lt;='Tree rules'!$C$10,"Steel plate or jacket","Polymer laminate")))</f>
        <v>Polymer laminate</v>
      </c>
      <c r="T736" s="5" t="str">
        <f aca="false">IF(S736=R736,"Yes","No")</f>
        <v>Yes</v>
      </c>
    </row>
    <row r="737" customFormat="false" ht="15" hidden="false" customHeight="false" outlineLevel="0" collapsed="false">
      <c r="A737" s="15" t="n">
        <v>2442</v>
      </c>
      <c r="B737" s="16" t="n">
        <v>3.50660650394609</v>
      </c>
      <c r="C737" s="15" t="n">
        <v>300</v>
      </c>
      <c r="D737" s="15" t="n">
        <v>300</v>
      </c>
      <c r="E737" s="15" t="n">
        <v>25</v>
      </c>
      <c r="F737" s="16" t="n">
        <v>0.589048622548086</v>
      </c>
      <c r="G737" s="17" t="s">
        <v>91</v>
      </c>
      <c r="H737" s="18" t="n">
        <v>0.2</v>
      </c>
      <c r="I737" s="18" t="n">
        <v>1</v>
      </c>
      <c r="J737" s="19" t="n">
        <v>0.933281648168731</v>
      </c>
      <c r="K737" s="19" t="n">
        <v>0.524266471683846</v>
      </c>
      <c r="L737" s="16" t="n">
        <v>13.6976816560394</v>
      </c>
      <c r="M737" s="19" t="n">
        <v>0.226101853424804</v>
      </c>
      <c r="N737" s="19" t="n">
        <v>1.11065238175356</v>
      </c>
      <c r="O737" s="19" t="n">
        <v>0.933281648168731</v>
      </c>
      <c r="P737" s="19" t="n">
        <v>1.18615847838991</v>
      </c>
      <c r="Q737" s="17" t="s">
        <v>31</v>
      </c>
      <c r="R737" s="5" t="str">
        <f aca="false">IF(OR(Q737="Steel plate",Q737="Concrete jacket"),"Steel plate or jacket",Q737)</f>
        <v>Polymer laminate</v>
      </c>
      <c r="S737" s="5" t="str">
        <f aca="false">IF(O737&lt;='Tree rules'!$C$4,IF(N737&lt;='Tree rules'!$C$5,IF(P737&lt;='Tree rules'!$C$6,"Monitor","Polymer laminate"),IF(P737&lt;='Tree rules'!$C$7,"Seal cracks","Polymer laminate")),IF(O737&lt;='Tree rules'!$C$8,IF(M737&lt;='Tree rules'!$C$9,"Steel plate or jacket","Polymer laminate"),IF(L737&lt;='Tree rules'!$C$10,"Steel plate or jacket","Polymer laminate")))</f>
        <v>Polymer laminate</v>
      </c>
      <c r="T737" s="5" t="str">
        <f aca="false">IF(S737=R737,"Yes","No")</f>
        <v>Yes</v>
      </c>
    </row>
    <row r="738" customFormat="false" ht="15" hidden="false" customHeight="false" outlineLevel="0" collapsed="false">
      <c r="A738" s="15" t="n">
        <v>2447</v>
      </c>
      <c r="B738" s="16" t="n">
        <v>3.4781287356235</v>
      </c>
      <c r="C738" s="15" t="n">
        <v>230</v>
      </c>
      <c r="D738" s="15" t="n">
        <v>300</v>
      </c>
      <c r="E738" s="15" t="n">
        <v>25</v>
      </c>
      <c r="F738" s="16" t="n">
        <v>0.688332522525665</v>
      </c>
      <c r="G738" s="17" t="s">
        <v>89</v>
      </c>
      <c r="H738" s="18" t="n">
        <v>0.3</v>
      </c>
      <c r="I738" s="18" t="n">
        <v>1</v>
      </c>
      <c r="J738" s="19" t="n">
        <v>0.885870313055013</v>
      </c>
      <c r="K738" s="19" t="n">
        <v>0.590121990260047</v>
      </c>
      <c r="L738" s="16" t="n">
        <v>13.6934202189901</v>
      </c>
      <c r="M738" s="19" t="n">
        <v>0.294632429255721</v>
      </c>
      <c r="N738" s="19" t="n">
        <v>0.872189859925754</v>
      </c>
      <c r="O738" s="19" t="n">
        <v>0.885870313055013</v>
      </c>
      <c r="P738" s="19" t="n">
        <v>1.02373560384636</v>
      </c>
      <c r="Q738" s="17" t="s">
        <v>31</v>
      </c>
      <c r="R738" s="5" t="str">
        <f aca="false">IF(OR(Q738="Steel plate",Q738="Concrete jacket"),"Steel plate or jacket",Q738)</f>
        <v>Polymer laminate</v>
      </c>
      <c r="S738" s="5" t="str">
        <f aca="false">IF(O738&lt;='Tree rules'!$C$4,IF(N738&lt;='Tree rules'!$C$5,IF(P738&lt;='Tree rules'!$C$6,"Monitor","Polymer laminate"),IF(P738&lt;='Tree rules'!$C$7,"Seal cracks","Polymer laminate")),IF(O738&lt;='Tree rules'!$C$8,IF(M738&lt;='Tree rules'!$C$9,"Steel plate or jacket","Polymer laminate"),IF(L738&lt;='Tree rules'!$C$10,"Steel plate or jacket","Polymer laminate")))</f>
        <v>Polymer laminate</v>
      </c>
      <c r="T738" s="5" t="str">
        <f aca="false">IF(S738=R738,"Yes","No")</f>
        <v>Yes</v>
      </c>
    </row>
    <row r="739" customFormat="false" ht="15" hidden="false" customHeight="false" outlineLevel="0" collapsed="false">
      <c r="A739" s="15" t="n">
        <v>2448</v>
      </c>
      <c r="B739" s="16" t="n">
        <v>5.11436802326212</v>
      </c>
      <c r="C739" s="15" t="n">
        <v>300</v>
      </c>
      <c r="D739" s="15" t="n">
        <v>500</v>
      </c>
      <c r="E739" s="15" t="n">
        <v>25</v>
      </c>
      <c r="F739" s="16" t="n">
        <v>0.71889992072993</v>
      </c>
      <c r="G739" s="17" t="s">
        <v>90</v>
      </c>
      <c r="H739" s="18" t="n">
        <v>0.1</v>
      </c>
      <c r="I739" s="18" t="n">
        <v>2</v>
      </c>
      <c r="J739" s="19" t="n">
        <v>0.862994776171565</v>
      </c>
      <c r="K739" s="19" t="n">
        <v>0.436620970134394</v>
      </c>
      <c r="L739" s="16" t="n">
        <v>11.703359320966</v>
      </c>
      <c r="M739" s="19" t="n">
        <v>0.922998954214513</v>
      </c>
      <c r="N739" s="19" t="n">
        <v>3.81838109072253</v>
      </c>
      <c r="O739" s="19" t="n">
        <v>1.34918793595019</v>
      </c>
      <c r="P739" s="19" t="n">
        <v>0.396458811908674</v>
      </c>
      <c r="Q739" s="17" t="s">
        <v>31</v>
      </c>
      <c r="R739" s="5" t="str">
        <f aca="false">IF(OR(Q739="Steel plate",Q739="Concrete jacket"),"Steel plate or jacket",Q739)</f>
        <v>Polymer laminate</v>
      </c>
      <c r="S739" s="5" t="str">
        <f aca="false">IF(O739&lt;='Tree rules'!$C$4,IF(N739&lt;='Tree rules'!$C$5,IF(P739&lt;='Tree rules'!$C$6,"Monitor","Polymer laminate"),IF(P739&lt;='Tree rules'!$C$7,"Seal cracks","Polymer laminate")),IF(O739&lt;='Tree rules'!$C$8,IF(M739&lt;='Tree rules'!$C$9,"Steel plate or jacket","Polymer laminate"),IF(L739&lt;='Tree rules'!$C$10,"Steel plate or jacket","Polymer laminate")))</f>
        <v>Steel plate or jacket</v>
      </c>
      <c r="T739" s="5" t="str">
        <f aca="false">IF(S739=R739,"Yes","No")</f>
        <v>No</v>
      </c>
    </row>
    <row r="740" customFormat="false" ht="15" hidden="false" customHeight="false" outlineLevel="0" collapsed="false">
      <c r="A740" s="15" t="n">
        <v>2449</v>
      </c>
      <c r="B740" s="16" t="n">
        <v>3.82786957481602</v>
      </c>
      <c r="C740" s="15" t="n">
        <v>230</v>
      </c>
      <c r="D740" s="15" t="n">
        <v>375</v>
      </c>
      <c r="E740" s="15" t="n">
        <v>30</v>
      </c>
      <c r="F740" s="16" t="n">
        <v>0.835418868126524</v>
      </c>
      <c r="G740" s="17" t="s">
        <v>89</v>
      </c>
      <c r="H740" s="18" t="n">
        <v>0.3</v>
      </c>
      <c r="I740" s="18" t="n">
        <v>1</v>
      </c>
      <c r="J740" s="19" t="n">
        <v>0.858571169473059</v>
      </c>
      <c r="K740" s="19" t="n">
        <v>0.600143252841201</v>
      </c>
      <c r="L740" s="16" t="n">
        <v>11.706023164575</v>
      </c>
      <c r="M740" s="19" t="n">
        <v>0.354765019958216</v>
      </c>
      <c r="N740" s="19" t="n">
        <v>0.842549981865439</v>
      </c>
      <c r="O740" s="19" t="n">
        <v>0.858571169473059</v>
      </c>
      <c r="P740" s="19" t="n">
        <v>0.86981695361529</v>
      </c>
      <c r="Q740" s="17" t="s">
        <v>29</v>
      </c>
      <c r="R740" s="5" t="str">
        <f aca="false">IF(OR(Q740="Steel plate",Q740="Concrete jacket"),"Steel plate or jacket",Q740)</f>
        <v>Monitor</v>
      </c>
      <c r="S740" s="5" t="str">
        <f aca="false">IF(O740&lt;='Tree rules'!$C$4,IF(N740&lt;='Tree rules'!$C$5,IF(P740&lt;='Tree rules'!$C$6,"Monitor","Polymer laminate"),IF(P740&lt;='Tree rules'!$C$7,"Seal cracks","Polymer laminate")),IF(O740&lt;='Tree rules'!$C$8,IF(M740&lt;='Tree rules'!$C$9,"Steel plate or jacket","Polymer laminate"),IF(L740&lt;='Tree rules'!$C$10,"Steel plate or jacket","Polymer laminate")))</f>
        <v>Monitor</v>
      </c>
      <c r="T740" s="5" t="str">
        <f aca="false">IF(S740=R740,"Yes","No")</f>
        <v>Yes</v>
      </c>
    </row>
    <row r="741" customFormat="false" ht="15" hidden="false" customHeight="false" outlineLevel="0" collapsed="false">
      <c r="A741" s="15" t="n">
        <v>2451</v>
      </c>
      <c r="B741" s="16" t="n">
        <v>4.99625304486605</v>
      </c>
      <c r="C741" s="15" t="n">
        <v>230</v>
      </c>
      <c r="D741" s="15" t="n">
        <v>500</v>
      </c>
      <c r="E741" s="15" t="n">
        <v>30</v>
      </c>
      <c r="F741" s="16" t="n">
        <v>0.770204672782022</v>
      </c>
      <c r="G741" s="17" t="s">
        <v>91</v>
      </c>
      <c r="H741" s="18" t="n">
        <v>0.2</v>
      </c>
      <c r="I741" s="18" t="n">
        <v>2</v>
      </c>
      <c r="J741" s="19" t="n">
        <v>0.924042725510751</v>
      </c>
      <c r="K741" s="19" t="n">
        <v>0.544385315936377</v>
      </c>
      <c r="L741" s="16" t="n">
        <v>11.00496265389</v>
      </c>
      <c r="M741" s="19" t="n">
        <v>0.672034298588669</v>
      </c>
      <c r="N741" s="19" t="n">
        <v>1.3217622819385</v>
      </c>
      <c r="O741" s="19" t="n">
        <v>1.34505015995562</v>
      </c>
      <c r="P741" s="19" t="n">
        <v>0.594404974674948</v>
      </c>
      <c r="Q741" s="17" t="s">
        <v>31</v>
      </c>
      <c r="R741" s="5" t="str">
        <f aca="false">IF(OR(Q741="Steel plate",Q741="Concrete jacket"),"Steel plate or jacket",Q741)</f>
        <v>Polymer laminate</v>
      </c>
      <c r="S741" s="5" t="str">
        <f aca="false">IF(O741&lt;='Tree rules'!$C$4,IF(N741&lt;='Tree rules'!$C$5,IF(P741&lt;='Tree rules'!$C$6,"Monitor","Polymer laminate"),IF(P741&lt;='Tree rules'!$C$7,"Seal cracks","Polymer laminate")),IF(O741&lt;='Tree rules'!$C$8,IF(M741&lt;='Tree rules'!$C$9,"Steel plate or jacket","Polymer laminate"),IF(L741&lt;='Tree rules'!$C$10,"Steel plate or jacket","Polymer laminate")))</f>
        <v>Steel plate or jacket</v>
      </c>
      <c r="T741" s="5" t="str">
        <f aca="false">IF(S741=R741,"Yes","No")</f>
        <v>No</v>
      </c>
    </row>
    <row r="742" customFormat="false" ht="15" hidden="false" customHeight="false" outlineLevel="0" collapsed="false">
      <c r="A742" s="15" t="n">
        <v>2456</v>
      </c>
      <c r="B742" s="16" t="n">
        <v>5.41068745601522</v>
      </c>
      <c r="C742" s="15" t="n">
        <v>230</v>
      </c>
      <c r="D742" s="15" t="n">
        <v>475</v>
      </c>
      <c r="E742" s="15" t="n">
        <v>25</v>
      </c>
      <c r="F742" s="16" t="n">
        <v>0.611316296229087</v>
      </c>
      <c r="G742" s="17" t="s">
        <v>91</v>
      </c>
      <c r="H742" s="18" t="n">
        <v>0.2</v>
      </c>
      <c r="I742" s="18" t="n">
        <v>1.5</v>
      </c>
      <c r="J742" s="19" t="n">
        <v>0.96785259251638</v>
      </c>
      <c r="K742" s="19" t="n">
        <v>0.509879306784715</v>
      </c>
      <c r="L742" s="16" t="n">
        <v>12.6123250722966</v>
      </c>
      <c r="M742" s="19" t="n">
        <v>0.537435674972985</v>
      </c>
      <c r="N742" s="19" t="n">
        <v>1.31308623957726</v>
      </c>
      <c r="O742" s="19" t="n">
        <v>1.20503488430355</v>
      </c>
      <c r="P742" s="19" t="n">
        <v>0.67623805520689</v>
      </c>
      <c r="Q742" s="17" t="s">
        <v>31</v>
      </c>
      <c r="R742" s="5" t="str">
        <f aca="false">IF(OR(Q742="Steel plate",Q742="Concrete jacket"),"Steel plate or jacket",Q742)</f>
        <v>Polymer laminate</v>
      </c>
      <c r="S742" s="5" t="str">
        <f aca="false">IF(O742&lt;='Tree rules'!$C$4,IF(N742&lt;='Tree rules'!$C$5,IF(P742&lt;='Tree rules'!$C$6,"Monitor","Polymer laminate"),IF(P742&lt;='Tree rules'!$C$7,"Seal cracks","Polymer laminate")),IF(O742&lt;='Tree rules'!$C$8,IF(M742&lt;='Tree rules'!$C$9,"Steel plate or jacket","Polymer laminate"),IF(L742&lt;='Tree rules'!$C$10,"Steel plate or jacket","Polymer laminate")))</f>
        <v>Polymer laminate</v>
      </c>
      <c r="T742" s="5" t="str">
        <f aca="false">IF(S742=R742,"Yes","No")</f>
        <v>Yes</v>
      </c>
    </row>
    <row r="743" customFormat="false" ht="15" hidden="false" customHeight="false" outlineLevel="0" collapsed="false">
      <c r="A743" s="15" t="n">
        <v>2459</v>
      </c>
      <c r="B743" s="16" t="n">
        <v>6.31726018952297</v>
      </c>
      <c r="C743" s="15" t="n">
        <v>300</v>
      </c>
      <c r="D743" s="15" t="n">
        <v>575</v>
      </c>
      <c r="E743" s="15" t="n">
        <v>25</v>
      </c>
      <c r="F743" s="16" t="n">
        <v>0.613592315154257</v>
      </c>
      <c r="G743" s="17" t="s">
        <v>90</v>
      </c>
      <c r="H743" s="18" t="n">
        <v>0.1</v>
      </c>
      <c r="I743" s="18" t="n">
        <v>1</v>
      </c>
      <c r="J743" s="19" t="n">
        <v>0.95812677499715</v>
      </c>
      <c r="K743" s="19" t="n">
        <v>0.446800364569672</v>
      </c>
      <c r="L743" s="16" t="n">
        <v>12.3383988076621</v>
      </c>
      <c r="M743" s="19" t="n">
        <v>0.288793393889751</v>
      </c>
      <c r="N743" s="19" t="n">
        <v>2.96473255182797</v>
      </c>
      <c r="O743" s="19" t="n">
        <v>0.95812677499715</v>
      </c>
      <c r="P743" s="19" t="n">
        <v>0.960500383665123</v>
      </c>
      <c r="Q743" s="17" t="s">
        <v>31</v>
      </c>
      <c r="R743" s="5" t="str">
        <f aca="false">IF(OR(Q743="Steel plate",Q743="Concrete jacket"),"Steel plate or jacket",Q743)</f>
        <v>Polymer laminate</v>
      </c>
      <c r="S743" s="5" t="str">
        <f aca="false">IF(O743&lt;='Tree rules'!$C$4,IF(N743&lt;='Tree rules'!$C$5,IF(P743&lt;='Tree rules'!$C$6,"Monitor","Polymer laminate"),IF(P743&lt;='Tree rules'!$C$7,"Seal cracks","Polymer laminate")),IF(O743&lt;='Tree rules'!$C$8,IF(M743&lt;='Tree rules'!$C$9,"Steel plate or jacket","Polymer laminate"),IF(L743&lt;='Tree rules'!$C$10,"Steel plate or jacket","Polymer laminate")))</f>
        <v>Seal cracks</v>
      </c>
      <c r="T743" s="5" t="str">
        <f aca="false">IF(S743=R743,"Yes","No")</f>
        <v>No</v>
      </c>
    </row>
    <row r="744" customFormat="false" ht="15" hidden="false" customHeight="false" outlineLevel="0" collapsed="false">
      <c r="A744" s="15" t="n">
        <v>2462</v>
      </c>
      <c r="B744" s="16" t="n">
        <v>4.3328485974804</v>
      </c>
      <c r="C744" s="15" t="n">
        <v>230</v>
      </c>
      <c r="D744" s="15" t="n">
        <v>425</v>
      </c>
      <c r="E744" s="15" t="n">
        <v>30</v>
      </c>
      <c r="F744" s="16" t="n">
        <v>1.08693091463146</v>
      </c>
      <c r="G744" s="17" t="s">
        <v>89</v>
      </c>
      <c r="H744" s="18" t="n">
        <v>0.3</v>
      </c>
      <c r="I744" s="18" t="n">
        <v>2</v>
      </c>
      <c r="J744" s="19" t="n">
        <v>0.903687686174007</v>
      </c>
      <c r="K744" s="19" t="n">
        <v>0.450936941326196</v>
      </c>
      <c r="L744" s="16" t="n">
        <v>11.49296710207</v>
      </c>
      <c r="M744" s="19" t="n">
        <v>0.804134773721877</v>
      </c>
      <c r="N744" s="19" t="n">
        <v>0.998660441431617</v>
      </c>
      <c r="O744" s="19" t="n">
        <v>1.39986921123056</v>
      </c>
      <c r="P744" s="19" t="n">
        <v>0.619607173401421</v>
      </c>
      <c r="Q744" s="17" t="s">
        <v>92</v>
      </c>
      <c r="R744" s="5" t="str">
        <f aca="false">IF(OR(Q744="Steel plate",Q744="Concrete jacket"),"Steel plate or jacket",Q744)</f>
        <v>Steel plate or jacket</v>
      </c>
      <c r="S744" s="5" t="str">
        <f aca="false">IF(O744&lt;='Tree rules'!$C$4,IF(N744&lt;='Tree rules'!$C$5,IF(P744&lt;='Tree rules'!$C$6,"Monitor","Polymer laminate"),IF(P744&lt;='Tree rules'!$C$7,"Seal cracks","Polymer laminate")),IF(O744&lt;='Tree rules'!$C$8,IF(M744&lt;='Tree rules'!$C$9,"Steel plate or jacket","Polymer laminate"),IF(L744&lt;='Tree rules'!$C$10,"Steel plate or jacket","Polymer laminate")))</f>
        <v>Steel plate or jacket</v>
      </c>
      <c r="T744" s="5" t="str">
        <f aca="false">IF(S744=R744,"Yes","No")</f>
        <v>Yes</v>
      </c>
    </row>
    <row r="745" customFormat="false" ht="15" hidden="false" customHeight="false" outlineLevel="0" collapsed="false">
      <c r="A745" s="15" t="n">
        <v>2464</v>
      </c>
      <c r="B745" s="16" t="n">
        <v>6.26524141088284</v>
      </c>
      <c r="C745" s="15" t="n">
        <v>230</v>
      </c>
      <c r="D745" s="15" t="n">
        <v>575</v>
      </c>
      <c r="E745" s="15" t="n">
        <v>30</v>
      </c>
      <c r="F745" s="16" t="n">
        <v>0.777557789024782</v>
      </c>
      <c r="G745" s="17" t="s">
        <v>89</v>
      </c>
      <c r="H745" s="18" t="n">
        <v>0.3</v>
      </c>
      <c r="I745" s="18" t="n">
        <v>1</v>
      </c>
      <c r="J745" s="19" t="n">
        <v>0.870398139833667</v>
      </c>
      <c r="K745" s="19" t="n">
        <v>0.536855875270458</v>
      </c>
      <c r="L745" s="16" t="n">
        <v>11.8885036259637</v>
      </c>
      <c r="M745" s="19" t="n">
        <v>0.929548594893182</v>
      </c>
      <c r="N745" s="19" t="n">
        <v>0.564332642077437</v>
      </c>
      <c r="O745" s="19" t="n">
        <v>0.870398139833667</v>
      </c>
      <c r="P745" s="19" t="n">
        <v>0.385920697879992</v>
      </c>
      <c r="Q745" s="17" t="s">
        <v>29</v>
      </c>
      <c r="R745" s="5" t="str">
        <f aca="false">IF(OR(Q745="Steel plate",Q745="Concrete jacket"),"Steel plate or jacket",Q745)</f>
        <v>Monitor</v>
      </c>
      <c r="S745" s="5" t="str">
        <f aca="false">IF(O745&lt;='Tree rules'!$C$4,IF(N745&lt;='Tree rules'!$C$5,IF(P745&lt;='Tree rules'!$C$6,"Monitor","Polymer laminate"),IF(P745&lt;='Tree rules'!$C$7,"Seal cracks","Polymer laminate")),IF(O745&lt;='Tree rules'!$C$8,IF(M745&lt;='Tree rules'!$C$9,"Steel plate or jacket","Polymer laminate"),IF(L745&lt;='Tree rules'!$C$10,"Steel plate or jacket","Polymer laminate")))</f>
        <v>Monitor</v>
      </c>
      <c r="T745" s="5" t="str">
        <f aca="false">IF(S745=R745,"Yes","No")</f>
        <v>Yes</v>
      </c>
    </row>
    <row r="746" customFormat="false" ht="15" hidden="false" customHeight="false" outlineLevel="0" collapsed="false">
      <c r="A746" s="15" t="n">
        <v>2471</v>
      </c>
      <c r="B746" s="16" t="n">
        <v>5.77746471763018</v>
      </c>
      <c r="C746" s="15" t="n">
        <v>230</v>
      </c>
      <c r="D746" s="15" t="n">
        <v>550</v>
      </c>
      <c r="E746" s="15" t="n">
        <v>25</v>
      </c>
      <c r="F746" s="16" t="n">
        <v>0.816280786486175</v>
      </c>
      <c r="G746" s="17" t="s">
        <v>89</v>
      </c>
      <c r="H746" s="18" t="n">
        <v>0.3</v>
      </c>
      <c r="I746" s="18" t="n">
        <v>1</v>
      </c>
      <c r="J746" s="19" t="n">
        <v>0.902269245663178</v>
      </c>
      <c r="K746" s="19" t="n">
        <v>0.586914514814351</v>
      </c>
      <c r="L746" s="16" t="n">
        <v>11.5088938598211</v>
      </c>
      <c r="M746" s="19" t="n">
        <v>0.4827429435098</v>
      </c>
      <c r="N746" s="19" t="n">
        <v>0.641859023145574</v>
      </c>
      <c r="O746" s="19" t="n">
        <v>0.902269245663178</v>
      </c>
      <c r="P746" s="19" t="n">
        <v>0.783099762907571</v>
      </c>
      <c r="Q746" s="17" t="s">
        <v>29</v>
      </c>
      <c r="R746" s="5" t="str">
        <f aca="false">IF(OR(Q746="Steel plate",Q746="Concrete jacket"),"Steel plate or jacket",Q746)</f>
        <v>Monitor</v>
      </c>
      <c r="S746" s="5" t="str">
        <f aca="false">IF(O746&lt;='Tree rules'!$C$4,IF(N746&lt;='Tree rules'!$C$5,IF(P746&lt;='Tree rules'!$C$6,"Monitor","Polymer laminate"),IF(P746&lt;='Tree rules'!$C$7,"Seal cracks","Polymer laminate")),IF(O746&lt;='Tree rules'!$C$8,IF(M746&lt;='Tree rules'!$C$9,"Steel plate or jacket","Polymer laminate"),IF(L746&lt;='Tree rules'!$C$10,"Steel plate or jacket","Polymer laminate")))</f>
        <v>Monitor</v>
      </c>
      <c r="T746" s="5" t="str">
        <f aca="false">IF(S746=R746,"Yes","No")</f>
        <v>Yes</v>
      </c>
    </row>
    <row r="747" customFormat="false" ht="15" hidden="false" customHeight="false" outlineLevel="0" collapsed="false">
      <c r="A747" s="15" t="n">
        <v>2474</v>
      </c>
      <c r="B747" s="16" t="n">
        <v>5.0308758781641</v>
      </c>
      <c r="C747" s="15" t="n">
        <v>300</v>
      </c>
      <c r="D747" s="15" t="n">
        <v>425</v>
      </c>
      <c r="E747" s="15" t="n">
        <v>20</v>
      </c>
      <c r="F747" s="16" t="n">
        <v>0.707341881547042</v>
      </c>
      <c r="G747" s="17" t="s">
        <v>89</v>
      </c>
      <c r="H747" s="18" t="n">
        <v>0.3</v>
      </c>
      <c r="I747" s="18" t="n">
        <v>1.5</v>
      </c>
      <c r="J747" s="19" t="n">
        <v>0.917384523784394</v>
      </c>
      <c r="K747" s="19" t="n">
        <v>0.435648901061069</v>
      </c>
      <c r="L747" s="16" t="n">
        <v>13.2740788342061</v>
      </c>
      <c r="M747" s="19" t="n">
        <v>0.657886693652323</v>
      </c>
      <c r="N747" s="19" t="n">
        <v>0.82665101975796</v>
      </c>
      <c r="O747" s="19" t="n">
        <v>1.17624800585804</v>
      </c>
      <c r="P747" s="19" t="n">
        <v>0.634141627579831</v>
      </c>
      <c r="Q747" s="17" t="s">
        <v>31</v>
      </c>
      <c r="R747" s="5" t="str">
        <f aca="false">IF(OR(Q747="Steel plate",Q747="Concrete jacket"),"Steel plate or jacket",Q747)</f>
        <v>Polymer laminate</v>
      </c>
      <c r="S747" s="5" t="str">
        <f aca="false">IF(O747&lt;='Tree rules'!$C$4,IF(N747&lt;='Tree rules'!$C$5,IF(P747&lt;='Tree rules'!$C$6,"Monitor","Polymer laminate"),IF(P747&lt;='Tree rules'!$C$7,"Seal cracks","Polymer laminate")),IF(O747&lt;='Tree rules'!$C$8,IF(M747&lt;='Tree rules'!$C$9,"Steel plate or jacket","Polymer laminate"),IF(L747&lt;='Tree rules'!$C$10,"Steel plate or jacket","Polymer laminate")))</f>
        <v>Polymer laminate</v>
      </c>
      <c r="T747" s="5" t="str">
        <f aca="false">IF(S747=R747,"Yes","No")</f>
        <v>Yes</v>
      </c>
    </row>
    <row r="748" customFormat="false" ht="15" hidden="false" customHeight="false" outlineLevel="0" collapsed="false">
      <c r="A748" s="15" t="n">
        <v>2475</v>
      </c>
      <c r="B748" s="16" t="n">
        <v>4.060763057659</v>
      </c>
      <c r="C748" s="15" t="n">
        <v>230</v>
      </c>
      <c r="D748" s="15" t="n">
        <v>400</v>
      </c>
      <c r="E748" s="15" t="n">
        <v>20</v>
      </c>
      <c r="F748" s="16" t="n">
        <v>0.740832460684402</v>
      </c>
      <c r="G748" s="17" t="s">
        <v>91</v>
      </c>
      <c r="H748" s="18" t="n">
        <v>0.2</v>
      </c>
      <c r="I748" s="18" t="n">
        <v>1</v>
      </c>
      <c r="J748" s="19" t="n">
        <v>0.927094698894985</v>
      </c>
      <c r="K748" s="19" t="n">
        <v>0.481326967826117</v>
      </c>
      <c r="L748" s="16" t="n">
        <v>11.4710820837825</v>
      </c>
      <c r="M748" s="19" t="n">
        <v>0.369672818969629</v>
      </c>
      <c r="N748" s="19" t="n">
        <v>1.04127192869241</v>
      </c>
      <c r="O748" s="19" t="n">
        <v>0.927094698894985</v>
      </c>
      <c r="P748" s="19" t="n">
        <v>0.867333197650405</v>
      </c>
      <c r="Q748" s="17" t="s">
        <v>30</v>
      </c>
      <c r="R748" s="5" t="str">
        <f aca="false">IF(OR(Q748="Steel plate",Q748="Concrete jacket"),"Steel plate or jacket",Q748)</f>
        <v>Seal cracks</v>
      </c>
      <c r="S748" s="5" t="str">
        <f aca="false">IF(O748&lt;='Tree rules'!$C$4,IF(N748&lt;='Tree rules'!$C$5,IF(P748&lt;='Tree rules'!$C$6,"Monitor","Polymer laminate"),IF(P748&lt;='Tree rules'!$C$7,"Seal cracks","Polymer laminate")),IF(O748&lt;='Tree rules'!$C$8,IF(M748&lt;='Tree rules'!$C$9,"Steel plate or jacket","Polymer laminate"),IF(L748&lt;='Tree rules'!$C$10,"Steel plate or jacket","Polymer laminate")))</f>
        <v>Seal cracks</v>
      </c>
      <c r="T748" s="5" t="str">
        <f aca="false">IF(S748=R748,"Yes","No")</f>
        <v>Yes</v>
      </c>
    </row>
    <row r="749" customFormat="false" ht="15" hidden="false" customHeight="false" outlineLevel="0" collapsed="false">
      <c r="A749" s="15" t="n">
        <v>2477</v>
      </c>
      <c r="B749" s="16" t="n">
        <v>4.30472279270966</v>
      </c>
      <c r="C749" s="15" t="n">
        <v>300</v>
      </c>
      <c r="D749" s="15" t="n">
        <v>425</v>
      </c>
      <c r="E749" s="15" t="n">
        <v>30</v>
      </c>
      <c r="F749" s="16" t="n">
        <v>0.707341881547042</v>
      </c>
      <c r="G749" s="17" t="s">
        <v>91</v>
      </c>
      <c r="H749" s="18" t="n">
        <v>0.2</v>
      </c>
      <c r="I749" s="18" t="n">
        <v>1</v>
      </c>
      <c r="J749" s="19" t="n">
        <v>0.92094007248757</v>
      </c>
      <c r="K749" s="19" t="n">
        <v>0.492858221045582</v>
      </c>
      <c r="L749" s="16" t="n">
        <v>11.3581076324793</v>
      </c>
      <c r="M749" s="19" t="n">
        <v>0.947020123355713</v>
      </c>
      <c r="N749" s="19" t="n">
        <v>0.910816377902142</v>
      </c>
      <c r="O749" s="19" t="n">
        <v>0.92094007248757</v>
      </c>
      <c r="P749" s="19" t="n">
        <v>0.317613421875915</v>
      </c>
      <c r="Q749" s="17" t="s">
        <v>29</v>
      </c>
      <c r="R749" s="5" t="str">
        <f aca="false">IF(OR(Q749="Steel plate",Q749="Concrete jacket"),"Steel plate or jacket",Q749)</f>
        <v>Monitor</v>
      </c>
      <c r="S749" s="5" t="str">
        <f aca="false">IF(O749&lt;='Tree rules'!$C$4,IF(N749&lt;='Tree rules'!$C$5,IF(P749&lt;='Tree rules'!$C$6,"Monitor","Polymer laminate"),IF(P749&lt;='Tree rules'!$C$7,"Seal cracks","Polymer laminate")),IF(O749&lt;='Tree rules'!$C$8,IF(M749&lt;='Tree rules'!$C$9,"Steel plate or jacket","Polymer laminate"),IF(L749&lt;='Tree rules'!$C$10,"Steel plate or jacket","Polymer laminate")))</f>
        <v>Monitor</v>
      </c>
      <c r="T749" s="5" t="str">
        <f aca="false">IF(S749=R749,"Yes","No")</f>
        <v>Yes</v>
      </c>
    </row>
    <row r="750" customFormat="false" ht="15" hidden="false" customHeight="false" outlineLevel="0" collapsed="false">
      <c r="A750" s="15" t="n">
        <v>2480</v>
      </c>
      <c r="B750" s="16" t="n">
        <v>6.41281241263858</v>
      </c>
      <c r="C750" s="15" t="n">
        <v>300</v>
      </c>
      <c r="D750" s="15" t="n">
        <v>575</v>
      </c>
      <c r="E750" s="15" t="n">
        <v>20</v>
      </c>
      <c r="F750" s="16" t="n">
        <v>0.596127638252333</v>
      </c>
      <c r="G750" s="17" t="s">
        <v>89</v>
      </c>
      <c r="H750" s="18" t="n">
        <v>0.3</v>
      </c>
      <c r="I750" s="18" t="n">
        <v>1.5</v>
      </c>
      <c r="J750" s="19" t="n">
        <v>0.960055447520287</v>
      </c>
      <c r="K750" s="19" t="n">
        <v>0.617572906983241</v>
      </c>
      <c r="L750" s="16" t="n">
        <v>12.1685245021605</v>
      </c>
      <c r="M750" s="19" t="n">
        <v>0.334756047322392</v>
      </c>
      <c r="N750" s="19" t="n">
        <v>0.976414195221599</v>
      </c>
      <c r="O750" s="19" t="n">
        <v>1.14363105448533</v>
      </c>
      <c r="P750" s="19" t="n">
        <v>1.18002047526362</v>
      </c>
      <c r="Q750" s="17" t="s">
        <v>31</v>
      </c>
      <c r="R750" s="5" t="str">
        <f aca="false">IF(OR(Q750="Steel plate",Q750="Concrete jacket"),"Steel plate or jacket",Q750)</f>
        <v>Polymer laminate</v>
      </c>
      <c r="S750" s="5" t="str">
        <f aca="false">IF(O750&lt;='Tree rules'!$C$4,IF(N750&lt;='Tree rules'!$C$5,IF(P750&lt;='Tree rules'!$C$6,"Monitor","Polymer laminate"),IF(P750&lt;='Tree rules'!$C$7,"Seal cracks","Polymer laminate")),IF(O750&lt;='Tree rules'!$C$8,IF(M750&lt;='Tree rules'!$C$9,"Steel plate or jacket","Polymer laminate"),IF(L750&lt;='Tree rules'!$C$10,"Steel plate or jacket","Polymer laminate")))</f>
        <v>Polymer laminate</v>
      </c>
      <c r="T750" s="5" t="str">
        <f aca="false">IF(S750=R750,"Yes","No")</f>
        <v>Yes</v>
      </c>
    </row>
    <row r="751" customFormat="false" ht="15" hidden="false" customHeight="false" outlineLevel="0" collapsed="false">
      <c r="A751" s="15" t="n">
        <v>2481</v>
      </c>
      <c r="B751" s="16" t="n">
        <v>6.80634624216559</v>
      </c>
      <c r="C751" s="15" t="n">
        <v>300</v>
      </c>
      <c r="D751" s="15" t="n">
        <v>650</v>
      </c>
      <c r="E751" s="15" t="n">
        <v>25</v>
      </c>
      <c r="F751" s="16" t="n">
        <v>0.665767979568698</v>
      </c>
      <c r="G751" s="17" t="s">
        <v>89</v>
      </c>
      <c r="H751" s="18" t="n">
        <v>0.3</v>
      </c>
      <c r="I751" s="18" t="n">
        <v>2</v>
      </c>
      <c r="J751" s="19" t="n">
        <v>0.925568297320607</v>
      </c>
      <c r="K751" s="19" t="n">
        <v>0.412248404806689</v>
      </c>
      <c r="L751" s="16" t="n">
        <v>11.2687851691483</v>
      </c>
      <c r="M751" s="19" t="n">
        <v>0.699825658613349</v>
      </c>
      <c r="N751" s="19" t="n">
        <v>0.905186398864916</v>
      </c>
      <c r="O751" s="19" t="n">
        <v>1.46957254053115</v>
      </c>
      <c r="P751" s="19" t="n">
        <v>0.572176099710781</v>
      </c>
      <c r="Q751" s="17" t="s">
        <v>92</v>
      </c>
      <c r="R751" s="5" t="str">
        <f aca="false">IF(OR(Q751="Steel plate",Q751="Concrete jacket"),"Steel plate or jacket",Q751)</f>
        <v>Steel plate or jacket</v>
      </c>
      <c r="S751" s="5" t="str">
        <f aca="false">IF(O751&lt;='Tree rules'!$C$4,IF(N751&lt;='Tree rules'!$C$5,IF(P751&lt;='Tree rules'!$C$6,"Monitor","Polymer laminate"),IF(P751&lt;='Tree rules'!$C$7,"Seal cracks","Polymer laminate")),IF(O751&lt;='Tree rules'!$C$8,IF(M751&lt;='Tree rules'!$C$9,"Steel plate or jacket","Polymer laminate"),IF(L751&lt;='Tree rules'!$C$10,"Steel plate or jacket","Polymer laminate")))</f>
        <v>Steel plate or jacket</v>
      </c>
      <c r="T751" s="5" t="str">
        <f aca="false">IF(S751=R751,"Yes","No")</f>
        <v>Yes</v>
      </c>
    </row>
    <row r="752" customFormat="false" ht="15" hidden="false" customHeight="false" outlineLevel="0" collapsed="false">
      <c r="A752" s="15" t="n">
        <v>2484</v>
      </c>
      <c r="B752" s="16" t="n">
        <v>5.2938721062844</v>
      </c>
      <c r="C752" s="15" t="n">
        <v>230</v>
      </c>
      <c r="D752" s="15" t="n">
        <v>425</v>
      </c>
      <c r="E752" s="15" t="n">
        <v>30</v>
      </c>
      <c r="F752" s="16" t="n">
        <v>0.754646325628103</v>
      </c>
      <c r="G752" s="17" t="s">
        <v>90</v>
      </c>
      <c r="H752" s="18" t="n">
        <v>0.1</v>
      </c>
      <c r="I752" s="18" t="n">
        <v>1.5</v>
      </c>
      <c r="J752" s="19" t="n">
        <v>0.858997920674719</v>
      </c>
      <c r="K752" s="19" t="n">
        <v>0.44964195606701</v>
      </c>
      <c r="L752" s="16" t="n">
        <v>14.6239560947083</v>
      </c>
      <c r="M752" s="19" t="n">
        <v>0.593078459778661</v>
      </c>
      <c r="N752" s="19" t="n">
        <v>3.48606565934128</v>
      </c>
      <c r="O752" s="19" t="n">
        <v>1.09537612835724</v>
      </c>
      <c r="P752" s="19" t="n">
        <v>0.591519254144527</v>
      </c>
      <c r="Q752" s="17" t="s">
        <v>31</v>
      </c>
      <c r="R752" s="5" t="str">
        <f aca="false">IF(OR(Q752="Steel plate",Q752="Concrete jacket"),"Steel plate or jacket",Q752)</f>
        <v>Polymer laminate</v>
      </c>
      <c r="S752" s="5" t="str">
        <f aca="false">IF(O752&lt;='Tree rules'!$C$4,IF(N752&lt;='Tree rules'!$C$5,IF(P752&lt;='Tree rules'!$C$6,"Monitor","Polymer laminate"),IF(P752&lt;='Tree rules'!$C$7,"Seal cracks","Polymer laminate")),IF(O752&lt;='Tree rules'!$C$8,IF(M752&lt;='Tree rules'!$C$9,"Steel plate or jacket","Polymer laminate"),IF(L752&lt;='Tree rules'!$C$10,"Steel plate or jacket","Polymer laminate")))</f>
        <v>Polymer laminate</v>
      </c>
      <c r="T752" s="5" t="str">
        <f aca="false">IF(S752=R752,"Yes","No")</f>
        <v>Yes</v>
      </c>
    </row>
    <row r="753" customFormat="false" ht="15" hidden="false" customHeight="false" outlineLevel="0" collapsed="false">
      <c r="A753" s="15" t="n">
        <v>2492</v>
      </c>
      <c r="B753" s="16" t="n">
        <v>3.17954332414549</v>
      </c>
      <c r="C753" s="15" t="n">
        <v>300</v>
      </c>
      <c r="D753" s="15" t="n">
        <v>300</v>
      </c>
      <c r="E753" s="15" t="n">
        <v>20</v>
      </c>
      <c r="F753" s="16" t="n">
        <v>0.736310778185108</v>
      </c>
      <c r="G753" s="17" t="s">
        <v>91</v>
      </c>
      <c r="H753" s="18" t="n">
        <v>0.2</v>
      </c>
      <c r="I753" s="18" t="n">
        <v>1.5</v>
      </c>
      <c r="J753" s="19" t="n">
        <v>0.909132067842497</v>
      </c>
      <c r="K753" s="19" t="n">
        <v>0.417778186625503</v>
      </c>
      <c r="L753" s="16" t="n">
        <v>12.4200911099433</v>
      </c>
      <c r="M753" s="19" t="n">
        <v>0.880483604245339</v>
      </c>
      <c r="N753" s="19" t="n">
        <v>1.14547790013551</v>
      </c>
      <c r="O753" s="19" t="n">
        <v>1.17379032841058</v>
      </c>
      <c r="P753" s="19" t="n">
        <v>0.407073802896227</v>
      </c>
      <c r="Q753" s="17" t="s">
        <v>31</v>
      </c>
      <c r="R753" s="5" t="str">
        <f aca="false">IF(OR(Q753="Steel plate",Q753="Concrete jacket"),"Steel plate or jacket",Q753)</f>
        <v>Polymer laminate</v>
      </c>
      <c r="S753" s="5" t="str">
        <f aca="false">IF(O753&lt;='Tree rules'!$C$4,IF(N753&lt;='Tree rules'!$C$5,IF(P753&lt;='Tree rules'!$C$6,"Monitor","Polymer laminate"),IF(P753&lt;='Tree rules'!$C$7,"Seal cracks","Polymer laminate")),IF(O753&lt;='Tree rules'!$C$8,IF(M753&lt;='Tree rules'!$C$9,"Steel plate or jacket","Polymer laminate"),IF(L753&lt;='Tree rules'!$C$10,"Steel plate or jacket","Polymer laminate")))</f>
        <v>Polymer laminate</v>
      </c>
      <c r="T753" s="5" t="str">
        <f aca="false">IF(S753=R753,"Yes","No")</f>
        <v>Yes</v>
      </c>
    </row>
    <row r="754" customFormat="false" ht="15" hidden="false" customHeight="false" outlineLevel="0" collapsed="false">
      <c r="A754" s="15" t="n">
        <v>2495</v>
      </c>
      <c r="B754" s="16" t="n">
        <v>4.16016882374602</v>
      </c>
      <c r="C754" s="15" t="n">
        <v>300</v>
      </c>
      <c r="D754" s="15" t="n">
        <v>375</v>
      </c>
      <c r="E754" s="15" t="n">
        <v>30</v>
      </c>
      <c r="F754" s="16" t="n">
        <v>0.960731698345503</v>
      </c>
      <c r="G754" s="17" t="s">
        <v>91</v>
      </c>
      <c r="H754" s="18" t="n">
        <v>0.2</v>
      </c>
      <c r="I754" s="18" t="n">
        <v>1</v>
      </c>
      <c r="J754" s="19" t="n">
        <v>0.855933236574315</v>
      </c>
      <c r="K754" s="19" t="n">
        <v>0.591041193589902</v>
      </c>
      <c r="L754" s="16" t="n">
        <v>12.7222288187952</v>
      </c>
      <c r="M754" s="19" t="n">
        <v>0.658213412239662</v>
      </c>
      <c r="N754" s="19" t="n">
        <v>1.0533794557925</v>
      </c>
      <c r="O754" s="19" t="n">
        <v>0.855933236574315</v>
      </c>
      <c r="P754" s="19" t="n">
        <v>0.594949921679534</v>
      </c>
      <c r="Q754" s="17" t="s">
        <v>30</v>
      </c>
      <c r="R754" s="5" t="str">
        <f aca="false">IF(OR(Q754="Steel plate",Q754="Concrete jacket"),"Steel plate or jacket",Q754)</f>
        <v>Seal cracks</v>
      </c>
      <c r="S754" s="5" t="str">
        <f aca="false">IF(O754&lt;='Tree rules'!$C$4,IF(N754&lt;='Tree rules'!$C$5,IF(P754&lt;='Tree rules'!$C$6,"Monitor","Polymer laminate"),IF(P754&lt;='Tree rules'!$C$7,"Seal cracks","Polymer laminate")),IF(O754&lt;='Tree rules'!$C$8,IF(M754&lt;='Tree rules'!$C$9,"Steel plate or jacket","Polymer laminate"),IF(L754&lt;='Tree rules'!$C$10,"Steel plate or jacket","Polymer laminate")))</f>
        <v>Seal cracks</v>
      </c>
      <c r="T754" s="5" t="str">
        <f aca="false">IF(S754=R754,"Yes","No")</f>
        <v>Yes</v>
      </c>
    </row>
    <row r="755" customFormat="false" ht="15" hidden="false" customHeight="false" outlineLevel="0" collapsed="false">
      <c r="A755" s="15" t="n">
        <v>2497</v>
      </c>
      <c r="B755" s="16" t="n">
        <v>5.92876691664215</v>
      </c>
      <c r="C755" s="15" t="n">
        <v>230</v>
      </c>
      <c r="D755" s="15" t="n">
        <v>500</v>
      </c>
      <c r="E755" s="15" t="n">
        <v>25</v>
      </c>
      <c r="F755" s="16" t="n">
        <v>0.770204672782022</v>
      </c>
      <c r="G755" s="17" t="s">
        <v>89</v>
      </c>
      <c r="H755" s="18" t="n">
        <v>0.3</v>
      </c>
      <c r="I755" s="18" t="n">
        <v>1</v>
      </c>
      <c r="J755" s="19" t="n">
        <v>0.86793319270239</v>
      </c>
      <c r="K755" s="19" t="n">
        <v>0.508068103991615</v>
      </c>
      <c r="L755" s="16" t="n">
        <v>13.0589579661721</v>
      </c>
      <c r="M755" s="19" t="n">
        <v>0.93912787249636</v>
      </c>
      <c r="N755" s="19" t="n">
        <v>0.510619502921023</v>
      </c>
      <c r="O755" s="19" t="n">
        <v>0.86793319270239</v>
      </c>
      <c r="P755" s="19" t="n">
        <v>0.418226780515686</v>
      </c>
      <c r="Q755" s="17" t="s">
        <v>29</v>
      </c>
      <c r="R755" s="5" t="str">
        <f aca="false">IF(OR(Q755="Steel plate",Q755="Concrete jacket"),"Steel plate or jacket",Q755)</f>
        <v>Monitor</v>
      </c>
      <c r="S755" s="5" t="str">
        <f aca="false">IF(O755&lt;='Tree rules'!$C$4,IF(N755&lt;='Tree rules'!$C$5,IF(P755&lt;='Tree rules'!$C$6,"Monitor","Polymer laminate"),IF(P755&lt;='Tree rules'!$C$7,"Seal cracks","Polymer laminate")),IF(O755&lt;='Tree rules'!$C$8,IF(M755&lt;='Tree rules'!$C$9,"Steel plate or jacket","Polymer laminate"),IF(L755&lt;='Tree rules'!$C$10,"Steel plate or jacket","Polymer laminate")))</f>
        <v>Monitor</v>
      </c>
      <c r="T755" s="5" t="str">
        <f aca="false">IF(S755=R755,"Yes","No")</f>
        <v>Yes</v>
      </c>
    </row>
    <row r="756" customFormat="false" ht="15" hidden="false" customHeight="false" outlineLevel="0" collapsed="false">
      <c r="A756" s="15" t="n">
        <v>2499</v>
      </c>
      <c r="B756" s="16" t="n">
        <v>3.13258633006283</v>
      </c>
      <c r="C756" s="15" t="n">
        <v>230</v>
      </c>
      <c r="D756" s="15" t="n">
        <v>300</v>
      </c>
      <c r="E756" s="15" t="n">
        <v>30</v>
      </c>
      <c r="F756" s="16" t="n">
        <v>1.0324987837885</v>
      </c>
      <c r="G756" s="17" t="s">
        <v>89</v>
      </c>
      <c r="H756" s="18" t="n">
        <v>0.3</v>
      </c>
      <c r="I756" s="18" t="n">
        <v>2</v>
      </c>
      <c r="J756" s="19" t="n">
        <v>0.864801597070746</v>
      </c>
      <c r="K756" s="19" t="n">
        <v>0.618302881355087</v>
      </c>
      <c r="L756" s="16" t="n">
        <v>12.3330170474915</v>
      </c>
      <c r="M756" s="19" t="n">
        <v>0.834156297305472</v>
      </c>
      <c r="N756" s="19" t="n">
        <v>0.87827777609524</v>
      </c>
      <c r="O756" s="19" t="n">
        <v>1.19489387487217</v>
      </c>
      <c r="P756" s="19" t="n">
        <v>0.542649158137781</v>
      </c>
      <c r="Q756" s="17" t="s">
        <v>31</v>
      </c>
      <c r="R756" s="5" t="str">
        <f aca="false">IF(OR(Q756="Steel plate",Q756="Concrete jacket"),"Steel plate or jacket",Q756)</f>
        <v>Polymer laminate</v>
      </c>
      <c r="S756" s="5" t="str">
        <f aca="false">IF(O756&lt;='Tree rules'!$C$4,IF(N756&lt;='Tree rules'!$C$5,IF(P756&lt;='Tree rules'!$C$6,"Monitor","Polymer laminate"),IF(P756&lt;='Tree rules'!$C$7,"Seal cracks","Polymer laminate")),IF(O756&lt;='Tree rules'!$C$8,IF(M756&lt;='Tree rules'!$C$9,"Steel plate or jacket","Polymer laminate"),IF(L756&lt;='Tree rules'!$C$10,"Steel plate or jacket","Polymer laminate")))</f>
        <v>Polymer laminate</v>
      </c>
      <c r="T756" s="5" t="str">
        <f aca="false">IF(S756=R756,"Yes","No")</f>
        <v>Yes</v>
      </c>
    </row>
    <row r="757" customFormat="false" ht="15" hidden="false" customHeight="false" outlineLevel="0" collapsed="false">
      <c r="A757" s="15" t="n">
        <v>2500</v>
      </c>
      <c r="B757" s="16" t="n">
        <v>3.02390126727575</v>
      </c>
      <c r="C757" s="15" t="n">
        <v>300</v>
      </c>
      <c r="D757" s="15" t="n">
        <v>300</v>
      </c>
      <c r="E757" s="15" t="n">
        <v>30</v>
      </c>
      <c r="F757" s="16" t="n">
        <v>0.831109167616348</v>
      </c>
      <c r="G757" s="17" t="s">
        <v>91</v>
      </c>
      <c r="H757" s="18" t="n">
        <v>0.2</v>
      </c>
      <c r="I757" s="18" t="n">
        <v>2</v>
      </c>
      <c r="J757" s="19" t="n">
        <v>0.917147082844765</v>
      </c>
      <c r="K757" s="19" t="n">
        <v>0.459365783103016</v>
      </c>
      <c r="L757" s="16" t="n">
        <v>11.9996082034752</v>
      </c>
      <c r="M757" s="19" t="n">
        <v>0.944244871238509</v>
      </c>
      <c r="N757" s="19" t="n">
        <v>2.25708162123187</v>
      </c>
      <c r="O757" s="19" t="n">
        <v>1.4129881777579</v>
      </c>
      <c r="P757" s="19" t="n">
        <v>0.397800502111676</v>
      </c>
      <c r="Q757" s="17" t="s">
        <v>31</v>
      </c>
      <c r="R757" s="5" t="str">
        <f aca="false">IF(OR(Q757="Steel plate",Q757="Concrete jacket"),"Steel plate or jacket",Q757)</f>
        <v>Polymer laminate</v>
      </c>
      <c r="S757" s="5" t="str">
        <f aca="false">IF(O757&lt;='Tree rules'!$C$4,IF(N757&lt;='Tree rules'!$C$5,IF(P757&lt;='Tree rules'!$C$6,"Monitor","Polymer laminate"),IF(P757&lt;='Tree rules'!$C$7,"Seal cracks","Polymer laminate")),IF(O757&lt;='Tree rules'!$C$8,IF(M757&lt;='Tree rules'!$C$9,"Steel plate or jacket","Polymer laminate"),IF(L757&lt;='Tree rules'!$C$10,"Steel plate or jacket","Polymer laminate")))</f>
        <v>Steel plate or jacket</v>
      </c>
      <c r="T757" s="5" t="str">
        <f aca="false">IF(S757=R757,"Yes","No")</f>
        <v>No</v>
      </c>
    </row>
    <row r="758" customFormat="false" ht="15" hidden="false" customHeight="false" outlineLevel="0" collapsed="false">
      <c r="A758" s="15" t="n">
        <v>2502</v>
      </c>
      <c r="B758" s="16" t="n">
        <v>3.45734087370547</v>
      </c>
      <c r="C758" s="15" t="n">
        <v>230</v>
      </c>
      <c r="D758" s="15" t="n">
        <v>300</v>
      </c>
      <c r="E758" s="15" t="n">
        <v>30</v>
      </c>
      <c r="F758" s="16" t="n">
        <v>0.688332522525665</v>
      </c>
      <c r="G758" s="17" t="s">
        <v>91</v>
      </c>
      <c r="H758" s="18" t="n">
        <v>0.2</v>
      </c>
      <c r="I758" s="18" t="n">
        <v>2</v>
      </c>
      <c r="J758" s="19" t="n">
        <v>0.98836871270263</v>
      </c>
      <c r="K758" s="19" t="n">
        <v>0.497681289936683</v>
      </c>
      <c r="L758" s="16" t="n">
        <v>13.6115782429349</v>
      </c>
      <c r="M758" s="19" t="n">
        <v>0.929273505291694</v>
      </c>
      <c r="N758" s="19" t="n">
        <v>2.02557352543693</v>
      </c>
      <c r="O758" s="19" t="n">
        <v>1.48484480953436</v>
      </c>
      <c r="P758" s="19" t="n">
        <v>0.421308979699978</v>
      </c>
      <c r="Q758" s="17" t="s">
        <v>31</v>
      </c>
      <c r="R758" s="5" t="str">
        <f aca="false">IF(OR(Q758="Steel plate",Q758="Concrete jacket"),"Steel plate or jacket",Q758)</f>
        <v>Polymer laminate</v>
      </c>
      <c r="S758" s="5" t="str">
        <f aca="false">IF(O758&lt;='Tree rules'!$C$4,IF(N758&lt;='Tree rules'!$C$5,IF(P758&lt;='Tree rules'!$C$6,"Monitor","Polymer laminate"),IF(P758&lt;='Tree rules'!$C$7,"Seal cracks","Polymer laminate")),IF(O758&lt;='Tree rules'!$C$8,IF(M758&lt;='Tree rules'!$C$9,"Steel plate or jacket","Polymer laminate"),IF(L758&lt;='Tree rules'!$C$10,"Steel plate or jacket","Polymer laminate")))</f>
        <v>Polymer laminate</v>
      </c>
      <c r="T758" s="5" t="str">
        <f aca="false">IF(S758=R758,"Yes","No")</f>
        <v>Yes</v>
      </c>
    </row>
    <row r="759" customFormat="false" ht="15" hidden="false" customHeight="false" outlineLevel="0" collapsed="false">
      <c r="A759" s="15" t="n">
        <v>2504</v>
      </c>
      <c r="B759" s="16" t="n">
        <v>7.2448073443196</v>
      </c>
      <c r="C759" s="15" t="n">
        <v>300</v>
      </c>
      <c r="D759" s="15" t="n">
        <v>600</v>
      </c>
      <c r="E759" s="15" t="n">
        <v>30</v>
      </c>
      <c r="F759" s="16" t="n">
        <v>0.621712831879242</v>
      </c>
      <c r="G759" s="17" t="s">
        <v>90</v>
      </c>
      <c r="H759" s="18" t="n">
        <v>0.1</v>
      </c>
      <c r="I759" s="18" t="n">
        <v>1.5</v>
      </c>
      <c r="J759" s="19" t="n">
        <v>0.912123977083364</v>
      </c>
      <c r="K759" s="19" t="n">
        <v>0.486910979330039</v>
      </c>
      <c r="L759" s="16" t="n">
        <v>13.4412010098694</v>
      </c>
      <c r="M759" s="19" t="n">
        <v>0.64901698097978</v>
      </c>
      <c r="N759" s="19" t="n">
        <v>2.94235631367905</v>
      </c>
      <c r="O759" s="19" t="n">
        <v>1.14612437614901</v>
      </c>
      <c r="P759" s="19" t="n">
        <v>0.537699192603124</v>
      </c>
      <c r="Q759" s="17" t="s">
        <v>31</v>
      </c>
      <c r="R759" s="5" t="str">
        <f aca="false">IF(OR(Q759="Steel plate",Q759="Concrete jacket"),"Steel plate or jacket",Q759)</f>
        <v>Polymer laminate</v>
      </c>
      <c r="S759" s="5" t="str">
        <f aca="false">IF(O759&lt;='Tree rules'!$C$4,IF(N759&lt;='Tree rules'!$C$5,IF(P759&lt;='Tree rules'!$C$6,"Monitor","Polymer laminate"),IF(P759&lt;='Tree rules'!$C$7,"Seal cracks","Polymer laminate")),IF(O759&lt;='Tree rules'!$C$8,IF(M759&lt;='Tree rules'!$C$9,"Steel plate or jacket","Polymer laminate"),IF(L759&lt;='Tree rules'!$C$10,"Steel plate or jacket","Polymer laminate")))</f>
        <v>Polymer laminate</v>
      </c>
      <c r="T759" s="5" t="str">
        <f aca="false">IF(S759=R759,"Yes","No")</f>
        <v>Yes</v>
      </c>
    </row>
    <row r="760" customFormat="false" ht="15" hidden="false" customHeight="false" outlineLevel="0" collapsed="false">
      <c r="A760" s="15" t="n">
        <v>2505</v>
      </c>
      <c r="B760" s="16" t="n">
        <v>6.39781232866252</v>
      </c>
      <c r="C760" s="15" t="n">
        <v>300</v>
      </c>
      <c r="D760" s="15" t="n">
        <v>550</v>
      </c>
      <c r="E760" s="15" t="n">
        <v>30</v>
      </c>
      <c r="F760" s="16" t="n">
        <v>0.834420359519201</v>
      </c>
      <c r="G760" s="17" t="s">
        <v>89</v>
      </c>
      <c r="H760" s="18" t="n">
        <v>0.3</v>
      </c>
      <c r="I760" s="18" t="n">
        <v>1</v>
      </c>
      <c r="J760" s="19" t="n">
        <v>0.900532816464398</v>
      </c>
      <c r="K760" s="19" t="n">
        <v>0.427648093645802</v>
      </c>
      <c r="L760" s="16" t="n">
        <v>12.7446460730329</v>
      </c>
      <c r="M760" s="19" t="n">
        <v>0.551575113190555</v>
      </c>
      <c r="N760" s="19" t="n">
        <v>0.639521042847074</v>
      </c>
      <c r="O760" s="19" t="n">
        <v>0.900532816464398</v>
      </c>
      <c r="P760" s="19" t="n">
        <v>0.649086970826056</v>
      </c>
      <c r="Q760" s="17" t="s">
        <v>29</v>
      </c>
      <c r="R760" s="5" t="str">
        <f aca="false">IF(OR(Q760="Steel plate",Q760="Concrete jacket"),"Steel plate or jacket",Q760)</f>
        <v>Monitor</v>
      </c>
      <c r="S760" s="5" t="str">
        <f aca="false">IF(O760&lt;='Tree rules'!$C$4,IF(N760&lt;='Tree rules'!$C$5,IF(P760&lt;='Tree rules'!$C$6,"Monitor","Polymer laminate"),IF(P760&lt;='Tree rules'!$C$7,"Seal cracks","Polymer laminate")),IF(O760&lt;='Tree rules'!$C$8,IF(M760&lt;='Tree rules'!$C$9,"Steel plate or jacket","Polymer laminate"),IF(L760&lt;='Tree rules'!$C$10,"Steel plate or jacket","Polymer laminate")))</f>
        <v>Monitor</v>
      </c>
      <c r="T760" s="5" t="str">
        <f aca="false">IF(S760=R760,"Yes","No")</f>
        <v>Yes</v>
      </c>
    </row>
    <row r="761" customFormat="false" ht="15" hidden="false" customHeight="false" outlineLevel="0" collapsed="false">
      <c r="A761" s="15" t="n">
        <v>2506</v>
      </c>
      <c r="B761" s="16" t="n">
        <v>4.87006184096987</v>
      </c>
      <c r="C761" s="15" t="n">
        <v>300</v>
      </c>
      <c r="D761" s="15" t="n">
        <v>475</v>
      </c>
      <c r="E761" s="15" t="n">
        <v>30</v>
      </c>
      <c r="F761" s="16" t="n">
        <v>0.735735984447258</v>
      </c>
      <c r="G761" s="17" t="s">
        <v>89</v>
      </c>
      <c r="H761" s="18" t="n">
        <v>0.3</v>
      </c>
      <c r="I761" s="18" t="n">
        <v>1.5</v>
      </c>
      <c r="J761" s="19" t="n">
        <v>0.934121761221656</v>
      </c>
      <c r="K761" s="19" t="n">
        <v>0.590847696755308</v>
      </c>
      <c r="L761" s="16" t="n">
        <v>11.4052970514517</v>
      </c>
      <c r="M761" s="19" t="n">
        <v>0.667789174825098</v>
      </c>
      <c r="N761" s="19" t="n">
        <v>0.928339522394755</v>
      </c>
      <c r="O761" s="19" t="n">
        <v>1.12522079627907</v>
      </c>
      <c r="P761" s="19" t="n">
        <v>0.548108340867837</v>
      </c>
      <c r="Q761" s="17" t="s">
        <v>31</v>
      </c>
      <c r="R761" s="5" t="str">
        <f aca="false">IF(OR(Q761="Steel plate",Q761="Concrete jacket"),"Steel plate or jacket",Q761)</f>
        <v>Polymer laminate</v>
      </c>
      <c r="S761" s="5" t="str">
        <f aca="false">IF(O761&lt;='Tree rules'!$C$4,IF(N761&lt;='Tree rules'!$C$5,IF(P761&lt;='Tree rules'!$C$6,"Monitor","Polymer laminate"),IF(P761&lt;='Tree rules'!$C$7,"Seal cracks","Polymer laminate")),IF(O761&lt;='Tree rules'!$C$8,IF(M761&lt;='Tree rules'!$C$9,"Steel plate or jacket","Polymer laminate"),IF(L761&lt;='Tree rules'!$C$10,"Steel plate or jacket","Polymer laminate")))</f>
        <v>Polymer laminate</v>
      </c>
      <c r="T761" s="5" t="str">
        <f aca="false">IF(S761=R761,"Yes","No")</f>
        <v>Yes</v>
      </c>
    </row>
    <row r="762" customFormat="false" ht="15" hidden="false" customHeight="false" outlineLevel="0" collapsed="false">
      <c r="A762" s="15" t="n">
        <v>2507</v>
      </c>
      <c r="B762" s="16" t="n">
        <v>3.59536634473813</v>
      </c>
      <c r="C762" s="15" t="n">
        <v>300</v>
      </c>
      <c r="D762" s="15" t="n">
        <v>300</v>
      </c>
      <c r="E762" s="15" t="n">
        <v>30</v>
      </c>
      <c r="F762" s="16" t="n">
        <v>0.791582400904515</v>
      </c>
      <c r="G762" s="17" t="s">
        <v>89</v>
      </c>
      <c r="H762" s="18" t="n">
        <v>0.3</v>
      </c>
      <c r="I762" s="18" t="n">
        <v>2</v>
      </c>
      <c r="J762" s="19" t="n">
        <v>0.868084683081163</v>
      </c>
      <c r="K762" s="19" t="n">
        <v>0.5556062479195</v>
      </c>
      <c r="L762" s="16" t="n">
        <v>14.1549856092052</v>
      </c>
      <c r="M762" s="19" t="n">
        <v>0.671025592906973</v>
      </c>
      <c r="N762" s="19" t="n">
        <v>1.05883030765726</v>
      </c>
      <c r="O762" s="19" t="n">
        <v>1.25385609251921</v>
      </c>
      <c r="P762" s="19" t="n">
        <v>0.608169656619185</v>
      </c>
      <c r="Q762" s="17" t="s">
        <v>31</v>
      </c>
      <c r="R762" s="5" t="str">
        <f aca="false">IF(OR(Q762="Steel plate",Q762="Concrete jacket"),"Steel plate or jacket",Q762)</f>
        <v>Polymer laminate</v>
      </c>
      <c r="S762" s="5" t="str">
        <f aca="false">IF(O762&lt;='Tree rules'!$C$4,IF(N762&lt;='Tree rules'!$C$5,IF(P762&lt;='Tree rules'!$C$6,"Monitor","Polymer laminate"),IF(P762&lt;='Tree rules'!$C$7,"Seal cracks","Polymer laminate")),IF(O762&lt;='Tree rules'!$C$8,IF(M762&lt;='Tree rules'!$C$9,"Steel plate or jacket","Polymer laminate"),IF(L762&lt;='Tree rules'!$C$10,"Steel plate or jacket","Polymer laminate")))</f>
        <v>Polymer laminate</v>
      </c>
      <c r="T762" s="5" t="str">
        <f aca="false">IF(S762=R762,"Yes","No")</f>
        <v>Yes</v>
      </c>
    </row>
    <row r="763" customFormat="false" ht="15" hidden="false" customHeight="false" outlineLevel="0" collapsed="false">
      <c r="A763" s="15" t="n">
        <v>2511</v>
      </c>
      <c r="B763" s="16" t="n">
        <v>4.54250537666589</v>
      </c>
      <c r="C763" s="15" t="n">
        <v>230</v>
      </c>
      <c r="D763" s="15" t="n">
        <v>400</v>
      </c>
      <c r="E763" s="15" t="n">
        <v>25</v>
      </c>
      <c r="F763" s="16" t="n">
        <v>0.773612658059818</v>
      </c>
      <c r="G763" s="17" t="s">
        <v>90</v>
      </c>
      <c r="H763" s="18" t="n">
        <v>0.1</v>
      </c>
      <c r="I763" s="18" t="n">
        <v>2</v>
      </c>
      <c r="J763" s="19" t="n">
        <v>0.937736243175843</v>
      </c>
      <c r="K763" s="19" t="n">
        <v>0.56848648765688</v>
      </c>
      <c r="L763" s="16" t="n">
        <v>13.3997208751206</v>
      </c>
      <c r="M763" s="19" t="n">
        <v>0.419700868421378</v>
      </c>
      <c r="N763" s="19" t="n">
        <v>3.88671577768444</v>
      </c>
      <c r="O763" s="19" t="n">
        <v>1.34238210312009</v>
      </c>
      <c r="P763" s="19" t="n">
        <v>1.00571781772107</v>
      </c>
      <c r="Q763" s="17" t="s">
        <v>31</v>
      </c>
      <c r="R763" s="5" t="str">
        <f aca="false">IF(OR(Q763="Steel plate",Q763="Concrete jacket"),"Steel plate or jacket",Q763)</f>
        <v>Polymer laminate</v>
      </c>
      <c r="S763" s="5" t="str">
        <f aca="false">IF(O763&lt;='Tree rules'!$C$4,IF(N763&lt;='Tree rules'!$C$5,IF(P763&lt;='Tree rules'!$C$6,"Monitor","Polymer laminate"),IF(P763&lt;='Tree rules'!$C$7,"Seal cracks","Polymer laminate")),IF(O763&lt;='Tree rules'!$C$8,IF(M763&lt;='Tree rules'!$C$9,"Steel plate or jacket","Polymer laminate"),IF(L763&lt;='Tree rules'!$C$10,"Steel plate or jacket","Polymer laminate")))</f>
        <v>Polymer laminate</v>
      </c>
      <c r="T763" s="5" t="str">
        <f aca="false">IF(S763=R763,"Yes","No")</f>
        <v>Yes</v>
      </c>
    </row>
    <row r="764" customFormat="false" ht="15" hidden="false" customHeight="false" outlineLevel="0" collapsed="false">
      <c r="A764" s="15" t="n">
        <v>2512</v>
      </c>
      <c r="B764" s="16" t="n">
        <v>4.54935813000259</v>
      </c>
      <c r="C764" s="15" t="n">
        <v>300</v>
      </c>
      <c r="D764" s="15" t="n">
        <v>400</v>
      </c>
      <c r="E764" s="15" t="n">
        <v>30</v>
      </c>
      <c r="F764" s="16" t="n">
        <v>0.757295404255167</v>
      </c>
      <c r="G764" s="17" t="s">
        <v>89</v>
      </c>
      <c r="H764" s="18" t="n">
        <v>0.3</v>
      </c>
      <c r="I764" s="18" t="n">
        <v>1</v>
      </c>
      <c r="J764" s="19" t="n">
        <v>0.918144276124946</v>
      </c>
      <c r="K764" s="19" t="n">
        <v>0.433479867800209</v>
      </c>
      <c r="L764" s="16" t="n">
        <v>12.8512941525497</v>
      </c>
      <c r="M764" s="19" t="n">
        <v>0.674201176513122</v>
      </c>
      <c r="N764" s="19" t="n">
        <v>0.652477653855594</v>
      </c>
      <c r="O764" s="19" t="n">
        <v>0.918144276124946</v>
      </c>
      <c r="P764" s="19" t="n">
        <v>0.47553229698859</v>
      </c>
      <c r="Q764" s="17" t="s">
        <v>29</v>
      </c>
      <c r="R764" s="5" t="str">
        <f aca="false">IF(OR(Q764="Steel plate",Q764="Concrete jacket"),"Steel plate or jacket",Q764)</f>
        <v>Monitor</v>
      </c>
      <c r="S764" s="5" t="str">
        <f aca="false">IF(O764&lt;='Tree rules'!$C$4,IF(N764&lt;='Tree rules'!$C$5,IF(P764&lt;='Tree rules'!$C$6,"Monitor","Polymer laminate"),IF(P764&lt;='Tree rules'!$C$7,"Seal cracks","Polymer laminate")),IF(O764&lt;='Tree rules'!$C$8,IF(M764&lt;='Tree rules'!$C$9,"Steel plate or jacket","Polymer laminate"),IF(L764&lt;='Tree rules'!$C$10,"Steel plate or jacket","Polymer laminate")))</f>
        <v>Monitor</v>
      </c>
      <c r="T764" s="5" t="str">
        <f aca="false">IF(S764=R764,"Yes","No")</f>
        <v>Yes</v>
      </c>
    </row>
    <row r="765" customFormat="false" ht="15" hidden="false" customHeight="false" outlineLevel="0" collapsed="false">
      <c r="A765" s="15" t="n">
        <v>2517</v>
      </c>
      <c r="B765" s="16" t="n">
        <v>3.46862755939404</v>
      </c>
      <c r="C765" s="15" t="n">
        <v>300</v>
      </c>
      <c r="D765" s="15" t="n">
        <v>300</v>
      </c>
      <c r="E765" s="15" t="n">
        <v>25</v>
      </c>
      <c r="F765" s="16" t="n">
        <v>0.841263304726974</v>
      </c>
      <c r="G765" s="17" t="s">
        <v>90</v>
      </c>
      <c r="H765" s="18" t="n">
        <v>0.1</v>
      </c>
      <c r="I765" s="18" t="n">
        <v>1.5</v>
      </c>
      <c r="J765" s="19" t="n">
        <v>0.956363482720486</v>
      </c>
      <c r="K765" s="19" t="n">
        <v>0.431881099695588</v>
      </c>
      <c r="L765" s="16" t="n">
        <v>14.5130860225692</v>
      </c>
      <c r="M765" s="19" t="n">
        <v>0.731098514559984</v>
      </c>
      <c r="N765" s="19" t="n">
        <v>3.78621574422482</v>
      </c>
      <c r="O765" s="19" t="n">
        <v>1.22802756776772</v>
      </c>
      <c r="P765" s="19" t="n">
        <v>0.510636143446697</v>
      </c>
      <c r="Q765" s="17" t="s">
        <v>31</v>
      </c>
      <c r="R765" s="5" t="str">
        <f aca="false">IF(OR(Q765="Steel plate",Q765="Concrete jacket"),"Steel plate or jacket",Q765)</f>
        <v>Polymer laminate</v>
      </c>
      <c r="S765" s="5" t="str">
        <f aca="false">IF(O765&lt;='Tree rules'!$C$4,IF(N765&lt;='Tree rules'!$C$5,IF(P765&lt;='Tree rules'!$C$6,"Monitor","Polymer laminate"),IF(P765&lt;='Tree rules'!$C$7,"Seal cracks","Polymer laminate")),IF(O765&lt;='Tree rules'!$C$8,IF(M765&lt;='Tree rules'!$C$9,"Steel plate or jacket","Polymer laminate"),IF(L765&lt;='Tree rules'!$C$10,"Steel plate or jacket","Polymer laminate")))</f>
        <v>Polymer laminate</v>
      </c>
      <c r="T765" s="5" t="str">
        <f aca="false">IF(S765=R765,"Yes","No")</f>
        <v>Yes</v>
      </c>
    </row>
    <row r="766" customFormat="false" ht="15" hidden="false" customHeight="false" outlineLevel="0" collapsed="false">
      <c r="A766" s="15" t="n">
        <v>2518</v>
      </c>
      <c r="B766" s="16" t="n">
        <v>6.42785446061392</v>
      </c>
      <c r="C766" s="15" t="n">
        <v>300</v>
      </c>
      <c r="D766" s="15" t="n">
        <v>600</v>
      </c>
      <c r="E766" s="15" t="n">
        <v>30</v>
      </c>
      <c r="F766" s="16" t="n">
        <v>0.604879451954714</v>
      </c>
      <c r="G766" s="17" t="s">
        <v>89</v>
      </c>
      <c r="H766" s="18" t="n">
        <v>0.3</v>
      </c>
      <c r="I766" s="18" t="n">
        <v>1</v>
      </c>
      <c r="J766" s="19" t="n">
        <v>0.893177660440689</v>
      </c>
      <c r="K766" s="19" t="n">
        <v>0.592197005074289</v>
      </c>
      <c r="L766" s="16" t="n">
        <v>11.6026253801695</v>
      </c>
      <c r="M766" s="19" t="n">
        <v>0.936730100883095</v>
      </c>
      <c r="N766" s="19" t="n">
        <v>0.520733691231266</v>
      </c>
      <c r="O766" s="19" t="n">
        <v>0.893177660440689</v>
      </c>
      <c r="P766" s="19" t="n">
        <v>0.333775981160575</v>
      </c>
      <c r="Q766" s="17" t="s">
        <v>29</v>
      </c>
      <c r="R766" s="5" t="str">
        <f aca="false">IF(OR(Q766="Steel plate",Q766="Concrete jacket"),"Steel plate or jacket",Q766)</f>
        <v>Monitor</v>
      </c>
      <c r="S766" s="5" t="str">
        <f aca="false">IF(O766&lt;='Tree rules'!$C$4,IF(N766&lt;='Tree rules'!$C$5,IF(P766&lt;='Tree rules'!$C$6,"Monitor","Polymer laminate"),IF(P766&lt;='Tree rules'!$C$7,"Seal cracks","Polymer laminate")),IF(O766&lt;='Tree rules'!$C$8,IF(M766&lt;='Tree rules'!$C$9,"Steel plate or jacket","Polymer laminate"),IF(L766&lt;='Tree rules'!$C$10,"Steel plate or jacket","Polymer laminate")))</f>
        <v>Monitor</v>
      </c>
      <c r="T766" s="5" t="str">
        <f aca="false">IF(S766=R766,"Yes","No")</f>
        <v>Yes</v>
      </c>
    </row>
    <row r="767" customFormat="false" ht="15" hidden="false" customHeight="false" outlineLevel="0" collapsed="false">
      <c r="A767" s="15" t="n">
        <v>2520</v>
      </c>
      <c r="B767" s="16" t="n">
        <v>4.822254066481</v>
      </c>
      <c r="C767" s="15" t="n">
        <v>300</v>
      </c>
      <c r="D767" s="15" t="n">
        <v>400</v>
      </c>
      <c r="E767" s="15" t="n">
        <v>30</v>
      </c>
      <c r="F767" s="16" t="n">
        <v>0.790804050461148</v>
      </c>
      <c r="G767" s="17" t="s">
        <v>90</v>
      </c>
      <c r="H767" s="18" t="n">
        <v>0.1</v>
      </c>
      <c r="I767" s="18" t="n">
        <v>1</v>
      </c>
      <c r="J767" s="19" t="n">
        <v>0.879132926691818</v>
      </c>
      <c r="K767" s="19" t="n">
        <v>0.564107134590785</v>
      </c>
      <c r="L767" s="16" t="n">
        <v>14.2249382492065</v>
      </c>
      <c r="M767" s="19" t="n">
        <v>0.653075067082384</v>
      </c>
      <c r="N767" s="19" t="n">
        <v>2.43161866785155</v>
      </c>
      <c r="O767" s="19" t="n">
        <v>0.879132926691818</v>
      </c>
      <c r="P767" s="19" t="n">
        <v>0.533101218321385</v>
      </c>
      <c r="Q767" s="17" t="s">
        <v>30</v>
      </c>
      <c r="R767" s="5" t="str">
        <f aca="false">IF(OR(Q767="Steel plate",Q767="Concrete jacket"),"Steel plate or jacket",Q767)</f>
        <v>Seal cracks</v>
      </c>
      <c r="S767" s="5" t="str">
        <f aca="false">IF(O767&lt;='Tree rules'!$C$4,IF(N767&lt;='Tree rules'!$C$5,IF(P767&lt;='Tree rules'!$C$6,"Monitor","Polymer laminate"),IF(P767&lt;='Tree rules'!$C$7,"Seal cracks","Polymer laminate")),IF(O767&lt;='Tree rules'!$C$8,IF(M767&lt;='Tree rules'!$C$9,"Steel plate or jacket","Polymer laminate"),IF(L767&lt;='Tree rules'!$C$10,"Steel plate or jacket","Polymer laminate")))</f>
        <v>Seal cracks</v>
      </c>
      <c r="T767" s="5" t="str">
        <f aca="false">IF(S767=R767,"Yes","No")</f>
        <v>Yes</v>
      </c>
    </row>
    <row r="768" customFormat="false" ht="15" hidden="false" customHeight="false" outlineLevel="0" collapsed="false">
      <c r="A768" s="15" t="n">
        <v>2521</v>
      </c>
      <c r="B768" s="16" t="n">
        <v>5.06253431281549</v>
      </c>
      <c r="C768" s="15" t="n">
        <v>230</v>
      </c>
      <c r="D768" s="15" t="n">
        <v>425</v>
      </c>
      <c r="E768" s="15" t="n">
        <v>30</v>
      </c>
      <c r="F768" s="16" t="n">
        <v>0.724620609754306</v>
      </c>
      <c r="G768" s="17" t="s">
        <v>91</v>
      </c>
      <c r="H768" s="18" t="n">
        <v>0.2</v>
      </c>
      <c r="I768" s="18" t="n">
        <v>1</v>
      </c>
      <c r="J768" s="19" t="n">
        <v>0.919706713656439</v>
      </c>
      <c r="K768" s="19" t="n">
        <v>0.525087644403491</v>
      </c>
      <c r="L768" s="16" t="n">
        <v>13.4284729782904</v>
      </c>
      <c r="M768" s="19" t="n">
        <v>0.675570344464684</v>
      </c>
      <c r="N768" s="19" t="n">
        <v>1.26795019812971</v>
      </c>
      <c r="O768" s="19" t="n">
        <v>0.919706713656439</v>
      </c>
      <c r="P768" s="19" t="n">
        <v>0.515989617889649</v>
      </c>
      <c r="Q768" s="17" t="s">
        <v>30</v>
      </c>
      <c r="R768" s="5" t="str">
        <f aca="false">IF(OR(Q768="Steel plate",Q768="Concrete jacket"),"Steel plate or jacket",Q768)</f>
        <v>Seal cracks</v>
      </c>
      <c r="S768" s="5" t="str">
        <f aca="false">IF(O768&lt;='Tree rules'!$C$4,IF(N768&lt;='Tree rules'!$C$5,IF(P768&lt;='Tree rules'!$C$6,"Monitor","Polymer laminate"),IF(P768&lt;='Tree rules'!$C$7,"Seal cracks","Polymer laminate")),IF(O768&lt;='Tree rules'!$C$8,IF(M768&lt;='Tree rules'!$C$9,"Steel plate or jacket","Polymer laminate"),IF(L768&lt;='Tree rules'!$C$10,"Steel plate or jacket","Polymer laminate")))</f>
        <v>Seal cracks</v>
      </c>
      <c r="T768" s="5" t="str">
        <f aca="false">IF(S768=R768,"Yes","No")</f>
        <v>Yes</v>
      </c>
    </row>
    <row r="769" customFormat="false" ht="15" hidden="false" customHeight="false" outlineLevel="0" collapsed="false">
      <c r="A769" s="15" t="n">
        <v>2523</v>
      </c>
      <c r="B769" s="16" t="n">
        <v>6.25610289173771</v>
      </c>
      <c r="C769" s="15" t="n">
        <v>300</v>
      </c>
      <c r="D769" s="15" t="n">
        <v>600</v>
      </c>
      <c r="E769" s="15" t="n">
        <v>20</v>
      </c>
      <c r="F769" s="16" t="n">
        <v>0.569129103911194</v>
      </c>
      <c r="G769" s="17" t="s">
        <v>89</v>
      </c>
      <c r="H769" s="18" t="n">
        <v>0.3</v>
      </c>
      <c r="I769" s="18" t="n">
        <v>1</v>
      </c>
      <c r="J769" s="19" t="n">
        <v>0.947153158521483</v>
      </c>
      <c r="K769" s="19" t="n">
        <v>0.538621158376496</v>
      </c>
      <c r="L769" s="16" t="n">
        <v>11.3335197314089</v>
      </c>
      <c r="M769" s="19" t="n">
        <v>0.44650878894153</v>
      </c>
      <c r="N769" s="19" t="n">
        <v>0.783380576637732</v>
      </c>
      <c r="O769" s="19" t="n">
        <v>0.947153158521483</v>
      </c>
      <c r="P769" s="19" t="n">
        <v>0.692694684518489</v>
      </c>
      <c r="Q769" s="17" t="s">
        <v>29</v>
      </c>
      <c r="R769" s="5" t="str">
        <f aca="false">IF(OR(Q769="Steel plate",Q769="Concrete jacket"),"Steel plate or jacket",Q769)</f>
        <v>Monitor</v>
      </c>
      <c r="S769" s="5" t="str">
        <f aca="false">IF(O769&lt;='Tree rules'!$C$4,IF(N769&lt;='Tree rules'!$C$5,IF(P769&lt;='Tree rules'!$C$6,"Monitor","Polymer laminate"),IF(P769&lt;='Tree rules'!$C$7,"Seal cracks","Polymer laminate")),IF(O769&lt;='Tree rules'!$C$8,IF(M769&lt;='Tree rules'!$C$9,"Steel plate or jacket","Polymer laminate"),IF(L769&lt;='Tree rules'!$C$10,"Steel plate or jacket","Polymer laminate")))</f>
        <v>Monitor</v>
      </c>
      <c r="T769" s="5" t="str">
        <f aca="false">IF(S769=R769,"Yes","No")</f>
        <v>Yes</v>
      </c>
    </row>
    <row r="770" customFormat="false" ht="15" hidden="false" customHeight="false" outlineLevel="0" collapsed="false">
      <c r="A770" s="15" t="n">
        <v>2526</v>
      </c>
      <c r="B770" s="16" t="n">
        <v>4.5057708347652</v>
      </c>
      <c r="C770" s="15" t="n">
        <v>230</v>
      </c>
      <c r="D770" s="15" t="n">
        <v>450</v>
      </c>
      <c r="E770" s="15" t="n">
        <v>20</v>
      </c>
      <c r="F770" s="16" t="n">
        <v>0.649145274956135</v>
      </c>
      <c r="G770" s="17" t="s">
        <v>91</v>
      </c>
      <c r="H770" s="18" t="n">
        <v>0.2</v>
      </c>
      <c r="I770" s="18" t="n">
        <v>2</v>
      </c>
      <c r="J770" s="19" t="n">
        <v>0.989341824288851</v>
      </c>
      <c r="K770" s="19" t="n">
        <v>0.439734512118156</v>
      </c>
      <c r="L770" s="16" t="n">
        <v>11.1528981058545</v>
      </c>
      <c r="M770" s="19" t="n">
        <v>0.373184927089255</v>
      </c>
      <c r="N770" s="19" t="n">
        <v>1.73542153945117</v>
      </c>
      <c r="O770" s="19" t="n">
        <v>1.54363590415596</v>
      </c>
      <c r="P770" s="19" t="n">
        <v>1.05477555092643</v>
      </c>
      <c r="Q770" s="17" t="s">
        <v>92</v>
      </c>
      <c r="R770" s="5" t="str">
        <f aca="false">IF(OR(Q770="Steel plate",Q770="Concrete jacket"),"Steel plate or jacket",Q770)</f>
        <v>Steel plate or jacket</v>
      </c>
      <c r="S770" s="5" t="str">
        <f aca="false">IF(O770&lt;='Tree rules'!$C$4,IF(N770&lt;='Tree rules'!$C$5,IF(P770&lt;='Tree rules'!$C$6,"Monitor","Polymer laminate"),IF(P770&lt;='Tree rules'!$C$7,"Seal cracks","Polymer laminate")),IF(O770&lt;='Tree rules'!$C$8,IF(M770&lt;='Tree rules'!$C$9,"Steel plate or jacket","Polymer laminate"),IF(L770&lt;='Tree rules'!$C$10,"Steel plate or jacket","Polymer laminate")))</f>
        <v>Steel plate or jacket</v>
      </c>
      <c r="T770" s="5" t="str">
        <f aca="false">IF(S770=R770,"Yes","No")</f>
        <v>Yes</v>
      </c>
    </row>
    <row r="771" customFormat="false" ht="15" hidden="false" customHeight="false" outlineLevel="0" collapsed="false">
      <c r="A771" s="15" t="n">
        <v>2529</v>
      </c>
      <c r="B771" s="16" t="n">
        <v>6.83799678458769</v>
      </c>
      <c r="C771" s="15" t="n">
        <v>300</v>
      </c>
      <c r="D771" s="15" t="n">
        <v>625</v>
      </c>
      <c r="E771" s="15" t="n">
        <v>20</v>
      </c>
      <c r="F771" s="16" t="n">
        <v>0.544470130604817</v>
      </c>
      <c r="G771" s="17" t="s">
        <v>91</v>
      </c>
      <c r="H771" s="18" t="n">
        <v>0.2</v>
      </c>
      <c r="I771" s="18" t="n">
        <v>2</v>
      </c>
      <c r="J771" s="19" t="n">
        <v>0.891040136529773</v>
      </c>
      <c r="K771" s="19" t="n">
        <v>0.565238138278443</v>
      </c>
      <c r="L771" s="16" t="n">
        <v>11.8509476336008</v>
      </c>
      <c r="M771" s="19" t="n">
        <v>0.500583075652913</v>
      </c>
      <c r="N771" s="19" t="n">
        <v>1.58664711891178</v>
      </c>
      <c r="O771" s="19" t="n">
        <v>1.27843040515609</v>
      </c>
      <c r="P771" s="19" t="n">
        <v>0.741810553228087</v>
      </c>
      <c r="Q771" s="17" t="s">
        <v>31</v>
      </c>
      <c r="R771" s="5" t="str">
        <f aca="false">IF(OR(Q771="Steel plate",Q771="Concrete jacket"),"Steel plate or jacket",Q771)</f>
        <v>Polymer laminate</v>
      </c>
      <c r="S771" s="5" t="str">
        <f aca="false">IF(O771&lt;='Tree rules'!$C$4,IF(N771&lt;='Tree rules'!$C$5,IF(P771&lt;='Tree rules'!$C$6,"Monitor","Polymer laminate"),IF(P771&lt;='Tree rules'!$C$7,"Seal cracks","Polymer laminate")),IF(O771&lt;='Tree rules'!$C$8,IF(M771&lt;='Tree rules'!$C$9,"Steel plate or jacket","Polymer laminate"),IF(L771&lt;='Tree rules'!$C$10,"Steel plate or jacket","Polymer laminate")))</f>
        <v>Polymer laminate</v>
      </c>
      <c r="T771" s="5" t="str">
        <f aca="false">IF(S771=R771,"Yes","No")</f>
        <v>Yes</v>
      </c>
    </row>
    <row r="772" customFormat="false" ht="15" hidden="false" customHeight="false" outlineLevel="0" collapsed="false">
      <c r="A772" s="15" t="n">
        <v>2533</v>
      </c>
      <c r="B772" s="16" t="n">
        <v>4.88451759982437</v>
      </c>
      <c r="C772" s="15" t="n">
        <v>300</v>
      </c>
      <c r="D772" s="15" t="n">
        <v>450</v>
      </c>
      <c r="E772" s="15" t="n">
        <v>25</v>
      </c>
      <c r="F772" s="16" t="n">
        <v>0.663570725510715</v>
      </c>
      <c r="G772" s="17" t="s">
        <v>91</v>
      </c>
      <c r="H772" s="18" t="n">
        <v>0.2</v>
      </c>
      <c r="I772" s="18" t="n">
        <v>2</v>
      </c>
      <c r="J772" s="19" t="n">
        <v>0.990102237950534</v>
      </c>
      <c r="K772" s="19" t="n">
        <v>0.490694079783975</v>
      </c>
      <c r="L772" s="16" t="n">
        <v>12.0903900985752</v>
      </c>
      <c r="M772" s="19" t="n">
        <v>0.92690657937608</v>
      </c>
      <c r="N772" s="19" t="n">
        <v>1.55326441028399</v>
      </c>
      <c r="O772" s="19" t="n">
        <v>1.49436716935788</v>
      </c>
      <c r="P772" s="19" t="n">
        <v>0.468912367375362</v>
      </c>
      <c r="Q772" s="17" t="s">
        <v>31</v>
      </c>
      <c r="R772" s="5" t="str">
        <f aca="false">IF(OR(Q772="Steel plate",Q772="Concrete jacket"),"Steel plate or jacket",Q772)</f>
        <v>Polymer laminate</v>
      </c>
      <c r="S772" s="5" t="str">
        <f aca="false">IF(O772&lt;='Tree rules'!$C$4,IF(N772&lt;='Tree rules'!$C$5,IF(P772&lt;='Tree rules'!$C$6,"Monitor","Polymer laminate"),IF(P772&lt;='Tree rules'!$C$7,"Seal cracks","Polymer laminate")),IF(O772&lt;='Tree rules'!$C$8,IF(M772&lt;='Tree rules'!$C$9,"Steel plate or jacket","Polymer laminate"),IF(L772&lt;='Tree rules'!$C$10,"Steel plate or jacket","Polymer laminate")))</f>
        <v>Steel plate or jacket</v>
      </c>
      <c r="T772" s="5" t="str">
        <f aca="false">IF(S772=R772,"Yes","No")</f>
        <v>No</v>
      </c>
    </row>
    <row r="773" customFormat="false" ht="15" hidden="false" customHeight="false" outlineLevel="0" collapsed="false">
      <c r="A773" s="15" t="n">
        <v>2535</v>
      </c>
      <c r="B773" s="16" t="n">
        <v>4.18743491624516</v>
      </c>
      <c r="C773" s="15" t="n">
        <v>230</v>
      </c>
      <c r="D773" s="15" t="n">
        <v>400</v>
      </c>
      <c r="E773" s="15" t="n">
        <v>25</v>
      </c>
      <c r="F773" s="16" t="n">
        <v>0.776085141697083</v>
      </c>
      <c r="G773" s="17" t="s">
        <v>89</v>
      </c>
      <c r="H773" s="18" t="n">
        <v>0.3</v>
      </c>
      <c r="I773" s="18" t="n">
        <v>1</v>
      </c>
      <c r="J773" s="19" t="n">
        <v>0.891293358293</v>
      </c>
      <c r="K773" s="19" t="n">
        <v>0.643532710007219</v>
      </c>
      <c r="L773" s="16" t="n">
        <v>11.896121921151</v>
      </c>
      <c r="M773" s="19" t="n">
        <v>0.79371630427588</v>
      </c>
      <c r="N773" s="19" t="n">
        <v>0.788726557313009</v>
      </c>
      <c r="O773" s="19" t="n">
        <v>0.891293358293</v>
      </c>
      <c r="P773" s="19" t="n">
        <v>0.461368090221185</v>
      </c>
      <c r="Q773" s="17" t="s">
        <v>29</v>
      </c>
      <c r="R773" s="5" t="str">
        <f aca="false">IF(OR(Q773="Steel plate",Q773="Concrete jacket"),"Steel plate or jacket",Q773)</f>
        <v>Monitor</v>
      </c>
      <c r="S773" s="5" t="str">
        <f aca="false">IF(O773&lt;='Tree rules'!$C$4,IF(N773&lt;='Tree rules'!$C$5,IF(P773&lt;='Tree rules'!$C$6,"Monitor","Polymer laminate"),IF(P773&lt;='Tree rules'!$C$7,"Seal cracks","Polymer laminate")),IF(O773&lt;='Tree rules'!$C$8,IF(M773&lt;='Tree rules'!$C$9,"Steel plate or jacket","Polymer laminate"),IF(L773&lt;='Tree rules'!$C$10,"Steel plate or jacket","Polymer laminate")))</f>
        <v>Monitor</v>
      </c>
      <c r="T773" s="5" t="str">
        <f aca="false">IF(S773=R773,"Yes","No")</f>
        <v>Yes</v>
      </c>
    </row>
    <row r="774" customFormat="false" ht="15" hidden="false" customHeight="false" outlineLevel="0" collapsed="false">
      <c r="A774" s="15" t="n">
        <v>2536</v>
      </c>
      <c r="B774" s="16" t="n">
        <v>6.34863325437524</v>
      </c>
      <c r="C774" s="15" t="n">
        <v>300</v>
      </c>
      <c r="D774" s="15" t="n">
        <v>600</v>
      </c>
      <c r="E774" s="15" t="n">
        <v>25</v>
      </c>
      <c r="F774" s="16" t="n">
        <v>0.725855342345656</v>
      </c>
      <c r="G774" s="17" t="s">
        <v>91</v>
      </c>
      <c r="H774" s="18" t="n">
        <v>0.2</v>
      </c>
      <c r="I774" s="18" t="n">
        <v>1</v>
      </c>
      <c r="J774" s="19" t="n">
        <v>0.89927867661609</v>
      </c>
      <c r="K774" s="19" t="n">
        <v>0.579024849651017</v>
      </c>
      <c r="L774" s="16" t="n">
        <v>11.4596268129517</v>
      </c>
      <c r="M774" s="19" t="n">
        <v>0.943641689657904</v>
      </c>
      <c r="N774" s="19" t="n">
        <v>0.759332145972652</v>
      </c>
      <c r="O774" s="19" t="n">
        <v>0.899278676616089</v>
      </c>
      <c r="P774" s="19" t="n">
        <v>0.398022243804706</v>
      </c>
      <c r="Q774" s="17" t="s">
        <v>29</v>
      </c>
      <c r="R774" s="5" t="str">
        <f aca="false">IF(OR(Q774="Steel plate",Q774="Concrete jacket"),"Steel plate or jacket",Q774)</f>
        <v>Monitor</v>
      </c>
      <c r="S774" s="5" t="str">
        <f aca="false">IF(O774&lt;='Tree rules'!$C$4,IF(N774&lt;='Tree rules'!$C$5,IF(P774&lt;='Tree rules'!$C$6,"Monitor","Polymer laminate"),IF(P774&lt;='Tree rules'!$C$7,"Seal cracks","Polymer laminate")),IF(O774&lt;='Tree rules'!$C$8,IF(M774&lt;='Tree rules'!$C$9,"Steel plate or jacket","Polymer laminate"),IF(L774&lt;='Tree rules'!$C$10,"Steel plate or jacket","Polymer laminate")))</f>
        <v>Monitor</v>
      </c>
      <c r="T774" s="5" t="str">
        <f aca="false">IF(S774=R774,"Yes","No")</f>
        <v>Yes</v>
      </c>
    </row>
    <row r="775" customFormat="false" ht="15" hidden="false" customHeight="false" outlineLevel="0" collapsed="false">
      <c r="A775" s="15" t="n">
        <v>2537</v>
      </c>
      <c r="B775" s="16" t="n">
        <v>3.774650156045</v>
      </c>
      <c r="C775" s="15" t="n">
        <v>230</v>
      </c>
      <c r="D775" s="15" t="n">
        <v>325</v>
      </c>
      <c r="E775" s="15" t="n">
        <v>30</v>
      </c>
      <c r="F775" s="16" t="n">
        <v>0.662259320914844</v>
      </c>
      <c r="G775" s="17" t="s">
        <v>90</v>
      </c>
      <c r="H775" s="18" t="n">
        <v>0.1</v>
      </c>
      <c r="I775" s="18" t="n">
        <v>1</v>
      </c>
      <c r="J775" s="19" t="n">
        <v>0.948588798292013</v>
      </c>
      <c r="K775" s="19" t="n">
        <v>0.63451830566768</v>
      </c>
      <c r="L775" s="16" t="n">
        <v>14.2979172577462</v>
      </c>
      <c r="M775" s="19" t="n">
        <v>0.719479743662544</v>
      </c>
      <c r="N775" s="19" t="n">
        <v>2.94265915807228</v>
      </c>
      <c r="O775" s="19" t="n">
        <v>0.948588798292013</v>
      </c>
      <c r="P775" s="19" t="n">
        <v>0.414634677885086</v>
      </c>
      <c r="Q775" s="17" t="s">
        <v>30</v>
      </c>
      <c r="R775" s="5" t="str">
        <f aca="false">IF(OR(Q775="Steel plate",Q775="Concrete jacket"),"Steel plate or jacket",Q775)</f>
        <v>Seal cracks</v>
      </c>
      <c r="S775" s="5" t="str">
        <f aca="false">IF(O775&lt;='Tree rules'!$C$4,IF(N775&lt;='Tree rules'!$C$5,IF(P775&lt;='Tree rules'!$C$6,"Monitor","Polymer laminate"),IF(P775&lt;='Tree rules'!$C$7,"Seal cracks","Polymer laminate")),IF(O775&lt;='Tree rules'!$C$8,IF(M775&lt;='Tree rules'!$C$9,"Steel plate or jacket","Polymer laminate"),IF(L775&lt;='Tree rules'!$C$10,"Steel plate or jacket","Polymer laminate")))</f>
        <v>Seal cracks</v>
      </c>
      <c r="T775" s="5" t="str">
        <f aca="false">IF(S775=R775,"Yes","No")</f>
        <v>Yes</v>
      </c>
    </row>
    <row r="776" customFormat="false" ht="15" hidden="false" customHeight="false" outlineLevel="0" collapsed="false">
      <c r="A776" s="15" t="n">
        <v>2540</v>
      </c>
      <c r="B776" s="16" t="n">
        <v>3.18890118833634</v>
      </c>
      <c r="C776" s="15" t="n">
        <v>300</v>
      </c>
      <c r="D776" s="15" t="n">
        <v>325</v>
      </c>
      <c r="E776" s="15" t="n">
        <v>30</v>
      </c>
      <c r="F776" s="16" t="n">
        <v>1.13414897241509</v>
      </c>
      <c r="G776" s="17" t="s">
        <v>91</v>
      </c>
      <c r="H776" s="18" t="n">
        <v>0.2</v>
      </c>
      <c r="I776" s="18" t="n">
        <v>1</v>
      </c>
      <c r="J776" s="19" t="n">
        <v>0.888818611789586</v>
      </c>
      <c r="K776" s="19" t="n">
        <v>0.440970119460324</v>
      </c>
      <c r="L776" s="16" t="n">
        <v>11.5122786582539</v>
      </c>
      <c r="M776" s="19" t="n">
        <v>0.86992190988854</v>
      </c>
      <c r="N776" s="19" t="n">
        <v>1.06206680343572</v>
      </c>
      <c r="O776" s="19" t="n">
        <v>0.888818611789586</v>
      </c>
      <c r="P776" s="19" t="n">
        <v>0.414146673501486</v>
      </c>
      <c r="Q776" s="17" t="s">
        <v>30</v>
      </c>
      <c r="R776" s="5" t="str">
        <f aca="false">IF(OR(Q776="Steel plate",Q776="Concrete jacket"),"Steel plate or jacket",Q776)</f>
        <v>Seal cracks</v>
      </c>
      <c r="S776" s="5" t="str">
        <f aca="false">IF(O776&lt;='Tree rules'!$C$4,IF(N776&lt;='Tree rules'!$C$5,IF(P776&lt;='Tree rules'!$C$6,"Monitor","Polymer laminate"),IF(P776&lt;='Tree rules'!$C$7,"Seal cracks","Polymer laminate")),IF(O776&lt;='Tree rules'!$C$8,IF(M776&lt;='Tree rules'!$C$9,"Steel plate or jacket","Polymer laminate"),IF(L776&lt;='Tree rules'!$C$10,"Steel plate or jacket","Polymer laminate")))</f>
        <v>Seal cracks</v>
      </c>
      <c r="T776" s="5" t="str">
        <f aca="false">IF(S776=R776,"Yes","No")</f>
        <v>Yes</v>
      </c>
    </row>
    <row r="777" customFormat="false" ht="15" hidden="false" customHeight="false" outlineLevel="0" collapsed="false">
      <c r="A777" s="15" t="n">
        <v>2543</v>
      </c>
      <c r="B777" s="16" t="n">
        <v>6.1844837112068</v>
      </c>
      <c r="C777" s="15" t="n">
        <v>230</v>
      </c>
      <c r="D777" s="15" t="n">
        <v>525</v>
      </c>
      <c r="E777" s="15" t="n">
        <v>30</v>
      </c>
      <c r="F777" s="16" t="n">
        <v>0.730006099046008</v>
      </c>
      <c r="G777" s="17" t="s">
        <v>89</v>
      </c>
      <c r="H777" s="18" t="n">
        <v>0.3</v>
      </c>
      <c r="I777" s="18" t="n">
        <v>1</v>
      </c>
      <c r="J777" s="19" t="n">
        <v>0.931644486925961</v>
      </c>
      <c r="K777" s="19" t="n">
        <v>0.524612290230382</v>
      </c>
      <c r="L777" s="16" t="n">
        <v>12.9112394805987</v>
      </c>
      <c r="M777" s="19" t="n">
        <v>0.94747318506455</v>
      </c>
      <c r="N777" s="19" t="n">
        <v>0.554940192840497</v>
      </c>
      <c r="O777" s="19" t="n">
        <v>0.931644486925961</v>
      </c>
      <c r="P777" s="19" t="n">
        <v>0.406342377959314</v>
      </c>
      <c r="Q777" s="17" t="s">
        <v>29</v>
      </c>
      <c r="R777" s="5" t="str">
        <f aca="false">IF(OR(Q777="Steel plate",Q777="Concrete jacket"),"Steel plate or jacket",Q777)</f>
        <v>Monitor</v>
      </c>
      <c r="S777" s="5" t="str">
        <f aca="false">IF(O777&lt;='Tree rules'!$C$4,IF(N777&lt;='Tree rules'!$C$5,IF(P777&lt;='Tree rules'!$C$6,"Monitor","Polymer laminate"),IF(P777&lt;='Tree rules'!$C$7,"Seal cracks","Polymer laminate")),IF(O777&lt;='Tree rules'!$C$8,IF(M777&lt;='Tree rules'!$C$9,"Steel plate or jacket","Polymer laminate"),IF(L777&lt;='Tree rules'!$C$10,"Steel plate or jacket","Polymer laminate")))</f>
        <v>Monitor</v>
      </c>
      <c r="T777" s="5" t="str">
        <f aca="false">IF(S777=R777,"Yes","No")</f>
        <v>Yes</v>
      </c>
    </row>
    <row r="778" customFormat="false" ht="15" hidden="false" customHeight="false" outlineLevel="0" collapsed="false">
      <c r="A778" s="15" t="n">
        <v>2547</v>
      </c>
      <c r="B778" s="16" t="n">
        <v>3.36154579548248</v>
      </c>
      <c r="C778" s="15" t="n">
        <v>300</v>
      </c>
      <c r="D778" s="15" t="n">
        <v>325</v>
      </c>
      <c r="E778" s="15" t="n">
        <v>25</v>
      </c>
      <c r="F778" s="16" t="n">
        <v>0.72065207824282</v>
      </c>
      <c r="G778" s="17" t="s">
        <v>91</v>
      </c>
      <c r="H778" s="18" t="n">
        <v>0.2</v>
      </c>
      <c r="I778" s="18" t="n">
        <v>1.5</v>
      </c>
      <c r="J778" s="19" t="n">
        <v>0.956649953419188</v>
      </c>
      <c r="K778" s="19" t="n">
        <v>0.583335182416778</v>
      </c>
      <c r="L778" s="16" t="n">
        <v>12.0485512382885</v>
      </c>
      <c r="M778" s="19" t="n">
        <v>0.328697773391615</v>
      </c>
      <c r="N778" s="19" t="n">
        <v>1.52614535369499</v>
      </c>
      <c r="O778" s="19" t="n">
        <v>1.15595114258539</v>
      </c>
      <c r="P778" s="19" t="n">
        <v>1.04711999495946</v>
      </c>
      <c r="Q778" s="17" t="s">
        <v>31</v>
      </c>
      <c r="R778" s="5" t="str">
        <f aca="false">IF(OR(Q778="Steel plate",Q778="Concrete jacket"),"Steel plate or jacket",Q778)</f>
        <v>Polymer laminate</v>
      </c>
      <c r="S778" s="5" t="str">
        <f aca="false">IF(O778&lt;='Tree rules'!$C$4,IF(N778&lt;='Tree rules'!$C$5,IF(P778&lt;='Tree rules'!$C$6,"Monitor","Polymer laminate"),IF(P778&lt;='Tree rules'!$C$7,"Seal cracks","Polymer laminate")),IF(O778&lt;='Tree rules'!$C$8,IF(M778&lt;='Tree rules'!$C$9,"Steel plate or jacket","Polymer laminate"),IF(L778&lt;='Tree rules'!$C$10,"Steel plate or jacket","Polymer laminate")))</f>
        <v>Polymer laminate</v>
      </c>
      <c r="T778" s="5" t="str">
        <f aca="false">IF(S778=R778,"Yes","No")</f>
        <v>Yes</v>
      </c>
    </row>
    <row r="779" customFormat="false" ht="15" hidden="false" customHeight="false" outlineLevel="0" collapsed="false">
      <c r="A779" s="15" t="n">
        <v>2548</v>
      </c>
      <c r="B779" s="16" t="n">
        <v>5.06354317567882</v>
      </c>
      <c r="C779" s="15" t="n">
        <v>300</v>
      </c>
      <c r="D779" s="15" t="n">
        <v>450</v>
      </c>
      <c r="E779" s="15" t="n">
        <v>30</v>
      </c>
      <c r="F779" s="16" t="n">
        <v>0.663570725510715</v>
      </c>
      <c r="G779" s="17" t="s">
        <v>91</v>
      </c>
      <c r="H779" s="18" t="n">
        <v>0.2</v>
      </c>
      <c r="I779" s="18" t="n">
        <v>2</v>
      </c>
      <c r="J779" s="19" t="n">
        <v>0.858365822378961</v>
      </c>
      <c r="K779" s="19" t="n">
        <v>0.608123645285049</v>
      </c>
      <c r="L779" s="16" t="n">
        <v>12.5335227120763</v>
      </c>
      <c r="M779" s="19" t="n">
        <v>0.612769395974124</v>
      </c>
      <c r="N779" s="19" t="n">
        <v>1.29690602693244</v>
      </c>
      <c r="O779" s="19" t="n">
        <v>1.19473909186473</v>
      </c>
      <c r="P779" s="19" t="n">
        <v>0.600602538060961</v>
      </c>
      <c r="Q779" s="17" t="s">
        <v>31</v>
      </c>
      <c r="R779" s="5" t="str">
        <f aca="false">IF(OR(Q779="Steel plate",Q779="Concrete jacket"),"Steel plate or jacket",Q779)</f>
        <v>Polymer laminate</v>
      </c>
      <c r="S779" s="5" t="str">
        <f aca="false">IF(O779&lt;='Tree rules'!$C$4,IF(N779&lt;='Tree rules'!$C$5,IF(P779&lt;='Tree rules'!$C$6,"Monitor","Polymer laminate"),IF(P779&lt;='Tree rules'!$C$7,"Seal cracks","Polymer laminate")),IF(O779&lt;='Tree rules'!$C$8,IF(M779&lt;='Tree rules'!$C$9,"Steel plate or jacket","Polymer laminate"),IF(L779&lt;='Tree rules'!$C$10,"Steel plate or jacket","Polymer laminate")))</f>
        <v>Polymer laminate</v>
      </c>
      <c r="T779" s="5" t="str">
        <f aca="false">IF(S779=R779,"Yes","No")</f>
        <v>Yes</v>
      </c>
    </row>
    <row r="780" customFormat="false" ht="15" hidden="false" customHeight="false" outlineLevel="0" collapsed="false">
      <c r="A780" s="15" t="n">
        <v>2560</v>
      </c>
      <c r="B780" s="16" t="n">
        <v>3.12018296474992</v>
      </c>
      <c r="C780" s="15" t="n">
        <v>300</v>
      </c>
      <c r="D780" s="15" t="n">
        <v>300</v>
      </c>
      <c r="E780" s="15" t="n">
        <v>25</v>
      </c>
      <c r="F780" s="16" t="n">
        <v>0.736310778185108</v>
      </c>
      <c r="G780" s="17" t="s">
        <v>89</v>
      </c>
      <c r="H780" s="18" t="n">
        <v>0.3</v>
      </c>
      <c r="I780" s="18" t="n">
        <v>2</v>
      </c>
      <c r="J780" s="19" t="n">
        <v>0.860627558168415</v>
      </c>
      <c r="K780" s="19" t="n">
        <v>0.588677281967216</v>
      </c>
      <c r="L780" s="16" t="n">
        <v>12.1882147060544</v>
      </c>
      <c r="M780" s="19" t="n">
        <v>0.743760511427698</v>
      </c>
      <c r="N780" s="19" t="n">
        <v>0.825450985063261</v>
      </c>
      <c r="O780" s="19" t="n">
        <v>1.21462322460817</v>
      </c>
      <c r="P780" s="19" t="n">
        <v>0.48615143303463</v>
      </c>
      <c r="Q780" s="17" t="s">
        <v>31</v>
      </c>
      <c r="R780" s="5" t="str">
        <f aca="false">IF(OR(Q780="Steel plate",Q780="Concrete jacket"),"Steel plate or jacket",Q780)</f>
        <v>Polymer laminate</v>
      </c>
      <c r="S780" s="5" t="str">
        <f aca="false">IF(O780&lt;='Tree rules'!$C$4,IF(N780&lt;='Tree rules'!$C$5,IF(P780&lt;='Tree rules'!$C$6,"Monitor","Polymer laminate"),IF(P780&lt;='Tree rules'!$C$7,"Seal cracks","Polymer laminate")),IF(O780&lt;='Tree rules'!$C$8,IF(M780&lt;='Tree rules'!$C$9,"Steel plate or jacket","Polymer laminate"),IF(L780&lt;='Tree rules'!$C$10,"Steel plate or jacket","Polymer laminate")))</f>
        <v>Polymer laminate</v>
      </c>
      <c r="T780" s="5" t="str">
        <f aca="false">IF(S780=R780,"Yes","No")</f>
        <v>Yes</v>
      </c>
    </row>
    <row r="781" customFormat="false" ht="15" hidden="false" customHeight="false" outlineLevel="0" collapsed="false">
      <c r="A781" s="15" t="n">
        <v>2564</v>
      </c>
      <c r="B781" s="16" t="n">
        <v>6.96516961863314</v>
      </c>
      <c r="C781" s="15" t="n">
        <v>230</v>
      </c>
      <c r="D781" s="15" t="n">
        <v>625</v>
      </c>
      <c r="E781" s="15" t="n">
        <v>20</v>
      </c>
      <c r="F781" s="16" t="n">
        <v>0.603925598347216</v>
      </c>
      <c r="G781" s="17" t="s">
        <v>89</v>
      </c>
      <c r="H781" s="18" t="n">
        <v>0.3</v>
      </c>
      <c r="I781" s="18" t="n">
        <v>1.5</v>
      </c>
      <c r="J781" s="19" t="n">
        <v>0.947700376171718</v>
      </c>
      <c r="K781" s="19" t="n">
        <v>0.581256770119015</v>
      </c>
      <c r="L781" s="16" t="n">
        <v>12.029653918192</v>
      </c>
      <c r="M781" s="19" t="n">
        <v>0.681743993880241</v>
      </c>
      <c r="N781" s="19" t="n">
        <v>0.703243684393155</v>
      </c>
      <c r="O781" s="19" t="n">
        <v>1.1461219344105</v>
      </c>
      <c r="P781" s="19" t="n">
        <v>0.601834765981729</v>
      </c>
      <c r="Q781" s="17" t="s">
        <v>31</v>
      </c>
      <c r="R781" s="5" t="str">
        <f aca="false">IF(OR(Q781="Steel plate",Q781="Concrete jacket"),"Steel plate or jacket",Q781)</f>
        <v>Polymer laminate</v>
      </c>
      <c r="S781" s="5" t="str">
        <f aca="false">IF(O781&lt;='Tree rules'!$C$4,IF(N781&lt;='Tree rules'!$C$5,IF(P781&lt;='Tree rules'!$C$6,"Monitor","Polymer laminate"),IF(P781&lt;='Tree rules'!$C$7,"Seal cracks","Polymer laminate")),IF(O781&lt;='Tree rules'!$C$8,IF(M781&lt;='Tree rules'!$C$9,"Steel plate or jacket","Polymer laminate"),IF(L781&lt;='Tree rules'!$C$10,"Steel plate or jacket","Polymer laminate")))</f>
        <v>Polymer laminate</v>
      </c>
      <c r="T781" s="5" t="str">
        <f aca="false">IF(S781=R781,"Yes","No")</f>
        <v>Yes</v>
      </c>
    </row>
    <row r="782" customFormat="false" ht="15" hidden="false" customHeight="false" outlineLevel="0" collapsed="false">
      <c r="A782" s="15" t="n">
        <v>2568</v>
      </c>
      <c r="B782" s="16" t="n">
        <v>3.66655113124806</v>
      </c>
      <c r="C782" s="15" t="n">
        <v>300</v>
      </c>
      <c r="D782" s="15" t="n">
        <v>350</v>
      </c>
      <c r="E782" s="15" t="n">
        <v>20</v>
      </c>
      <c r="F782" s="16" t="n">
        <v>0.693508312050727</v>
      </c>
      <c r="G782" s="17" t="s">
        <v>89</v>
      </c>
      <c r="H782" s="18" t="n">
        <v>0.3</v>
      </c>
      <c r="I782" s="18" t="n">
        <v>1</v>
      </c>
      <c r="J782" s="19" t="n">
        <v>0.995793404896354</v>
      </c>
      <c r="K782" s="19" t="n">
        <v>0.530074415943866</v>
      </c>
      <c r="L782" s="16" t="n">
        <v>12.1408977855896</v>
      </c>
      <c r="M782" s="19" t="n">
        <v>0.327052472206423</v>
      </c>
      <c r="N782" s="19" t="n">
        <v>1.15070723932338</v>
      </c>
      <c r="O782" s="19" t="n">
        <v>0.995793404896354</v>
      </c>
      <c r="P782" s="19" t="n">
        <v>1.01837053161556</v>
      </c>
      <c r="Q782" s="17" t="s">
        <v>31</v>
      </c>
      <c r="R782" s="5" t="str">
        <f aca="false">IF(OR(Q782="Steel plate",Q782="Concrete jacket"),"Steel plate or jacket",Q782)</f>
        <v>Polymer laminate</v>
      </c>
      <c r="S782" s="5" t="str">
        <f aca="false">IF(O782&lt;='Tree rules'!$C$4,IF(N782&lt;='Tree rules'!$C$5,IF(P782&lt;='Tree rules'!$C$6,"Monitor","Polymer laminate"),IF(P782&lt;='Tree rules'!$C$7,"Seal cracks","Polymer laminate")),IF(O782&lt;='Tree rules'!$C$8,IF(M782&lt;='Tree rules'!$C$9,"Steel plate or jacket","Polymer laminate"),IF(L782&lt;='Tree rules'!$C$10,"Steel plate or jacket","Polymer laminate")))</f>
        <v>Polymer laminate</v>
      </c>
      <c r="T782" s="5" t="str">
        <f aca="false">IF(S782=R782,"Yes","No")</f>
        <v>Yes</v>
      </c>
    </row>
    <row r="783" customFormat="false" ht="15" hidden="false" customHeight="false" outlineLevel="0" collapsed="false">
      <c r="A783" s="15" t="n">
        <v>2575</v>
      </c>
      <c r="B783" s="16" t="n">
        <v>3.12617086445993</v>
      </c>
      <c r="C783" s="15" t="n">
        <v>300</v>
      </c>
      <c r="D783" s="15" t="n">
        <v>300</v>
      </c>
      <c r="E783" s="15" t="n">
        <v>30</v>
      </c>
      <c r="F783" s="16" t="n">
        <v>0.791582400904515</v>
      </c>
      <c r="G783" s="17" t="s">
        <v>91</v>
      </c>
      <c r="H783" s="18" t="n">
        <v>0.2</v>
      </c>
      <c r="I783" s="18" t="n">
        <v>1</v>
      </c>
      <c r="J783" s="19" t="n">
        <v>0.884975272658895</v>
      </c>
      <c r="K783" s="19" t="n">
        <v>0.481582676659059</v>
      </c>
      <c r="L783" s="16" t="n">
        <v>12.3077593088974</v>
      </c>
      <c r="M783" s="19" t="n">
        <v>0.947465386554296</v>
      </c>
      <c r="N783" s="19" t="n">
        <v>1.02029535745482</v>
      </c>
      <c r="O783" s="19" t="n">
        <v>0.884975272658895</v>
      </c>
      <c r="P783" s="19" t="n">
        <v>0.310635024420848</v>
      </c>
      <c r="Q783" s="17" t="s">
        <v>30</v>
      </c>
      <c r="R783" s="5" t="str">
        <f aca="false">IF(OR(Q783="Steel plate",Q783="Concrete jacket"),"Steel plate or jacket",Q783)</f>
        <v>Seal cracks</v>
      </c>
      <c r="S783" s="5" t="str">
        <f aca="false">IF(O783&lt;='Tree rules'!$C$4,IF(N783&lt;='Tree rules'!$C$5,IF(P783&lt;='Tree rules'!$C$6,"Monitor","Polymer laminate"),IF(P783&lt;='Tree rules'!$C$7,"Seal cracks","Polymer laminate")),IF(O783&lt;='Tree rules'!$C$8,IF(M783&lt;='Tree rules'!$C$9,"Steel plate or jacket","Polymer laminate"),IF(L783&lt;='Tree rules'!$C$10,"Steel plate or jacket","Polymer laminate")))</f>
        <v>Seal cracks</v>
      </c>
      <c r="T783" s="5" t="str">
        <f aca="false">IF(S783=R783,"Yes","No")</f>
        <v>Yes</v>
      </c>
    </row>
    <row r="784" customFormat="false" ht="15" hidden="false" customHeight="false" outlineLevel="0" collapsed="false">
      <c r="A784" s="15" t="n">
        <v>2585</v>
      </c>
      <c r="B784" s="16" t="n">
        <v>5.30898448357578</v>
      </c>
      <c r="C784" s="15" t="n">
        <v>300</v>
      </c>
      <c r="D784" s="15" t="n">
        <v>475</v>
      </c>
      <c r="E784" s="15" t="n">
        <v>30</v>
      </c>
      <c r="F784" s="16" t="n">
        <v>0.735735984447258</v>
      </c>
      <c r="G784" s="17" t="s">
        <v>91</v>
      </c>
      <c r="H784" s="18" t="n">
        <v>0.2</v>
      </c>
      <c r="I784" s="18" t="n">
        <v>2</v>
      </c>
      <c r="J784" s="19" t="n">
        <v>0.853842386522949</v>
      </c>
      <c r="K784" s="19" t="n">
        <v>0.483137406048336</v>
      </c>
      <c r="L784" s="16" t="n">
        <v>12.4332189310908</v>
      </c>
      <c r="M784" s="19" t="n">
        <v>0.373662812274121</v>
      </c>
      <c r="N784" s="19" t="n">
        <v>1.69240142961454</v>
      </c>
      <c r="O784" s="19" t="n">
        <v>1.29516157724708</v>
      </c>
      <c r="P784" s="19" t="n">
        <v>0.999698439028741</v>
      </c>
      <c r="Q784" s="17" t="s">
        <v>31</v>
      </c>
      <c r="R784" s="5" t="str">
        <f aca="false">IF(OR(Q784="Steel plate",Q784="Concrete jacket"),"Steel plate or jacket",Q784)</f>
        <v>Polymer laminate</v>
      </c>
      <c r="S784" s="5" t="str">
        <f aca="false">IF(O784&lt;='Tree rules'!$C$4,IF(N784&lt;='Tree rules'!$C$5,IF(P784&lt;='Tree rules'!$C$6,"Monitor","Polymer laminate"),IF(P784&lt;='Tree rules'!$C$7,"Seal cracks","Polymer laminate")),IF(O784&lt;='Tree rules'!$C$8,IF(M784&lt;='Tree rules'!$C$9,"Steel plate or jacket","Polymer laminate"),IF(L784&lt;='Tree rules'!$C$10,"Steel plate or jacket","Polymer laminate")))</f>
        <v>Steel plate or jacket</v>
      </c>
      <c r="T784" s="5" t="str">
        <f aca="false">IF(S784=R784,"Yes","No")</f>
        <v>No</v>
      </c>
    </row>
    <row r="785" customFormat="false" ht="15" hidden="false" customHeight="false" outlineLevel="0" collapsed="false">
      <c r="A785" s="15" t="n">
        <v>2588</v>
      </c>
      <c r="B785" s="16" t="n">
        <v>4.99619520090199</v>
      </c>
      <c r="C785" s="15" t="n">
        <v>300</v>
      </c>
      <c r="D785" s="15" t="n">
        <v>475</v>
      </c>
      <c r="E785" s="15" t="n">
        <v>25</v>
      </c>
      <c r="F785" s="16" t="n">
        <v>0.781126378514945</v>
      </c>
      <c r="G785" s="17" t="s">
        <v>89</v>
      </c>
      <c r="H785" s="18" t="n">
        <v>0.3</v>
      </c>
      <c r="I785" s="18" t="n">
        <v>2</v>
      </c>
      <c r="J785" s="19" t="n">
        <v>0.925327225769039</v>
      </c>
      <c r="K785" s="19" t="n">
        <v>0.510107999587774</v>
      </c>
      <c r="L785" s="16" t="n">
        <v>11.6461426594452</v>
      </c>
      <c r="M785" s="19" t="n">
        <v>0.797588934627275</v>
      </c>
      <c r="N785" s="19" t="n">
        <v>0.896385218386268</v>
      </c>
      <c r="O785" s="19" t="n">
        <v>1.37863763143693</v>
      </c>
      <c r="P785" s="19" t="n">
        <v>0.564668691493709</v>
      </c>
      <c r="Q785" s="17" t="s">
        <v>31</v>
      </c>
      <c r="R785" s="5" t="str">
        <f aca="false">IF(OR(Q785="Steel plate",Q785="Concrete jacket"),"Steel plate or jacket",Q785)</f>
        <v>Polymer laminate</v>
      </c>
      <c r="S785" s="5" t="str">
        <f aca="false">IF(O785&lt;='Tree rules'!$C$4,IF(N785&lt;='Tree rules'!$C$5,IF(P785&lt;='Tree rules'!$C$6,"Monitor","Polymer laminate"),IF(P785&lt;='Tree rules'!$C$7,"Seal cracks","Polymer laminate")),IF(O785&lt;='Tree rules'!$C$8,IF(M785&lt;='Tree rules'!$C$9,"Steel plate or jacket","Polymer laminate"),IF(L785&lt;='Tree rules'!$C$10,"Steel plate or jacket","Polymer laminate")))</f>
        <v>Steel plate or jacket</v>
      </c>
      <c r="T785" s="5" t="str">
        <f aca="false">IF(S785=R785,"Yes","No")</f>
        <v>No</v>
      </c>
    </row>
    <row r="786" customFormat="false" ht="15" hidden="false" customHeight="false" outlineLevel="0" collapsed="false">
      <c r="A786" s="15" t="n">
        <v>2591</v>
      </c>
      <c r="B786" s="16" t="n">
        <v>4.31357952434741</v>
      </c>
      <c r="C786" s="15" t="n">
        <v>300</v>
      </c>
      <c r="D786" s="15" t="n">
        <v>350</v>
      </c>
      <c r="E786" s="15" t="n">
        <v>30</v>
      </c>
      <c r="F786" s="16" t="n">
        <v>0.61599855952741</v>
      </c>
      <c r="G786" s="17" t="s">
        <v>89</v>
      </c>
      <c r="H786" s="18" t="n">
        <v>0.3</v>
      </c>
      <c r="I786" s="18" t="n">
        <v>1</v>
      </c>
      <c r="J786" s="19" t="n">
        <v>0.925498297425723</v>
      </c>
      <c r="K786" s="19" t="n">
        <v>0.454517742619085</v>
      </c>
      <c r="L786" s="16" t="n">
        <v>14.0966651122464</v>
      </c>
      <c r="M786" s="19" t="n">
        <v>0.767779326362762</v>
      </c>
      <c r="N786" s="19" t="n">
        <v>0.591882990715902</v>
      </c>
      <c r="O786" s="19" t="n">
        <v>0.925498297425723</v>
      </c>
      <c r="P786" s="19" t="n">
        <v>0.384450731852345</v>
      </c>
      <c r="Q786" s="17" t="s">
        <v>29</v>
      </c>
      <c r="R786" s="5" t="str">
        <f aca="false">IF(OR(Q786="Steel plate",Q786="Concrete jacket"),"Steel plate or jacket",Q786)</f>
        <v>Monitor</v>
      </c>
      <c r="S786" s="5" t="str">
        <f aca="false">IF(O786&lt;='Tree rules'!$C$4,IF(N786&lt;='Tree rules'!$C$5,IF(P786&lt;='Tree rules'!$C$6,"Monitor","Polymer laminate"),IF(P786&lt;='Tree rules'!$C$7,"Seal cracks","Polymer laminate")),IF(O786&lt;='Tree rules'!$C$8,IF(M786&lt;='Tree rules'!$C$9,"Steel plate or jacket","Polymer laminate"),IF(L786&lt;='Tree rules'!$C$10,"Steel plate or jacket","Polymer laminate")))</f>
        <v>Monitor</v>
      </c>
      <c r="T786" s="5" t="str">
        <f aca="false">IF(S786=R786,"Yes","No")</f>
        <v>Yes</v>
      </c>
    </row>
    <row r="787" customFormat="false" ht="15" hidden="false" customHeight="false" outlineLevel="0" collapsed="false">
      <c r="A787" s="15" t="n">
        <v>2592</v>
      </c>
      <c r="B787" s="16" t="n">
        <v>4.30148638129581</v>
      </c>
      <c r="C787" s="15" t="n">
        <v>300</v>
      </c>
      <c r="D787" s="15" t="n">
        <v>400</v>
      </c>
      <c r="E787" s="15" t="n">
        <v>25</v>
      </c>
      <c r="F787" s="16" t="n">
        <v>0.790804050461148</v>
      </c>
      <c r="G787" s="17" t="s">
        <v>90</v>
      </c>
      <c r="H787" s="18" t="n">
        <v>0.1</v>
      </c>
      <c r="I787" s="18" t="n">
        <v>1</v>
      </c>
      <c r="J787" s="19" t="n">
        <v>0.964852448896838</v>
      </c>
      <c r="K787" s="19" t="n">
        <v>0.534267395501446</v>
      </c>
      <c r="L787" s="16" t="n">
        <v>12.6887503873033</v>
      </c>
      <c r="M787" s="19" t="n">
        <v>0.512044500653588</v>
      </c>
      <c r="N787" s="19" t="n">
        <v>2.73795824798657</v>
      </c>
      <c r="O787" s="19" t="n">
        <v>0.964852448896838</v>
      </c>
      <c r="P787" s="19" t="n">
        <v>0.667985751962436</v>
      </c>
      <c r="Q787" s="17" t="s">
        <v>30</v>
      </c>
      <c r="R787" s="5" t="str">
        <f aca="false">IF(OR(Q787="Steel plate",Q787="Concrete jacket"),"Steel plate or jacket",Q787)</f>
        <v>Seal cracks</v>
      </c>
      <c r="S787" s="5" t="str">
        <f aca="false">IF(O787&lt;='Tree rules'!$C$4,IF(N787&lt;='Tree rules'!$C$5,IF(P787&lt;='Tree rules'!$C$6,"Monitor","Polymer laminate"),IF(P787&lt;='Tree rules'!$C$7,"Seal cracks","Polymer laminate")),IF(O787&lt;='Tree rules'!$C$8,IF(M787&lt;='Tree rules'!$C$9,"Steel plate or jacket","Polymer laminate"),IF(L787&lt;='Tree rules'!$C$10,"Steel plate or jacket","Polymer laminate")))</f>
        <v>Seal cracks</v>
      </c>
      <c r="T787" s="5" t="str">
        <f aca="false">IF(S787=R787,"Yes","No")</f>
        <v>Yes</v>
      </c>
    </row>
    <row r="788" customFormat="false" ht="15" hidden="false" customHeight="false" outlineLevel="0" collapsed="false">
      <c r="A788" s="15" t="n">
        <v>2593</v>
      </c>
      <c r="B788" s="16" t="n">
        <v>6.43952478073209</v>
      </c>
      <c r="C788" s="15" t="n">
        <v>300</v>
      </c>
      <c r="D788" s="15" t="n">
        <v>525</v>
      </c>
      <c r="E788" s="15" t="n">
        <v>30</v>
      </c>
      <c r="F788" s="16" t="n">
        <v>0.658614812073332</v>
      </c>
      <c r="G788" s="17" t="s">
        <v>91</v>
      </c>
      <c r="H788" s="18" t="n">
        <v>0.2</v>
      </c>
      <c r="I788" s="18" t="n">
        <v>2</v>
      </c>
      <c r="J788" s="19" t="n">
        <v>0.931073511219</v>
      </c>
      <c r="K788" s="19" t="n">
        <v>0.528476683020386</v>
      </c>
      <c r="L788" s="16" t="n">
        <v>13.5000519512203</v>
      </c>
      <c r="M788" s="19" t="n">
        <v>0.787074826904422</v>
      </c>
      <c r="N788" s="19" t="n">
        <v>1.67606107905404</v>
      </c>
      <c r="O788" s="19" t="n">
        <v>1.37009638158084</v>
      </c>
      <c r="P788" s="19" t="n">
        <v>0.561271038409437</v>
      </c>
      <c r="Q788" s="17" t="s">
        <v>31</v>
      </c>
      <c r="R788" s="5" t="str">
        <f aca="false">IF(OR(Q788="Steel plate",Q788="Concrete jacket"),"Steel plate or jacket",Q788)</f>
        <v>Polymer laminate</v>
      </c>
      <c r="S788" s="5" t="str">
        <f aca="false">IF(O788&lt;='Tree rules'!$C$4,IF(N788&lt;='Tree rules'!$C$5,IF(P788&lt;='Tree rules'!$C$6,"Monitor","Polymer laminate"),IF(P788&lt;='Tree rules'!$C$7,"Seal cracks","Polymer laminate")),IF(O788&lt;='Tree rules'!$C$8,IF(M788&lt;='Tree rules'!$C$9,"Steel plate or jacket","Polymer laminate"),IF(L788&lt;='Tree rules'!$C$10,"Steel plate or jacket","Polymer laminate")))</f>
        <v>Polymer laminate</v>
      </c>
      <c r="T788" s="5" t="str">
        <f aca="false">IF(S788=R788,"Yes","No")</f>
        <v>Yes</v>
      </c>
    </row>
    <row r="789" customFormat="false" ht="15" hidden="false" customHeight="false" outlineLevel="0" collapsed="false">
      <c r="A789" s="15" t="n">
        <v>2596</v>
      </c>
      <c r="B789" s="16" t="n">
        <v>5.33408560583668</v>
      </c>
      <c r="C789" s="15" t="n">
        <v>300</v>
      </c>
      <c r="D789" s="15" t="n">
        <v>500</v>
      </c>
      <c r="E789" s="15" t="n">
        <v>25</v>
      </c>
      <c r="F789" s="16" t="n">
        <v>0.738112811416104</v>
      </c>
      <c r="G789" s="17" t="s">
        <v>89</v>
      </c>
      <c r="H789" s="18" t="n">
        <v>0.3</v>
      </c>
      <c r="I789" s="18" t="n">
        <v>2</v>
      </c>
      <c r="J789" s="19" t="n">
        <v>0.938467998426694</v>
      </c>
      <c r="K789" s="19" t="n">
        <v>0.583793547797559</v>
      </c>
      <c r="L789" s="16" t="n">
        <v>11.7490872375257</v>
      </c>
      <c r="M789" s="19" t="n">
        <v>0.71658431476113</v>
      </c>
      <c r="N789" s="19" t="n">
        <v>0.868345711207897</v>
      </c>
      <c r="O789" s="19" t="n">
        <v>1.32906443455739</v>
      </c>
      <c r="P789" s="19" t="n">
        <v>0.628548113797978</v>
      </c>
      <c r="Q789" s="17" t="s">
        <v>31</v>
      </c>
      <c r="R789" s="5" t="str">
        <f aca="false">IF(OR(Q789="Steel plate",Q789="Concrete jacket"),"Steel plate or jacket",Q789)</f>
        <v>Polymer laminate</v>
      </c>
      <c r="S789" s="5" t="str">
        <f aca="false">IF(O789&lt;='Tree rules'!$C$4,IF(N789&lt;='Tree rules'!$C$5,IF(P789&lt;='Tree rules'!$C$6,"Monitor","Polymer laminate"),IF(P789&lt;='Tree rules'!$C$7,"Seal cracks","Polymer laminate")),IF(O789&lt;='Tree rules'!$C$8,IF(M789&lt;='Tree rules'!$C$9,"Steel plate or jacket","Polymer laminate"),IF(L789&lt;='Tree rules'!$C$10,"Steel plate or jacket","Polymer laminate")))</f>
        <v>Steel plate or jacket</v>
      </c>
      <c r="T789" s="5" t="str">
        <f aca="false">IF(S789=R789,"Yes","No")</f>
        <v>No</v>
      </c>
    </row>
    <row r="790" customFormat="false" ht="15" hidden="false" customHeight="false" outlineLevel="0" collapsed="false">
      <c r="A790" s="15" t="n">
        <v>2603</v>
      </c>
      <c r="B790" s="16" t="n">
        <v>5.63235736690664</v>
      </c>
      <c r="C790" s="15" t="n">
        <v>230</v>
      </c>
      <c r="D790" s="15" t="n">
        <v>525</v>
      </c>
      <c r="E790" s="15" t="n">
        <v>20</v>
      </c>
      <c r="F790" s="16" t="n">
        <v>0.565204075608359</v>
      </c>
      <c r="G790" s="17" t="s">
        <v>90</v>
      </c>
      <c r="H790" s="18" t="n">
        <v>0.1</v>
      </c>
      <c r="I790" s="18" t="n">
        <v>1</v>
      </c>
      <c r="J790" s="19" t="n">
        <v>0.856733297666087</v>
      </c>
      <c r="K790" s="19" t="n">
        <v>0.402476268563283</v>
      </c>
      <c r="L790" s="16" t="n">
        <v>12.1387012217816</v>
      </c>
      <c r="M790" s="19" t="n">
        <v>0.578278613329008</v>
      </c>
      <c r="N790" s="19" t="n">
        <v>2.20852462542171</v>
      </c>
      <c r="O790" s="19" t="n">
        <v>0.856733297666087</v>
      </c>
      <c r="P790" s="19" t="n">
        <v>0.42136446397174</v>
      </c>
      <c r="Q790" s="17" t="s">
        <v>30</v>
      </c>
      <c r="R790" s="5" t="str">
        <f aca="false">IF(OR(Q790="Steel plate",Q790="Concrete jacket"),"Steel plate or jacket",Q790)</f>
        <v>Seal cracks</v>
      </c>
      <c r="S790" s="5" t="str">
        <f aca="false">IF(O790&lt;='Tree rules'!$C$4,IF(N790&lt;='Tree rules'!$C$5,IF(P790&lt;='Tree rules'!$C$6,"Monitor","Polymer laminate"),IF(P790&lt;='Tree rules'!$C$7,"Seal cracks","Polymer laminate")),IF(O790&lt;='Tree rules'!$C$8,IF(M790&lt;='Tree rules'!$C$9,"Steel plate or jacket","Polymer laminate"),IF(L790&lt;='Tree rules'!$C$10,"Steel plate or jacket","Polymer laminate")))</f>
        <v>Seal cracks</v>
      </c>
      <c r="T790" s="5" t="str">
        <f aca="false">IF(S790=R790,"Yes","No")</f>
        <v>Yes</v>
      </c>
    </row>
    <row r="791" customFormat="false" ht="15" hidden="false" customHeight="false" outlineLevel="0" collapsed="false">
      <c r="A791" s="15" t="n">
        <v>2604</v>
      </c>
      <c r="B791" s="16" t="n">
        <v>3.41021915157551</v>
      </c>
      <c r="C791" s="15" t="n">
        <v>300</v>
      </c>
      <c r="D791" s="15" t="n">
        <v>300</v>
      </c>
      <c r="E791" s="15" t="n">
        <v>20</v>
      </c>
      <c r="F791" s="16" t="n">
        <v>0.589048622548086</v>
      </c>
      <c r="G791" s="17" t="s">
        <v>89</v>
      </c>
      <c r="H791" s="18" t="n">
        <v>0.3</v>
      </c>
      <c r="I791" s="18" t="n">
        <v>1</v>
      </c>
      <c r="J791" s="19" t="n">
        <v>0.94685612611487</v>
      </c>
      <c r="K791" s="19" t="n">
        <v>0.542843077442473</v>
      </c>
      <c r="L791" s="16" t="n">
        <v>13.3211685608418</v>
      </c>
      <c r="M791" s="19" t="n">
        <v>0.939720056624336</v>
      </c>
      <c r="N791" s="19" t="n">
        <v>0.606267469669834</v>
      </c>
      <c r="O791" s="19" t="n">
        <v>0.94685612611487</v>
      </c>
      <c r="P791" s="19" t="n">
        <v>0.339252314353897</v>
      </c>
      <c r="Q791" s="17" t="s">
        <v>29</v>
      </c>
      <c r="R791" s="5" t="str">
        <f aca="false">IF(OR(Q791="Steel plate",Q791="Concrete jacket"),"Steel plate or jacket",Q791)</f>
        <v>Monitor</v>
      </c>
      <c r="S791" s="5" t="str">
        <f aca="false">IF(O791&lt;='Tree rules'!$C$4,IF(N791&lt;='Tree rules'!$C$5,IF(P791&lt;='Tree rules'!$C$6,"Monitor","Polymer laminate"),IF(P791&lt;='Tree rules'!$C$7,"Seal cracks","Polymer laminate")),IF(O791&lt;='Tree rules'!$C$8,IF(M791&lt;='Tree rules'!$C$9,"Steel plate or jacket","Polymer laminate"),IF(L791&lt;='Tree rules'!$C$10,"Steel plate or jacket","Polymer laminate")))</f>
        <v>Monitor</v>
      </c>
      <c r="T791" s="5" t="str">
        <f aca="false">IF(S791=R791,"Yes","No")</f>
        <v>Yes</v>
      </c>
    </row>
    <row r="792" customFormat="false" ht="15" hidden="false" customHeight="false" outlineLevel="0" collapsed="false">
      <c r="A792" s="15" t="n">
        <v>2611</v>
      </c>
      <c r="B792" s="16" t="n">
        <v>5.43846880911634</v>
      </c>
      <c r="C792" s="15" t="n">
        <v>300</v>
      </c>
      <c r="D792" s="15" t="n">
        <v>500</v>
      </c>
      <c r="E792" s="15" t="n">
        <v>25</v>
      </c>
      <c r="F792" s="16" t="n">
        <v>0.695042622475618</v>
      </c>
      <c r="G792" s="17" t="s">
        <v>89</v>
      </c>
      <c r="H792" s="18" t="n">
        <v>0.3</v>
      </c>
      <c r="I792" s="18" t="n">
        <v>1</v>
      </c>
      <c r="J792" s="19" t="n">
        <v>0.96725157851491</v>
      </c>
      <c r="K792" s="19" t="n">
        <v>0.522061496920474</v>
      </c>
      <c r="L792" s="16" t="n">
        <v>12.0320106396379</v>
      </c>
      <c r="M792" s="19" t="n">
        <v>0.648857780868299</v>
      </c>
      <c r="N792" s="19" t="n">
        <v>0.779957768158701</v>
      </c>
      <c r="O792" s="19" t="n">
        <v>0.96725157851491</v>
      </c>
      <c r="P792" s="19" t="n">
        <v>0.545859681034045</v>
      </c>
      <c r="Q792" s="17" t="s">
        <v>29</v>
      </c>
      <c r="R792" s="5" t="str">
        <f aca="false">IF(OR(Q792="Steel plate",Q792="Concrete jacket"),"Steel plate or jacket",Q792)</f>
        <v>Monitor</v>
      </c>
      <c r="S792" s="5" t="str">
        <f aca="false">IF(O792&lt;='Tree rules'!$C$4,IF(N792&lt;='Tree rules'!$C$5,IF(P792&lt;='Tree rules'!$C$6,"Monitor","Polymer laminate"),IF(P792&lt;='Tree rules'!$C$7,"Seal cracks","Polymer laminate")),IF(O792&lt;='Tree rules'!$C$8,IF(M792&lt;='Tree rules'!$C$9,"Steel plate or jacket","Polymer laminate"),IF(L792&lt;='Tree rules'!$C$10,"Steel plate or jacket","Polymer laminate")))</f>
        <v>Monitor</v>
      </c>
      <c r="T792" s="5" t="str">
        <f aca="false">IF(S792=R792,"Yes","No")</f>
        <v>Yes</v>
      </c>
    </row>
    <row r="793" customFormat="false" ht="15" hidden="false" customHeight="false" outlineLevel="0" collapsed="false">
      <c r="A793" s="15" t="n">
        <v>2614</v>
      </c>
      <c r="B793" s="16" t="n">
        <v>4.05452237292039</v>
      </c>
      <c r="C793" s="15" t="n">
        <v>230</v>
      </c>
      <c r="D793" s="15" t="n">
        <v>325</v>
      </c>
      <c r="E793" s="15" t="n">
        <v>30</v>
      </c>
      <c r="F793" s="16" t="n">
        <v>0.626653981080713</v>
      </c>
      <c r="G793" s="17" t="s">
        <v>89</v>
      </c>
      <c r="H793" s="18" t="n">
        <v>0.3</v>
      </c>
      <c r="I793" s="18" t="n">
        <v>2</v>
      </c>
      <c r="J793" s="19" t="n">
        <v>0.961106828809212</v>
      </c>
      <c r="K793" s="19" t="n">
        <v>0.614131121351069</v>
      </c>
      <c r="L793" s="16" t="n">
        <v>14.532338254195</v>
      </c>
      <c r="M793" s="19" t="n">
        <v>0.596059065602385</v>
      </c>
      <c r="N793" s="19" t="n">
        <v>1.26665569570136</v>
      </c>
      <c r="O793" s="19" t="n">
        <v>1.33196804310365</v>
      </c>
      <c r="P793" s="19" t="n">
        <v>0.652337182061392</v>
      </c>
      <c r="Q793" s="17" t="s">
        <v>31</v>
      </c>
      <c r="R793" s="5" t="str">
        <f aca="false">IF(OR(Q793="Steel plate",Q793="Concrete jacket"),"Steel plate or jacket",Q793)</f>
        <v>Polymer laminate</v>
      </c>
      <c r="S793" s="5" t="str">
        <f aca="false">IF(O793&lt;='Tree rules'!$C$4,IF(N793&lt;='Tree rules'!$C$5,IF(P793&lt;='Tree rules'!$C$6,"Monitor","Polymer laminate"),IF(P793&lt;='Tree rules'!$C$7,"Seal cracks","Polymer laminate")),IF(O793&lt;='Tree rules'!$C$8,IF(M793&lt;='Tree rules'!$C$9,"Steel plate or jacket","Polymer laminate"),IF(L793&lt;='Tree rules'!$C$10,"Steel plate or jacket","Polymer laminate")))</f>
        <v>Polymer laminate</v>
      </c>
      <c r="T793" s="5" t="str">
        <f aca="false">IF(S793=R793,"Yes","No")</f>
        <v>Yes</v>
      </c>
    </row>
    <row r="794" customFormat="false" ht="15" hidden="false" customHeight="false" outlineLevel="0" collapsed="false">
      <c r="A794" s="15" t="n">
        <v>2616</v>
      </c>
      <c r="B794" s="16" t="n">
        <v>4.14643651485967</v>
      </c>
      <c r="C794" s="15" t="n">
        <v>300</v>
      </c>
      <c r="D794" s="15" t="n">
        <v>350</v>
      </c>
      <c r="E794" s="15" t="n">
        <v>20</v>
      </c>
      <c r="F794" s="16" t="n">
        <v>0.61599855952741</v>
      </c>
      <c r="G794" s="17" t="s">
        <v>91</v>
      </c>
      <c r="H794" s="18" t="n">
        <v>0.2</v>
      </c>
      <c r="I794" s="18" t="n">
        <v>1</v>
      </c>
      <c r="J794" s="19" t="n">
        <v>0.950006407627117</v>
      </c>
      <c r="K794" s="19" t="n">
        <v>0.462845264912542</v>
      </c>
      <c r="L794" s="16" t="n">
        <v>13.5504461269924</v>
      </c>
      <c r="M794" s="19" t="n">
        <v>0.750886046399569</v>
      </c>
      <c r="N794" s="19" t="n">
        <v>0.903255142812973</v>
      </c>
      <c r="O794" s="19" t="n">
        <v>0.950006407627117</v>
      </c>
      <c r="P794" s="19" t="n">
        <v>0.445152081607347</v>
      </c>
      <c r="Q794" s="17" t="s">
        <v>29</v>
      </c>
      <c r="R794" s="5" t="str">
        <f aca="false">IF(OR(Q794="Steel plate",Q794="Concrete jacket"),"Steel plate or jacket",Q794)</f>
        <v>Monitor</v>
      </c>
      <c r="S794" s="5" t="str">
        <f aca="false">IF(O794&lt;='Tree rules'!$C$4,IF(N794&lt;='Tree rules'!$C$5,IF(P794&lt;='Tree rules'!$C$6,"Monitor","Polymer laminate"),IF(P794&lt;='Tree rules'!$C$7,"Seal cracks","Polymer laminate")),IF(O794&lt;='Tree rules'!$C$8,IF(M794&lt;='Tree rules'!$C$9,"Steel plate or jacket","Polymer laminate"),IF(L794&lt;='Tree rules'!$C$10,"Steel plate or jacket","Polymer laminate")))</f>
        <v>Monitor</v>
      </c>
      <c r="T794" s="5" t="str">
        <f aca="false">IF(S794=R794,"Yes","No")</f>
        <v>Yes</v>
      </c>
    </row>
    <row r="795" customFormat="false" ht="15" hidden="false" customHeight="false" outlineLevel="0" collapsed="false">
      <c r="A795" s="15" t="n">
        <v>2617</v>
      </c>
      <c r="B795" s="16" t="n">
        <v>7.0298980543268</v>
      </c>
      <c r="C795" s="15" t="n">
        <v>230</v>
      </c>
      <c r="D795" s="15" t="n">
        <v>575</v>
      </c>
      <c r="E795" s="15" t="n">
        <v>25</v>
      </c>
      <c r="F795" s="16" t="n">
        <v>0.661007412935799</v>
      </c>
      <c r="G795" s="17" t="s">
        <v>89</v>
      </c>
      <c r="H795" s="18" t="n">
        <v>0.3</v>
      </c>
      <c r="I795" s="18" t="n">
        <v>1</v>
      </c>
      <c r="J795" s="19" t="n">
        <v>0.858077180155362</v>
      </c>
      <c r="K795" s="19" t="n">
        <v>0.610001032047184</v>
      </c>
      <c r="L795" s="16" t="n">
        <v>13.289032238803</v>
      </c>
      <c r="M795" s="19" t="n">
        <v>0.31238347876251</v>
      </c>
      <c r="N795" s="19" t="n">
        <v>0.578765652724487</v>
      </c>
      <c r="O795" s="19" t="n">
        <v>0.858077180155362</v>
      </c>
      <c r="P795" s="19" t="n">
        <v>1.14731960383179</v>
      </c>
      <c r="Q795" s="17" t="s">
        <v>31</v>
      </c>
      <c r="R795" s="5" t="str">
        <f aca="false">IF(OR(Q795="Steel plate",Q795="Concrete jacket"),"Steel plate or jacket",Q795)</f>
        <v>Polymer laminate</v>
      </c>
      <c r="S795" s="5" t="str">
        <f aca="false">IF(O795&lt;='Tree rules'!$C$4,IF(N795&lt;='Tree rules'!$C$5,IF(P795&lt;='Tree rules'!$C$6,"Monitor","Polymer laminate"),IF(P795&lt;='Tree rules'!$C$7,"Seal cracks","Polymer laminate")),IF(O795&lt;='Tree rules'!$C$8,IF(M795&lt;='Tree rules'!$C$9,"Steel plate or jacket","Polymer laminate"),IF(L795&lt;='Tree rules'!$C$10,"Steel plate or jacket","Polymer laminate")))</f>
        <v>Polymer laminate</v>
      </c>
      <c r="T795" s="5" t="str">
        <f aca="false">IF(S795=R795,"Yes","No")</f>
        <v>Yes</v>
      </c>
    </row>
    <row r="796" customFormat="false" ht="15" hidden="false" customHeight="false" outlineLevel="0" collapsed="false">
      <c r="A796" s="15" t="n">
        <v>2621</v>
      </c>
      <c r="B796" s="16" t="n">
        <v>3.18304842434637</v>
      </c>
      <c r="C796" s="15" t="n">
        <v>300</v>
      </c>
      <c r="D796" s="15" t="n">
        <v>300</v>
      </c>
      <c r="E796" s="15" t="n">
        <v>30</v>
      </c>
      <c r="F796" s="16" t="n">
        <v>0.831109167616348</v>
      </c>
      <c r="G796" s="17" t="s">
        <v>89</v>
      </c>
      <c r="H796" s="18" t="n">
        <v>0.3</v>
      </c>
      <c r="I796" s="18" t="n">
        <v>1</v>
      </c>
      <c r="J796" s="19" t="n">
        <v>0.954895156543154</v>
      </c>
      <c r="K796" s="19" t="n">
        <v>0.627868957365434</v>
      </c>
      <c r="L796" s="16" t="n">
        <v>12.631144541057</v>
      </c>
      <c r="M796" s="19" t="n">
        <v>0.666398348272183</v>
      </c>
      <c r="N796" s="19" t="n">
        <v>1.02782240723299</v>
      </c>
      <c r="O796" s="19" t="n">
        <v>0.954895156543154</v>
      </c>
      <c r="P796" s="19" t="n">
        <v>0.529501179304852</v>
      </c>
      <c r="Q796" s="17" t="s">
        <v>30</v>
      </c>
      <c r="R796" s="5" t="str">
        <f aca="false">IF(OR(Q796="Steel plate",Q796="Concrete jacket"),"Steel plate or jacket",Q796)</f>
        <v>Seal cracks</v>
      </c>
      <c r="S796" s="5" t="str">
        <f aca="false">IF(O796&lt;='Tree rules'!$C$4,IF(N796&lt;='Tree rules'!$C$5,IF(P796&lt;='Tree rules'!$C$6,"Monitor","Polymer laminate"),IF(P796&lt;='Tree rules'!$C$7,"Seal cracks","Polymer laminate")),IF(O796&lt;='Tree rules'!$C$8,IF(M796&lt;='Tree rules'!$C$9,"Steel plate or jacket","Polymer laminate"),IF(L796&lt;='Tree rules'!$C$10,"Steel plate or jacket","Polymer laminate")))</f>
        <v>Seal cracks</v>
      </c>
      <c r="T796" s="5" t="str">
        <f aca="false">IF(S796=R796,"Yes","No")</f>
        <v>Yes</v>
      </c>
    </row>
    <row r="797" customFormat="false" ht="15" hidden="false" customHeight="false" outlineLevel="0" collapsed="false">
      <c r="A797" s="15" t="n">
        <v>2622</v>
      </c>
      <c r="B797" s="16" t="n">
        <v>3.30020558355384</v>
      </c>
      <c r="C797" s="15" t="n">
        <v>230</v>
      </c>
      <c r="D797" s="15" t="n">
        <v>325</v>
      </c>
      <c r="E797" s="15" t="n">
        <v>25</v>
      </c>
      <c r="F797" s="16" t="n">
        <v>0.554579938848803</v>
      </c>
      <c r="G797" s="17" t="s">
        <v>90</v>
      </c>
      <c r="H797" s="18" t="n">
        <v>0.1</v>
      </c>
      <c r="I797" s="18" t="n">
        <v>1.5</v>
      </c>
      <c r="J797" s="19" t="n">
        <v>0.914582866431771</v>
      </c>
      <c r="K797" s="19" t="n">
        <v>0.582840652995632</v>
      </c>
      <c r="L797" s="16" t="n">
        <v>12.4067879080971</v>
      </c>
      <c r="M797" s="19" t="n">
        <v>0.803753739982919</v>
      </c>
      <c r="N797" s="19" t="n">
        <v>2.92795501009911</v>
      </c>
      <c r="O797" s="19" t="n">
        <v>1.1053462621028</v>
      </c>
      <c r="P797" s="19" t="n">
        <v>0.307557608360572</v>
      </c>
      <c r="Q797" s="17" t="s">
        <v>31</v>
      </c>
      <c r="R797" s="5" t="str">
        <f aca="false">IF(OR(Q797="Steel plate",Q797="Concrete jacket"),"Steel plate or jacket",Q797)</f>
        <v>Polymer laminate</v>
      </c>
      <c r="S797" s="5" t="str">
        <f aca="false">IF(O797&lt;='Tree rules'!$C$4,IF(N797&lt;='Tree rules'!$C$5,IF(P797&lt;='Tree rules'!$C$6,"Monitor","Polymer laminate"),IF(P797&lt;='Tree rules'!$C$7,"Seal cracks","Polymer laminate")),IF(O797&lt;='Tree rules'!$C$8,IF(M797&lt;='Tree rules'!$C$9,"Steel plate or jacket","Polymer laminate"),IF(L797&lt;='Tree rules'!$C$10,"Steel plate or jacket","Polymer laminate")))</f>
        <v>Polymer laminate</v>
      </c>
      <c r="T797" s="5" t="str">
        <f aca="false">IF(S797=R797,"Yes","No")</f>
        <v>Yes</v>
      </c>
    </row>
    <row r="798" customFormat="false" ht="15" hidden="false" customHeight="false" outlineLevel="0" collapsed="false">
      <c r="A798" s="15" t="n">
        <v>2624</v>
      </c>
      <c r="B798" s="16" t="n">
        <v>3.73774352749922</v>
      </c>
      <c r="C798" s="15" t="n">
        <v>230</v>
      </c>
      <c r="D798" s="15" t="n">
        <v>350</v>
      </c>
      <c r="E798" s="15" t="n">
        <v>30</v>
      </c>
      <c r="F798" s="16" t="n">
        <v>0.9045760591966</v>
      </c>
      <c r="G798" s="17" t="s">
        <v>89</v>
      </c>
      <c r="H798" s="18" t="n">
        <v>0.3</v>
      </c>
      <c r="I798" s="18" t="n">
        <v>2</v>
      </c>
      <c r="J798" s="19" t="n">
        <v>0.869462923072101</v>
      </c>
      <c r="K798" s="19" t="n">
        <v>0.594477548989041</v>
      </c>
      <c r="L798" s="16" t="n">
        <v>12.3766341970173</v>
      </c>
      <c r="M798" s="19" t="n">
        <v>0.90315243631722</v>
      </c>
      <c r="N798" s="19" t="n">
        <v>1.11068574576537</v>
      </c>
      <c r="O798" s="19" t="n">
        <v>1.22204965869945</v>
      </c>
      <c r="P798" s="19" t="n">
        <v>0.482327340421849</v>
      </c>
      <c r="Q798" s="17" t="s">
        <v>31</v>
      </c>
      <c r="R798" s="5" t="str">
        <f aca="false">IF(OR(Q798="Steel plate",Q798="Concrete jacket"),"Steel plate or jacket",Q798)</f>
        <v>Polymer laminate</v>
      </c>
      <c r="S798" s="5" t="str">
        <f aca="false">IF(O798&lt;='Tree rules'!$C$4,IF(N798&lt;='Tree rules'!$C$5,IF(P798&lt;='Tree rules'!$C$6,"Monitor","Polymer laminate"),IF(P798&lt;='Tree rules'!$C$7,"Seal cracks","Polymer laminate")),IF(O798&lt;='Tree rules'!$C$8,IF(M798&lt;='Tree rules'!$C$9,"Steel plate or jacket","Polymer laminate"),IF(L798&lt;='Tree rules'!$C$10,"Steel plate or jacket","Polymer laminate")))</f>
        <v>Polymer laminate</v>
      </c>
      <c r="T798" s="5" t="str">
        <f aca="false">IF(S798=R798,"Yes","No")</f>
        <v>Yes</v>
      </c>
    </row>
    <row r="799" customFormat="false" ht="15" hidden="false" customHeight="false" outlineLevel="0" collapsed="false">
      <c r="A799" s="15" t="n">
        <v>2625</v>
      </c>
      <c r="B799" s="16" t="n">
        <v>5.3381699845711</v>
      </c>
      <c r="C799" s="15" t="n">
        <v>230</v>
      </c>
      <c r="D799" s="15" t="n">
        <v>450</v>
      </c>
      <c r="E799" s="15" t="n">
        <v>30</v>
      </c>
      <c r="F799" s="16" t="n">
        <v>0.649145274956135</v>
      </c>
      <c r="G799" s="17" t="s">
        <v>91</v>
      </c>
      <c r="H799" s="18" t="n">
        <v>0.2</v>
      </c>
      <c r="I799" s="18" t="n">
        <v>1</v>
      </c>
      <c r="J799" s="19" t="n">
        <v>0.957598581508634</v>
      </c>
      <c r="K799" s="19" t="n">
        <v>0.638195409543363</v>
      </c>
      <c r="L799" s="16" t="n">
        <v>13.2132920410176</v>
      </c>
      <c r="M799" s="19" t="n">
        <v>0.508387373945183</v>
      </c>
      <c r="N799" s="19" t="n">
        <v>1.04740165170312</v>
      </c>
      <c r="O799" s="19" t="n">
        <v>0.957598581508634</v>
      </c>
      <c r="P799" s="19" t="n">
        <v>0.701880315943925</v>
      </c>
      <c r="Q799" s="17" t="s">
        <v>30</v>
      </c>
      <c r="R799" s="5" t="str">
        <f aca="false">IF(OR(Q799="Steel plate",Q799="Concrete jacket"),"Steel plate or jacket",Q799)</f>
        <v>Seal cracks</v>
      </c>
      <c r="S799" s="5" t="str">
        <f aca="false">IF(O799&lt;='Tree rules'!$C$4,IF(N799&lt;='Tree rules'!$C$5,IF(P799&lt;='Tree rules'!$C$6,"Monitor","Polymer laminate"),IF(P799&lt;='Tree rules'!$C$7,"Seal cracks","Polymer laminate")),IF(O799&lt;='Tree rules'!$C$8,IF(M799&lt;='Tree rules'!$C$9,"Steel plate or jacket","Polymer laminate"),IF(L799&lt;='Tree rules'!$C$10,"Steel plate or jacket","Polymer laminate")))</f>
        <v>Seal cracks</v>
      </c>
      <c r="T799" s="5" t="str">
        <f aca="false">IF(S799=R799,"Yes","No")</f>
        <v>Yes</v>
      </c>
    </row>
    <row r="800" customFormat="false" ht="15" hidden="false" customHeight="false" outlineLevel="0" collapsed="false">
      <c r="A800" s="15" t="n">
        <v>2632</v>
      </c>
      <c r="B800" s="16" t="n">
        <v>3.25667955711249</v>
      </c>
      <c r="C800" s="15" t="n">
        <v>230</v>
      </c>
      <c r="D800" s="15" t="n">
        <v>300</v>
      </c>
      <c r="E800" s="15" t="n">
        <v>20</v>
      </c>
      <c r="F800" s="16" t="n">
        <v>0.731533308458238</v>
      </c>
      <c r="G800" s="17" t="s">
        <v>90</v>
      </c>
      <c r="H800" s="18" t="n">
        <v>0.1</v>
      </c>
      <c r="I800" s="18" t="n">
        <v>1.5</v>
      </c>
      <c r="J800" s="19" t="n">
        <v>0.98554688883196</v>
      </c>
      <c r="K800" s="19" t="n">
        <v>0.416115732209882</v>
      </c>
      <c r="L800" s="16" t="n">
        <v>13.6262742975418</v>
      </c>
      <c r="M800" s="19" t="n">
        <v>0.947631499526813</v>
      </c>
      <c r="N800" s="19" t="n">
        <v>3.83864143395974</v>
      </c>
      <c r="O800" s="19" t="n">
        <v>1.2732695506112</v>
      </c>
      <c r="P800" s="19" t="n">
        <v>0.362806205166311</v>
      </c>
      <c r="Q800" s="17" t="s">
        <v>31</v>
      </c>
      <c r="R800" s="5" t="str">
        <f aca="false">IF(OR(Q800="Steel plate",Q800="Concrete jacket"),"Steel plate or jacket",Q800)</f>
        <v>Polymer laminate</v>
      </c>
      <c r="S800" s="5" t="str">
        <f aca="false">IF(O800&lt;='Tree rules'!$C$4,IF(N800&lt;='Tree rules'!$C$5,IF(P800&lt;='Tree rules'!$C$6,"Monitor","Polymer laminate"),IF(P800&lt;='Tree rules'!$C$7,"Seal cracks","Polymer laminate")),IF(O800&lt;='Tree rules'!$C$8,IF(M800&lt;='Tree rules'!$C$9,"Steel plate or jacket","Polymer laminate"),IF(L800&lt;='Tree rules'!$C$10,"Steel plate or jacket","Polymer laminate")))</f>
        <v>Polymer laminate</v>
      </c>
      <c r="T800" s="5" t="str">
        <f aca="false">IF(S800=R800,"Yes","No")</f>
        <v>Yes</v>
      </c>
    </row>
    <row r="801" customFormat="false" ht="15" hidden="false" customHeight="false" outlineLevel="0" collapsed="false">
      <c r="A801" s="15" t="n">
        <v>2633</v>
      </c>
      <c r="B801" s="16" t="n">
        <v>3.03134376759583</v>
      </c>
      <c r="C801" s="15" t="n">
        <v>300</v>
      </c>
      <c r="D801" s="15" t="n">
        <v>300</v>
      </c>
      <c r="E801" s="15" t="n">
        <v>25</v>
      </c>
      <c r="F801" s="16" t="n">
        <v>0.841263304726974</v>
      </c>
      <c r="G801" s="17" t="s">
        <v>90</v>
      </c>
      <c r="H801" s="18" t="n">
        <v>0.1</v>
      </c>
      <c r="I801" s="18" t="n">
        <v>1</v>
      </c>
      <c r="J801" s="19" t="n">
        <v>0.873136731459481</v>
      </c>
      <c r="K801" s="19" t="n">
        <v>0.615652236491049</v>
      </c>
      <c r="L801" s="16" t="n">
        <v>12.6834467263424</v>
      </c>
      <c r="M801" s="19" t="n">
        <v>0.940307234736716</v>
      </c>
      <c r="N801" s="19" t="n">
        <v>2.46960354977288</v>
      </c>
      <c r="O801" s="19" t="n">
        <v>0.873136731459481</v>
      </c>
      <c r="P801" s="19" t="n">
        <v>0.331635957548695</v>
      </c>
      <c r="Q801" s="17" t="s">
        <v>30</v>
      </c>
      <c r="R801" s="5" t="str">
        <f aca="false">IF(OR(Q801="Steel plate",Q801="Concrete jacket"),"Steel plate or jacket",Q801)</f>
        <v>Seal cracks</v>
      </c>
      <c r="S801" s="5" t="str">
        <f aca="false">IF(O801&lt;='Tree rules'!$C$4,IF(N801&lt;='Tree rules'!$C$5,IF(P801&lt;='Tree rules'!$C$6,"Monitor","Polymer laminate"),IF(P801&lt;='Tree rules'!$C$7,"Seal cracks","Polymer laminate")),IF(O801&lt;='Tree rules'!$C$8,IF(M801&lt;='Tree rules'!$C$9,"Steel plate or jacket","Polymer laminate"),IF(L801&lt;='Tree rules'!$C$10,"Steel plate or jacket","Polymer laminate")))</f>
        <v>Seal cracks</v>
      </c>
      <c r="T801" s="5" t="str">
        <f aca="false">IF(S801=R801,"Yes","No")</f>
        <v>Yes</v>
      </c>
    </row>
    <row r="802" customFormat="false" ht="15" hidden="false" customHeight="false" outlineLevel="0" collapsed="false">
      <c r="A802" s="15" t="n">
        <v>2635</v>
      </c>
      <c r="B802" s="16" t="n">
        <v>6.25663105440014</v>
      </c>
      <c r="C802" s="15" t="n">
        <v>300</v>
      </c>
      <c r="D802" s="15" t="n">
        <v>525</v>
      </c>
      <c r="E802" s="15" t="n">
        <v>20</v>
      </c>
      <c r="F802" s="16" t="n">
        <v>0.577764166177433</v>
      </c>
      <c r="G802" s="17" t="s">
        <v>90</v>
      </c>
      <c r="H802" s="18" t="n">
        <v>0.1</v>
      </c>
      <c r="I802" s="18" t="n">
        <v>1</v>
      </c>
      <c r="J802" s="19" t="n">
        <v>0.885551677689247</v>
      </c>
      <c r="K802" s="19" t="n">
        <v>0.638434553792848</v>
      </c>
      <c r="L802" s="16" t="n">
        <v>13.4841186517244</v>
      </c>
      <c r="M802" s="19" t="n">
        <v>0.529598431170873</v>
      </c>
      <c r="N802" s="19" t="n">
        <v>2.34922431289479</v>
      </c>
      <c r="O802" s="19" t="n">
        <v>0.885551677689247</v>
      </c>
      <c r="P802" s="19" t="n">
        <v>0.647033248601281</v>
      </c>
      <c r="Q802" s="17" t="s">
        <v>30</v>
      </c>
      <c r="R802" s="5" t="str">
        <f aca="false">IF(OR(Q802="Steel plate",Q802="Concrete jacket"),"Steel plate or jacket",Q802)</f>
        <v>Seal cracks</v>
      </c>
      <c r="S802" s="5" t="str">
        <f aca="false">IF(O802&lt;='Tree rules'!$C$4,IF(N802&lt;='Tree rules'!$C$5,IF(P802&lt;='Tree rules'!$C$6,"Monitor","Polymer laminate"),IF(P802&lt;='Tree rules'!$C$7,"Seal cracks","Polymer laminate")),IF(O802&lt;='Tree rules'!$C$8,IF(M802&lt;='Tree rules'!$C$9,"Steel plate or jacket","Polymer laminate"),IF(L802&lt;='Tree rules'!$C$10,"Steel plate or jacket","Polymer laminate")))</f>
        <v>Seal cracks</v>
      </c>
      <c r="T802" s="5" t="str">
        <f aca="false">IF(S802=R802,"Yes","No")</f>
        <v>Yes</v>
      </c>
    </row>
    <row r="803" customFormat="false" ht="15" hidden="false" customHeight="false" outlineLevel="0" collapsed="false">
      <c r="A803" s="15" t="n">
        <v>2636</v>
      </c>
      <c r="B803" s="16" t="n">
        <v>3.92568626362366</v>
      </c>
      <c r="C803" s="15" t="n">
        <v>230</v>
      </c>
      <c r="D803" s="15" t="n">
        <v>350</v>
      </c>
      <c r="E803" s="15" t="n">
        <v>25</v>
      </c>
      <c r="F803" s="16" t="n">
        <v>0.9045760591966</v>
      </c>
      <c r="G803" s="17" t="s">
        <v>91</v>
      </c>
      <c r="H803" s="18" t="n">
        <v>0.2</v>
      </c>
      <c r="I803" s="18" t="n">
        <v>1</v>
      </c>
      <c r="J803" s="19" t="n">
        <v>0.893246331722501</v>
      </c>
      <c r="K803" s="19" t="n">
        <v>0.439974159390289</v>
      </c>
      <c r="L803" s="16" t="n">
        <v>12.9989611378267</v>
      </c>
      <c r="M803" s="19" t="n">
        <v>0.948046487433284</v>
      </c>
      <c r="N803" s="19" t="n">
        <v>1.15045640888252</v>
      </c>
      <c r="O803" s="19" t="n">
        <v>0.893246331722501</v>
      </c>
      <c r="P803" s="19" t="n">
        <v>0.395436373974869</v>
      </c>
      <c r="Q803" s="17" t="s">
        <v>30</v>
      </c>
      <c r="R803" s="5" t="str">
        <f aca="false">IF(OR(Q803="Steel plate",Q803="Concrete jacket"),"Steel plate or jacket",Q803)</f>
        <v>Seal cracks</v>
      </c>
      <c r="S803" s="5" t="str">
        <f aca="false">IF(O803&lt;='Tree rules'!$C$4,IF(N803&lt;='Tree rules'!$C$5,IF(P803&lt;='Tree rules'!$C$6,"Monitor","Polymer laminate"),IF(P803&lt;='Tree rules'!$C$7,"Seal cracks","Polymer laminate")),IF(O803&lt;='Tree rules'!$C$8,IF(M803&lt;='Tree rules'!$C$9,"Steel plate or jacket","Polymer laminate"),IF(L803&lt;='Tree rules'!$C$10,"Steel plate or jacket","Polymer laminate")))</f>
        <v>Seal cracks</v>
      </c>
      <c r="T803" s="5" t="str">
        <f aca="false">IF(S803=R803,"Yes","No")</f>
        <v>Yes</v>
      </c>
    </row>
    <row r="804" customFormat="false" ht="15" hidden="false" customHeight="false" outlineLevel="0" collapsed="false">
      <c r="A804" s="15" t="n">
        <v>2640</v>
      </c>
      <c r="B804" s="16" t="n">
        <v>3.60476748663757</v>
      </c>
      <c r="C804" s="15" t="n">
        <v>230</v>
      </c>
      <c r="D804" s="15" t="n">
        <v>350</v>
      </c>
      <c r="E804" s="15" t="n">
        <v>25</v>
      </c>
      <c r="F804" s="16" t="n">
        <v>0.862679904875916</v>
      </c>
      <c r="G804" s="17" t="s">
        <v>89</v>
      </c>
      <c r="H804" s="18" t="n">
        <v>0.3</v>
      </c>
      <c r="I804" s="18" t="n">
        <v>2</v>
      </c>
      <c r="J804" s="19" t="n">
        <v>0.891469831423519</v>
      </c>
      <c r="K804" s="19" t="n">
        <v>0.597725538040759</v>
      </c>
      <c r="L804" s="16" t="n">
        <v>11.857787784992</v>
      </c>
      <c r="M804" s="19" t="n">
        <v>0.931215319079262</v>
      </c>
      <c r="N804" s="19" t="n">
        <v>0.881096866512167</v>
      </c>
      <c r="O804" s="19" t="n">
        <v>1.25008537821231</v>
      </c>
      <c r="P804" s="19" t="n">
        <v>0.476798142215611</v>
      </c>
      <c r="Q804" s="17" t="s">
        <v>31</v>
      </c>
      <c r="R804" s="5" t="str">
        <f aca="false">IF(OR(Q804="Steel plate",Q804="Concrete jacket"),"Steel plate or jacket",Q804)</f>
        <v>Polymer laminate</v>
      </c>
      <c r="S804" s="5" t="str">
        <f aca="false">IF(O804&lt;='Tree rules'!$C$4,IF(N804&lt;='Tree rules'!$C$5,IF(P804&lt;='Tree rules'!$C$6,"Monitor","Polymer laminate"),IF(P804&lt;='Tree rules'!$C$7,"Seal cracks","Polymer laminate")),IF(O804&lt;='Tree rules'!$C$8,IF(M804&lt;='Tree rules'!$C$9,"Steel plate or jacket","Polymer laminate"),IF(L804&lt;='Tree rules'!$C$10,"Steel plate or jacket","Polymer laminate")))</f>
        <v>Polymer laminate</v>
      </c>
      <c r="T804" s="5" t="str">
        <f aca="false">IF(S804=R804,"Yes","No")</f>
        <v>Yes</v>
      </c>
    </row>
    <row r="805" customFormat="false" ht="15" hidden="false" customHeight="false" outlineLevel="0" collapsed="false">
      <c r="A805" s="15" t="n">
        <v>2643</v>
      </c>
      <c r="B805" s="16" t="n">
        <v>5.6875256727025</v>
      </c>
      <c r="C805" s="15" t="n">
        <v>300</v>
      </c>
      <c r="D805" s="15" t="n">
        <v>500</v>
      </c>
      <c r="E805" s="15" t="n">
        <v>30</v>
      </c>
      <c r="F805" s="16" t="n">
        <v>0.738112811416104</v>
      </c>
      <c r="G805" s="17" t="s">
        <v>91</v>
      </c>
      <c r="H805" s="18" t="n">
        <v>0.2</v>
      </c>
      <c r="I805" s="18" t="n">
        <v>1.5</v>
      </c>
      <c r="J805" s="19" t="n">
        <v>0.869007613534342</v>
      </c>
      <c r="K805" s="19" t="n">
        <v>0.630711864409447</v>
      </c>
      <c r="L805" s="16" t="n">
        <v>12.5275895874504</v>
      </c>
      <c r="M805" s="19" t="n">
        <v>0.662737467877502</v>
      </c>
      <c r="N805" s="19" t="n">
        <v>1.01416020075767</v>
      </c>
      <c r="O805" s="19" t="n">
        <v>1.02946471424239</v>
      </c>
      <c r="P805" s="19" t="n">
        <v>0.595418327660497</v>
      </c>
      <c r="Q805" s="17" t="s">
        <v>31</v>
      </c>
      <c r="R805" s="5" t="str">
        <f aca="false">IF(OR(Q805="Steel plate",Q805="Concrete jacket"),"Steel plate or jacket",Q805)</f>
        <v>Polymer laminate</v>
      </c>
      <c r="S805" s="5" t="str">
        <f aca="false">IF(O805&lt;='Tree rules'!$C$4,IF(N805&lt;='Tree rules'!$C$5,IF(P805&lt;='Tree rules'!$C$6,"Monitor","Polymer laminate"),IF(P805&lt;='Tree rules'!$C$7,"Seal cracks","Polymer laminate")),IF(O805&lt;='Tree rules'!$C$8,IF(M805&lt;='Tree rules'!$C$9,"Steel plate or jacket","Polymer laminate"),IF(L805&lt;='Tree rules'!$C$10,"Steel plate or jacket","Polymer laminate")))</f>
        <v>Polymer laminate</v>
      </c>
      <c r="T805" s="5" t="str">
        <f aca="false">IF(S805=R805,"Yes","No")</f>
        <v>Yes</v>
      </c>
    </row>
    <row r="806" customFormat="false" ht="15" hidden="false" customHeight="false" outlineLevel="0" collapsed="false">
      <c r="A806" s="15" t="n">
        <v>2646</v>
      </c>
      <c r="B806" s="16" t="n">
        <v>7.79493517561347</v>
      </c>
      <c r="C806" s="15" t="n">
        <v>300</v>
      </c>
      <c r="D806" s="15" t="n">
        <v>725</v>
      </c>
      <c r="E806" s="15" t="n">
        <v>30</v>
      </c>
      <c r="F806" s="16" t="n">
        <v>0.592229542944762</v>
      </c>
      <c r="G806" s="17" t="s">
        <v>91</v>
      </c>
      <c r="H806" s="18" t="n">
        <v>0.2</v>
      </c>
      <c r="I806" s="18" t="n">
        <v>2</v>
      </c>
      <c r="J806" s="19" t="n">
        <v>0.964327405446693</v>
      </c>
      <c r="K806" s="19" t="n">
        <v>0.500608546456974</v>
      </c>
      <c r="L806" s="16" t="n">
        <v>11.4800223499462</v>
      </c>
      <c r="M806" s="19" t="n">
        <v>0.766294456798013</v>
      </c>
      <c r="N806" s="19" t="n">
        <v>1.32122904315014</v>
      </c>
      <c r="O806" s="19" t="n">
        <v>1.44590427014409</v>
      </c>
      <c r="P806" s="19" t="n">
        <v>0.499243881789488</v>
      </c>
      <c r="Q806" s="17" t="s">
        <v>92</v>
      </c>
      <c r="R806" s="5" t="str">
        <f aca="false">IF(OR(Q806="Steel plate",Q806="Concrete jacket"),"Steel plate or jacket",Q806)</f>
        <v>Steel plate or jacket</v>
      </c>
      <c r="S806" s="5" t="str">
        <f aca="false">IF(O806&lt;='Tree rules'!$C$4,IF(N806&lt;='Tree rules'!$C$5,IF(P806&lt;='Tree rules'!$C$6,"Monitor","Polymer laminate"),IF(P806&lt;='Tree rules'!$C$7,"Seal cracks","Polymer laminate")),IF(O806&lt;='Tree rules'!$C$8,IF(M806&lt;='Tree rules'!$C$9,"Steel plate or jacket","Polymer laminate"),IF(L806&lt;='Tree rules'!$C$10,"Steel plate or jacket","Polymer laminate")))</f>
        <v>Steel plate or jacket</v>
      </c>
      <c r="T806" s="5" t="str">
        <f aca="false">IF(S806=R806,"Yes","No")</f>
        <v>Yes</v>
      </c>
    </row>
    <row r="807" customFormat="false" ht="15" hidden="false" customHeight="false" outlineLevel="0" collapsed="false">
      <c r="A807" s="15" t="n">
        <v>2649</v>
      </c>
      <c r="B807" s="16" t="n">
        <v>3.12690912627179</v>
      </c>
      <c r="C807" s="15" t="n">
        <v>300</v>
      </c>
      <c r="D807" s="15" t="n">
        <v>300</v>
      </c>
      <c r="E807" s="15" t="n">
        <v>25</v>
      </c>
      <c r="F807" s="16" t="n">
        <v>0.883572933822129</v>
      </c>
      <c r="G807" s="17" t="s">
        <v>89</v>
      </c>
      <c r="H807" s="18" t="n">
        <v>0.3</v>
      </c>
      <c r="I807" s="18" t="n">
        <v>1</v>
      </c>
      <c r="J807" s="19" t="n">
        <v>0.928526465757025</v>
      </c>
      <c r="K807" s="19" t="n">
        <v>0.40797472144542</v>
      </c>
      <c r="L807" s="16" t="n">
        <v>12.2144887744992</v>
      </c>
      <c r="M807" s="19" t="n">
        <v>0.755753275021943</v>
      </c>
      <c r="N807" s="19" t="n">
        <v>0.598904424113559</v>
      </c>
      <c r="O807" s="19" t="n">
        <v>0.928526465757025</v>
      </c>
      <c r="P807" s="19" t="n">
        <v>0.434756055506107</v>
      </c>
      <c r="Q807" s="17" t="s">
        <v>29</v>
      </c>
      <c r="R807" s="5" t="str">
        <f aca="false">IF(OR(Q807="Steel plate",Q807="Concrete jacket"),"Steel plate or jacket",Q807)</f>
        <v>Monitor</v>
      </c>
      <c r="S807" s="5" t="str">
        <f aca="false">IF(O807&lt;='Tree rules'!$C$4,IF(N807&lt;='Tree rules'!$C$5,IF(P807&lt;='Tree rules'!$C$6,"Monitor","Polymer laminate"),IF(P807&lt;='Tree rules'!$C$7,"Seal cracks","Polymer laminate")),IF(O807&lt;='Tree rules'!$C$8,IF(M807&lt;='Tree rules'!$C$9,"Steel plate or jacket","Polymer laminate"),IF(L807&lt;='Tree rules'!$C$10,"Steel plate or jacket","Polymer laminate")))</f>
        <v>Monitor</v>
      </c>
      <c r="T807" s="5" t="str">
        <f aca="false">IF(S807=R807,"Yes","No")</f>
        <v>Yes</v>
      </c>
    </row>
    <row r="808" customFormat="false" ht="15" hidden="false" customHeight="false" outlineLevel="0" collapsed="false">
      <c r="A808" s="15" t="n">
        <v>2650</v>
      </c>
      <c r="B808" s="16" t="n">
        <v>5.28344727807526</v>
      </c>
      <c r="C808" s="15" t="n">
        <v>230</v>
      </c>
      <c r="D808" s="15" t="n">
        <v>450</v>
      </c>
      <c r="E808" s="15" t="n">
        <v>30</v>
      </c>
      <c r="F808" s="16" t="n">
        <v>0.865527033274846</v>
      </c>
      <c r="G808" s="17" t="s">
        <v>89</v>
      </c>
      <c r="H808" s="18" t="n">
        <v>0.3</v>
      </c>
      <c r="I808" s="18" t="n">
        <v>2</v>
      </c>
      <c r="J808" s="19" t="n">
        <v>0.854235620091815</v>
      </c>
      <c r="K808" s="19" t="n">
        <v>0.499316794586494</v>
      </c>
      <c r="L808" s="16" t="n">
        <v>13.077839797216</v>
      </c>
      <c r="M808" s="19" t="n">
        <v>0.474289798037625</v>
      </c>
      <c r="N808" s="19" t="n">
        <v>0.871089157252082</v>
      </c>
      <c r="O808" s="19" t="n">
        <v>1.28193704853778</v>
      </c>
      <c r="P808" s="19" t="n">
        <v>0.955699977344007</v>
      </c>
      <c r="Q808" s="17" t="s">
        <v>31</v>
      </c>
      <c r="R808" s="5" t="str">
        <f aca="false">IF(OR(Q808="Steel plate",Q808="Concrete jacket"),"Steel plate or jacket",Q808)</f>
        <v>Polymer laminate</v>
      </c>
      <c r="S808" s="5" t="str">
        <f aca="false">IF(O808&lt;='Tree rules'!$C$4,IF(N808&lt;='Tree rules'!$C$5,IF(P808&lt;='Tree rules'!$C$6,"Monitor","Polymer laminate"),IF(P808&lt;='Tree rules'!$C$7,"Seal cracks","Polymer laminate")),IF(O808&lt;='Tree rules'!$C$8,IF(M808&lt;='Tree rules'!$C$9,"Steel plate or jacket","Polymer laminate"),IF(L808&lt;='Tree rules'!$C$10,"Steel plate or jacket","Polymer laminate")))</f>
        <v>Polymer laminate</v>
      </c>
      <c r="T808" s="5" t="str">
        <f aca="false">IF(S808=R808,"Yes","No")</f>
        <v>Yes</v>
      </c>
    </row>
    <row r="809" customFormat="false" ht="15" hidden="false" customHeight="false" outlineLevel="0" collapsed="false">
      <c r="A809" s="15" t="n">
        <v>2652</v>
      </c>
      <c r="B809" s="16" t="n">
        <v>5.5216141598806</v>
      </c>
      <c r="C809" s="15" t="n">
        <v>230</v>
      </c>
      <c r="D809" s="15" t="n">
        <v>475</v>
      </c>
      <c r="E809" s="15" t="n">
        <v>30</v>
      </c>
      <c r="F809" s="16" t="n">
        <v>0.815088394972116</v>
      </c>
      <c r="G809" s="17" t="s">
        <v>89</v>
      </c>
      <c r="H809" s="18" t="n">
        <v>0.3</v>
      </c>
      <c r="I809" s="18" t="n">
        <v>1.5</v>
      </c>
      <c r="J809" s="19" t="n">
        <v>0.852531180223756</v>
      </c>
      <c r="K809" s="19" t="n">
        <v>0.610847596979384</v>
      </c>
      <c r="L809" s="16" t="n">
        <v>12.8708954775772</v>
      </c>
      <c r="M809" s="19" t="n">
        <v>0.875437133265443</v>
      </c>
      <c r="N809" s="19" t="n">
        <v>0.635389101488106</v>
      </c>
      <c r="O809" s="19" t="n">
        <v>1.01841345894079</v>
      </c>
      <c r="P809" s="19" t="n">
        <v>0.493304551784281</v>
      </c>
      <c r="Q809" s="17" t="s">
        <v>31</v>
      </c>
      <c r="R809" s="5" t="str">
        <f aca="false">IF(OR(Q809="Steel plate",Q809="Concrete jacket"),"Steel plate or jacket",Q809)</f>
        <v>Polymer laminate</v>
      </c>
      <c r="S809" s="5" t="str">
        <f aca="false">IF(O809&lt;='Tree rules'!$C$4,IF(N809&lt;='Tree rules'!$C$5,IF(P809&lt;='Tree rules'!$C$6,"Monitor","Polymer laminate"),IF(P809&lt;='Tree rules'!$C$7,"Seal cracks","Polymer laminate")),IF(O809&lt;='Tree rules'!$C$8,IF(M809&lt;='Tree rules'!$C$9,"Steel plate or jacket","Polymer laminate"),IF(L809&lt;='Tree rules'!$C$10,"Steel plate or jacket","Polymer laminate")))</f>
        <v>Polymer laminate</v>
      </c>
      <c r="T809" s="5" t="str">
        <f aca="false">IF(S809=R809,"Yes","No")</f>
        <v>Yes</v>
      </c>
    </row>
    <row r="810" customFormat="false" ht="15" hidden="false" customHeight="false" outlineLevel="0" collapsed="false">
      <c r="A810" s="15" t="n">
        <v>2661</v>
      </c>
      <c r="B810" s="16" t="n">
        <v>4.49900346220716</v>
      </c>
      <c r="C810" s="15" t="n">
        <v>300</v>
      </c>
      <c r="D810" s="15" t="n">
        <v>450</v>
      </c>
      <c r="E810" s="15" t="n">
        <v>30</v>
      </c>
      <c r="F810" s="16" t="n">
        <v>0.663570725510715</v>
      </c>
      <c r="G810" s="17" t="s">
        <v>91</v>
      </c>
      <c r="H810" s="18" t="n">
        <v>0.2</v>
      </c>
      <c r="I810" s="18" t="n">
        <v>1</v>
      </c>
      <c r="J810" s="19" t="n">
        <v>0.999158921112773</v>
      </c>
      <c r="K810" s="19" t="n">
        <v>0.429591096899829</v>
      </c>
      <c r="L810" s="16" t="n">
        <v>11.1361471836811</v>
      </c>
      <c r="M810" s="19" t="n">
        <v>0.754180894928271</v>
      </c>
      <c r="N810" s="19" t="n">
        <v>1.03639091040479</v>
      </c>
      <c r="O810" s="19" t="n">
        <v>0.999158921112773</v>
      </c>
      <c r="P810" s="19" t="n">
        <v>0.37448994604269</v>
      </c>
      <c r="Q810" s="17" t="s">
        <v>30</v>
      </c>
      <c r="R810" s="5" t="str">
        <f aca="false">IF(OR(Q810="Steel plate",Q810="Concrete jacket"),"Steel plate or jacket",Q810)</f>
        <v>Seal cracks</v>
      </c>
      <c r="S810" s="5" t="str">
        <f aca="false">IF(O810&lt;='Tree rules'!$C$4,IF(N810&lt;='Tree rules'!$C$5,IF(P810&lt;='Tree rules'!$C$6,"Monitor","Polymer laminate"),IF(P810&lt;='Tree rules'!$C$7,"Seal cracks","Polymer laminate")),IF(O810&lt;='Tree rules'!$C$8,IF(M810&lt;='Tree rules'!$C$9,"Steel plate or jacket","Polymer laminate"),IF(L810&lt;='Tree rules'!$C$10,"Steel plate or jacket","Polymer laminate")))</f>
        <v>Seal cracks</v>
      </c>
      <c r="T810" s="5" t="str">
        <f aca="false">IF(S810=R810,"Yes","No")</f>
        <v>Yes</v>
      </c>
    </row>
    <row r="811" customFormat="false" ht="15" hidden="false" customHeight="false" outlineLevel="0" collapsed="false">
      <c r="A811" s="15" t="n">
        <v>2668</v>
      </c>
      <c r="B811" s="16" t="n">
        <v>5.92561657848225</v>
      </c>
      <c r="C811" s="15" t="n">
        <v>300</v>
      </c>
      <c r="D811" s="15" t="n">
        <v>525</v>
      </c>
      <c r="E811" s="15" t="n">
        <v>25</v>
      </c>
      <c r="F811" s="16" t="n">
        <v>0.699589178252424</v>
      </c>
      <c r="G811" s="17" t="s">
        <v>89</v>
      </c>
      <c r="H811" s="18" t="n">
        <v>0.3</v>
      </c>
      <c r="I811" s="18" t="n">
        <v>1</v>
      </c>
      <c r="J811" s="19" t="n">
        <v>0.918116955024509</v>
      </c>
      <c r="K811" s="19" t="n">
        <v>0.554146426509471</v>
      </c>
      <c r="L811" s="16" t="n">
        <v>12.3708070531989</v>
      </c>
      <c r="M811" s="19" t="n">
        <v>0.838039465779919</v>
      </c>
      <c r="N811" s="19" t="n">
        <v>0.561243305192949</v>
      </c>
      <c r="O811" s="19" t="n">
        <v>0.918116955024509</v>
      </c>
      <c r="P811" s="19" t="n">
        <v>0.449396932162093</v>
      </c>
      <c r="Q811" s="17" t="s">
        <v>29</v>
      </c>
      <c r="R811" s="5" t="str">
        <f aca="false">IF(OR(Q811="Steel plate",Q811="Concrete jacket"),"Steel plate or jacket",Q811)</f>
        <v>Monitor</v>
      </c>
      <c r="S811" s="5" t="str">
        <f aca="false">IF(O811&lt;='Tree rules'!$C$4,IF(N811&lt;='Tree rules'!$C$5,IF(P811&lt;='Tree rules'!$C$6,"Monitor","Polymer laminate"),IF(P811&lt;='Tree rules'!$C$7,"Seal cracks","Polymer laminate")),IF(O811&lt;='Tree rules'!$C$8,IF(M811&lt;='Tree rules'!$C$9,"Steel plate or jacket","Polymer laminate"),IF(L811&lt;='Tree rules'!$C$10,"Steel plate or jacket","Polymer laminate")))</f>
        <v>Monitor</v>
      </c>
      <c r="T811" s="5" t="str">
        <f aca="false">IF(S811=R811,"Yes","No")</f>
        <v>Yes</v>
      </c>
    </row>
    <row r="812" customFormat="false" ht="15" hidden="false" customHeight="false" outlineLevel="0" collapsed="false">
      <c r="A812" s="15" t="n">
        <v>2669</v>
      </c>
      <c r="B812" s="16" t="n">
        <v>3.76406681463449</v>
      </c>
      <c r="C812" s="15" t="n">
        <v>230</v>
      </c>
      <c r="D812" s="15" t="n">
        <v>350</v>
      </c>
      <c r="E812" s="15" t="n">
        <v>20</v>
      </c>
      <c r="F812" s="16" t="n">
        <v>0.575119936583944</v>
      </c>
      <c r="G812" s="17" t="s">
        <v>89</v>
      </c>
      <c r="H812" s="18" t="n">
        <v>0.3</v>
      </c>
      <c r="I812" s="18" t="n">
        <v>1</v>
      </c>
      <c r="J812" s="19" t="n">
        <v>0.852022058217799</v>
      </c>
      <c r="K812" s="19" t="n">
        <v>0.429004876031332</v>
      </c>
      <c r="L812" s="16" t="n">
        <v>12.3817987323503</v>
      </c>
      <c r="M812" s="19" t="n">
        <v>0.524364877507907</v>
      </c>
      <c r="N812" s="19" t="n">
        <v>0.782960498659953</v>
      </c>
      <c r="O812" s="19" t="n">
        <v>0.852022058217799</v>
      </c>
      <c r="P812" s="19" t="n">
        <v>0.454344421221569</v>
      </c>
      <c r="Q812" s="17" t="s">
        <v>29</v>
      </c>
      <c r="R812" s="5" t="str">
        <f aca="false">IF(OR(Q812="Steel plate",Q812="Concrete jacket"),"Steel plate or jacket",Q812)</f>
        <v>Monitor</v>
      </c>
      <c r="S812" s="5" t="str">
        <f aca="false">IF(O812&lt;='Tree rules'!$C$4,IF(N812&lt;='Tree rules'!$C$5,IF(P812&lt;='Tree rules'!$C$6,"Monitor","Polymer laminate"),IF(P812&lt;='Tree rules'!$C$7,"Seal cracks","Polymer laminate")),IF(O812&lt;='Tree rules'!$C$8,IF(M812&lt;='Tree rules'!$C$9,"Steel plate or jacket","Polymer laminate"),IF(L812&lt;='Tree rules'!$C$10,"Steel plate or jacket","Polymer laminate")))</f>
        <v>Monitor</v>
      </c>
      <c r="T812" s="5" t="str">
        <f aca="false">IF(S812=R812,"Yes","No")</f>
        <v>Yes</v>
      </c>
    </row>
    <row r="813" customFormat="false" ht="15" hidden="false" customHeight="false" outlineLevel="0" collapsed="false">
      <c r="A813" s="15" t="n">
        <v>2678</v>
      </c>
      <c r="B813" s="16" t="n">
        <v>4.60278465963644</v>
      </c>
      <c r="C813" s="15" t="n">
        <v>300</v>
      </c>
      <c r="D813" s="15" t="n">
        <v>450</v>
      </c>
      <c r="E813" s="15" t="n">
        <v>30</v>
      </c>
      <c r="F813" s="16" t="n">
        <v>0.995356088266073</v>
      </c>
      <c r="G813" s="17" t="s">
        <v>89</v>
      </c>
      <c r="H813" s="18" t="n">
        <v>0.3</v>
      </c>
      <c r="I813" s="18" t="n">
        <v>2</v>
      </c>
      <c r="J813" s="19" t="n">
        <v>0.918671159598713</v>
      </c>
      <c r="K813" s="19" t="n">
        <v>0.465900901463799</v>
      </c>
      <c r="L813" s="16" t="n">
        <v>11.3930313357338</v>
      </c>
      <c r="M813" s="19" t="n">
        <v>0.582293509807126</v>
      </c>
      <c r="N813" s="19" t="n">
        <v>0.919912646095296</v>
      </c>
      <c r="O813" s="19" t="n">
        <v>1.40933259779159</v>
      </c>
      <c r="P813" s="19" t="n">
        <v>0.812046999078515</v>
      </c>
      <c r="Q813" s="17" t="s">
        <v>92</v>
      </c>
      <c r="R813" s="5" t="str">
        <f aca="false">IF(OR(Q813="Steel plate",Q813="Concrete jacket"),"Steel plate or jacket",Q813)</f>
        <v>Steel plate or jacket</v>
      </c>
      <c r="S813" s="5" t="str">
        <f aca="false">IF(O813&lt;='Tree rules'!$C$4,IF(N813&lt;='Tree rules'!$C$5,IF(P813&lt;='Tree rules'!$C$6,"Monitor","Polymer laminate"),IF(P813&lt;='Tree rules'!$C$7,"Seal cracks","Polymer laminate")),IF(O813&lt;='Tree rules'!$C$8,IF(M813&lt;='Tree rules'!$C$9,"Steel plate or jacket","Polymer laminate"),IF(L813&lt;='Tree rules'!$C$10,"Steel plate or jacket","Polymer laminate")))</f>
        <v>Steel plate or jacket</v>
      </c>
      <c r="T813" s="5" t="str">
        <f aca="false">IF(S813=R813,"Yes","No")</f>
        <v>Yes</v>
      </c>
    </row>
    <row r="814" customFormat="false" ht="15" hidden="false" customHeight="false" outlineLevel="0" collapsed="false">
      <c r="A814" s="15" t="n">
        <v>2681</v>
      </c>
      <c r="B814" s="16" t="n">
        <v>3.49988991345603</v>
      </c>
      <c r="C814" s="15" t="n">
        <v>300</v>
      </c>
      <c r="D814" s="15" t="n">
        <v>350</v>
      </c>
      <c r="E814" s="15" t="n">
        <v>30</v>
      </c>
      <c r="F814" s="16" t="n">
        <v>0.661387927071535</v>
      </c>
      <c r="G814" s="17" t="s">
        <v>89</v>
      </c>
      <c r="H814" s="18" t="n">
        <v>0.3</v>
      </c>
      <c r="I814" s="18" t="n">
        <v>1</v>
      </c>
      <c r="J814" s="19" t="n">
        <v>0.944452201029365</v>
      </c>
      <c r="K814" s="19" t="n">
        <v>0.589161341808537</v>
      </c>
      <c r="L814" s="16" t="n">
        <v>11.5127957679475</v>
      </c>
      <c r="M814" s="19" t="n">
        <v>0.38832456096453</v>
      </c>
      <c r="N814" s="19" t="n">
        <v>0.822714510384854</v>
      </c>
      <c r="O814" s="19" t="n">
        <v>0.944452201029365</v>
      </c>
      <c r="P814" s="19" t="n">
        <v>0.693710773744911</v>
      </c>
      <c r="Q814" s="17" t="s">
        <v>29</v>
      </c>
      <c r="R814" s="5" t="str">
        <f aca="false">IF(OR(Q814="Steel plate",Q814="Concrete jacket"),"Steel plate or jacket",Q814)</f>
        <v>Monitor</v>
      </c>
      <c r="S814" s="5" t="str">
        <f aca="false">IF(O814&lt;='Tree rules'!$C$4,IF(N814&lt;='Tree rules'!$C$5,IF(P814&lt;='Tree rules'!$C$6,"Monitor","Polymer laminate"),IF(P814&lt;='Tree rules'!$C$7,"Seal cracks","Polymer laminate")),IF(O814&lt;='Tree rules'!$C$8,IF(M814&lt;='Tree rules'!$C$9,"Steel plate or jacket","Polymer laminate"),IF(L814&lt;='Tree rules'!$C$10,"Steel plate or jacket","Polymer laminate")))</f>
        <v>Monitor</v>
      </c>
      <c r="T814" s="5" t="str">
        <f aca="false">IF(S814=R814,"Yes","No")</f>
        <v>Yes</v>
      </c>
    </row>
    <row r="815" customFormat="false" ht="15" hidden="false" customHeight="false" outlineLevel="0" collapsed="false">
      <c r="A815" s="15" t="n">
        <v>2687</v>
      </c>
      <c r="B815" s="16" t="n">
        <v>3.27630414598564</v>
      </c>
      <c r="C815" s="15" t="n">
        <v>230</v>
      </c>
      <c r="D815" s="15" t="n">
        <v>325</v>
      </c>
      <c r="E815" s="15" t="n">
        <v>25</v>
      </c>
      <c r="F815" s="16" t="n">
        <v>0.939980971621069</v>
      </c>
      <c r="G815" s="17" t="s">
        <v>89</v>
      </c>
      <c r="H815" s="18" t="n">
        <v>0.3</v>
      </c>
      <c r="I815" s="18" t="n">
        <v>1</v>
      </c>
      <c r="J815" s="19" t="n">
        <v>0.909429959115506</v>
      </c>
      <c r="K815" s="19" t="n">
        <v>0.5556108568947</v>
      </c>
      <c r="L815" s="16" t="n">
        <v>11.7430256128517</v>
      </c>
      <c r="M815" s="19" t="n">
        <v>0.3408375893234</v>
      </c>
      <c r="N815" s="19" t="n">
        <v>0.700581148318137</v>
      </c>
      <c r="O815" s="19" t="n">
        <v>0.909429959115506</v>
      </c>
      <c r="P815" s="19" t="n">
        <v>1.0309065262846</v>
      </c>
      <c r="Q815" s="17" t="s">
        <v>31</v>
      </c>
      <c r="R815" s="5" t="str">
        <f aca="false">IF(OR(Q815="Steel plate",Q815="Concrete jacket"),"Steel plate or jacket",Q815)</f>
        <v>Polymer laminate</v>
      </c>
      <c r="S815" s="5" t="str">
        <f aca="false">IF(O815&lt;='Tree rules'!$C$4,IF(N815&lt;='Tree rules'!$C$5,IF(P815&lt;='Tree rules'!$C$6,"Monitor","Polymer laminate"),IF(P815&lt;='Tree rules'!$C$7,"Seal cracks","Polymer laminate")),IF(O815&lt;='Tree rules'!$C$8,IF(M815&lt;='Tree rules'!$C$9,"Steel plate or jacket","Polymer laminate"),IF(L815&lt;='Tree rules'!$C$10,"Steel plate or jacket","Polymer laminate")))</f>
        <v>Polymer laminate</v>
      </c>
      <c r="T815" s="5" t="str">
        <f aca="false">IF(S815=R815,"Yes","No")</f>
        <v>Yes</v>
      </c>
    </row>
    <row r="816" customFormat="false" ht="15" hidden="false" customHeight="false" outlineLevel="0" collapsed="false">
      <c r="A816" s="15" t="n">
        <v>2689</v>
      </c>
      <c r="B816" s="16" t="n">
        <v>3.45927382643503</v>
      </c>
      <c r="C816" s="15" t="n">
        <v>300</v>
      </c>
      <c r="D816" s="15" t="n">
        <v>325</v>
      </c>
      <c r="E816" s="15" t="n">
        <v>20</v>
      </c>
      <c r="F816" s="16" t="n">
        <v>0.72065207824282</v>
      </c>
      <c r="G816" s="17" t="s">
        <v>91</v>
      </c>
      <c r="H816" s="18" t="n">
        <v>0.2</v>
      </c>
      <c r="I816" s="18" t="n">
        <v>1.5</v>
      </c>
      <c r="J816" s="19" t="n">
        <v>0.965621238440728</v>
      </c>
      <c r="K816" s="19" t="n">
        <v>0.408009603485189</v>
      </c>
      <c r="L816" s="16" t="n">
        <v>12.398830919122</v>
      </c>
      <c r="M816" s="19" t="n">
        <v>0.900201704505187</v>
      </c>
      <c r="N816" s="19" t="n">
        <v>1.47484640949417</v>
      </c>
      <c r="O816" s="19" t="n">
        <v>1.25144048835455</v>
      </c>
      <c r="P816" s="19" t="n">
        <v>0.420084417339237</v>
      </c>
      <c r="Q816" s="17" t="s">
        <v>31</v>
      </c>
      <c r="R816" s="5" t="str">
        <f aca="false">IF(OR(Q816="Steel plate",Q816="Concrete jacket"),"Steel plate or jacket",Q816)</f>
        <v>Polymer laminate</v>
      </c>
      <c r="S816" s="5" t="str">
        <f aca="false">IF(O816&lt;='Tree rules'!$C$4,IF(N816&lt;='Tree rules'!$C$5,IF(P816&lt;='Tree rules'!$C$6,"Monitor","Polymer laminate"),IF(P816&lt;='Tree rules'!$C$7,"Seal cracks","Polymer laminate")),IF(O816&lt;='Tree rules'!$C$8,IF(M816&lt;='Tree rules'!$C$9,"Steel plate or jacket","Polymer laminate"),IF(L816&lt;='Tree rules'!$C$10,"Steel plate or jacket","Polymer laminate")))</f>
        <v>Polymer laminate</v>
      </c>
      <c r="T816" s="5" t="str">
        <f aca="false">IF(S816=R816,"Yes","No")</f>
        <v>Yes</v>
      </c>
    </row>
    <row r="817" customFormat="false" ht="15" hidden="false" customHeight="false" outlineLevel="0" collapsed="false">
      <c r="A817" s="15" t="n">
        <v>2690</v>
      </c>
      <c r="B817" s="16" t="n">
        <v>7.22776946204086</v>
      </c>
      <c r="C817" s="15" t="n">
        <v>300</v>
      </c>
      <c r="D817" s="15" t="n">
        <v>675</v>
      </c>
      <c r="E817" s="15" t="n">
        <v>25</v>
      </c>
      <c r="F817" s="16" t="n">
        <v>0.668068613203571</v>
      </c>
      <c r="G817" s="17" t="s">
        <v>89</v>
      </c>
      <c r="H817" s="18" t="n">
        <v>0.3</v>
      </c>
      <c r="I817" s="18" t="n">
        <v>2</v>
      </c>
      <c r="J817" s="19" t="n">
        <v>0.880676317579578</v>
      </c>
      <c r="K817" s="19" t="n">
        <v>0.633028063501579</v>
      </c>
      <c r="L817" s="16" t="n">
        <v>11.5275430016601</v>
      </c>
      <c r="M817" s="19" t="n">
        <v>0.852086253460164</v>
      </c>
      <c r="N817" s="19" t="n">
        <v>0.79724245608708</v>
      </c>
      <c r="O817" s="19" t="n">
        <v>1.20385981127005</v>
      </c>
      <c r="P817" s="19" t="n">
        <v>0.494295785267504</v>
      </c>
      <c r="Q817" s="17" t="s">
        <v>31</v>
      </c>
      <c r="R817" s="5" t="str">
        <f aca="false">IF(OR(Q817="Steel plate",Q817="Concrete jacket"),"Steel plate or jacket",Q817)</f>
        <v>Polymer laminate</v>
      </c>
      <c r="S817" s="5" t="str">
        <f aca="false">IF(O817&lt;='Tree rules'!$C$4,IF(N817&lt;='Tree rules'!$C$5,IF(P817&lt;='Tree rules'!$C$6,"Monitor","Polymer laminate"),IF(P817&lt;='Tree rules'!$C$7,"Seal cracks","Polymer laminate")),IF(O817&lt;='Tree rules'!$C$8,IF(M817&lt;='Tree rules'!$C$9,"Steel plate or jacket","Polymer laminate"),IF(L817&lt;='Tree rules'!$C$10,"Steel plate or jacket","Polymer laminate")))</f>
        <v>Polymer laminate</v>
      </c>
      <c r="T817" s="5" t="str">
        <f aca="false">IF(S817=R817,"Yes","No")</f>
        <v>Yes</v>
      </c>
    </row>
    <row r="818" customFormat="false" ht="15" hidden="false" customHeight="false" outlineLevel="0" collapsed="false">
      <c r="A818" s="15" t="n">
        <v>2693</v>
      </c>
      <c r="B818" s="16" t="n">
        <v>7.00163659445364</v>
      </c>
      <c r="C818" s="15" t="n">
        <v>230</v>
      </c>
      <c r="D818" s="15" t="n">
        <v>575</v>
      </c>
      <c r="E818" s="15" t="n">
        <v>25</v>
      </c>
      <c r="F818" s="16" t="n">
        <v>0.661007412935799</v>
      </c>
      <c r="G818" s="17" t="s">
        <v>89</v>
      </c>
      <c r="H818" s="18" t="n">
        <v>0.3</v>
      </c>
      <c r="I818" s="18" t="n">
        <v>2</v>
      </c>
      <c r="J818" s="19" t="n">
        <v>0.886456920919494</v>
      </c>
      <c r="K818" s="19" t="n">
        <v>0.487293282374667</v>
      </c>
      <c r="L818" s="16" t="n">
        <v>13.2356079290239</v>
      </c>
      <c r="M818" s="19" t="n">
        <v>0.845389193194678</v>
      </c>
      <c r="N818" s="19" t="n">
        <v>0.830198064197552</v>
      </c>
      <c r="O818" s="19" t="n">
        <v>1.34094933916039</v>
      </c>
      <c r="P818" s="19" t="n">
        <v>0.536012655898952</v>
      </c>
      <c r="Q818" s="17" t="s">
        <v>31</v>
      </c>
      <c r="R818" s="5" t="str">
        <f aca="false">IF(OR(Q818="Steel plate",Q818="Concrete jacket"),"Steel plate or jacket",Q818)</f>
        <v>Polymer laminate</v>
      </c>
      <c r="S818" s="5" t="str">
        <f aca="false">IF(O818&lt;='Tree rules'!$C$4,IF(N818&lt;='Tree rules'!$C$5,IF(P818&lt;='Tree rules'!$C$6,"Monitor","Polymer laminate"),IF(P818&lt;='Tree rules'!$C$7,"Seal cracks","Polymer laminate")),IF(O818&lt;='Tree rules'!$C$8,IF(M818&lt;='Tree rules'!$C$9,"Steel plate or jacket","Polymer laminate"),IF(L818&lt;='Tree rules'!$C$10,"Steel plate or jacket","Polymer laminate")))</f>
        <v>Polymer laminate</v>
      </c>
      <c r="T818" s="5" t="str">
        <f aca="false">IF(S818=R818,"Yes","No")</f>
        <v>Yes</v>
      </c>
    </row>
    <row r="819" customFormat="false" ht="15" hidden="false" customHeight="false" outlineLevel="0" collapsed="false">
      <c r="A819" s="15" t="n">
        <v>2699</v>
      </c>
      <c r="B819" s="16" t="n">
        <v>3.67163944311294</v>
      </c>
      <c r="C819" s="15" t="n">
        <v>300</v>
      </c>
      <c r="D819" s="15" t="n">
        <v>325</v>
      </c>
      <c r="E819" s="15" t="n">
        <v>20</v>
      </c>
      <c r="F819" s="16" t="n">
        <v>0.756099314943392</v>
      </c>
      <c r="G819" s="17" t="s">
        <v>91</v>
      </c>
      <c r="H819" s="18" t="n">
        <v>0.2</v>
      </c>
      <c r="I819" s="18" t="n">
        <v>1.5</v>
      </c>
      <c r="J819" s="19" t="n">
        <v>0.87661686283629</v>
      </c>
      <c r="K819" s="19" t="n">
        <v>0.483662619337952</v>
      </c>
      <c r="L819" s="16" t="n">
        <v>13.2550160401189</v>
      </c>
      <c r="M819" s="19" t="n">
        <v>0.894567996911321</v>
      </c>
      <c r="N819" s="19" t="n">
        <v>1.68451223286031</v>
      </c>
      <c r="O819" s="19" t="n">
        <v>1.10293189023683</v>
      </c>
      <c r="P819" s="19" t="n">
        <v>0.439053533878561</v>
      </c>
      <c r="Q819" s="17" t="s">
        <v>31</v>
      </c>
      <c r="R819" s="5" t="str">
        <f aca="false">IF(OR(Q819="Steel plate",Q819="Concrete jacket"),"Steel plate or jacket",Q819)</f>
        <v>Polymer laminate</v>
      </c>
      <c r="S819" s="5" t="str">
        <f aca="false">IF(O819&lt;='Tree rules'!$C$4,IF(N819&lt;='Tree rules'!$C$5,IF(P819&lt;='Tree rules'!$C$6,"Monitor","Polymer laminate"),IF(P819&lt;='Tree rules'!$C$7,"Seal cracks","Polymer laminate")),IF(O819&lt;='Tree rules'!$C$8,IF(M819&lt;='Tree rules'!$C$9,"Steel plate or jacket","Polymer laminate"),IF(L819&lt;='Tree rules'!$C$10,"Steel plate or jacket","Polymer laminate")))</f>
        <v>Polymer laminate</v>
      </c>
      <c r="T819" s="5" t="str">
        <f aca="false">IF(S819=R819,"Yes","No")</f>
        <v>Yes</v>
      </c>
    </row>
    <row r="820" customFormat="false" ht="15" hidden="false" customHeight="false" outlineLevel="0" collapsed="false">
      <c r="A820" s="15" t="n">
        <v>2703</v>
      </c>
      <c r="B820" s="16" t="n">
        <v>6.32672512898568</v>
      </c>
      <c r="C820" s="15" t="n">
        <v>230</v>
      </c>
      <c r="D820" s="15" t="n">
        <v>600</v>
      </c>
      <c r="E820" s="15" t="n">
        <v>30</v>
      </c>
      <c r="F820" s="16" t="n">
        <v>0.63117855856144</v>
      </c>
      <c r="G820" s="17" t="s">
        <v>89</v>
      </c>
      <c r="H820" s="18" t="n">
        <v>0.3</v>
      </c>
      <c r="I820" s="18" t="n">
        <v>1.5</v>
      </c>
      <c r="J820" s="19" t="n">
        <v>0.857546734662222</v>
      </c>
      <c r="K820" s="19" t="n">
        <v>0.413073780798974</v>
      </c>
      <c r="L820" s="16" t="n">
        <v>11.420081460263</v>
      </c>
      <c r="M820" s="19" t="n">
        <v>0.600098245651129</v>
      </c>
      <c r="N820" s="19" t="n">
        <v>0.710600999768744</v>
      </c>
      <c r="O820" s="19" t="n">
        <v>1.10920506604396</v>
      </c>
      <c r="P820" s="19" t="n">
        <v>0.485223857248564</v>
      </c>
      <c r="Q820" s="17" t="s">
        <v>31</v>
      </c>
      <c r="R820" s="5" t="str">
        <f aca="false">IF(OR(Q820="Steel plate",Q820="Concrete jacket"),"Steel plate or jacket",Q820)</f>
        <v>Polymer laminate</v>
      </c>
      <c r="S820" s="5" t="str">
        <f aca="false">IF(O820&lt;='Tree rules'!$C$4,IF(N820&lt;='Tree rules'!$C$5,IF(P820&lt;='Tree rules'!$C$6,"Monitor","Polymer laminate"),IF(P820&lt;='Tree rules'!$C$7,"Seal cracks","Polymer laminate")),IF(O820&lt;='Tree rules'!$C$8,IF(M820&lt;='Tree rules'!$C$9,"Steel plate or jacket","Polymer laminate"),IF(L820&lt;='Tree rules'!$C$10,"Steel plate or jacket","Polymer laminate")))</f>
        <v>Polymer laminate</v>
      </c>
      <c r="T820" s="5" t="str">
        <f aca="false">IF(S820=R820,"Yes","No")</f>
        <v>Yes</v>
      </c>
    </row>
    <row r="821" customFormat="false" ht="15" hidden="false" customHeight="false" outlineLevel="0" collapsed="false">
      <c r="A821" s="15" t="n">
        <v>2717</v>
      </c>
      <c r="B821" s="16" t="n">
        <v>7.84321723868974</v>
      </c>
      <c r="C821" s="15" t="n">
        <v>300</v>
      </c>
      <c r="D821" s="15" t="n">
        <v>775</v>
      </c>
      <c r="E821" s="15" t="n">
        <v>20</v>
      </c>
      <c r="F821" s="16" t="n">
        <v>0.551610232729072</v>
      </c>
      <c r="G821" s="17" t="s">
        <v>89</v>
      </c>
      <c r="H821" s="18" t="n">
        <v>0.3</v>
      </c>
      <c r="I821" s="18" t="n">
        <v>1</v>
      </c>
      <c r="J821" s="19" t="n">
        <v>0.966446841823438</v>
      </c>
      <c r="K821" s="19" t="n">
        <v>0.615805874876537</v>
      </c>
      <c r="L821" s="16" t="n">
        <v>10.7588713836622</v>
      </c>
      <c r="M821" s="19" t="n">
        <v>0.507128839187768</v>
      </c>
      <c r="N821" s="19" t="n">
        <v>0.584085626087115</v>
      </c>
      <c r="O821" s="19" t="n">
        <v>0.966446841823439</v>
      </c>
      <c r="P821" s="19" t="n">
        <v>0.65210964351543</v>
      </c>
      <c r="Q821" s="17" t="s">
        <v>29</v>
      </c>
      <c r="R821" s="5" t="str">
        <f aca="false">IF(OR(Q821="Steel plate",Q821="Concrete jacket"),"Steel plate or jacket",Q821)</f>
        <v>Monitor</v>
      </c>
      <c r="S821" s="5" t="str">
        <f aca="false">IF(O821&lt;='Tree rules'!$C$4,IF(N821&lt;='Tree rules'!$C$5,IF(P821&lt;='Tree rules'!$C$6,"Monitor","Polymer laminate"),IF(P821&lt;='Tree rules'!$C$7,"Seal cracks","Polymer laminate")),IF(O821&lt;='Tree rules'!$C$8,IF(M821&lt;='Tree rules'!$C$9,"Steel plate or jacket","Polymer laminate"),IF(L821&lt;='Tree rules'!$C$10,"Steel plate or jacket","Polymer laminate")))</f>
        <v>Monitor</v>
      </c>
      <c r="T821" s="5" t="str">
        <f aca="false">IF(S821=R821,"Yes","No")</f>
        <v>Yes</v>
      </c>
    </row>
    <row r="822" customFormat="false" ht="15" hidden="false" customHeight="false" outlineLevel="0" collapsed="false">
      <c r="A822" s="15" t="n">
        <v>2725</v>
      </c>
      <c r="B822" s="16" t="n">
        <v>3.37343994251923</v>
      </c>
      <c r="C822" s="15" t="n">
        <v>230</v>
      </c>
      <c r="D822" s="15" t="n">
        <v>300</v>
      </c>
      <c r="E822" s="15" t="n">
        <v>25</v>
      </c>
      <c r="F822" s="16" t="n">
        <v>0.688332522525665</v>
      </c>
      <c r="G822" s="17" t="s">
        <v>91</v>
      </c>
      <c r="H822" s="18" t="n">
        <v>0.2</v>
      </c>
      <c r="I822" s="18" t="n">
        <v>2</v>
      </c>
      <c r="J822" s="19" t="n">
        <v>0.864197587101955</v>
      </c>
      <c r="K822" s="19" t="n">
        <v>0.47432164073694</v>
      </c>
      <c r="L822" s="16" t="n">
        <v>13.2812596162175</v>
      </c>
      <c r="M822" s="19" t="n">
        <v>0.936050318791105</v>
      </c>
      <c r="N822" s="19" t="n">
        <v>1.75228943965431</v>
      </c>
      <c r="O822" s="19" t="n">
        <v>1.31848755676881</v>
      </c>
      <c r="P822" s="19" t="n">
        <v>0.382796220338476</v>
      </c>
      <c r="Q822" s="17" t="s">
        <v>31</v>
      </c>
      <c r="R822" s="5" t="str">
        <f aca="false">IF(OR(Q822="Steel plate",Q822="Concrete jacket"),"Steel plate or jacket",Q822)</f>
        <v>Polymer laminate</v>
      </c>
      <c r="S822" s="5" t="str">
        <f aca="false">IF(O822&lt;='Tree rules'!$C$4,IF(N822&lt;='Tree rules'!$C$5,IF(P822&lt;='Tree rules'!$C$6,"Monitor","Polymer laminate"),IF(P822&lt;='Tree rules'!$C$7,"Seal cracks","Polymer laminate")),IF(O822&lt;='Tree rules'!$C$8,IF(M822&lt;='Tree rules'!$C$9,"Steel plate or jacket","Polymer laminate"),IF(L822&lt;='Tree rules'!$C$10,"Steel plate or jacket","Polymer laminate")))</f>
        <v>Polymer laminate</v>
      </c>
      <c r="T822" s="5" t="str">
        <f aca="false">IF(S822=R822,"Yes","No")</f>
        <v>Yes</v>
      </c>
    </row>
    <row r="823" customFormat="false" ht="15" hidden="false" customHeight="false" outlineLevel="0" collapsed="false">
      <c r="A823" s="15" t="n">
        <v>2728</v>
      </c>
      <c r="B823" s="16" t="n">
        <v>7.36847331852734</v>
      </c>
      <c r="C823" s="15" t="n">
        <v>300</v>
      </c>
      <c r="D823" s="15" t="n">
        <v>575</v>
      </c>
      <c r="E823" s="15" t="n">
        <v>30</v>
      </c>
      <c r="F823" s="16" t="n">
        <v>0.596127638252333</v>
      </c>
      <c r="G823" s="17" t="s">
        <v>89</v>
      </c>
      <c r="H823" s="18" t="n">
        <v>0.3</v>
      </c>
      <c r="I823" s="18" t="n">
        <v>2</v>
      </c>
      <c r="J823" s="19" t="n">
        <v>0.88834021674118</v>
      </c>
      <c r="K823" s="19" t="n">
        <v>0.585321460187808</v>
      </c>
      <c r="L823" s="16" t="n">
        <v>13.9819228055547</v>
      </c>
      <c r="M823" s="19" t="n">
        <v>0.430734392167572</v>
      </c>
      <c r="N823" s="19" t="n">
        <v>1.07957480144392</v>
      </c>
      <c r="O823" s="19" t="n">
        <v>1.25671584067586</v>
      </c>
      <c r="P823" s="19" t="n">
        <v>0.927562081852166</v>
      </c>
      <c r="Q823" s="17" t="s">
        <v>31</v>
      </c>
      <c r="R823" s="5" t="str">
        <f aca="false">IF(OR(Q823="Steel plate",Q823="Concrete jacket"),"Steel plate or jacket",Q823)</f>
        <v>Polymer laminate</v>
      </c>
      <c r="S823" s="5" t="str">
        <f aca="false">IF(O823&lt;='Tree rules'!$C$4,IF(N823&lt;='Tree rules'!$C$5,IF(P823&lt;='Tree rules'!$C$6,"Monitor","Polymer laminate"),IF(P823&lt;='Tree rules'!$C$7,"Seal cracks","Polymer laminate")),IF(O823&lt;='Tree rules'!$C$8,IF(M823&lt;='Tree rules'!$C$9,"Steel plate or jacket","Polymer laminate"),IF(L823&lt;='Tree rules'!$C$10,"Steel plate or jacket","Polymer laminate")))</f>
        <v>Polymer laminate</v>
      </c>
      <c r="T823" s="5" t="str">
        <f aca="false">IF(S823=R823,"Yes","No")</f>
        <v>Yes</v>
      </c>
    </row>
    <row r="824" customFormat="false" ht="15" hidden="false" customHeight="false" outlineLevel="0" collapsed="false">
      <c r="A824" s="15" t="n">
        <v>2731</v>
      </c>
      <c r="B824" s="16" t="n">
        <v>3.42243888668337</v>
      </c>
      <c r="C824" s="15" t="n">
        <v>300</v>
      </c>
      <c r="D824" s="15" t="n">
        <v>300</v>
      </c>
      <c r="E824" s="15" t="n">
        <v>25</v>
      </c>
      <c r="F824" s="16" t="n">
        <v>0.831109167616348</v>
      </c>
      <c r="G824" s="17" t="s">
        <v>91</v>
      </c>
      <c r="H824" s="18" t="n">
        <v>0.2</v>
      </c>
      <c r="I824" s="18" t="n">
        <v>1</v>
      </c>
      <c r="J824" s="19" t="n">
        <v>0.879122946702119</v>
      </c>
      <c r="K824" s="19" t="n">
        <v>0.461716171747285</v>
      </c>
      <c r="L824" s="16" t="n">
        <v>13.581106693188</v>
      </c>
      <c r="M824" s="19" t="n">
        <v>0.924481798176347</v>
      </c>
      <c r="N824" s="19" t="n">
        <v>1.30708430631977</v>
      </c>
      <c r="O824" s="19" t="n">
        <v>0.879122946702119</v>
      </c>
      <c r="P824" s="19" t="n">
        <v>0.369936258268006</v>
      </c>
      <c r="Q824" s="17" t="s">
        <v>30</v>
      </c>
      <c r="R824" s="5" t="str">
        <f aca="false">IF(OR(Q824="Steel plate",Q824="Concrete jacket"),"Steel plate or jacket",Q824)</f>
        <v>Seal cracks</v>
      </c>
      <c r="S824" s="5" t="str">
        <f aca="false">IF(O824&lt;='Tree rules'!$C$4,IF(N824&lt;='Tree rules'!$C$5,IF(P824&lt;='Tree rules'!$C$6,"Monitor","Polymer laminate"),IF(P824&lt;='Tree rules'!$C$7,"Seal cracks","Polymer laminate")),IF(O824&lt;='Tree rules'!$C$8,IF(M824&lt;='Tree rules'!$C$9,"Steel plate or jacket","Polymer laminate"),IF(L824&lt;='Tree rules'!$C$10,"Steel plate or jacket","Polymer laminate")))</f>
        <v>Seal cracks</v>
      </c>
      <c r="T824" s="5" t="str">
        <f aca="false">IF(S824=R824,"Yes","No")</f>
        <v>Yes</v>
      </c>
    </row>
    <row r="825" customFormat="false" ht="15" hidden="false" customHeight="false" outlineLevel="0" collapsed="false">
      <c r="A825" s="15" t="n">
        <v>2736</v>
      </c>
      <c r="B825" s="16" t="n">
        <v>3.71198865956689</v>
      </c>
      <c r="C825" s="15" t="n">
        <v>230</v>
      </c>
      <c r="D825" s="15" t="n">
        <v>375</v>
      </c>
      <c r="E825" s="15" t="n">
        <v>30</v>
      </c>
      <c r="F825" s="16" t="n">
        <v>1.06283562748644</v>
      </c>
      <c r="G825" s="17" t="s">
        <v>91</v>
      </c>
      <c r="H825" s="18" t="n">
        <v>0.2</v>
      </c>
      <c r="I825" s="18" t="n">
        <v>1</v>
      </c>
      <c r="J825" s="19" t="n">
        <v>0.853130790219011</v>
      </c>
      <c r="K825" s="19" t="n">
        <v>0.563726074262117</v>
      </c>
      <c r="L825" s="16" t="n">
        <v>11.2826403026349</v>
      </c>
      <c r="M825" s="19" t="n">
        <v>0.445731991663706</v>
      </c>
      <c r="N825" s="19" t="n">
        <v>0.881088862132487</v>
      </c>
      <c r="O825" s="19" t="n">
        <v>0.853130790219011</v>
      </c>
      <c r="P825" s="19" t="n">
        <v>0.80576014230282</v>
      </c>
      <c r="Q825" s="17" t="s">
        <v>29</v>
      </c>
      <c r="R825" s="5" t="str">
        <f aca="false">IF(OR(Q825="Steel plate",Q825="Concrete jacket"),"Steel plate or jacket",Q825)</f>
        <v>Monitor</v>
      </c>
      <c r="S825" s="5" t="str">
        <f aca="false">IF(O825&lt;='Tree rules'!$C$4,IF(N825&lt;='Tree rules'!$C$5,IF(P825&lt;='Tree rules'!$C$6,"Monitor","Polymer laminate"),IF(P825&lt;='Tree rules'!$C$7,"Seal cracks","Polymer laminate")),IF(O825&lt;='Tree rules'!$C$8,IF(M825&lt;='Tree rules'!$C$9,"Steel plate or jacket","Polymer laminate"),IF(L825&lt;='Tree rules'!$C$10,"Steel plate or jacket","Polymer laminate")))</f>
        <v>Monitor</v>
      </c>
      <c r="T825" s="5" t="str">
        <f aca="false">IF(S825=R825,"Yes","No")</f>
        <v>Yes</v>
      </c>
    </row>
    <row r="826" customFormat="false" ht="15" hidden="false" customHeight="false" outlineLevel="0" collapsed="false">
      <c r="A826" s="15" t="n">
        <v>2742</v>
      </c>
      <c r="B826" s="16" t="n">
        <v>3.01181593536203</v>
      </c>
      <c r="C826" s="15" t="n">
        <v>230</v>
      </c>
      <c r="D826" s="15" t="n">
        <v>300</v>
      </c>
      <c r="E826" s="15" t="n">
        <v>20</v>
      </c>
      <c r="F826" s="16" t="n">
        <v>0.688332522525665</v>
      </c>
      <c r="G826" s="17" t="s">
        <v>91</v>
      </c>
      <c r="H826" s="18" t="n">
        <v>0.2</v>
      </c>
      <c r="I826" s="18" t="n">
        <v>2</v>
      </c>
      <c r="J826" s="19" t="n">
        <v>0.947548141697082</v>
      </c>
      <c r="K826" s="19" t="n">
        <v>0.453591752257635</v>
      </c>
      <c r="L826" s="16" t="n">
        <v>11.8575430526064</v>
      </c>
      <c r="M826" s="19" t="n">
        <v>0.735698067373015</v>
      </c>
      <c r="N826" s="19" t="n">
        <v>2.01106516112679</v>
      </c>
      <c r="O826" s="19" t="n">
        <v>1.46529626145332</v>
      </c>
      <c r="P826" s="19" t="n">
        <v>0.497887922142644</v>
      </c>
      <c r="Q826" s="17" t="s">
        <v>31</v>
      </c>
      <c r="R826" s="5" t="str">
        <f aca="false">IF(OR(Q826="Steel plate",Q826="Concrete jacket"),"Steel plate or jacket",Q826)</f>
        <v>Polymer laminate</v>
      </c>
      <c r="S826" s="5" t="str">
        <f aca="false">IF(O826&lt;='Tree rules'!$C$4,IF(N826&lt;='Tree rules'!$C$5,IF(P826&lt;='Tree rules'!$C$6,"Monitor","Polymer laminate"),IF(P826&lt;='Tree rules'!$C$7,"Seal cracks","Polymer laminate")),IF(O826&lt;='Tree rules'!$C$8,IF(M826&lt;='Tree rules'!$C$9,"Steel plate or jacket","Polymer laminate"),IF(L826&lt;='Tree rules'!$C$10,"Steel plate or jacket","Polymer laminate")))</f>
        <v>Steel plate or jacket</v>
      </c>
      <c r="T826" s="5" t="str">
        <f aca="false">IF(S826=R826,"Yes","No")</f>
        <v>No</v>
      </c>
    </row>
    <row r="827" customFormat="false" ht="15" hidden="false" customHeight="false" outlineLevel="0" collapsed="false">
      <c r="A827" s="15" t="n">
        <v>2743</v>
      </c>
      <c r="B827" s="16" t="n">
        <v>4.07599668082041</v>
      </c>
      <c r="C827" s="15" t="n">
        <v>300</v>
      </c>
      <c r="D827" s="15" t="n">
        <v>325</v>
      </c>
      <c r="E827" s="15" t="n">
        <v>25</v>
      </c>
      <c r="F827" s="16" t="n">
        <v>0.72065207824282</v>
      </c>
      <c r="G827" s="17" t="s">
        <v>89</v>
      </c>
      <c r="H827" s="18" t="n">
        <v>0.3</v>
      </c>
      <c r="I827" s="18" t="n">
        <v>2</v>
      </c>
      <c r="J827" s="19" t="n">
        <v>0.882836827827566</v>
      </c>
      <c r="K827" s="19" t="n">
        <v>0.479525974249837</v>
      </c>
      <c r="L827" s="16" t="n">
        <v>14.6093070997147</v>
      </c>
      <c r="M827" s="19" t="n">
        <v>0.862576435254843</v>
      </c>
      <c r="N827" s="19" t="n">
        <v>1.08677170678362</v>
      </c>
      <c r="O827" s="19" t="n">
        <v>1.34233046568748</v>
      </c>
      <c r="P827" s="19" t="n">
        <v>0.510128765524094</v>
      </c>
      <c r="Q827" s="17" t="s">
        <v>31</v>
      </c>
      <c r="R827" s="5" t="str">
        <f aca="false">IF(OR(Q827="Steel plate",Q827="Concrete jacket"),"Steel plate or jacket",Q827)</f>
        <v>Polymer laminate</v>
      </c>
      <c r="S827" s="5" t="str">
        <f aca="false">IF(O827&lt;='Tree rules'!$C$4,IF(N827&lt;='Tree rules'!$C$5,IF(P827&lt;='Tree rules'!$C$6,"Monitor","Polymer laminate"),IF(P827&lt;='Tree rules'!$C$7,"Seal cracks","Polymer laminate")),IF(O827&lt;='Tree rules'!$C$8,IF(M827&lt;='Tree rules'!$C$9,"Steel plate or jacket","Polymer laminate"),IF(L827&lt;='Tree rules'!$C$10,"Steel plate or jacket","Polymer laminate")))</f>
        <v>Polymer laminate</v>
      </c>
      <c r="T827" s="5" t="str">
        <f aca="false">IF(S827=R827,"Yes","No")</f>
        <v>Yes</v>
      </c>
    </row>
    <row r="828" customFormat="false" ht="15" hidden="false" customHeight="false" outlineLevel="0" collapsed="false">
      <c r="A828" s="15" t="n">
        <v>2748</v>
      </c>
      <c r="B828" s="16" t="n">
        <v>5.23574987160077</v>
      </c>
      <c r="C828" s="15" t="n">
        <v>300</v>
      </c>
      <c r="D828" s="15" t="n">
        <v>475</v>
      </c>
      <c r="E828" s="15" t="n">
        <v>25</v>
      </c>
      <c r="F828" s="16" t="n">
        <v>0.735735984447258</v>
      </c>
      <c r="G828" s="17" t="s">
        <v>89</v>
      </c>
      <c r="H828" s="18" t="n">
        <v>0.3</v>
      </c>
      <c r="I828" s="18" t="n">
        <v>1</v>
      </c>
      <c r="J828" s="19" t="n">
        <v>0.879838797181854</v>
      </c>
      <c r="K828" s="19" t="n">
        <v>0.632261157883388</v>
      </c>
      <c r="L828" s="16" t="n">
        <v>12.2617093011728</v>
      </c>
      <c r="M828" s="19" t="n">
        <v>0.438642849135011</v>
      </c>
      <c r="N828" s="19" t="n">
        <v>0.741871842485132</v>
      </c>
      <c r="O828" s="19" t="n">
        <v>0.879838797181854</v>
      </c>
      <c r="P828" s="19" t="n">
        <v>0.819831261456743</v>
      </c>
      <c r="Q828" s="17" t="s">
        <v>29</v>
      </c>
      <c r="R828" s="5" t="str">
        <f aca="false">IF(OR(Q828="Steel plate",Q828="Concrete jacket"),"Steel plate or jacket",Q828)</f>
        <v>Monitor</v>
      </c>
      <c r="S828" s="5" t="str">
        <f aca="false">IF(O828&lt;='Tree rules'!$C$4,IF(N828&lt;='Tree rules'!$C$5,IF(P828&lt;='Tree rules'!$C$6,"Monitor","Polymer laminate"),IF(P828&lt;='Tree rules'!$C$7,"Seal cracks","Polymer laminate")),IF(O828&lt;='Tree rules'!$C$8,IF(M828&lt;='Tree rules'!$C$9,"Steel plate or jacket","Polymer laminate"),IF(L828&lt;='Tree rules'!$C$10,"Steel plate or jacket","Polymer laminate")))</f>
        <v>Monitor</v>
      </c>
      <c r="T828" s="5" t="str">
        <f aca="false">IF(S828=R828,"Yes","No")</f>
        <v>Yes</v>
      </c>
    </row>
    <row r="829" customFormat="false" ht="15" hidden="false" customHeight="false" outlineLevel="0" collapsed="false">
      <c r="A829" s="15" t="n">
        <v>2755</v>
      </c>
      <c r="B829" s="16" t="n">
        <v>6.05646056632352</v>
      </c>
      <c r="C829" s="15" t="n">
        <v>300</v>
      </c>
      <c r="D829" s="15" t="n">
        <v>575</v>
      </c>
      <c r="E829" s="15" t="n">
        <v>20</v>
      </c>
      <c r="F829" s="16" t="n">
        <v>0.760158524876169</v>
      </c>
      <c r="G829" s="17" t="s">
        <v>91</v>
      </c>
      <c r="H829" s="18" t="n">
        <v>0.2</v>
      </c>
      <c r="I829" s="18" t="n">
        <v>2</v>
      </c>
      <c r="J829" s="19" t="n">
        <v>0.937205505216854</v>
      </c>
      <c r="K829" s="19" t="n">
        <v>0.5252915688484</v>
      </c>
      <c r="L829" s="16" t="n">
        <v>11.4488857586456</v>
      </c>
      <c r="M829" s="19" t="n">
        <v>0.786709894786223</v>
      </c>
      <c r="N829" s="19" t="n">
        <v>1.23476259679083</v>
      </c>
      <c r="O829" s="19" t="n">
        <v>1.38210486026499</v>
      </c>
      <c r="P829" s="19" t="n">
        <v>0.621259996362602</v>
      </c>
      <c r="Q829" s="17" t="s">
        <v>92</v>
      </c>
      <c r="R829" s="5" t="str">
        <f aca="false">IF(OR(Q829="Steel plate",Q829="Concrete jacket"),"Steel plate or jacket",Q829)</f>
        <v>Steel plate or jacket</v>
      </c>
      <c r="S829" s="5" t="str">
        <f aca="false">IF(O829&lt;='Tree rules'!$C$4,IF(N829&lt;='Tree rules'!$C$5,IF(P829&lt;='Tree rules'!$C$6,"Monitor","Polymer laminate"),IF(P829&lt;='Tree rules'!$C$7,"Seal cracks","Polymer laminate")),IF(O829&lt;='Tree rules'!$C$8,IF(M829&lt;='Tree rules'!$C$9,"Steel plate or jacket","Polymer laminate"),IF(L829&lt;='Tree rules'!$C$10,"Steel plate or jacket","Polymer laminate")))</f>
        <v>Steel plate or jacket</v>
      </c>
      <c r="T829" s="5" t="str">
        <f aca="false">IF(S829=R829,"Yes","No")</f>
        <v>Yes</v>
      </c>
    </row>
    <row r="830" customFormat="false" ht="15" hidden="false" customHeight="false" outlineLevel="0" collapsed="false">
      <c r="A830" s="15" t="n">
        <v>2758</v>
      </c>
      <c r="B830" s="16" t="n">
        <v>5.26811812296262</v>
      </c>
      <c r="C830" s="15" t="n">
        <v>230</v>
      </c>
      <c r="D830" s="15" t="n">
        <v>475</v>
      </c>
      <c r="E830" s="15" t="n">
        <v>20</v>
      </c>
      <c r="F830" s="16" t="n">
        <v>0.611316296229087</v>
      </c>
      <c r="G830" s="17" t="s">
        <v>91</v>
      </c>
      <c r="H830" s="18" t="n">
        <v>0.2</v>
      </c>
      <c r="I830" s="18" t="n">
        <v>1.5</v>
      </c>
      <c r="J830" s="19" t="n">
        <v>0.904383094572076</v>
      </c>
      <c r="K830" s="19" t="n">
        <v>0.555260733313281</v>
      </c>
      <c r="L830" s="16" t="n">
        <v>12.2799956246215</v>
      </c>
      <c r="M830" s="19" t="n">
        <v>0.645168844145212</v>
      </c>
      <c r="N830" s="19" t="n">
        <v>1.16104941949094</v>
      </c>
      <c r="O830" s="19" t="n">
        <v>1.105490431714</v>
      </c>
      <c r="P830" s="19" t="n">
        <v>0.576735195374982</v>
      </c>
      <c r="Q830" s="17" t="s">
        <v>31</v>
      </c>
      <c r="R830" s="5" t="str">
        <f aca="false">IF(OR(Q830="Steel plate",Q830="Concrete jacket"),"Steel plate or jacket",Q830)</f>
        <v>Polymer laminate</v>
      </c>
      <c r="S830" s="5" t="str">
        <f aca="false">IF(O830&lt;='Tree rules'!$C$4,IF(N830&lt;='Tree rules'!$C$5,IF(P830&lt;='Tree rules'!$C$6,"Monitor","Polymer laminate"),IF(P830&lt;='Tree rules'!$C$7,"Seal cracks","Polymer laminate")),IF(O830&lt;='Tree rules'!$C$8,IF(M830&lt;='Tree rules'!$C$9,"Steel plate or jacket","Polymer laminate"),IF(L830&lt;='Tree rules'!$C$10,"Steel plate or jacket","Polymer laminate")))</f>
        <v>Polymer laminate</v>
      </c>
      <c r="T830" s="5" t="str">
        <f aca="false">IF(S830=R830,"Yes","No")</f>
        <v>Yes</v>
      </c>
    </row>
    <row r="831" customFormat="false" ht="15" hidden="false" customHeight="false" outlineLevel="0" collapsed="false">
      <c r="A831" s="15" t="n">
        <v>2760</v>
      </c>
      <c r="B831" s="16" t="n">
        <v>3.43737627496135</v>
      </c>
      <c r="C831" s="15" t="n">
        <v>230</v>
      </c>
      <c r="D831" s="15" t="n">
        <v>325</v>
      </c>
      <c r="E831" s="15" t="n">
        <v>20</v>
      </c>
      <c r="F831" s="16" t="n">
        <v>0.662259320914844</v>
      </c>
      <c r="G831" s="17" t="s">
        <v>90</v>
      </c>
      <c r="H831" s="18" t="n">
        <v>0.1</v>
      </c>
      <c r="I831" s="18" t="n">
        <v>1</v>
      </c>
      <c r="J831" s="19" t="n">
        <v>0.914259618839081</v>
      </c>
      <c r="K831" s="19" t="n">
        <v>0.48759113339302</v>
      </c>
      <c r="L831" s="16" t="n">
        <v>13.0203646778839</v>
      </c>
      <c r="M831" s="19" t="n">
        <v>0.584065461734295</v>
      </c>
      <c r="N831" s="19" t="n">
        <v>2.84498240923212</v>
      </c>
      <c r="O831" s="19" t="n">
        <v>0.914259618839081</v>
      </c>
      <c r="P831" s="19" t="n">
        <v>0.449909305347761</v>
      </c>
      <c r="Q831" s="17" t="s">
        <v>30</v>
      </c>
      <c r="R831" s="5" t="str">
        <f aca="false">IF(OR(Q831="Steel plate",Q831="Concrete jacket"),"Steel plate or jacket",Q831)</f>
        <v>Seal cracks</v>
      </c>
      <c r="S831" s="5" t="str">
        <f aca="false">IF(O831&lt;='Tree rules'!$C$4,IF(N831&lt;='Tree rules'!$C$5,IF(P831&lt;='Tree rules'!$C$6,"Monitor","Polymer laminate"),IF(P831&lt;='Tree rules'!$C$7,"Seal cracks","Polymer laminate")),IF(O831&lt;='Tree rules'!$C$8,IF(M831&lt;='Tree rules'!$C$9,"Steel plate or jacket","Polymer laminate"),IF(L831&lt;='Tree rules'!$C$10,"Steel plate or jacket","Polymer laminate")))</f>
        <v>Seal cracks</v>
      </c>
      <c r="T831" s="5" t="str">
        <f aca="false">IF(S831=R831,"Yes","No")</f>
        <v>Yes</v>
      </c>
    </row>
    <row r="832" customFormat="false" ht="15" hidden="false" customHeight="false" outlineLevel="0" collapsed="false">
      <c r="A832" s="15" t="n">
        <v>2763</v>
      </c>
      <c r="B832" s="16" t="n">
        <v>5.89176319538346</v>
      </c>
      <c r="C832" s="15" t="n">
        <v>300</v>
      </c>
      <c r="D832" s="15" t="n">
        <v>500</v>
      </c>
      <c r="E832" s="15" t="n">
        <v>25</v>
      </c>
      <c r="F832" s="16" t="n">
        <v>0.738112811416104</v>
      </c>
      <c r="G832" s="17" t="s">
        <v>91</v>
      </c>
      <c r="H832" s="18" t="n">
        <v>0.2</v>
      </c>
      <c r="I832" s="18" t="n">
        <v>1</v>
      </c>
      <c r="J832" s="19" t="n">
        <v>0.85367691551109</v>
      </c>
      <c r="K832" s="19" t="n">
        <v>0.419687958854656</v>
      </c>
      <c r="L832" s="16" t="n">
        <v>12.9774519722103</v>
      </c>
      <c r="M832" s="19" t="n">
        <v>0.62646689963751</v>
      </c>
      <c r="N832" s="19" t="n">
        <v>0.824601771253671</v>
      </c>
      <c r="O832" s="19" t="n">
        <v>0.85367691551109</v>
      </c>
      <c r="P832" s="19" t="n">
        <v>0.528744421417695</v>
      </c>
      <c r="Q832" s="17" t="s">
        <v>29</v>
      </c>
      <c r="R832" s="5" t="str">
        <f aca="false">IF(OR(Q832="Steel plate",Q832="Concrete jacket"),"Steel plate or jacket",Q832)</f>
        <v>Monitor</v>
      </c>
      <c r="S832" s="5" t="str">
        <f aca="false">IF(O832&lt;='Tree rules'!$C$4,IF(N832&lt;='Tree rules'!$C$5,IF(P832&lt;='Tree rules'!$C$6,"Monitor","Polymer laminate"),IF(P832&lt;='Tree rules'!$C$7,"Seal cracks","Polymer laminate")),IF(O832&lt;='Tree rules'!$C$8,IF(M832&lt;='Tree rules'!$C$9,"Steel plate or jacket","Polymer laminate"),IF(L832&lt;='Tree rules'!$C$10,"Steel plate or jacket","Polymer laminate")))</f>
        <v>Monitor</v>
      </c>
      <c r="T832" s="5" t="str">
        <f aca="false">IF(S832=R832,"Yes","No")</f>
        <v>Yes</v>
      </c>
    </row>
    <row r="833" customFormat="false" ht="15" hidden="false" customHeight="false" outlineLevel="0" collapsed="false">
      <c r="A833" s="15" t="n">
        <v>2764</v>
      </c>
      <c r="B833" s="16" t="n">
        <v>3.99749380454172</v>
      </c>
      <c r="C833" s="15" t="n">
        <v>230</v>
      </c>
      <c r="D833" s="15" t="n">
        <v>375</v>
      </c>
      <c r="E833" s="15" t="n">
        <v>30</v>
      </c>
      <c r="F833" s="16" t="n">
        <v>0.835418868126524</v>
      </c>
      <c r="G833" s="17" t="s">
        <v>91</v>
      </c>
      <c r="H833" s="18" t="n">
        <v>0.2</v>
      </c>
      <c r="I833" s="18" t="n">
        <v>2</v>
      </c>
      <c r="J833" s="19" t="n">
        <v>0.898224270202017</v>
      </c>
      <c r="K833" s="19" t="n">
        <v>0.460633046593589</v>
      </c>
      <c r="L833" s="16" t="n">
        <v>12.2247516958462</v>
      </c>
      <c r="M833" s="19" t="n">
        <v>0.673804075173535</v>
      </c>
      <c r="N833" s="19" t="n">
        <v>1.96475725378673</v>
      </c>
      <c r="O833" s="19" t="n">
        <v>1.38269675829658</v>
      </c>
      <c r="P833" s="19" t="n">
        <v>0.598821782372401</v>
      </c>
      <c r="Q833" s="17" t="s">
        <v>31</v>
      </c>
      <c r="R833" s="5" t="str">
        <f aca="false">IF(OR(Q833="Steel plate",Q833="Concrete jacket"),"Steel plate or jacket",Q833)</f>
        <v>Polymer laminate</v>
      </c>
      <c r="S833" s="5" t="str">
        <f aca="false">IF(O833&lt;='Tree rules'!$C$4,IF(N833&lt;='Tree rules'!$C$5,IF(P833&lt;='Tree rules'!$C$6,"Monitor","Polymer laminate"),IF(P833&lt;='Tree rules'!$C$7,"Seal cracks","Polymer laminate")),IF(O833&lt;='Tree rules'!$C$8,IF(M833&lt;='Tree rules'!$C$9,"Steel plate or jacket","Polymer laminate"),IF(L833&lt;='Tree rules'!$C$10,"Steel plate or jacket","Polymer laminate")))</f>
        <v>Steel plate or jacket</v>
      </c>
      <c r="T833" s="5" t="str">
        <f aca="false">IF(S833=R833,"Yes","No")</f>
        <v>No</v>
      </c>
    </row>
    <row r="834" customFormat="false" ht="15" hidden="false" customHeight="false" outlineLevel="0" collapsed="false">
      <c r="A834" s="15" t="n">
        <v>2767</v>
      </c>
      <c r="B834" s="16" t="n">
        <v>6.45274508580789</v>
      </c>
      <c r="C834" s="15" t="n">
        <v>230</v>
      </c>
      <c r="D834" s="15" t="n">
        <v>600</v>
      </c>
      <c r="E834" s="15" t="n">
        <v>30</v>
      </c>
      <c r="F834" s="16" t="n">
        <v>0.742342309449384</v>
      </c>
      <c r="G834" s="17" t="s">
        <v>91</v>
      </c>
      <c r="H834" s="18" t="n">
        <v>0.2</v>
      </c>
      <c r="I834" s="18" t="n">
        <v>1</v>
      </c>
      <c r="J834" s="19" t="n">
        <v>0.872887754318554</v>
      </c>
      <c r="K834" s="19" t="n">
        <v>0.552697844938012</v>
      </c>
      <c r="L834" s="16" t="n">
        <v>11.6897555902317</v>
      </c>
      <c r="M834" s="19" t="n">
        <v>0.537258827136076</v>
      </c>
      <c r="N834" s="19" t="n">
        <v>0.925449479314903</v>
      </c>
      <c r="O834" s="19" t="n">
        <v>0.872887754318554</v>
      </c>
      <c r="P834" s="19" t="n">
        <v>0.610578731384968</v>
      </c>
      <c r="Q834" s="17" t="s">
        <v>29</v>
      </c>
      <c r="R834" s="5" t="str">
        <f aca="false">IF(OR(Q834="Steel plate",Q834="Concrete jacket"),"Steel plate or jacket",Q834)</f>
        <v>Monitor</v>
      </c>
      <c r="S834" s="5" t="str">
        <f aca="false">IF(O834&lt;='Tree rules'!$C$4,IF(N834&lt;='Tree rules'!$C$5,IF(P834&lt;='Tree rules'!$C$6,"Monitor","Polymer laminate"),IF(P834&lt;='Tree rules'!$C$7,"Seal cracks","Polymer laminate")),IF(O834&lt;='Tree rules'!$C$8,IF(M834&lt;='Tree rules'!$C$9,"Steel plate or jacket","Polymer laminate"),IF(L834&lt;='Tree rules'!$C$10,"Steel plate or jacket","Polymer laminate")))</f>
        <v>Monitor</v>
      </c>
      <c r="T834" s="5" t="str">
        <f aca="false">IF(S834=R834,"Yes","No")</f>
        <v>Yes</v>
      </c>
    </row>
    <row r="835" customFormat="false" ht="15" hidden="false" customHeight="false" outlineLevel="0" collapsed="false">
      <c r="A835" s="15" t="n">
        <v>2770</v>
      </c>
      <c r="B835" s="16" t="n">
        <v>6.41168306564339</v>
      </c>
      <c r="C835" s="15" t="n">
        <v>230</v>
      </c>
      <c r="D835" s="15" t="n">
        <v>600</v>
      </c>
      <c r="E835" s="15" t="n">
        <v>25</v>
      </c>
      <c r="F835" s="16" t="n">
        <v>0.742342309449384</v>
      </c>
      <c r="G835" s="17" t="s">
        <v>91</v>
      </c>
      <c r="H835" s="18" t="n">
        <v>0.2</v>
      </c>
      <c r="I835" s="18" t="n">
        <v>1</v>
      </c>
      <c r="J835" s="19" t="n">
        <v>0.871710852942143</v>
      </c>
      <c r="K835" s="19" t="n">
        <v>0.541278142489915</v>
      </c>
      <c r="L835" s="16" t="n">
        <v>11.6153678725424</v>
      </c>
      <c r="M835" s="19" t="n">
        <v>0.943459834639167</v>
      </c>
      <c r="N835" s="19" t="n">
        <v>0.826152557911851</v>
      </c>
      <c r="O835" s="19" t="n">
        <v>0.871710852942143</v>
      </c>
      <c r="P835" s="19" t="n">
        <v>0.384196023680618</v>
      </c>
      <c r="Q835" s="17" t="s">
        <v>29</v>
      </c>
      <c r="R835" s="5" t="str">
        <f aca="false">IF(OR(Q835="Steel plate",Q835="Concrete jacket"),"Steel plate or jacket",Q835)</f>
        <v>Monitor</v>
      </c>
      <c r="S835" s="5" t="str">
        <f aca="false">IF(O835&lt;='Tree rules'!$C$4,IF(N835&lt;='Tree rules'!$C$5,IF(P835&lt;='Tree rules'!$C$6,"Monitor","Polymer laminate"),IF(P835&lt;='Tree rules'!$C$7,"Seal cracks","Polymer laminate")),IF(O835&lt;='Tree rules'!$C$8,IF(M835&lt;='Tree rules'!$C$9,"Steel plate or jacket","Polymer laminate"),IF(L835&lt;='Tree rules'!$C$10,"Steel plate or jacket","Polymer laminate")))</f>
        <v>Monitor</v>
      </c>
      <c r="T835" s="5" t="str">
        <f aca="false">IF(S835=R835,"Yes","No")</f>
        <v>Yes</v>
      </c>
    </row>
    <row r="836" customFormat="false" ht="15" hidden="false" customHeight="false" outlineLevel="0" collapsed="false">
      <c r="A836" s="15" t="n">
        <v>2776</v>
      </c>
      <c r="B836" s="16" t="n">
        <v>5.6353958269843</v>
      </c>
      <c r="C836" s="15" t="n">
        <v>230</v>
      </c>
      <c r="D836" s="15" t="n">
        <v>475</v>
      </c>
      <c r="E836" s="15" t="n">
        <v>25</v>
      </c>
      <c r="F836" s="16" t="n">
        <v>0.633465437396808</v>
      </c>
      <c r="G836" s="17" t="s">
        <v>90</v>
      </c>
      <c r="H836" s="18" t="n">
        <v>0.1</v>
      </c>
      <c r="I836" s="18" t="n">
        <v>1</v>
      </c>
      <c r="J836" s="19" t="n">
        <v>0.852090679312978</v>
      </c>
      <c r="K836" s="19" t="n">
        <v>0.430459108004535</v>
      </c>
      <c r="L836" s="16" t="n">
        <v>13.6120672149379</v>
      </c>
      <c r="M836" s="19" t="n">
        <v>0.566477067491444</v>
      </c>
      <c r="N836" s="19" t="n">
        <v>2.26730947505886</v>
      </c>
      <c r="O836" s="19" t="n">
        <v>0.852090679312978</v>
      </c>
      <c r="P836" s="19" t="n">
        <v>0.480176006516032</v>
      </c>
      <c r="Q836" s="17" t="s">
        <v>30</v>
      </c>
      <c r="R836" s="5" t="str">
        <f aca="false">IF(OR(Q836="Steel plate",Q836="Concrete jacket"),"Steel plate or jacket",Q836)</f>
        <v>Seal cracks</v>
      </c>
      <c r="S836" s="5" t="str">
        <f aca="false">IF(O836&lt;='Tree rules'!$C$4,IF(N836&lt;='Tree rules'!$C$5,IF(P836&lt;='Tree rules'!$C$6,"Monitor","Polymer laminate"),IF(P836&lt;='Tree rules'!$C$7,"Seal cracks","Polymer laminate")),IF(O836&lt;='Tree rules'!$C$8,IF(M836&lt;='Tree rules'!$C$9,"Steel plate or jacket","Polymer laminate"),IF(L836&lt;='Tree rules'!$C$10,"Steel plate or jacket","Polymer laminate")))</f>
        <v>Seal cracks</v>
      </c>
      <c r="T836" s="5" t="str">
        <f aca="false">IF(S836=R836,"Yes","No")</f>
        <v>Yes</v>
      </c>
    </row>
    <row r="837" customFormat="false" ht="15" hidden="false" customHeight="false" outlineLevel="0" collapsed="false">
      <c r="A837" s="15" t="n">
        <v>2778</v>
      </c>
      <c r="B837" s="16" t="n">
        <v>6.85651205304254</v>
      </c>
      <c r="C837" s="15" t="n">
        <v>230</v>
      </c>
      <c r="D837" s="15" t="n">
        <v>625</v>
      </c>
      <c r="E837" s="15" t="n">
        <v>20</v>
      </c>
      <c r="F837" s="16" t="n">
        <v>0.710178431223674</v>
      </c>
      <c r="G837" s="17" t="s">
        <v>91</v>
      </c>
      <c r="H837" s="18" t="n">
        <v>0.2</v>
      </c>
      <c r="I837" s="18" t="n">
        <v>1</v>
      </c>
      <c r="J837" s="19" t="n">
        <v>0.865142757496026</v>
      </c>
      <c r="K837" s="19" t="n">
        <v>0.493959202213399</v>
      </c>
      <c r="L837" s="16" t="n">
        <v>11.8830364870755</v>
      </c>
      <c r="M837" s="19" t="n">
        <v>0.374952652988812</v>
      </c>
      <c r="N837" s="19" t="n">
        <v>0.922600716285624</v>
      </c>
      <c r="O837" s="19" t="n">
        <v>0.865142757496026</v>
      </c>
      <c r="P837" s="19" t="n">
        <v>0.903880590104644</v>
      </c>
      <c r="Q837" s="17" t="s">
        <v>29</v>
      </c>
      <c r="R837" s="5" t="str">
        <f aca="false">IF(OR(Q837="Steel plate",Q837="Concrete jacket"),"Steel plate or jacket",Q837)</f>
        <v>Monitor</v>
      </c>
      <c r="S837" s="5" t="str">
        <f aca="false">IF(O837&lt;='Tree rules'!$C$4,IF(N837&lt;='Tree rules'!$C$5,IF(P837&lt;='Tree rules'!$C$6,"Monitor","Polymer laminate"),IF(P837&lt;='Tree rules'!$C$7,"Seal cracks","Polymer laminate")),IF(O837&lt;='Tree rules'!$C$8,IF(M837&lt;='Tree rules'!$C$9,"Steel plate or jacket","Polymer laminate"),IF(L837&lt;='Tree rules'!$C$10,"Steel plate or jacket","Polymer laminate")))</f>
        <v>Monitor</v>
      </c>
      <c r="T837" s="5" t="str">
        <f aca="false">IF(S837=R837,"Yes","No")</f>
        <v>Yes</v>
      </c>
    </row>
    <row r="838" customFormat="false" ht="15" hidden="false" customHeight="false" outlineLevel="0" collapsed="false">
      <c r="A838" s="15" t="n">
        <v>2780</v>
      </c>
      <c r="B838" s="16" t="n">
        <v>4.07990595443026</v>
      </c>
      <c r="C838" s="15" t="n">
        <v>300</v>
      </c>
      <c r="D838" s="15" t="n">
        <v>350</v>
      </c>
      <c r="E838" s="15" t="n">
        <v>30</v>
      </c>
      <c r="F838" s="16" t="n">
        <v>0.61599855952741</v>
      </c>
      <c r="G838" s="17" t="s">
        <v>91</v>
      </c>
      <c r="H838" s="18" t="n">
        <v>0.2</v>
      </c>
      <c r="I838" s="18" t="n">
        <v>1</v>
      </c>
      <c r="J838" s="19" t="n">
        <v>0.908539976913969</v>
      </c>
      <c r="K838" s="19" t="n">
        <v>0.501831556808972</v>
      </c>
      <c r="L838" s="16" t="n">
        <v>13.3330259948701</v>
      </c>
      <c r="M838" s="19" t="n">
        <v>0.465987265544291</v>
      </c>
      <c r="N838" s="19" t="n">
        <v>0.944050942452429</v>
      </c>
      <c r="O838" s="19" t="n">
        <v>0.908539976913969</v>
      </c>
      <c r="P838" s="19" t="n">
        <v>0.58322096268685</v>
      </c>
      <c r="Q838" s="17" t="s">
        <v>29</v>
      </c>
      <c r="R838" s="5" t="str">
        <f aca="false">IF(OR(Q838="Steel plate",Q838="Concrete jacket"),"Steel plate or jacket",Q838)</f>
        <v>Monitor</v>
      </c>
      <c r="S838" s="5" t="str">
        <f aca="false">IF(O838&lt;='Tree rules'!$C$4,IF(N838&lt;='Tree rules'!$C$5,IF(P838&lt;='Tree rules'!$C$6,"Monitor","Polymer laminate"),IF(P838&lt;='Tree rules'!$C$7,"Seal cracks","Polymer laminate")),IF(O838&lt;='Tree rules'!$C$8,IF(M838&lt;='Tree rules'!$C$9,"Steel plate or jacket","Polymer laminate"),IF(L838&lt;='Tree rules'!$C$10,"Steel plate or jacket","Polymer laminate")))</f>
        <v>Monitor</v>
      </c>
      <c r="T838" s="5" t="str">
        <f aca="false">IF(S838=R838,"Yes","No")</f>
        <v>Yes</v>
      </c>
    </row>
    <row r="839" customFormat="false" ht="15" hidden="false" customHeight="false" outlineLevel="0" collapsed="false">
      <c r="A839" s="15" t="n">
        <v>2781</v>
      </c>
      <c r="B839" s="16" t="n">
        <v>4.32396439257352</v>
      </c>
      <c r="C839" s="15" t="n">
        <v>300</v>
      </c>
      <c r="D839" s="15" t="n">
        <v>375</v>
      </c>
      <c r="E839" s="15" t="n">
        <v>30</v>
      </c>
      <c r="F839" s="16" t="n">
        <v>0.814840647739602</v>
      </c>
      <c r="G839" s="17" t="s">
        <v>91</v>
      </c>
      <c r="H839" s="18" t="n">
        <v>0.2</v>
      </c>
      <c r="I839" s="18" t="n">
        <v>1.5</v>
      </c>
      <c r="J839" s="19" t="n">
        <v>0.937046311695322</v>
      </c>
      <c r="K839" s="19" t="n">
        <v>0.423929671358524</v>
      </c>
      <c r="L839" s="16" t="n">
        <v>13.1427489135973</v>
      </c>
      <c r="M839" s="19" t="n">
        <v>0.541119271822995</v>
      </c>
      <c r="N839" s="19" t="n">
        <v>1.35156260876378</v>
      </c>
      <c r="O839" s="19" t="n">
        <v>1.20694860006063</v>
      </c>
      <c r="P839" s="19" t="n">
        <v>0.716652420935983</v>
      </c>
      <c r="Q839" s="17" t="s">
        <v>31</v>
      </c>
      <c r="R839" s="5" t="str">
        <f aca="false">IF(OR(Q839="Steel plate",Q839="Concrete jacket"),"Steel plate or jacket",Q839)</f>
        <v>Polymer laminate</v>
      </c>
      <c r="S839" s="5" t="str">
        <f aca="false">IF(O839&lt;='Tree rules'!$C$4,IF(N839&lt;='Tree rules'!$C$5,IF(P839&lt;='Tree rules'!$C$6,"Monitor","Polymer laminate"),IF(P839&lt;='Tree rules'!$C$7,"Seal cracks","Polymer laminate")),IF(O839&lt;='Tree rules'!$C$8,IF(M839&lt;='Tree rules'!$C$9,"Steel plate or jacket","Polymer laminate"),IF(L839&lt;='Tree rules'!$C$10,"Steel plate or jacket","Polymer laminate")))</f>
        <v>Polymer laminate</v>
      </c>
      <c r="T839" s="5" t="str">
        <f aca="false">IF(S839=R839,"Yes","No")</f>
        <v>Yes</v>
      </c>
    </row>
    <row r="840" customFormat="false" ht="15" hidden="false" customHeight="false" outlineLevel="0" collapsed="false">
      <c r="A840" s="15" t="n">
        <v>2782</v>
      </c>
      <c r="B840" s="16" t="n">
        <v>6.72750629866285</v>
      </c>
      <c r="C840" s="15" t="n">
        <v>230</v>
      </c>
      <c r="D840" s="15" t="n">
        <v>600</v>
      </c>
      <c r="E840" s="15" t="n">
        <v>25</v>
      </c>
      <c r="F840" s="16" t="n">
        <v>0.742342309449384</v>
      </c>
      <c r="G840" s="17" t="s">
        <v>89</v>
      </c>
      <c r="H840" s="18" t="n">
        <v>0.3</v>
      </c>
      <c r="I840" s="18" t="n">
        <v>1</v>
      </c>
      <c r="J840" s="19" t="n">
        <v>0.85828966607052</v>
      </c>
      <c r="K840" s="19" t="n">
        <v>0.478214349569367</v>
      </c>
      <c r="L840" s="16" t="n">
        <v>12.1875114106211</v>
      </c>
      <c r="M840" s="19" t="n">
        <v>0.855103645559194</v>
      </c>
      <c r="N840" s="19" t="n">
        <v>0.55350052858267</v>
      </c>
      <c r="O840" s="19" t="n">
        <v>0.85828966607052</v>
      </c>
      <c r="P840" s="19" t="n">
        <v>0.412746661198349</v>
      </c>
      <c r="Q840" s="17" t="s">
        <v>29</v>
      </c>
      <c r="R840" s="5" t="str">
        <f aca="false">IF(OR(Q840="Steel plate",Q840="Concrete jacket"),"Steel plate or jacket",Q840)</f>
        <v>Monitor</v>
      </c>
      <c r="S840" s="5" t="str">
        <f aca="false">IF(O840&lt;='Tree rules'!$C$4,IF(N840&lt;='Tree rules'!$C$5,IF(P840&lt;='Tree rules'!$C$6,"Monitor","Polymer laminate"),IF(P840&lt;='Tree rules'!$C$7,"Seal cracks","Polymer laminate")),IF(O840&lt;='Tree rules'!$C$8,IF(M840&lt;='Tree rules'!$C$9,"Steel plate or jacket","Polymer laminate"),IF(L840&lt;='Tree rules'!$C$10,"Steel plate or jacket","Polymer laminate")))</f>
        <v>Monitor</v>
      </c>
      <c r="T840" s="5" t="str">
        <f aca="false">IF(S840=R840,"Yes","No")</f>
        <v>Yes</v>
      </c>
    </row>
    <row r="841" customFormat="false" ht="15" hidden="false" customHeight="false" outlineLevel="0" collapsed="false">
      <c r="A841" s="15" t="n">
        <v>2787</v>
      </c>
      <c r="B841" s="16" t="n">
        <v>6.11505322938859</v>
      </c>
      <c r="C841" s="15" t="n">
        <v>230</v>
      </c>
      <c r="D841" s="15" t="n">
        <v>550</v>
      </c>
      <c r="E841" s="15" t="n">
        <v>25</v>
      </c>
      <c r="F841" s="16" t="n">
        <v>0.693795479053647</v>
      </c>
      <c r="G841" s="17" t="s">
        <v>89</v>
      </c>
      <c r="H841" s="18" t="n">
        <v>0.3</v>
      </c>
      <c r="I841" s="18" t="n">
        <v>1.5</v>
      </c>
      <c r="J841" s="19" t="n">
        <v>0.873724880382432</v>
      </c>
      <c r="K841" s="19" t="n">
        <v>0.423165176653067</v>
      </c>
      <c r="L841" s="16" t="n">
        <v>12.1330421218028</v>
      </c>
      <c r="M841" s="19" t="n">
        <v>0.629612156506537</v>
      </c>
      <c r="N841" s="19" t="n">
        <v>0.718688232422644</v>
      </c>
      <c r="O841" s="19" t="n">
        <v>1.12572234889704</v>
      </c>
      <c r="P841" s="19" t="n">
        <v>0.566343578645447</v>
      </c>
      <c r="Q841" s="17" t="s">
        <v>31</v>
      </c>
      <c r="R841" s="5" t="str">
        <f aca="false">IF(OR(Q841="Steel plate",Q841="Concrete jacket"),"Steel plate or jacket",Q841)</f>
        <v>Polymer laminate</v>
      </c>
      <c r="S841" s="5" t="str">
        <f aca="false">IF(O841&lt;='Tree rules'!$C$4,IF(N841&lt;='Tree rules'!$C$5,IF(P841&lt;='Tree rules'!$C$6,"Monitor","Polymer laminate"),IF(P841&lt;='Tree rules'!$C$7,"Seal cracks","Polymer laminate")),IF(O841&lt;='Tree rules'!$C$8,IF(M841&lt;='Tree rules'!$C$9,"Steel plate or jacket","Polymer laminate"),IF(L841&lt;='Tree rules'!$C$10,"Steel plate or jacket","Polymer laminate")))</f>
        <v>Polymer laminate</v>
      </c>
      <c r="T841" s="5" t="str">
        <f aca="false">IF(S841=R841,"Yes","No")</f>
        <v>Yes</v>
      </c>
    </row>
    <row r="842" customFormat="false" ht="15" hidden="false" customHeight="false" outlineLevel="0" collapsed="false">
      <c r="A842" s="15" t="n">
        <v>2790</v>
      </c>
      <c r="B842" s="16" t="n">
        <v>6.36065915890553</v>
      </c>
      <c r="C842" s="15" t="n">
        <v>300</v>
      </c>
      <c r="D842" s="15" t="n">
        <v>600</v>
      </c>
      <c r="E842" s="15" t="n">
        <v>30</v>
      </c>
      <c r="F842" s="16" t="n">
        <v>0.569129103911194</v>
      </c>
      <c r="G842" s="17" t="s">
        <v>91</v>
      </c>
      <c r="H842" s="18" t="n">
        <v>0.2</v>
      </c>
      <c r="I842" s="18" t="n">
        <v>1.5</v>
      </c>
      <c r="J842" s="19" t="n">
        <v>0.888199541586801</v>
      </c>
      <c r="K842" s="19" t="n">
        <v>0.616605544293523</v>
      </c>
      <c r="L842" s="16" t="n">
        <v>11.5229332588868</v>
      </c>
      <c r="M842" s="19" t="n">
        <v>0.430419193824111</v>
      </c>
      <c r="N842" s="19" t="n">
        <v>1.35253668807439</v>
      </c>
      <c r="O842" s="19" t="n">
        <v>1.05846493148951</v>
      </c>
      <c r="P842" s="19" t="n">
        <v>0.692073460368096</v>
      </c>
      <c r="Q842" s="17" t="s">
        <v>31</v>
      </c>
      <c r="R842" s="5" t="str">
        <f aca="false">IF(OR(Q842="Steel plate",Q842="Concrete jacket"),"Steel plate or jacket",Q842)</f>
        <v>Polymer laminate</v>
      </c>
      <c r="S842" s="5" t="str">
        <f aca="false">IF(O842&lt;='Tree rules'!$C$4,IF(N842&lt;='Tree rules'!$C$5,IF(P842&lt;='Tree rules'!$C$6,"Monitor","Polymer laminate"),IF(P842&lt;='Tree rules'!$C$7,"Seal cracks","Polymer laminate")),IF(O842&lt;='Tree rules'!$C$8,IF(M842&lt;='Tree rules'!$C$9,"Steel plate or jacket","Polymer laminate"),IF(L842&lt;='Tree rules'!$C$10,"Steel plate or jacket","Polymer laminate")))</f>
        <v>Polymer laminate</v>
      </c>
      <c r="T842" s="5" t="str">
        <f aca="false">IF(S842=R842,"Yes","No")</f>
        <v>Yes</v>
      </c>
    </row>
    <row r="843" customFormat="false" ht="15" hidden="false" customHeight="false" outlineLevel="0" collapsed="false">
      <c r="A843" s="15" t="n">
        <v>2791</v>
      </c>
      <c r="B843" s="16" t="n">
        <v>3.44324360188912</v>
      </c>
      <c r="C843" s="15" t="n">
        <v>300</v>
      </c>
      <c r="D843" s="15" t="n">
        <v>350</v>
      </c>
      <c r="E843" s="15" t="n">
        <v>20</v>
      </c>
      <c r="F843" s="16" t="n">
        <v>0.661387927071535</v>
      </c>
      <c r="G843" s="17" t="s">
        <v>91</v>
      </c>
      <c r="H843" s="18" t="n">
        <v>0.2</v>
      </c>
      <c r="I843" s="18" t="n">
        <v>1</v>
      </c>
      <c r="J843" s="19" t="n">
        <v>0.943921745230976</v>
      </c>
      <c r="K843" s="19" t="n">
        <v>0.643474466698799</v>
      </c>
      <c r="L843" s="16" t="n">
        <v>11.3264592167405</v>
      </c>
      <c r="M843" s="19" t="n">
        <v>0.617530879430305</v>
      </c>
      <c r="N843" s="19" t="n">
        <v>1.14417601923196</v>
      </c>
      <c r="O843" s="19" t="n">
        <v>0.943921745230976</v>
      </c>
      <c r="P843" s="19" t="n">
        <v>0.530554106311145</v>
      </c>
      <c r="Q843" s="17" t="s">
        <v>30</v>
      </c>
      <c r="R843" s="5" t="str">
        <f aca="false">IF(OR(Q843="Steel plate",Q843="Concrete jacket"),"Steel plate or jacket",Q843)</f>
        <v>Seal cracks</v>
      </c>
      <c r="S843" s="5" t="str">
        <f aca="false">IF(O843&lt;='Tree rules'!$C$4,IF(N843&lt;='Tree rules'!$C$5,IF(P843&lt;='Tree rules'!$C$6,"Monitor","Polymer laminate"),IF(P843&lt;='Tree rules'!$C$7,"Seal cracks","Polymer laminate")),IF(O843&lt;='Tree rules'!$C$8,IF(M843&lt;='Tree rules'!$C$9,"Steel plate or jacket","Polymer laminate"),IF(L843&lt;='Tree rules'!$C$10,"Steel plate or jacket","Polymer laminate")))</f>
        <v>Seal cracks</v>
      </c>
      <c r="T843" s="5" t="str">
        <f aca="false">IF(S843=R843,"Yes","No")</f>
        <v>Yes</v>
      </c>
    </row>
    <row r="844" customFormat="false" ht="15" hidden="false" customHeight="false" outlineLevel="0" collapsed="false">
      <c r="A844" s="15" t="n">
        <v>2799</v>
      </c>
      <c r="B844" s="16" t="n">
        <v>4.44132550834679</v>
      </c>
      <c r="C844" s="15" t="n">
        <v>300</v>
      </c>
      <c r="D844" s="15" t="n">
        <v>400</v>
      </c>
      <c r="E844" s="15" t="n">
        <v>30</v>
      </c>
      <c r="F844" s="16" t="n">
        <v>0.594998608634431</v>
      </c>
      <c r="G844" s="17" t="s">
        <v>91</v>
      </c>
      <c r="H844" s="18" t="n">
        <v>0.2</v>
      </c>
      <c r="I844" s="18" t="n">
        <v>1.5</v>
      </c>
      <c r="J844" s="19" t="n">
        <v>0.882281343029309</v>
      </c>
      <c r="K844" s="19" t="n">
        <v>0.576131015869259</v>
      </c>
      <c r="L844" s="16" t="n">
        <v>12.6174020123489</v>
      </c>
      <c r="M844" s="19" t="n">
        <v>0.256888015704799</v>
      </c>
      <c r="N844" s="19" t="n">
        <v>1.96910712966784</v>
      </c>
      <c r="O844" s="19" t="n">
        <v>1.06926719132298</v>
      </c>
      <c r="P844" s="19" t="n">
        <v>1.09735565595611</v>
      </c>
      <c r="Q844" s="17" t="s">
        <v>31</v>
      </c>
      <c r="R844" s="5" t="str">
        <f aca="false">IF(OR(Q844="Steel plate",Q844="Concrete jacket"),"Steel plate or jacket",Q844)</f>
        <v>Polymer laminate</v>
      </c>
      <c r="S844" s="5" t="str">
        <f aca="false">IF(O844&lt;='Tree rules'!$C$4,IF(N844&lt;='Tree rules'!$C$5,IF(P844&lt;='Tree rules'!$C$6,"Monitor","Polymer laminate"),IF(P844&lt;='Tree rules'!$C$7,"Seal cracks","Polymer laminate")),IF(O844&lt;='Tree rules'!$C$8,IF(M844&lt;='Tree rules'!$C$9,"Steel plate or jacket","Polymer laminate"),IF(L844&lt;='Tree rules'!$C$10,"Steel plate or jacket","Polymer laminate")))</f>
        <v>Steel plate or jacket</v>
      </c>
      <c r="T844" s="5" t="str">
        <f aca="false">IF(S844=R844,"Yes","No")</f>
        <v>No</v>
      </c>
    </row>
    <row r="845" customFormat="false" ht="15" hidden="false" customHeight="false" outlineLevel="0" collapsed="false">
      <c r="A845" s="15" t="n">
        <v>2800</v>
      </c>
      <c r="B845" s="16" t="n">
        <v>6.45556172177275</v>
      </c>
      <c r="C845" s="15" t="n">
        <v>300</v>
      </c>
      <c r="D845" s="15" t="n">
        <v>625</v>
      </c>
      <c r="E845" s="15" t="n">
        <v>25</v>
      </c>
      <c r="F845" s="16" t="n">
        <v>0.578762031749415</v>
      </c>
      <c r="G845" s="17" t="s">
        <v>91</v>
      </c>
      <c r="H845" s="18" t="n">
        <v>0.2</v>
      </c>
      <c r="I845" s="18" t="n">
        <v>1</v>
      </c>
      <c r="J845" s="19" t="n">
        <v>0.947925224003257</v>
      </c>
      <c r="K845" s="19" t="n">
        <v>0.607824813491751</v>
      </c>
      <c r="L845" s="16" t="n">
        <v>11.1495021101429</v>
      </c>
      <c r="M845" s="19" t="n">
        <v>0.873524013459595</v>
      </c>
      <c r="N845" s="19" t="n">
        <v>0.837045110310626</v>
      </c>
      <c r="O845" s="19" t="n">
        <v>0.947925224003257</v>
      </c>
      <c r="P845" s="19" t="n">
        <v>0.374694384651903</v>
      </c>
      <c r="Q845" s="17" t="s">
        <v>29</v>
      </c>
      <c r="R845" s="5" t="str">
        <f aca="false">IF(OR(Q845="Steel plate",Q845="Concrete jacket"),"Steel plate or jacket",Q845)</f>
        <v>Monitor</v>
      </c>
      <c r="S845" s="5" t="str">
        <f aca="false">IF(O845&lt;='Tree rules'!$C$4,IF(N845&lt;='Tree rules'!$C$5,IF(P845&lt;='Tree rules'!$C$6,"Monitor","Polymer laminate"),IF(P845&lt;='Tree rules'!$C$7,"Seal cracks","Polymer laminate")),IF(O845&lt;='Tree rules'!$C$8,IF(M845&lt;='Tree rules'!$C$9,"Steel plate or jacket","Polymer laminate"),IF(L845&lt;='Tree rules'!$C$10,"Steel plate or jacket","Polymer laminate")))</f>
        <v>Monitor</v>
      </c>
      <c r="T845" s="5" t="str">
        <f aca="false">IF(S845=R845,"Yes","No")</f>
        <v>Yes</v>
      </c>
    </row>
    <row r="846" customFormat="false" ht="15" hidden="false" customHeight="false" outlineLevel="0" collapsed="false">
      <c r="A846" s="15" t="n">
        <v>2802</v>
      </c>
      <c r="B846" s="16" t="n">
        <v>4.04992715016938</v>
      </c>
      <c r="C846" s="15" t="n">
        <v>300</v>
      </c>
      <c r="D846" s="15" t="n">
        <v>375</v>
      </c>
      <c r="E846" s="15" t="n">
        <v>25</v>
      </c>
      <c r="F846" s="16" t="n">
        <v>0.640487798897002</v>
      </c>
      <c r="G846" s="17" t="s">
        <v>91</v>
      </c>
      <c r="H846" s="18" t="n">
        <v>0.2</v>
      </c>
      <c r="I846" s="18" t="n">
        <v>1</v>
      </c>
      <c r="J846" s="19" t="n">
        <v>0.870194784300536</v>
      </c>
      <c r="K846" s="19" t="n">
        <v>0.474870228968078</v>
      </c>
      <c r="L846" s="16" t="n">
        <v>12.3850983185608</v>
      </c>
      <c r="M846" s="19" t="n">
        <v>0.393015085359037</v>
      </c>
      <c r="N846" s="19" t="n">
        <v>1.51678319723282</v>
      </c>
      <c r="O846" s="19" t="n">
        <v>0.870194784300536</v>
      </c>
      <c r="P846" s="19" t="n">
        <v>0.655959027395501</v>
      </c>
      <c r="Q846" s="17" t="s">
        <v>30</v>
      </c>
      <c r="R846" s="5" t="str">
        <f aca="false">IF(OR(Q846="Steel plate",Q846="Concrete jacket"),"Steel plate or jacket",Q846)</f>
        <v>Seal cracks</v>
      </c>
      <c r="S846" s="5" t="str">
        <f aca="false">IF(O846&lt;='Tree rules'!$C$4,IF(N846&lt;='Tree rules'!$C$5,IF(P846&lt;='Tree rules'!$C$6,"Monitor","Polymer laminate"),IF(P846&lt;='Tree rules'!$C$7,"Seal cracks","Polymer laminate")),IF(O846&lt;='Tree rules'!$C$8,IF(M846&lt;='Tree rules'!$C$9,"Steel plate or jacket","Polymer laminate"),IF(L846&lt;='Tree rules'!$C$10,"Steel plate or jacket","Polymer laminate")))</f>
        <v>Seal cracks</v>
      </c>
      <c r="T846" s="5" t="str">
        <f aca="false">IF(S846=R846,"Yes","No")</f>
        <v>Yes</v>
      </c>
    </row>
    <row r="847" customFormat="false" ht="15" hidden="false" customHeight="false" outlineLevel="0" collapsed="false">
      <c r="A847" s="15" t="n">
        <v>2804</v>
      </c>
      <c r="B847" s="16" t="n">
        <v>4.76320876884553</v>
      </c>
      <c r="C847" s="15" t="n">
        <v>300</v>
      </c>
      <c r="D847" s="15" t="n">
        <v>425</v>
      </c>
      <c r="E847" s="15" t="n">
        <v>30</v>
      </c>
      <c r="F847" s="16" t="n">
        <v>0.833313701217452</v>
      </c>
      <c r="G847" s="17" t="s">
        <v>89</v>
      </c>
      <c r="H847" s="18" t="n">
        <v>0.3</v>
      </c>
      <c r="I847" s="18" t="n">
        <v>1</v>
      </c>
      <c r="J847" s="19" t="n">
        <v>0.854048324717467</v>
      </c>
      <c r="K847" s="19" t="n">
        <v>0.456046208676592</v>
      </c>
      <c r="L847" s="16" t="n">
        <v>12.6345060181579</v>
      </c>
      <c r="M847" s="19" t="n">
        <v>0.722825835246447</v>
      </c>
      <c r="N847" s="19" t="n">
        <v>0.686024286831108</v>
      </c>
      <c r="O847" s="19" t="n">
        <v>0.854048324717467</v>
      </c>
      <c r="P847" s="19" t="n">
        <v>0.458150138555282</v>
      </c>
      <c r="Q847" s="17" t="s">
        <v>29</v>
      </c>
      <c r="R847" s="5" t="str">
        <f aca="false">IF(OR(Q847="Steel plate",Q847="Concrete jacket"),"Steel plate or jacket",Q847)</f>
        <v>Monitor</v>
      </c>
      <c r="S847" s="5" t="str">
        <f aca="false">IF(O847&lt;='Tree rules'!$C$4,IF(N847&lt;='Tree rules'!$C$5,IF(P847&lt;='Tree rules'!$C$6,"Monitor","Polymer laminate"),IF(P847&lt;='Tree rules'!$C$7,"Seal cracks","Polymer laminate")),IF(O847&lt;='Tree rules'!$C$8,IF(M847&lt;='Tree rules'!$C$9,"Steel plate or jacket","Polymer laminate"),IF(L847&lt;='Tree rules'!$C$10,"Steel plate or jacket","Polymer laminate")))</f>
        <v>Monitor</v>
      </c>
      <c r="T847" s="5" t="str">
        <f aca="false">IF(S847=R847,"Yes","No")</f>
        <v>Yes</v>
      </c>
    </row>
    <row r="848" customFormat="false" ht="15" hidden="false" customHeight="false" outlineLevel="0" collapsed="false">
      <c r="A848" s="15" t="n">
        <v>2805</v>
      </c>
      <c r="B848" s="16" t="n">
        <v>4.01674329322709</v>
      </c>
      <c r="C848" s="15" t="n">
        <v>230</v>
      </c>
      <c r="D848" s="15" t="n">
        <v>400</v>
      </c>
      <c r="E848" s="15" t="n">
        <v>25</v>
      </c>
      <c r="F848" s="16" t="n">
        <v>0.776085141697083</v>
      </c>
      <c r="G848" s="17" t="s">
        <v>91</v>
      </c>
      <c r="H848" s="18" t="n">
        <v>0.2</v>
      </c>
      <c r="I848" s="18" t="n">
        <v>1</v>
      </c>
      <c r="J848" s="19" t="n">
        <v>0.915013328349188</v>
      </c>
      <c r="K848" s="19" t="n">
        <v>0.52551702854072</v>
      </c>
      <c r="L848" s="16" t="n">
        <v>11.411202537577</v>
      </c>
      <c r="M848" s="19" t="n">
        <v>0.886792505918231</v>
      </c>
      <c r="N848" s="19" t="n">
        <v>1.19225579655885</v>
      </c>
      <c r="O848" s="19" t="n">
        <v>0.915013328349188</v>
      </c>
      <c r="P848" s="19" t="n">
        <v>0.37628267781054</v>
      </c>
      <c r="Q848" s="17" t="s">
        <v>30</v>
      </c>
      <c r="R848" s="5" t="str">
        <f aca="false">IF(OR(Q848="Steel plate",Q848="Concrete jacket"),"Steel plate or jacket",Q848)</f>
        <v>Seal cracks</v>
      </c>
      <c r="S848" s="5" t="str">
        <f aca="false">IF(O848&lt;='Tree rules'!$C$4,IF(N848&lt;='Tree rules'!$C$5,IF(P848&lt;='Tree rules'!$C$6,"Monitor","Polymer laminate"),IF(P848&lt;='Tree rules'!$C$7,"Seal cracks","Polymer laminate")),IF(O848&lt;='Tree rules'!$C$8,IF(M848&lt;='Tree rules'!$C$9,"Steel plate or jacket","Polymer laminate"),IF(L848&lt;='Tree rules'!$C$10,"Steel plate or jacket","Polymer laminate")))</f>
        <v>Seal cracks</v>
      </c>
      <c r="T848" s="5" t="str">
        <f aca="false">IF(S848=R848,"Yes","No")</f>
        <v>Yes</v>
      </c>
    </row>
    <row r="849" customFormat="false" ht="15" hidden="false" customHeight="false" outlineLevel="0" collapsed="false">
      <c r="A849" s="15" t="n">
        <v>2807</v>
      </c>
      <c r="B849" s="16" t="n">
        <v>7.18919431103549</v>
      </c>
      <c r="C849" s="15" t="n">
        <v>300</v>
      </c>
      <c r="D849" s="15" t="n">
        <v>700</v>
      </c>
      <c r="E849" s="15" t="n">
        <v>20</v>
      </c>
      <c r="F849" s="16" t="n">
        <v>0.657580879872275</v>
      </c>
      <c r="G849" s="17" t="s">
        <v>90</v>
      </c>
      <c r="H849" s="18" t="n">
        <v>0.1</v>
      </c>
      <c r="I849" s="18" t="n">
        <v>1</v>
      </c>
      <c r="J849" s="19" t="n">
        <v>0.965018593232464</v>
      </c>
      <c r="K849" s="19" t="n">
        <v>0.429825344347103</v>
      </c>
      <c r="L849" s="16" t="n">
        <v>11.2860193265863</v>
      </c>
      <c r="M849" s="19" t="n">
        <v>0.62692791246956</v>
      </c>
      <c r="N849" s="19" t="n">
        <v>2.43915953507664</v>
      </c>
      <c r="O849" s="19" t="n">
        <v>0.965018593232464</v>
      </c>
      <c r="P849" s="19" t="n">
        <v>0.508777386420534</v>
      </c>
      <c r="Q849" s="17" t="s">
        <v>30</v>
      </c>
      <c r="R849" s="5" t="str">
        <f aca="false">IF(OR(Q849="Steel plate",Q849="Concrete jacket"),"Steel plate or jacket",Q849)</f>
        <v>Seal cracks</v>
      </c>
      <c r="S849" s="5" t="str">
        <f aca="false">IF(O849&lt;='Tree rules'!$C$4,IF(N849&lt;='Tree rules'!$C$5,IF(P849&lt;='Tree rules'!$C$6,"Monitor","Polymer laminate"),IF(P849&lt;='Tree rules'!$C$7,"Seal cracks","Polymer laminate")),IF(O849&lt;='Tree rules'!$C$8,IF(M849&lt;='Tree rules'!$C$9,"Steel plate or jacket","Polymer laminate"),IF(L849&lt;='Tree rules'!$C$10,"Steel plate or jacket","Polymer laminate")))</f>
        <v>Seal cracks</v>
      </c>
      <c r="T849" s="5" t="str">
        <f aca="false">IF(S849=R849,"Yes","No")</f>
        <v>Yes</v>
      </c>
    </row>
    <row r="850" customFormat="false" ht="15" hidden="false" customHeight="false" outlineLevel="0" collapsed="false">
      <c r="A850" s="15" t="n">
        <v>2808</v>
      </c>
      <c r="B850" s="16" t="n">
        <v>7.25105348799411</v>
      </c>
      <c r="C850" s="15" t="n">
        <v>300</v>
      </c>
      <c r="D850" s="15" t="n">
        <v>625</v>
      </c>
      <c r="E850" s="15" t="n">
        <v>25</v>
      </c>
      <c r="F850" s="16" t="n">
        <v>0.594154638976793</v>
      </c>
      <c r="G850" s="17" t="s">
        <v>90</v>
      </c>
      <c r="H850" s="18" t="n">
        <v>0.1</v>
      </c>
      <c r="I850" s="18" t="n">
        <v>1</v>
      </c>
      <c r="J850" s="19" t="n">
        <v>0.951352061643459</v>
      </c>
      <c r="K850" s="19" t="n">
        <v>0.550889292692166</v>
      </c>
      <c r="L850" s="16" t="n">
        <v>12.8564778155924</v>
      </c>
      <c r="M850" s="19" t="n">
        <v>0.543102091371471</v>
      </c>
      <c r="N850" s="19" t="n">
        <v>2.42925760005196</v>
      </c>
      <c r="O850" s="19" t="n">
        <v>0.951352061643459</v>
      </c>
      <c r="P850" s="19" t="n">
        <v>0.607181322666579</v>
      </c>
      <c r="Q850" s="17" t="s">
        <v>30</v>
      </c>
      <c r="R850" s="5" t="str">
        <f aca="false">IF(OR(Q850="Steel plate",Q850="Concrete jacket"),"Steel plate or jacket",Q850)</f>
        <v>Seal cracks</v>
      </c>
      <c r="S850" s="5" t="str">
        <f aca="false">IF(O850&lt;='Tree rules'!$C$4,IF(N850&lt;='Tree rules'!$C$5,IF(P850&lt;='Tree rules'!$C$6,"Monitor","Polymer laminate"),IF(P850&lt;='Tree rules'!$C$7,"Seal cracks","Polymer laminate")),IF(O850&lt;='Tree rules'!$C$8,IF(M850&lt;='Tree rules'!$C$9,"Steel plate or jacket","Polymer laminate"),IF(L850&lt;='Tree rules'!$C$10,"Steel plate or jacket","Polymer laminate")))</f>
        <v>Seal cracks</v>
      </c>
      <c r="T850" s="5" t="str">
        <f aca="false">IF(S850=R850,"Yes","No")</f>
        <v>Yes</v>
      </c>
    </row>
    <row r="851" customFormat="false" ht="15" hidden="false" customHeight="false" outlineLevel="0" collapsed="false">
      <c r="A851" s="15" t="n">
        <v>2813</v>
      </c>
      <c r="B851" s="16" t="n">
        <v>6.86316094552175</v>
      </c>
      <c r="C851" s="15" t="n">
        <v>230</v>
      </c>
      <c r="D851" s="15" t="n">
        <v>650</v>
      </c>
      <c r="E851" s="15" t="n">
        <v>20</v>
      </c>
      <c r="F851" s="16" t="n">
        <v>0.578928677885824</v>
      </c>
      <c r="G851" s="17" t="s">
        <v>91</v>
      </c>
      <c r="H851" s="18" t="n">
        <v>0.2</v>
      </c>
      <c r="I851" s="18" t="n">
        <v>1.5</v>
      </c>
      <c r="J851" s="19" t="n">
        <v>0.91789072396891</v>
      </c>
      <c r="K851" s="19" t="n">
        <v>0.507100027073387</v>
      </c>
      <c r="L851" s="16" t="n">
        <v>11.3628492475526</v>
      </c>
      <c r="M851" s="19" t="n">
        <v>0.906888865534458</v>
      </c>
      <c r="N851" s="19" t="n">
        <v>0.993833965094984</v>
      </c>
      <c r="O851" s="19" t="n">
        <v>1.14410488046584</v>
      </c>
      <c r="P851" s="19" t="n">
        <v>0.401460592180866</v>
      </c>
      <c r="Q851" s="17" t="s">
        <v>31</v>
      </c>
      <c r="R851" s="5" t="str">
        <f aca="false">IF(OR(Q851="Steel plate",Q851="Concrete jacket"),"Steel plate or jacket",Q851)</f>
        <v>Polymer laminate</v>
      </c>
      <c r="S851" s="5" t="str">
        <f aca="false">IF(O851&lt;='Tree rules'!$C$4,IF(N851&lt;='Tree rules'!$C$5,IF(P851&lt;='Tree rules'!$C$6,"Monitor","Polymer laminate"),IF(P851&lt;='Tree rules'!$C$7,"Seal cracks","Polymer laminate")),IF(O851&lt;='Tree rules'!$C$8,IF(M851&lt;='Tree rules'!$C$9,"Steel plate or jacket","Polymer laminate"),IF(L851&lt;='Tree rules'!$C$10,"Steel plate or jacket","Polymer laminate")))</f>
        <v>Polymer laminate</v>
      </c>
      <c r="T851" s="5" t="str">
        <f aca="false">IF(S851=R851,"Yes","No")</f>
        <v>Yes</v>
      </c>
    </row>
    <row r="852" customFormat="false" ht="15" hidden="false" customHeight="false" outlineLevel="0" collapsed="false">
      <c r="A852" s="15" t="n">
        <v>2814</v>
      </c>
      <c r="B852" s="16" t="n">
        <v>4.68280696169882</v>
      </c>
      <c r="C852" s="15" t="n">
        <v>230</v>
      </c>
      <c r="D852" s="15" t="n">
        <v>375</v>
      </c>
      <c r="E852" s="15" t="n">
        <v>20</v>
      </c>
      <c r="F852" s="16" t="n">
        <v>0.531417813743219</v>
      </c>
      <c r="G852" s="17" t="s">
        <v>89</v>
      </c>
      <c r="H852" s="18" t="n">
        <v>0.3</v>
      </c>
      <c r="I852" s="18" t="n">
        <v>1.5</v>
      </c>
      <c r="J852" s="19" t="n">
        <v>0.917491197065554</v>
      </c>
      <c r="K852" s="19" t="n">
        <v>0.421377946235806</v>
      </c>
      <c r="L852" s="16" t="n">
        <v>14.2334558106347</v>
      </c>
      <c r="M852" s="19" t="n">
        <v>0.583166939521821</v>
      </c>
      <c r="N852" s="19" t="n">
        <v>1.10041474472327</v>
      </c>
      <c r="O852" s="19" t="n">
        <v>1.18293151744387</v>
      </c>
      <c r="P852" s="19" t="n">
        <v>0.562825962217265</v>
      </c>
      <c r="Q852" s="17" t="s">
        <v>31</v>
      </c>
      <c r="R852" s="5" t="str">
        <f aca="false">IF(OR(Q852="Steel plate",Q852="Concrete jacket"),"Steel plate or jacket",Q852)</f>
        <v>Polymer laminate</v>
      </c>
      <c r="S852" s="5" t="str">
        <f aca="false">IF(O852&lt;='Tree rules'!$C$4,IF(N852&lt;='Tree rules'!$C$5,IF(P852&lt;='Tree rules'!$C$6,"Monitor","Polymer laminate"),IF(P852&lt;='Tree rules'!$C$7,"Seal cracks","Polymer laminate")),IF(O852&lt;='Tree rules'!$C$8,IF(M852&lt;='Tree rules'!$C$9,"Steel plate or jacket","Polymer laminate"),IF(L852&lt;='Tree rules'!$C$10,"Steel plate or jacket","Polymer laminate")))</f>
        <v>Polymer laminate</v>
      </c>
      <c r="T852" s="5" t="str">
        <f aca="false">IF(S852=R852,"Yes","No")</f>
        <v>Yes</v>
      </c>
    </row>
    <row r="853" customFormat="false" ht="15" hidden="false" customHeight="false" outlineLevel="0" collapsed="false">
      <c r="A853" s="15" t="n">
        <v>2818</v>
      </c>
      <c r="B853" s="16" t="n">
        <v>6.88411296240293</v>
      </c>
      <c r="C853" s="15" t="n">
        <v>300</v>
      </c>
      <c r="D853" s="15" t="n">
        <v>550</v>
      </c>
      <c r="E853" s="15" t="n">
        <v>25</v>
      </c>
      <c r="F853" s="16" t="n">
        <v>0.625815269639401</v>
      </c>
      <c r="G853" s="17" t="s">
        <v>91</v>
      </c>
      <c r="H853" s="18" t="n">
        <v>0.2</v>
      </c>
      <c r="I853" s="18" t="n">
        <v>1</v>
      </c>
      <c r="J853" s="19" t="n">
        <v>0.887583789934716</v>
      </c>
      <c r="K853" s="19" t="n">
        <v>0.56725075104416</v>
      </c>
      <c r="L853" s="16" t="n">
        <v>13.7133724350656</v>
      </c>
      <c r="M853" s="19" t="n">
        <v>0.945011371882332</v>
      </c>
      <c r="N853" s="19" t="n">
        <v>0.971265009167384</v>
      </c>
      <c r="O853" s="19" t="n">
        <v>0.887583789934716</v>
      </c>
      <c r="P853" s="19" t="n">
        <v>0.403878397834965</v>
      </c>
      <c r="Q853" s="17" t="s">
        <v>29</v>
      </c>
      <c r="R853" s="5" t="str">
        <f aca="false">IF(OR(Q853="Steel plate",Q853="Concrete jacket"),"Steel plate or jacket",Q853)</f>
        <v>Monitor</v>
      </c>
      <c r="S853" s="5" t="str">
        <f aca="false">IF(O853&lt;='Tree rules'!$C$4,IF(N853&lt;='Tree rules'!$C$5,IF(P853&lt;='Tree rules'!$C$6,"Monitor","Polymer laminate"),IF(P853&lt;='Tree rules'!$C$7,"Seal cracks","Polymer laminate")),IF(O853&lt;='Tree rules'!$C$8,IF(M853&lt;='Tree rules'!$C$9,"Steel plate or jacket","Polymer laminate"),IF(L853&lt;='Tree rules'!$C$10,"Steel plate or jacket","Polymer laminate")))</f>
        <v>Monitor</v>
      </c>
      <c r="T853" s="5" t="str">
        <f aca="false">IF(S853=R853,"Yes","No")</f>
        <v>Yes</v>
      </c>
    </row>
    <row r="854" customFormat="false" ht="15" hidden="false" customHeight="false" outlineLevel="0" collapsed="false">
      <c r="A854" s="15" t="n">
        <v>2820</v>
      </c>
      <c r="B854" s="16" t="n">
        <v>6.43908154530354</v>
      </c>
      <c r="C854" s="15" t="n">
        <v>300</v>
      </c>
      <c r="D854" s="15" t="n">
        <v>550</v>
      </c>
      <c r="E854" s="15" t="n">
        <v>20</v>
      </c>
      <c r="F854" s="16" t="n">
        <v>0.664887334093078</v>
      </c>
      <c r="G854" s="17" t="s">
        <v>89</v>
      </c>
      <c r="H854" s="18" t="n">
        <v>0.3</v>
      </c>
      <c r="I854" s="18" t="n">
        <v>1</v>
      </c>
      <c r="J854" s="19" t="n">
        <v>0.953356886303683</v>
      </c>
      <c r="K854" s="19" t="n">
        <v>0.416353160835193</v>
      </c>
      <c r="L854" s="16" t="n">
        <v>12.7759554470308</v>
      </c>
      <c r="M854" s="19" t="n">
        <v>0.734571999478878</v>
      </c>
      <c r="N854" s="19" t="n">
        <v>0.584702823275796</v>
      </c>
      <c r="O854" s="19" t="n">
        <v>0.953356886303683</v>
      </c>
      <c r="P854" s="19" t="n">
        <v>0.500926181970453</v>
      </c>
      <c r="Q854" s="17" t="s">
        <v>29</v>
      </c>
      <c r="R854" s="5" t="str">
        <f aca="false">IF(OR(Q854="Steel plate",Q854="Concrete jacket"),"Steel plate or jacket",Q854)</f>
        <v>Monitor</v>
      </c>
      <c r="S854" s="5" t="str">
        <f aca="false">IF(O854&lt;='Tree rules'!$C$4,IF(N854&lt;='Tree rules'!$C$5,IF(P854&lt;='Tree rules'!$C$6,"Monitor","Polymer laminate"),IF(P854&lt;='Tree rules'!$C$7,"Seal cracks","Polymer laminate")),IF(O854&lt;='Tree rules'!$C$8,IF(M854&lt;='Tree rules'!$C$9,"Steel plate or jacket","Polymer laminate"),IF(L854&lt;='Tree rules'!$C$10,"Steel plate or jacket","Polymer laminate")))</f>
        <v>Monitor</v>
      </c>
      <c r="T854" s="5" t="str">
        <f aca="false">IF(S854=R854,"Yes","No")</f>
        <v>Yes</v>
      </c>
    </row>
    <row r="855" customFormat="false" ht="15" hidden="false" customHeight="false" outlineLevel="0" collapsed="false">
      <c r="A855" s="15" t="n">
        <v>2821</v>
      </c>
      <c r="B855" s="16" t="n">
        <v>5.96203377843126</v>
      </c>
      <c r="C855" s="15" t="n">
        <v>230</v>
      </c>
      <c r="D855" s="15" t="n">
        <v>525</v>
      </c>
      <c r="E855" s="15" t="n">
        <v>30</v>
      </c>
      <c r="F855" s="16" t="n">
        <v>0.85906279835652</v>
      </c>
      <c r="G855" s="17" t="s">
        <v>89</v>
      </c>
      <c r="H855" s="18" t="n">
        <v>0.3</v>
      </c>
      <c r="I855" s="18" t="n">
        <v>1</v>
      </c>
      <c r="J855" s="19" t="n">
        <v>0.877858613354162</v>
      </c>
      <c r="K855" s="19" t="n">
        <v>0.423200349887416</v>
      </c>
      <c r="L855" s="16" t="n">
        <v>12.4990225962919</v>
      </c>
      <c r="M855" s="19" t="n">
        <v>0.719873945189724</v>
      </c>
      <c r="N855" s="19" t="n">
        <v>0.604737007725972</v>
      </c>
      <c r="O855" s="19" t="n">
        <v>0.877858613354162</v>
      </c>
      <c r="P855" s="19" t="n">
        <v>0.492906082536345</v>
      </c>
      <c r="Q855" s="17" t="s">
        <v>29</v>
      </c>
      <c r="R855" s="5" t="str">
        <f aca="false">IF(OR(Q855="Steel plate",Q855="Concrete jacket"),"Steel plate or jacket",Q855)</f>
        <v>Monitor</v>
      </c>
      <c r="S855" s="5" t="str">
        <f aca="false">IF(O855&lt;='Tree rules'!$C$4,IF(N855&lt;='Tree rules'!$C$5,IF(P855&lt;='Tree rules'!$C$6,"Monitor","Polymer laminate"),IF(P855&lt;='Tree rules'!$C$7,"Seal cracks","Polymer laminate")),IF(O855&lt;='Tree rules'!$C$8,IF(M855&lt;='Tree rules'!$C$9,"Steel plate or jacket","Polymer laminate"),IF(L855&lt;='Tree rules'!$C$10,"Steel plate or jacket","Polymer laminate")))</f>
        <v>Monitor</v>
      </c>
      <c r="T855" s="5" t="str">
        <f aca="false">IF(S855=R855,"Yes","No")</f>
        <v>Yes</v>
      </c>
    </row>
    <row r="856" customFormat="false" ht="15" hidden="false" customHeight="false" outlineLevel="0" collapsed="false">
      <c r="A856" s="15" t="n">
        <v>2822</v>
      </c>
      <c r="B856" s="16" t="n">
        <v>3.25364544445089</v>
      </c>
      <c r="C856" s="15" t="n">
        <v>230</v>
      </c>
      <c r="D856" s="15" t="n">
        <v>300</v>
      </c>
      <c r="E856" s="15" t="n">
        <v>25</v>
      </c>
      <c r="F856" s="16" t="n">
        <v>0.688332522525665</v>
      </c>
      <c r="G856" s="17" t="s">
        <v>91</v>
      </c>
      <c r="H856" s="18" t="n">
        <v>0.2</v>
      </c>
      <c r="I856" s="18" t="n">
        <v>1</v>
      </c>
      <c r="J856" s="19" t="n">
        <v>0.947722165553448</v>
      </c>
      <c r="K856" s="19" t="n">
        <v>0.49262112064921</v>
      </c>
      <c r="L856" s="16" t="n">
        <v>12.8096277340586</v>
      </c>
      <c r="M856" s="19" t="n">
        <v>0.600131967665289</v>
      </c>
      <c r="N856" s="19" t="n">
        <v>1.30371004596918</v>
      </c>
      <c r="O856" s="19" t="n">
        <v>0.947722165553448</v>
      </c>
      <c r="P856" s="19" t="n">
        <v>0.481759815840733</v>
      </c>
      <c r="Q856" s="17" t="s">
        <v>30</v>
      </c>
      <c r="R856" s="5" t="str">
        <f aca="false">IF(OR(Q856="Steel plate",Q856="Concrete jacket"),"Steel plate or jacket",Q856)</f>
        <v>Seal cracks</v>
      </c>
      <c r="S856" s="5" t="str">
        <f aca="false">IF(O856&lt;='Tree rules'!$C$4,IF(N856&lt;='Tree rules'!$C$5,IF(P856&lt;='Tree rules'!$C$6,"Monitor","Polymer laminate"),IF(P856&lt;='Tree rules'!$C$7,"Seal cracks","Polymer laminate")),IF(O856&lt;='Tree rules'!$C$8,IF(M856&lt;='Tree rules'!$C$9,"Steel plate or jacket","Polymer laminate"),IF(L856&lt;='Tree rules'!$C$10,"Steel plate or jacket","Polymer laminate")))</f>
        <v>Seal cracks</v>
      </c>
      <c r="T856" s="5" t="str">
        <f aca="false">IF(S856=R856,"Yes","No")</f>
        <v>Yes</v>
      </c>
    </row>
    <row r="857" customFormat="false" ht="15" hidden="false" customHeight="false" outlineLevel="0" collapsed="false">
      <c r="A857" s="15" t="n">
        <v>2824</v>
      </c>
      <c r="B857" s="16" t="n">
        <v>4.98577172925872</v>
      </c>
      <c r="C857" s="15" t="n">
        <v>300</v>
      </c>
      <c r="D857" s="15" t="n">
        <v>475</v>
      </c>
      <c r="E857" s="15" t="n">
        <v>25</v>
      </c>
      <c r="F857" s="16" t="n">
        <v>0.735735984447258</v>
      </c>
      <c r="G857" s="17" t="s">
        <v>89</v>
      </c>
      <c r="H857" s="18" t="n">
        <v>0.3</v>
      </c>
      <c r="I857" s="18" t="n">
        <v>1.5</v>
      </c>
      <c r="J857" s="19" t="n">
        <v>0.915523398472609</v>
      </c>
      <c r="K857" s="19" t="n">
        <v>0.443016611608125</v>
      </c>
      <c r="L857" s="16" t="n">
        <v>11.6762803963904</v>
      </c>
      <c r="M857" s="19" t="n">
        <v>0.844361046663146</v>
      </c>
      <c r="N857" s="19" t="n">
        <v>0.925728533388805</v>
      </c>
      <c r="O857" s="19" t="n">
        <v>1.17048906078927</v>
      </c>
      <c r="P857" s="19" t="n">
        <v>0.440514471355612</v>
      </c>
      <c r="Q857" s="17" t="s">
        <v>31</v>
      </c>
      <c r="R857" s="5" t="str">
        <f aca="false">IF(OR(Q857="Steel plate",Q857="Concrete jacket"),"Steel plate or jacket",Q857)</f>
        <v>Polymer laminate</v>
      </c>
      <c r="S857" s="5" t="str">
        <f aca="false">IF(O857&lt;='Tree rules'!$C$4,IF(N857&lt;='Tree rules'!$C$5,IF(P857&lt;='Tree rules'!$C$6,"Monitor","Polymer laminate"),IF(P857&lt;='Tree rules'!$C$7,"Seal cracks","Polymer laminate")),IF(O857&lt;='Tree rules'!$C$8,IF(M857&lt;='Tree rules'!$C$9,"Steel plate or jacket","Polymer laminate"),IF(L857&lt;='Tree rules'!$C$10,"Steel plate or jacket","Polymer laminate")))</f>
        <v>Polymer laminate</v>
      </c>
      <c r="T857" s="5" t="str">
        <f aca="false">IF(S857=R857,"Yes","No")</f>
        <v>Yes</v>
      </c>
    </row>
    <row r="858" customFormat="false" ht="15" hidden="false" customHeight="false" outlineLevel="0" collapsed="false">
      <c r="A858" s="15" t="n">
        <v>2827</v>
      </c>
      <c r="B858" s="16" t="n">
        <v>3.45119120339136</v>
      </c>
      <c r="C858" s="15" t="n">
        <v>230</v>
      </c>
      <c r="D858" s="15" t="n">
        <v>350</v>
      </c>
      <c r="E858" s="15" t="n">
        <v>30</v>
      </c>
      <c r="F858" s="16" t="n">
        <v>0.862679904875916</v>
      </c>
      <c r="G858" s="17" t="s">
        <v>91</v>
      </c>
      <c r="H858" s="18" t="n">
        <v>0.2</v>
      </c>
      <c r="I858" s="18" t="n">
        <v>1.5</v>
      </c>
      <c r="J858" s="19" t="n">
        <v>0.860150347009425</v>
      </c>
      <c r="K858" s="19" t="n">
        <v>0.635026744325958</v>
      </c>
      <c r="L858" s="16" t="n">
        <v>11.3526026427348</v>
      </c>
      <c r="M858" s="19" t="n">
        <v>0.931433315097469</v>
      </c>
      <c r="N858" s="19" t="n">
        <v>1.0628317969465</v>
      </c>
      <c r="O858" s="19" t="n">
        <v>1.01711628326802</v>
      </c>
      <c r="P858" s="19" t="n">
        <v>0.391798313850391</v>
      </c>
      <c r="Q858" s="17" t="s">
        <v>31</v>
      </c>
      <c r="R858" s="5" t="str">
        <f aca="false">IF(OR(Q858="Steel plate",Q858="Concrete jacket"),"Steel plate or jacket",Q858)</f>
        <v>Polymer laminate</v>
      </c>
      <c r="S858" s="5" t="str">
        <f aca="false">IF(O858&lt;='Tree rules'!$C$4,IF(N858&lt;='Tree rules'!$C$5,IF(P858&lt;='Tree rules'!$C$6,"Monitor","Polymer laminate"),IF(P858&lt;='Tree rules'!$C$7,"Seal cracks","Polymer laminate")),IF(O858&lt;='Tree rules'!$C$8,IF(M858&lt;='Tree rules'!$C$9,"Steel plate or jacket","Polymer laminate"),IF(L858&lt;='Tree rules'!$C$10,"Steel plate or jacket","Polymer laminate")))</f>
        <v>Polymer laminate</v>
      </c>
      <c r="T858" s="5" t="str">
        <f aca="false">IF(S858=R858,"Yes","No")</f>
        <v>Yes</v>
      </c>
    </row>
    <row r="859" customFormat="false" ht="15" hidden="false" customHeight="false" outlineLevel="0" collapsed="false">
      <c r="A859" s="15" t="n">
        <v>2829</v>
      </c>
      <c r="B859" s="16" t="n">
        <v>4.62713504553051</v>
      </c>
      <c r="C859" s="15" t="n">
        <v>300</v>
      </c>
      <c r="D859" s="15" t="n">
        <v>425</v>
      </c>
      <c r="E859" s="15" t="n">
        <v>20</v>
      </c>
      <c r="F859" s="16" t="n">
        <v>0.707341881547042</v>
      </c>
      <c r="G859" s="17" t="s">
        <v>91</v>
      </c>
      <c r="H859" s="18" t="n">
        <v>0.2</v>
      </c>
      <c r="I859" s="18" t="n">
        <v>1</v>
      </c>
      <c r="J859" s="19" t="n">
        <v>0.912471286057447</v>
      </c>
      <c r="K859" s="19" t="n">
        <v>0.608646732991293</v>
      </c>
      <c r="L859" s="16" t="n">
        <v>12.2087995924288</v>
      </c>
      <c r="M859" s="19" t="n">
        <v>0.696787511323869</v>
      </c>
      <c r="N859" s="19" t="n">
        <v>0.93361606189349</v>
      </c>
      <c r="O859" s="19" t="n">
        <v>0.912471286057447</v>
      </c>
      <c r="P859" s="19" t="n">
        <v>0.549405146202286</v>
      </c>
      <c r="Q859" s="17" t="s">
        <v>29</v>
      </c>
      <c r="R859" s="5" t="str">
        <f aca="false">IF(OR(Q859="Steel plate",Q859="Concrete jacket"),"Steel plate or jacket",Q859)</f>
        <v>Monitor</v>
      </c>
      <c r="S859" s="5" t="str">
        <f aca="false">IF(O859&lt;='Tree rules'!$C$4,IF(N859&lt;='Tree rules'!$C$5,IF(P859&lt;='Tree rules'!$C$6,"Monitor","Polymer laminate"),IF(P859&lt;='Tree rules'!$C$7,"Seal cracks","Polymer laminate")),IF(O859&lt;='Tree rules'!$C$8,IF(M859&lt;='Tree rules'!$C$9,"Steel plate or jacket","Polymer laminate"),IF(L859&lt;='Tree rules'!$C$10,"Steel plate or jacket","Polymer laminate")))</f>
        <v>Monitor</v>
      </c>
      <c r="T859" s="5" t="str">
        <f aca="false">IF(S859=R859,"Yes","No")</f>
        <v>Yes</v>
      </c>
    </row>
    <row r="860" customFormat="false" ht="15" hidden="false" customHeight="false" outlineLevel="0" collapsed="false">
      <c r="A860" s="15" t="n">
        <v>2834</v>
      </c>
      <c r="B860" s="16" t="n">
        <v>3.95905159476575</v>
      </c>
      <c r="C860" s="15" t="n">
        <v>230</v>
      </c>
      <c r="D860" s="15" t="n">
        <v>325</v>
      </c>
      <c r="E860" s="15" t="n">
        <v>25</v>
      </c>
      <c r="F860" s="16" t="n">
        <v>0.739439918465071</v>
      </c>
      <c r="G860" s="17" t="s">
        <v>90</v>
      </c>
      <c r="H860" s="18" t="n">
        <v>0.1</v>
      </c>
      <c r="I860" s="18" t="n">
        <v>2</v>
      </c>
      <c r="J860" s="19" t="n">
        <v>0.922196784055904</v>
      </c>
      <c r="K860" s="19" t="n">
        <v>0.570882403719602</v>
      </c>
      <c r="L860" s="16" t="n">
        <v>14.8836526119013</v>
      </c>
      <c r="M860" s="19" t="n">
        <v>0.620071934185504</v>
      </c>
      <c r="N860" s="19" t="n">
        <v>3.67867103376276</v>
      </c>
      <c r="O860" s="19" t="n">
        <v>1.31792765132749</v>
      </c>
      <c r="P860" s="19" t="n">
        <v>0.65949496448165</v>
      </c>
      <c r="Q860" s="17" t="s">
        <v>31</v>
      </c>
      <c r="R860" s="5" t="str">
        <f aca="false">IF(OR(Q860="Steel plate",Q860="Concrete jacket"),"Steel plate or jacket",Q860)</f>
        <v>Polymer laminate</v>
      </c>
      <c r="S860" s="5" t="str">
        <f aca="false">IF(O860&lt;='Tree rules'!$C$4,IF(N860&lt;='Tree rules'!$C$5,IF(P860&lt;='Tree rules'!$C$6,"Monitor","Polymer laminate"),IF(P860&lt;='Tree rules'!$C$7,"Seal cracks","Polymer laminate")),IF(O860&lt;='Tree rules'!$C$8,IF(M860&lt;='Tree rules'!$C$9,"Steel plate or jacket","Polymer laminate"),IF(L860&lt;='Tree rules'!$C$10,"Steel plate or jacket","Polymer laminate")))</f>
        <v>Polymer laminate</v>
      </c>
      <c r="T860" s="5" t="str">
        <f aca="false">IF(S860=R860,"Yes","No")</f>
        <v>Yes</v>
      </c>
    </row>
    <row r="861" customFormat="false" ht="15" hidden="false" customHeight="false" outlineLevel="0" collapsed="false">
      <c r="A861" s="15" t="n">
        <v>2835</v>
      </c>
      <c r="B861" s="16" t="n">
        <v>5.41632271383102</v>
      </c>
      <c r="C861" s="15" t="n">
        <v>230</v>
      </c>
      <c r="D861" s="15" t="n">
        <v>500</v>
      </c>
      <c r="E861" s="15" t="n">
        <v>25</v>
      </c>
      <c r="F861" s="16" t="n">
        <v>0.770204672782022</v>
      </c>
      <c r="G861" s="17" t="s">
        <v>89</v>
      </c>
      <c r="H861" s="18" t="n">
        <v>0.3</v>
      </c>
      <c r="I861" s="18" t="n">
        <v>1.5</v>
      </c>
      <c r="J861" s="19" t="n">
        <v>0.967793641766073</v>
      </c>
      <c r="K861" s="19" t="n">
        <v>0.448923180055503</v>
      </c>
      <c r="L861" s="16" t="n">
        <v>11.9302262419186</v>
      </c>
      <c r="M861" s="19" t="n">
        <v>0.943594874431094</v>
      </c>
      <c r="N861" s="19" t="n">
        <v>0.759908290383612</v>
      </c>
      <c r="O861" s="19" t="n">
        <v>1.23445796299955</v>
      </c>
      <c r="P861" s="19" t="n">
        <v>0.454946325186657</v>
      </c>
      <c r="Q861" s="17" t="s">
        <v>31</v>
      </c>
      <c r="R861" s="5" t="str">
        <f aca="false">IF(OR(Q861="Steel plate",Q861="Concrete jacket"),"Steel plate or jacket",Q861)</f>
        <v>Polymer laminate</v>
      </c>
      <c r="S861" s="5" t="str">
        <f aca="false">IF(O861&lt;='Tree rules'!$C$4,IF(N861&lt;='Tree rules'!$C$5,IF(P861&lt;='Tree rules'!$C$6,"Monitor","Polymer laminate"),IF(P861&lt;='Tree rules'!$C$7,"Seal cracks","Polymer laminate")),IF(O861&lt;='Tree rules'!$C$8,IF(M861&lt;='Tree rules'!$C$9,"Steel plate or jacket","Polymer laminate"),IF(L861&lt;='Tree rules'!$C$10,"Steel plate or jacket","Polymer laminate")))</f>
        <v>Polymer laminate</v>
      </c>
      <c r="T861" s="5" t="str">
        <f aca="false">IF(S861=R861,"Yes","No")</f>
        <v>Yes</v>
      </c>
    </row>
    <row r="862" customFormat="false" ht="15" hidden="false" customHeight="false" outlineLevel="0" collapsed="false">
      <c r="A862" s="15" t="n">
        <v>2842</v>
      </c>
      <c r="B862" s="16" t="n">
        <v>6.59450013687409</v>
      </c>
      <c r="C862" s="15" t="n">
        <v>230</v>
      </c>
      <c r="D862" s="15" t="n">
        <v>600</v>
      </c>
      <c r="E862" s="15" t="n">
        <v>25</v>
      </c>
      <c r="F862" s="16" t="n">
        <v>0.742342309449384</v>
      </c>
      <c r="G862" s="17" t="s">
        <v>89</v>
      </c>
      <c r="H862" s="18" t="n">
        <v>0.3</v>
      </c>
      <c r="I862" s="18" t="n">
        <v>1</v>
      </c>
      <c r="J862" s="19" t="n">
        <v>0.963701086953303</v>
      </c>
      <c r="K862" s="19" t="n">
        <v>0.414923636080241</v>
      </c>
      <c r="L862" s="16" t="n">
        <v>11.9465582189748</v>
      </c>
      <c r="M862" s="19" t="n">
        <v>0.931767613107602</v>
      </c>
      <c r="N862" s="19" t="n">
        <v>0.620065083569632</v>
      </c>
      <c r="O862" s="19" t="n">
        <v>0.963701086953303</v>
      </c>
      <c r="P862" s="19" t="n">
        <v>0.394509680342624</v>
      </c>
      <c r="Q862" s="17" t="s">
        <v>29</v>
      </c>
      <c r="R862" s="5" t="str">
        <f aca="false">IF(OR(Q862="Steel plate",Q862="Concrete jacket"),"Steel plate or jacket",Q862)</f>
        <v>Monitor</v>
      </c>
      <c r="S862" s="5" t="str">
        <f aca="false">IF(O862&lt;='Tree rules'!$C$4,IF(N862&lt;='Tree rules'!$C$5,IF(P862&lt;='Tree rules'!$C$6,"Monitor","Polymer laminate"),IF(P862&lt;='Tree rules'!$C$7,"Seal cracks","Polymer laminate")),IF(O862&lt;='Tree rules'!$C$8,IF(M862&lt;='Tree rules'!$C$9,"Steel plate or jacket","Polymer laminate"),IF(L862&lt;='Tree rules'!$C$10,"Steel plate or jacket","Polymer laminate")))</f>
        <v>Monitor</v>
      </c>
      <c r="T862" s="5" t="str">
        <f aca="false">IF(S862=R862,"Yes","No")</f>
        <v>Yes</v>
      </c>
    </row>
    <row r="863" customFormat="false" ht="15" hidden="false" customHeight="false" outlineLevel="0" collapsed="false">
      <c r="A863" s="15" t="n">
        <v>2843</v>
      </c>
      <c r="B863" s="16" t="n">
        <v>3.05204274592435</v>
      </c>
      <c r="C863" s="15" t="n">
        <v>300</v>
      </c>
      <c r="D863" s="15" t="n">
        <v>300</v>
      </c>
      <c r="E863" s="15" t="n">
        <v>30</v>
      </c>
      <c r="F863" s="16" t="n">
        <v>0.791582400904515</v>
      </c>
      <c r="G863" s="17" t="s">
        <v>91</v>
      </c>
      <c r="H863" s="18" t="n">
        <v>0.2</v>
      </c>
      <c r="I863" s="18" t="n">
        <v>1.5</v>
      </c>
      <c r="J863" s="19" t="n">
        <v>0.993347155083418</v>
      </c>
      <c r="K863" s="19" t="n">
        <v>0.472503099255482</v>
      </c>
      <c r="L863" s="16" t="n">
        <v>12.0159163225368</v>
      </c>
      <c r="M863" s="19" t="n">
        <v>0.327651780348112</v>
      </c>
      <c r="N863" s="19" t="n">
        <v>1.6763178591804</v>
      </c>
      <c r="O863" s="19" t="n">
        <v>1.25534092791836</v>
      </c>
      <c r="P863" s="19" t="n">
        <v>1.00078222931622</v>
      </c>
      <c r="Q863" s="17" t="s">
        <v>31</v>
      </c>
      <c r="R863" s="5" t="str">
        <f aca="false">IF(OR(Q863="Steel plate",Q863="Concrete jacket"),"Steel plate or jacket",Q863)</f>
        <v>Polymer laminate</v>
      </c>
      <c r="S863" s="5" t="str">
        <f aca="false">IF(O863&lt;='Tree rules'!$C$4,IF(N863&lt;='Tree rules'!$C$5,IF(P863&lt;='Tree rules'!$C$6,"Monitor","Polymer laminate"),IF(P863&lt;='Tree rules'!$C$7,"Seal cracks","Polymer laminate")),IF(O863&lt;='Tree rules'!$C$8,IF(M863&lt;='Tree rules'!$C$9,"Steel plate or jacket","Polymer laminate"),IF(L863&lt;='Tree rules'!$C$10,"Steel plate or jacket","Polymer laminate")))</f>
        <v>Polymer laminate</v>
      </c>
      <c r="T863" s="5" t="str">
        <f aca="false">IF(S863=R863,"Yes","No")</f>
        <v>Yes</v>
      </c>
    </row>
    <row r="864" customFormat="false" ht="15" hidden="false" customHeight="false" outlineLevel="0" collapsed="false">
      <c r="A864" s="15" t="n">
        <v>2844</v>
      </c>
      <c r="B864" s="16" t="n">
        <v>6.72339480838659</v>
      </c>
      <c r="C864" s="15" t="n">
        <v>300</v>
      </c>
      <c r="D864" s="15" t="n">
        <v>550</v>
      </c>
      <c r="E864" s="15" t="n">
        <v>30</v>
      </c>
      <c r="F864" s="16" t="n">
        <v>0.664887334093078</v>
      </c>
      <c r="G864" s="17" t="s">
        <v>91</v>
      </c>
      <c r="H864" s="18" t="n">
        <v>0.2</v>
      </c>
      <c r="I864" s="18" t="n">
        <v>1.5</v>
      </c>
      <c r="J864" s="19" t="n">
        <v>0.916677435009042</v>
      </c>
      <c r="K864" s="19" t="n">
        <v>0.579371927147216</v>
      </c>
      <c r="L864" s="16" t="n">
        <v>13.3400690642591</v>
      </c>
      <c r="M864" s="19" t="n">
        <v>0.49984575935323</v>
      </c>
      <c r="N864" s="19" t="n">
        <v>1.12084724690561</v>
      </c>
      <c r="O864" s="19" t="n">
        <v>1.10946756646679</v>
      </c>
      <c r="P864" s="19" t="n">
        <v>0.793471382735579</v>
      </c>
      <c r="Q864" s="17" t="s">
        <v>31</v>
      </c>
      <c r="R864" s="5" t="str">
        <f aca="false">IF(OR(Q864="Steel plate",Q864="Concrete jacket"),"Steel plate or jacket",Q864)</f>
        <v>Polymer laminate</v>
      </c>
      <c r="S864" s="5" t="str">
        <f aca="false">IF(O864&lt;='Tree rules'!$C$4,IF(N864&lt;='Tree rules'!$C$5,IF(P864&lt;='Tree rules'!$C$6,"Monitor","Polymer laminate"),IF(P864&lt;='Tree rules'!$C$7,"Seal cracks","Polymer laminate")),IF(O864&lt;='Tree rules'!$C$8,IF(M864&lt;='Tree rules'!$C$9,"Steel plate or jacket","Polymer laminate"),IF(L864&lt;='Tree rules'!$C$10,"Steel plate or jacket","Polymer laminate")))</f>
        <v>Polymer laminate</v>
      </c>
      <c r="T864" s="5" t="str">
        <f aca="false">IF(S864=R864,"Yes","No")</f>
        <v>Yes</v>
      </c>
    </row>
    <row r="865" customFormat="false" ht="15" hidden="false" customHeight="false" outlineLevel="0" collapsed="false">
      <c r="A865" s="15" t="n">
        <v>2845</v>
      </c>
      <c r="B865" s="16" t="n">
        <v>6.87999077920123</v>
      </c>
      <c r="C865" s="15" t="n">
        <v>300</v>
      </c>
      <c r="D865" s="15" t="n">
        <v>575</v>
      </c>
      <c r="E865" s="15" t="n">
        <v>30</v>
      </c>
      <c r="F865" s="16" t="n">
        <v>0.613592315154257</v>
      </c>
      <c r="G865" s="17" t="s">
        <v>90</v>
      </c>
      <c r="H865" s="18" t="n">
        <v>0.1</v>
      </c>
      <c r="I865" s="18" t="n">
        <v>2</v>
      </c>
      <c r="J865" s="19" t="n">
        <v>0.903011057602223</v>
      </c>
      <c r="K865" s="19" t="n">
        <v>0.574267009461031</v>
      </c>
      <c r="L865" s="16" t="n">
        <v>13.4374819906274</v>
      </c>
      <c r="M865" s="19" t="n">
        <v>0.731227848673667</v>
      </c>
      <c r="N865" s="19" t="n">
        <v>3.71241724204295</v>
      </c>
      <c r="O865" s="19" t="n">
        <v>1.28745265564497</v>
      </c>
      <c r="P865" s="19" t="n">
        <v>0.524625947212494</v>
      </c>
      <c r="Q865" s="17" t="s">
        <v>31</v>
      </c>
      <c r="R865" s="5" t="str">
        <f aca="false">IF(OR(Q865="Steel plate",Q865="Concrete jacket"),"Steel plate or jacket",Q865)</f>
        <v>Polymer laminate</v>
      </c>
      <c r="S865" s="5" t="str">
        <f aca="false">IF(O865&lt;='Tree rules'!$C$4,IF(N865&lt;='Tree rules'!$C$5,IF(P865&lt;='Tree rules'!$C$6,"Monitor","Polymer laminate"),IF(P865&lt;='Tree rules'!$C$7,"Seal cracks","Polymer laminate")),IF(O865&lt;='Tree rules'!$C$8,IF(M865&lt;='Tree rules'!$C$9,"Steel plate or jacket","Polymer laminate"),IF(L865&lt;='Tree rules'!$C$10,"Steel plate or jacket","Polymer laminate")))</f>
        <v>Polymer laminate</v>
      </c>
      <c r="T865" s="5" t="str">
        <f aca="false">IF(S865=R865,"Yes","No")</f>
        <v>Yes</v>
      </c>
    </row>
    <row r="866" customFormat="false" ht="15" hidden="false" customHeight="false" outlineLevel="0" collapsed="false">
      <c r="A866" s="15" t="n">
        <v>2847</v>
      </c>
      <c r="B866" s="16" t="n">
        <v>3.59937905574654</v>
      </c>
      <c r="C866" s="15" t="n">
        <v>300</v>
      </c>
      <c r="D866" s="15" t="n">
        <v>300</v>
      </c>
      <c r="E866" s="15" t="n">
        <v>20</v>
      </c>
      <c r="F866" s="16" t="n">
        <v>0.589048622548086</v>
      </c>
      <c r="G866" s="17" t="s">
        <v>89</v>
      </c>
      <c r="H866" s="18" t="n">
        <v>0.3</v>
      </c>
      <c r="I866" s="18" t="n">
        <v>2</v>
      </c>
      <c r="J866" s="19" t="n">
        <v>0.884629912432443</v>
      </c>
      <c r="K866" s="19" t="n">
        <v>0.590648995105329</v>
      </c>
      <c r="L866" s="16" t="n">
        <v>14.0600744365099</v>
      </c>
      <c r="M866" s="19" t="n">
        <v>0.870215261667688</v>
      </c>
      <c r="N866" s="19" t="n">
        <v>0.855539275521495</v>
      </c>
      <c r="O866" s="19" t="n">
        <v>1.24675405604655</v>
      </c>
      <c r="P866" s="19" t="n">
        <v>0.44418372293729</v>
      </c>
      <c r="Q866" s="17" t="s">
        <v>31</v>
      </c>
      <c r="R866" s="5" t="str">
        <f aca="false">IF(OR(Q866="Steel plate",Q866="Concrete jacket"),"Steel plate or jacket",Q866)</f>
        <v>Polymer laminate</v>
      </c>
      <c r="S866" s="5" t="str">
        <f aca="false">IF(O866&lt;='Tree rules'!$C$4,IF(N866&lt;='Tree rules'!$C$5,IF(P866&lt;='Tree rules'!$C$6,"Monitor","Polymer laminate"),IF(P866&lt;='Tree rules'!$C$7,"Seal cracks","Polymer laminate")),IF(O866&lt;='Tree rules'!$C$8,IF(M866&lt;='Tree rules'!$C$9,"Steel plate or jacket","Polymer laminate"),IF(L866&lt;='Tree rules'!$C$10,"Steel plate or jacket","Polymer laminate")))</f>
        <v>Polymer laminate</v>
      </c>
      <c r="T866" s="5" t="str">
        <f aca="false">IF(S866=R866,"Yes","No")</f>
        <v>Yes</v>
      </c>
    </row>
    <row r="867" customFormat="false" ht="15" hidden="false" customHeight="false" outlineLevel="0" collapsed="false">
      <c r="A867" s="15" t="n">
        <v>2849</v>
      </c>
      <c r="B867" s="16" t="n">
        <v>7.16048539707019</v>
      </c>
      <c r="C867" s="15" t="n">
        <v>300</v>
      </c>
      <c r="D867" s="15" t="n">
        <v>675</v>
      </c>
      <c r="E867" s="15" t="n">
        <v>20</v>
      </c>
      <c r="F867" s="16" t="n">
        <v>0.63930661313115</v>
      </c>
      <c r="G867" s="17" t="s">
        <v>91</v>
      </c>
      <c r="H867" s="18" t="n">
        <v>0.2</v>
      </c>
      <c r="I867" s="18" t="n">
        <v>1.5</v>
      </c>
      <c r="J867" s="19" t="n">
        <v>0.854505660070617</v>
      </c>
      <c r="K867" s="19" t="n">
        <v>0.523782975954189</v>
      </c>
      <c r="L867" s="16" t="n">
        <v>11.3839195501911</v>
      </c>
      <c r="M867" s="19" t="n">
        <v>0.387088486556194</v>
      </c>
      <c r="N867" s="19" t="n">
        <v>0.998790246512636</v>
      </c>
      <c r="O867" s="19" t="n">
        <v>1.05797073130518</v>
      </c>
      <c r="P867" s="19" t="n">
        <v>0.902148869502259</v>
      </c>
      <c r="Q867" s="17" t="s">
        <v>31</v>
      </c>
      <c r="R867" s="5" t="str">
        <f aca="false">IF(OR(Q867="Steel plate",Q867="Concrete jacket"),"Steel plate or jacket",Q867)</f>
        <v>Polymer laminate</v>
      </c>
      <c r="S867" s="5" t="str">
        <f aca="false">IF(O867&lt;='Tree rules'!$C$4,IF(N867&lt;='Tree rules'!$C$5,IF(P867&lt;='Tree rules'!$C$6,"Monitor","Polymer laminate"),IF(P867&lt;='Tree rules'!$C$7,"Seal cracks","Polymer laminate")),IF(O867&lt;='Tree rules'!$C$8,IF(M867&lt;='Tree rules'!$C$9,"Steel plate or jacket","Polymer laminate"),IF(L867&lt;='Tree rules'!$C$10,"Steel plate or jacket","Polymer laminate")))</f>
        <v>Polymer laminate</v>
      </c>
      <c r="T867" s="5" t="str">
        <f aca="false">IF(S867=R867,"Yes","No")</f>
        <v>Yes</v>
      </c>
    </row>
    <row r="868" customFormat="false" ht="15" hidden="false" customHeight="false" outlineLevel="0" collapsed="false">
      <c r="A868" s="15" t="n">
        <v>2856</v>
      </c>
      <c r="B868" s="16" t="n">
        <v>4.38949106340013</v>
      </c>
      <c r="C868" s="15" t="n">
        <v>230</v>
      </c>
      <c r="D868" s="15" t="n">
        <v>400</v>
      </c>
      <c r="E868" s="15" t="n">
        <v>30</v>
      </c>
      <c r="F868" s="16" t="n">
        <v>0.740832460684402</v>
      </c>
      <c r="G868" s="17" t="s">
        <v>89</v>
      </c>
      <c r="H868" s="18" t="n">
        <v>0.3</v>
      </c>
      <c r="I868" s="18" t="n">
        <v>2</v>
      </c>
      <c r="J868" s="19" t="n">
        <v>0.936562634624833</v>
      </c>
      <c r="K868" s="19" t="n">
        <v>0.483155132503986</v>
      </c>
      <c r="L868" s="16" t="n">
        <v>12.3996922694919</v>
      </c>
      <c r="M868" s="19" t="n">
        <v>0.278342715862446</v>
      </c>
      <c r="N868" s="19" t="n">
        <v>1.10201045879468</v>
      </c>
      <c r="O868" s="19" t="n">
        <v>1.42062022541922</v>
      </c>
      <c r="P868" s="19" t="n">
        <v>1.3806473243342</v>
      </c>
      <c r="Q868" s="17" t="s">
        <v>92</v>
      </c>
      <c r="R868" s="5" t="str">
        <f aca="false">IF(OR(Q868="Steel plate",Q868="Concrete jacket"),"Steel plate or jacket",Q868)</f>
        <v>Steel plate or jacket</v>
      </c>
      <c r="S868" s="5" t="str">
        <f aca="false">IF(O868&lt;='Tree rules'!$C$4,IF(N868&lt;='Tree rules'!$C$5,IF(P868&lt;='Tree rules'!$C$6,"Monitor","Polymer laminate"),IF(P868&lt;='Tree rules'!$C$7,"Seal cracks","Polymer laminate")),IF(O868&lt;='Tree rules'!$C$8,IF(M868&lt;='Tree rules'!$C$9,"Steel plate or jacket","Polymer laminate"),IF(L868&lt;='Tree rules'!$C$10,"Steel plate or jacket","Polymer laminate")))</f>
        <v>Steel plate or jacket</v>
      </c>
      <c r="T868" s="5" t="str">
        <f aca="false">IF(S868=R868,"Yes","No")</f>
        <v>Yes</v>
      </c>
    </row>
    <row r="869" customFormat="false" ht="15" hidden="false" customHeight="false" outlineLevel="0" collapsed="false">
      <c r="A869" s="15" t="n">
        <v>2857</v>
      </c>
      <c r="B869" s="16" t="n">
        <v>4.10507387919623</v>
      </c>
      <c r="C869" s="15" t="n">
        <v>300</v>
      </c>
      <c r="D869" s="15" t="n">
        <v>400</v>
      </c>
      <c r="E869" s="15" t="n">
        <v>30</v>
      </c>
      <c r="F869" s="16" t="n">
        <v>0.757295404255167</v>
      </c>
      <c r="G869" s="17" t="s">
        <v>89</v>
      </c>
      <c r="H869" s="18" t="n">
        <v>0.3</v>
      </c>
      <c r="I869" s="18" t="n">
        <v>1</v>
      </c>
      <c r="J869" s="19" t="n">
        <v>0.945332554193416</v>
      </c>
      <c r="K869" s="19" t="n">
        <v>0.628201615948456</v>
      </c>
      <c r="L869" s="16" t="n">
        <v>11.5962538960346</v>
      </c>
      <c r="M869" s="19" t="n">
        <v>0.924842582450579</v>
      </c>
      <c r="N869" s="19" t="n">
        <v>0.637037479425246</v>
      </c>
      <c r="O869" s="19" t="n">
        <v>0.945332554193416</v>
      </c>
      <c r="P869" s="19" t="n">
        <v>0.386716821999054</v>
      </c>
      <c r="Q869" s="17" t="s">
        <v>29</v>
      </c>
      <c r="R869" s="5" t="str">
        <f aca="false">IF(OR(Q869="Steel plate",Q869="Concrete jacket"),"Steel plate or jacket",Q869)</f>
        <v>Monitor</v>
      </c>
      <c r="S869" s="5" t="str">
        <f aca="false">IF(O869&lt;='Tree rules'!$C$4,IF(N869&lt;='Tree rules'!$C$5,IF(P869&lt;='Tree rules'!$C$6,"Monitor","Polymer laminate"),IF(P869&lt;='Tree rules'!$C$7,"Seal cracks","Polymer laminate")),IF(O869&lt;='Tree rules'!$C$8,IF(M869&lt;='Tree rules'!$C$9,"Steel plate or jacket","Polymer laminate"),IF(L869&lt;='Tree rules'!$C$10,"Steel plate or jacket","Polymer laminate")))</f>
        <v>Monitor</v>
      </c>
      <c r="T869" s="5" t="str">
        <f aca="false">IF(S869=R869,"Yes","No")</f>
        <v>Yes</v>
      </c>
    </row>
    <row r="870" customFormat="false" ht="15" hidden="false" customHeight="false" outlineLevel="0" collapsed="false">
      <c r="A870" s="15" t="n">
        <v>2863</v>
      </c>
      <c r="B870" s="16" t="n">
        <v>6.93920374506182</v>
      </c>
      <c r="C870" s="15" t="n">
        <v>230</v>
      </c>
      <c r="D870" s="15" t="n">
        <v>600</v>
      </c>
      <c r="E870" s="15" t="n">
        <v>30</v>
      </c>
      <c r="F870" s="16" t="n">
        <v>0.63117855856144</v>
      </c>
      <c r="G870" s="17" t="s">
        <v>89</v>
      </c>
      <c r="H870" s="18" t="n">
        <v>0.3</v>
      </c>
      <c r="I870" s="18" t="n">
        <v>1.5</v>
      </c>
      <c r="J870" s="19" t="n">
        <v>0.989951691911219</v>
      </c>
      <c r="K870" s="19" t="n">
        <v>0.618357209021721</v>
      </c>
      <c r="L870" s="16" t="n">
        <v>12.5256385289925</v>
      </c>
      <c r="M870" s="19" t="n">
        <v>0.299767582233295</v>
      </c>
      <c r="N870" s="19" t="n">
        <v>0.80214206818469</v>
      </c>
      <c r="O870" s="19" t="n">
        <v>1.17885565522855</v>
      </c>
      <c r="P870" s="19" t="n">
        <v>1.29324152471741</v>
      </c>
      <c r="Q870" s="17" t="s">
        <v>31</v>
      </c>
      <c r="R870" s="5" t="str">
        <f aca="false">IF(OR(Q870="Steel plate",Q870="Concrete jacket"),"Steel plate or jacket",Q870)</f>
        <v>Polymer laminate</v>
      </c>
      <c r="S870" s="5" t="str">
        <f aca="false">IF(O870&lt;='Tree rules'!$C$4,IF(N870&lt;='Tree rules'!$C$5,IF(P870&lt;='Tree rules'!$C$6,"Monitor","Polymer laminate"),IF(P870&lt;='Tree rules'!$C$7,"Seal cracks","Polymer laminate")),IF(O870&lt;='Tree rules'!$C$8,IF(M870&lt;='Tree rules'!$C$9,"Steel plate or jacket","Polymer laminate"),IF(L870&lt;='Tree rules'!$C$10,"Steel plate or jacket","Polymer laminate")))</f>
        <v>Polymer laminate</v>
      </c>
      <c r="T870" s="5" t="str">
        <f aca="false">IF(S870=R870,"Yes","No")</f>
        <v>Yes</v>
      </c>
    </row>
    <row r="871" customFormat="false" ht="15" hidden="false" customHeight="false" outlineLevel="0" collapsed="false">
      <c r="A871" s="15" t="n">
        <v>2865</v>
      </c>
      <c r="B871" s="16" t="n">
        <v>3.59461937858953</v>
      </c>
      <c r="C871" s="15" t="n">
        <v>300</v>
      </c>
      <c r="D871" s="15" t="n">
        <v>325</v>
      </c>
      <c r="E871" s="15" t="n">
        <v>25</v>
      </c>
      <c r="F871" s="16" t="n">
        <v>0.761598219052071</v>
      </c>
      <c r="G871" s="17" t="s">
        <v>90</v>
      </c>
      <c r="H871" s="18" t="n">
        <v>0.1</v>
      </c>
      <c r="I871" s="18" t="n">
        <v>2</v>
      </c>
      <c r="J871" s="19" t="n">
        <v>0.991727959762466</v>
      </c>
      <c r="K871" s="19" t="n">
        <v>0.420707429148698</v>
      </c>
      <c r="L871" s="16" t="n">
        <v>13.6159824946573</v>
      </c>
      <c r="M871" s="19" t="n">
        <v>0.468982239137283</v>
      </c>
      <c r="N871" s="19" t="n">
        <v>5.02875186572594</v>
      </c>
      <c r="O871" s="19" t="n">
        <v>1.56622859915838</v>
      </c>
      <c r="P871" s="19" t="n">
        <v>0.820497916291299</v>
      </c>
      <c r="Q871" s="17" t="s">
        <v>31</v>
      </c>
      <c r="R871" s="5" t="str">
        <f aca="false">IF(OR(Q871="Steel plate",Q871="Concrete jacket"),"Steel plate or jacket",Q871)</f>
        <v>Polymer laminate</v>
      </c>
      <c r="S871" s="5" t="str">
        <f aca="false">IF(O871&lt;='Tree rules'!$C$4,IF(N871&lt;='Tree rules'!$C$5,IF(P871&lt;='Tree rules'!$C$6,"Monitor","Polymer laminate"),IF(P871&lt;='Tree rules'!$C$7,"Seal cracks","Polymer laminate")),IF(O871&lt;='Tree rules'!$C$8,IF(M871&lt;='Tree rules'!$C$9,"Steel plate or jacket","Polymer laminate"),IF(L871&lt;='Tree rules'!$C$10,"Steel plate or jacket","Polymer laminate")))</f>
        <v>Polymer laminate</v>
      </c>
      <c r="T871" s="5" t="str">
        <f aca="false">IF(S871=R871,"Yes","No")</f>
        <v>Yes</v>
      </c>
    </row>
    <row r="872" customFormat="false" ht="15" hidden="false" customHeight="false" outlineLevel="0" collapsed="false">
      <c r="A872" s="15" t="n">
        <v>2869</v>
      </c>
      <c r="B872" s="16" t="n">
        <v>4.29281438669703</v>
      </c>
      <c r="C872" s="15" t="n">
        <v>300</v>
      </c>
      <c r="D872" s="15" t="n">
        <v>425</v>
      </c>
      <c r="E872" s="15" t="n">
        <v>25</v>
      </c>
      <c r="F872" s="16" t="n">
        <v>0.833313701217452</v>
      </c>
      <c r="G872" s="17" t="s">
        <v>89</v>
      </c>
      <c r="H872" s="18" t="n">
        <v>0.3</v>
      </c>
      <c r="I872" s="18" t="n">
        <v>2</v>
      </c>
      <c r="J872" s="19" t="n">
        <v>0.92457645410297</v>
      </c>
      <c r="K872" s="19" t="n">
        <v>0.631340196897255</v>
      </c>
      <c r="L872" s="16" t="n">
        <v>11.3867755615306</v>
      </c>
      <c r="M872" s="19" t="n">
        <v>0.714929027561096</v>
      </c>
      <c r="N872" s="19" t="n">
        <v>1.03334462969302</v>
      </c>
      <c r="O872" s="19" t="n">
        <v>1.26543062762601</v>
      </c>
      <c r="P872" s="19" t="n">
        <v>0.629321573558911</v>
      </c>
      <c r="Q872" s="17" t="s">
        <v>31</v>
      </c>
      <c r="R872" s="5" t="str">
        <f aca="false">IF(OR(Q872="Steel plate",Q872="Concrete jacket"),"Steel plate or jacket",Q872)</f>
        <v>Polymer laminate</v>
      </c>
      <c r="S872" s="5" t="str">
        <f aca="false">IF(O872&lt;='Tree rules'!$C$4,IF(N872&lt;='Tree rules'!$C$5,IF(P872&lt;='Tree rules'!$C$6,"Monitor","Polymer laminate"),IF(P872&lt;='Tree rules'!$C$7,"Seal cracks","Polymer laminate")),IF(O872&lt;='Tree rules'!$C$8,IF(M872&lt;='Tree rules'!$C$9,"Steel plate or jacket","Polymer laminate"),IF(L872&lt;='Tree rules'!$C$10,"Steel plate or jacket","Polymer laminate")))</f>
        <v>Polymer laminate</v>
      </c>
      <c r="T872" s="5" t="str">
        <f aca="false">IF(S872=R872,"Yes","No")</f>
        <v>Yes</v>
      </c>
    </row>
    <row r="873" customFormat="false" ht="15" hidden="false" customHeight="false" outlineLevel="0" collapsed="false">
      <c r="A873" s="15" t="n">
        <v>2878</v>
      </c>
      <c r="B873" s="16" t="n">
        <v>4.3371515535549</v>
      </c>
      <c r="C873" s="15" t="n">
        <v>300</v>
      </c>
      <c r="D873" s="15" t="n">
        <v>425</v>
      </c>
      <c r="E873" s="15" t="n">
        <v>25</v>
      </c>
      <c r="F873" s="16" t="n">
        <v>0.707341881547042</v>
      </c>
      <c r="G873" s="17" t="s">
        <v>89</v>
      </c>
      <c r="H873" s="18" t="n">
        <v>0.3</v>
      </c>
      <c r="I873" s="18" t="n">
        <v>1</v>
      </c>
      <c r="J873" s="19" t="n">
        <v>0.908568337449829</v>
      </c>
      <c r="K873" s="19" t="n">
        <v>0.481463308650844</v>
      </c>
      <c r="L873" s="16" t="n">
        <v>11.4436716452636</v>
      </c>
      <c r="M873" s="19" t="n">
        <v>0.841197291199054</v>
      </c>
      <c r="N873" s="19" t="n">
        <v>0.607771900609716</v>
      </c>
      <c r="O873" s="19" t="n">
        <v>0.908568337449829</v>
      </c>
      <c r="P873" s="19" t="n">
        <v>0.368002825545212</v>
      </c>
      <c r="Q873" s="17" t="s">
        <v>29</v>
      </c>
      <c r="R873" s="5" t="str">
        <f aca="false">IF(OR(Q873="Steel plate",Q873="Concrete jacket"),"Steel plate or jacket",Q873)</f>
        <v>Monitor</v>
      </c>
      <c r="S873" s="5" t="str">
        <f aca="false">IF(O873&lt;='Tree rules'!$C$4,IF(N873&lt;='Tree rules'!$C$5,IF(P873&lt;='Tree rules'!$C$6,"Monitor","Polymer laminate"),IF(P873&lt;='Tree rules'!$C$7,"Seal cracks","Polymer laminate")),IF(O873&lt;='Tree rules'!$C$8,IF(M873&lt;='Tree rules'!$C$9,"Steel plate or jacket","Polymer laminate"),IF(L873&lt;='Tree rules'!$C$10,"Steel plate or jacket","Polymer laminate")))</f>
        <v>Monitor</v>
      </c>
      <c r="T873" s="5" t="str">
        <f aca="false">IF(S873=R873,"Yes","No")</f>
        <v>Yes</v>
      </c>
    </row>
    <row r="874" customFormat="false" ht="15" hidden="false" customHeight="false" outlineLevel="0" collapsed="false">
      <c r="A874" s="15" t="n">
        <v>2882</v>
      </c>
      <c r="B874" s="16" t="n">
        <v>4.39974425809222</v>
      </c>
      <c r="C874" s="15" t="n">
        <v>300</v>
      </c>
      <c r="D874" s="15" t="n">
        <v>400</v>
      </c>
      <c r="E874" s="15" t="n">
        <v>30</v>
      </c>
      <c r="F874" s="16" t="n">
        <v>0.635378289490071</v>
      </c>
      <c r="G874" s="17" t="s">
        <v>89</v>
      </c>
      <c r="H874" s="18" t="n">
        <v>0.3</v>
      </c>
      <c r="I874" s="18" t="n">
        <v>1</v>
      </c>
      <c r="J874" s="19" t="n">
        <v>0.904283874927316</v>
      </c>
      <c r="K874" s="19" t="n">
        <v>0.476071309536896</v>
      </c>
      <c r="L874" s="16" t="n">
        <v>12.3588321856523</v>
      </c>
      <c r="M874" s="19" t="n">
        <v>0.892509344194312</v>
      </c>
      <c r="N874" s="19" t="n">
        <v>0.531745354917731</v>
      </c>
      <c r="O874" s="19" t="n">
        <v>0.904283874927316</v>
      </c>
      <c r="P874" s="19" t="n">
        <v>0.320007162896657</v>
      </c>
      <c r="Q874" s="17" t="s">
        <v>29</v>
      </c>
      <c r="R874" s="5" t="str">
        <f aca="false">IF(OR(Q874="Steel plate",Q874="Concrete jacket"),"Steel plate or jacket",Q874)</f>
        <v>Monitor</v>
      </c>
      <c r="S874" s="5" t="str">
        <f aca="false">IF(O874&lt;='Tree rules'!$C$4,IF(N874&lt;='Tree rules'!$C$5,IF(P874&lt;='Tree rules'!$C$6,"Monitor","Polymer laminate"),IF(P874&lt;='Tree rules'!$C$7,"Seal cracks","Polymer laminate")),IF(O874&lt;='Tree rules'!$C$8,IF(M874&lt;='Tree rules'!$C$9,"Steel plate or jacket","Polymer laminate"),IF(L874&lt;='Tree rules'!$C$10,"Steel plate or jacket","Polymer laminate")))</f>
        <v>Monitor</v>
      </c>
      <c r="T874" s="5" t="str">
        <f aca="false">IF(S874=R874,"Yes","No")</f>
        <v>Yes</v>
      </c>
    </row>
    <row r="875" customFormat="false" ht="15" hidden="false" customHeight="false" outlineLevel="0" collapsed="false">
      <c r="A875" s="15" t="n">
        <v>2889</v>
      </c>
      <c r="B875" s="16" t="n">
        <v>3.51053782294496</v>
      </c>
      <c r="C875" s="15" t="n">
        <v>230</v>
      </c>
      <c r="D875" s="15" t="n">
        <v>325</v>
      </c>
      <c r="E875" s="15" t="n">
        <v>30</v>
      </c>
      <c r="F875" s="16" t="n">
        <v>0.699968036696473</v>
      </c>
      <c r="G875" s="17" t="s">
        <v>91</v>
      </c>
      <c r="H875" s="18" t="n">
        <v>0.2</v>
      </c>
      <c r="I875" s="18" t="n">
        <v>1.5</v>
      </c>
      <c r="J875" s="19" t="n">
        <v>0.969267062936023</v>
      </c>
      <c r="K875" s="19" t="n">
        <v>0.549188787958093</v>
      </c>
      <c r="L875" s="16" t="n">
        <v>12.4930171635052</v>
      </c>
      <c r="M875" s="19" t="n">
        <v>0.729709834463138</v>
      </c>
      <c r="N875" s="19" t="n">
        <v>1.18628966985684</v>
      </c>
      <c r="O875" s="19" t="n">
        <v>1.18774529265327</v>
      </c>
      <c r="P875" s="19" t="n">
        <v>0.471990878167981</v>
      </c>
      <c r="Q875" s="17" t="s">
        <v>31</v>
      </c>
      <c r="R875" s="5" t="str">
        <f aca="false">IF(OR(Q875="Steel plate",Q875="Concrete jacket"),"Steel plate or jacket",Q875)</f>
        <v>Polymer laminate</v>
      </c>
      <c r="S875" s="5" t="str">
        <f aca="false">IF(O875&lt;='Tree rules'!$C$4,IF(N875&lt;='Tree rules'!$C$5,IF(P875&lt;='Tree rules'!$C$6,"Monitor","Polymer laminate"),IF(P875&lt;='Tree rules'!$C$7,"Seal cracks","Polymer laminate")),IF(O875&lt;='Tree rules'!$C$8,IF(M875&lt;='Tree rules'!$C$9,"Steel plate or jacket","Polymer laminate"),IF(L875&lt;='Tree rules'!$C$10,"Steel plate or jacket","Polymer laminate")))</f>
        <v>Polymer laminate</v>
      </c>
      <c r="T875" s="5" t="str">
        <f aca="false">IF(S875=R875,"Yes","No")</f>
        <v>Yes</v>
      </c>
    </row>
    <row r="876" customFormat="false" ht="15" hidden="false" customHeight="false" outlineLevel="0" collapsed="false">
      <c r="A876" s="15" t="n">
        <v>2890</v>
      </c>
      <c r="B876" s="16" t="n">
        <v>3.31186218910798</v>
      </c>
      <c r="C876" s="15" t="n">
        <v>230</v>
      </c>
      <c r="D876" s="15" t="n">
        <v>300</v>
      </c>
      <c r="E876" s="15" t="n">
        <v>30</v>
      </c>
      <c r="F876" s="16" t="n">
        <v>0.688332522525665</v>
      </c>
      <c r="G876" s="17" t="s">
        <v>91</v>
      </c>
      <c r="H876" s="18" t="n">
        <v>0.2</v>
      </c>
      <c r="I876" s="18" t="n">
        <v>2</v>
      </c>
      <c r="J876" s="19" t="n">
        <v>0.966444834160244</v>
      </c>
      <c r="K876" s="19" t="n">
        <v>0.400176119507455</v>
      </c>
      <c r="L876" s="16" t="n">
        <v>13.0388275161732</v>
      </c>
      <c r="M876" s="19" t="n">
        <v>0.929273505291694</v>
      </c>
      <c r="N876" s="19" t="n">
        <v>2.11842338557796</v>
      </c>
      <c r="O876" s="19" t="n">
        <v>1.54614152486822</v>
      </c>
      <c r="P876" s="19" t="n">
        <v>0.386358219813959</v>
      </c>
      <c r="Q876" s="17" t="s">
        <v>31</v>
      </c>
      <c r="R876" s="5" t="str">
        <f aca="false">IF(OR(Q876="Steel plate",Q876="Concrete jacket"),"Steel plate or jacket",Q876)</f>
        <v>Polymer laminate</v>
      </c>
      <c r="S876" s="5" t="str">
        <f aca="false">IF(O876&lt;='Tree rules'!$C$4,IF(N876&lt;='Tree rules'!$C$5,IF(P876&lt;='Tree rules'!$C$6,"Monitor","Polymer laminate"),IF(P876&lt;='Tree rules'!$C$7,"Seal cracks","Polymer laminate")),IF(O876&lt;='Tree rules'!$C$8,IF(M876&lt;='Tree rules'!$C$9,"Steel plate or jacket","Polymer laminate"),IF(L876&lt;='Tree rules'!$C$10,"Steel plate or jacket","Polymer laminate")))</f>
        <v>Polymer laminate</v>
      </c>
      <c r="T876" s="5" t="str">
        <f aca="false">IF(S876=R876,"Yes","No")</f>
        <v>Yes</v>
      </c>
    </row>
    <row r="877" customFormat="false" ht="15" hidden="false" customHeight="false" outlineLevel="0" collapsed="false">
      <c r="A877" s="15" t="n">
        <v>2894</v>
      </c>
      <c r="B877" s="16" t="n">
        <v>3.95331801593182</v>
      </c>
      <c r="C877" s="15" t="n">
        <v>230</v>
      </c>
      <c r="D877" s="15" t="n">
        <v>300</v>
      </c>
      <c r="E877" s="15" t="n">
        <v>30</v>
      </c>
      <c r="F877" s="16" t="n">
        <v>0.576243217710084</v>
      </c>
      <c r="G877" s="17" t="s">
        <v>89</v>
      </c>
      <c r="H877" s="18" t="n">
        <v>0.3</v>
      </c>
      <c r="I877" s="18" t="n">
        <v>1.5</v>
      </c>
      <c r="J877" s="19" t="n">
        <v>0.972667517805605</v>
      </c>
      <c r="K877" s="19" t="n">
        <v>0.504799292603259</v>
      </c>
      <c r="L877" s="16" t="n">
        <v>15.4426484997337</v>
      </c>
      <c r="M877" s="19" t="n">
        <v>0.447981174058045</v>
      </c>
      <c r="N877" s="19" t="n">
        <v>0.928794550729131</v>
      </c>
      <c r="O877" s="19" t="n">
        <v>1.21350033924519</v>
      </c>
      <c r="P877" s="19" t="n">
        <v>0.728443955654816</v>
      </c>
      <c r="Q877" s="17" t="s">
        <v>31</v>
      </c>
      <c r="R877" s="5" t="str">
        <f aca="false">IF(OR(Q877="Steel plate",Q877="Concrete jacket"),"Steel plate or jacket",Q877)</f>
        <v>Polymer laminate</v>
      </c>
      <c r="S877" s="5" t="str">
        <f aca="false">IF(O877&lt;='Tree rules'!$C$4,IF(N877&lt;='Tree rules'!$C$5,IF(P877&lt;='Tree rules'!$C$6,"Monitor","Polymer laminate"),IF(P877&lt;='Tree rules'!$C$7,"Seal cracks","Polymer laminate")),IF(O877&lt;='Tree rules'!$C$8,IF(M877&lt;='Tree rules'!$C$9,"Steel plate or jacket","Polymer laminate"),IF(L877&lt;='Tree rules'!$C$10,"Steel plate or jacket","Polymer laminate")))</f>
        <v>Polymer laminate</v>
      </c>
      <c r="T877" s="5" t="str">
        <f aca="false">IF(S877=R877,"Yes","No")</f>
        <v>Yes</v>
      </c>
    </row>
    <row r="878" customFormat="false" ht="15" hidden="false" customHeight="false" outlineLevel="0" collapsed="false">
      <c r="A878" s="15" t="n">
        <v>2897</v>
      </c>
      <c r="B878" s="16" t="n">
        <v>6.77841985829545</v>
      </c>
      <c r="C878" s="15" t="n">
        <v>300</v>
      </c>
      <c r="D878" s="15" t="n">
        <v>600</v>
      </c>
      <c r="E878" s="15" t="n">
        <v>30</v>
      </c>
      <c r="F878" s="16" t="n">
        <v>0.604879451954714</v>
      </c>
      <c r="G878" s="17" t="s">
        <v>91</v>
      </c>
      <c r="H878" s="18" t="n">
        <v>0.2</v>
      </c>
      <c r="I878" s="18" t="n">
        <v>1</v>
      </c>
      <c r="J878" s="19" t="n">
        <v>0.979087688202665</v>
      </c>
      <c r="K878" s="19" t="n">
        <v>0.493739239477503</v>
      </c>
      <c r="L878" s="16" t="n">
        <v>12.2354149066705</v>
      </c>
      <c r="M878" s="19" t="n">
        <v>0.853855039358101</v>
      </c>
      <c r="N878" s="19" t="n">
        <v>0.890798324414832</v>
      </c>
      <c r="O878" s="19" t="n">
        <v>0.979087688202665</v>
      </c>
      <c r="P878" s="19" t="n">
        <v>0.383775167245771</v>
      </c>
      <c r="Q878" s="17" t="s">
        <v>29</v>
      </c>
      <c r="R878" s="5" t="str">
        <f aca="false">IF(OR(Q878="Steel plate",Q878="Concrete jacket"),"Steel plate or jacket",Q878)</f>
        <v>Monitor</v>
      </c>
      <c r="S878" s="5" t="str">
        <f aca="false">IF(O878&lt;='Tree rules'!$C$4,IF(N878&lt;='Tree rules'!$C$5,IF(P878&lt;='Tree rules'!$C$6,"Monitor","Polymer laminate"),IF(P878&lt;='Tree rules'!$C$7,"Seal cracks","Polymer laminate")),IF(O878&lt;='Tree rules'!$C$8,IF(M878&lt;='Tree rules'!$C$9,"Steel plate or jacket","Polymer laminate"),IF(L878&lt;='Tree rules'!$C$10,"Steel plate or jacket","Polymer laminate")))</f>
        <v>Monitor</v>
      </c>
      <c r="T878" s="5" t="str">
        <f aca="false">IF(S878=R878,"Yes","No")</f>
        <v>Yes</v>
      </c>
    </row>
    <row r="879" customFormat="false" ht="15" hidden="false" customHeight="false" outlineLevel="0" collapsed="false">
      <c r="A879" s="15" t="n">
        <v>2901</v>
      </c>
      <c r="B879" s="16" t="n">
        <v>3.90488282432721</v>
      </c>
      <c r="C879" s="15" t="n">
        <v>230</v>
      </c>
      <c r="D879" s="15" t="n">
        <v>375</v>
      </c>
      <c r="E879" s="15" t="n">
        <v>30</v>
      </c>
      <c r="F879" s="16" t="n">
        <v>0.875583236786453</v>
      </c>
      <c r="G879" s="17" t="s">
        <v>90</v>
      </c>
      <c r="H879" s="18" t="n">
        <v>0.1</v>
      </c>
      <c r="I879" s="18" t="n">
        <v>1</v>
      </c>
      <c r="J879" s="19" t="n">
        <v>0.862515555457835</v>
      </c>
      <c r="K879" s="19" t="n">
        <v>0.563275597268616</v>
      </c>
      <c r="L879" s="16" t="n">
        <v>12.5156500779718</v>
      </c>
      <c r="M879" s="19" t="n">
        <v>0.766490192147116</v>
      </c>
      <c r="N879" s="19" t="n">
        <v>2.64382431624371</v>
      </c>
      <c r="O879" s="19" t="n">
        <v>0.862515555457835</v>
      </c>
      <c r="P879" s="19" t="n">
        <v>0.409262207816327</v>
      </c>
      <c r="Q879" s="17" t="s">
        <v>30</v>
      </c>
      <c r="R879" s="5" t="str">
        <f aca="false">IF(OR(Q879="Steel plate",Q879="Concrete jacket"),"Steel plate or jacket",Q879)</f>
        <v>Seal cracks</v>
      </c>
      <c r="S879" s="5" t="str">
        <f aca="false">IF(O879&lt;='Tree rules'!$C$4,IF(N879&lt;='Tree rules'!$C$5,IF(P879&lt;='Tree rules'!$C$6,"Monitor","Polymer laminate"),IF(P879&lt;='Tree rules'!$C$7,"Seal cracks","Polymer laminate")),IF(O879&lt;='Tree rules'!$C$8,IF(M879&lt;='Tree rules'!$C$9,"Steel plate or jacket","Polymer laminate"),IF(L879&lt;='Tree rules'!$C$10,"Steel plate or jacket","Polymer laminate")))</f>
        <v>Seal cracks</v>
      </c>
      <c r="T879" s="5" t="str">
        <f aca="false">IF(S879=R879,"Yes","No")</f>
        <v>Yes</v>
      </c>
    </row>
    <row r="880" customFormat="false" ht="15" hidden="false" customHeight="false" outlineLevel="0" collapsed="false">
      <c r="A880" s="15" t="n">
        <v>2907</v>
      </c>
      <c r="B880" s="16" t="n">
        <v>3.65478615987243</v>
      </c>
      <c r="C880" s="15" t="n">
        <v>300</v>
      </c>
      <c r="D880" s="15" t="n">
        <v>300</v>
      </c>
      <c r="E880" s="15" t="n">
        <v>25</v>
      </c>
      <c r="F880" s="16" t="n">
        <v>0.560842203151316</v>
      </c>
      <c r="G880" s="17" t="s">
        <v>90</v>
      </c>
      <c r="H880" s="18" t="n">
        <v>0.1</v>
      </c>
      <c r="I880" s="18" t="n">
        <v>1.5</v>
      </c>
      <c r="J880" s="19" t="n">
        <v>0.95405265175886</v>
      </c>
      <c r="K880" s="19" t="n">
        <v>0.572739982958287</v>
      </c>
      <c r="L880" s="16" t="n">
        <v>15.2919923007215</v>
      </c>
      <c r="M880" s="19" t="n">
        <v>0.740795201536391</v>
      </c>
      <c r="N880" s="19" t="n">
        <v>4.09836210955904</v>
      </c>
      <c r="O880" s="19" t="n">
        <v>1.15786692788345</v>
      </c>
      <c r="P880" s="19" t="n">
        <v>0.402897340777177</v>
      </c>
      <c r="Q880" s="17" t="s">
        <v>31</v>
      </c>
      <c r="R880" s="5" t="str">
        <f aca="false">IF(OR(Q880="Steel plate",Q880="Concrete jacket"),"Steel plate or jacket",Q880)</f>
        <v>Polymer laminate</v>
      </c>
      <c r="S880" s="5" t="str">
        <f aca="false">IF(O880&lt;='Tree rules'!$C$4,IF(N880&lt;='Tree rules'!$C$5,IF(P880&lt;='Tree rules'!$C$6,"Monitor","Polymer laminate"),IF(P880&lt;='Tree rules'!$C$7,"Seal cracks","Polymer laminate")),IF(O880&lt;='Tree rules'!$C$8,IF(M880&lt;='Tree rules'!$C$9,"Steel plate or jacket","Polymer laminate"),IF(L880&lt;='Tree rules'!$C$10,"Steel plate or jacket","Polymer laminate")))</f>
        <v>Polymer laminate</v>
      </c>
      <c r="T880" s="5" t="str">
        <f aca="false">IF(S880=R880,"Yes","No")</f>
        <v>Yes</v>
      </c>
    </row>
    <row r="881" customFormat="false" ht="15" hidden="false" customHeight="false" outlineLevel="0" collapsed="false">
      <c r="A881" s="15" t="n">
        <v>2909</v>
      </c>
      <c r="B881" s="16" t="n">
        <v>3.00566370792315</v>
      </c>
      <c r="C881" s="15" t="n">
        <v>230</v>
      </c>
      <c r="D881" s="15" t="n">
        <v>300</v>
      </c>
      <c r="E881" s="15" t="n">
        <v>30</v>
      </c>
      <c r="F881" s="16" t="n">
        <v>0.768324290280112</v>
      </c>
      <c r="G881" s="17" t="s">
        <v>89</v>
      </c>
      <c r="H881" s="18" t="n">
        <v>0.3</v>
      </c>
      <c r="I881" s="18" t="n">
        <v>1</v>
      </c>
      <c r="J881" s="19" t="n">
        <v>0.867246412657348</v>
      </c>
      <c r="K881" s="19" t="n">
        <v>0.485236035909868</v>
      </c>
      <c r="L881" s="16" t="n">
        <v>11.7408738590748</v>
      </c>
      <c r="M881" s="19" t="n">
        <v>0.938626263575758</v>
      </c>
      <c r="N881" s="19" t="n">
        <v>0.539716840717657</v>
      </c>
      <c r="O881" s="19" t="n">
        <v>0.867246412657348</v>
      </c>
      <c r="P881" s="19" t="n">
        <v>0.287155348435482</v>
      </c>
      <c r="Q881" s="17" t="s">
        <v>29</v>
      </c>
      <c r="R881" s="5" t="str">
        <f aca="false">IF(OR(Q881="Steel plate",Q881="Concrete jacket"),"Steel plate or jacket",Q881)</f>
        <v>Monitor</v>
      </c>
      <c r="S881" s="5" t="str">
        <f aca="false">IF(O881&lt;='Tree rules'!$C$4,IF(N881&lt;='Tree rules'!$C$5,IF(P881&lt;='Tree rules'!$C$6,"Monitor","Polymer laminate"),IF(P881&lt;='Tree rules'!$C$7,"Seal cracks","Polymer laminate")),IF(O881&lt;='Tree rules'!$C$8,IF(M881&lt;='Tree rules'!$C$9,"Steel plate or jacket","Polymer laminate"),IF(L881&lt;='Tree rules'!$C$10,"Steel plate or jacket","Polymer laminate")))</f>
        <v>Monitor</v>
      </c>
      <c r="T881" s="5" t="str">
        <f aca="false">IF(S881=R881,"Yes","No")</f>
        <v>Yes</v>
      </c>
    </row>
    <row r="882" customFormat="false" ht="15" hidden="false" customHeight="false" outlineLevel="0" collapsed="false">
      <c r="A882" s="15" t="n">
        <v>2910</v>
      </c>
      <c r="B882" s="16" t="n">
        <v>4.23943594537806</v>
      </c>
      <c r="C882" s="15" t="n">
        <v>300</v>
      </c>
      <c r="D882" s="15" t="n">
        <v>425</v>
      </c>
      <c r="E882" s="15" t="n">
        <v>20</v>
      </c>
      <c r="F882" s="16" t="n">
        <v>0.707341881547042</v>
      </c>
      <c r="G882" s="17" t="s">
        <v>91</v>
      </c>
      <c r="H882" s="18" t="n">
        <v>0.2</v>
      </c>
      <c r="I882" s="18" t="n">
        <v>1</v>
      </c>
      <c r="J882" s="19" t="n">
        <v>0.956920003088391</v>
      </c>
      <c r="K882" s="19" t="n">
        <v>0.632347188171044</v>
      </c>
      <c r="L882" s="16" t="n">
        <v>11.185846821578</v>
      </c>
      <c r="M882" s="19" t="n">
        <v>0.478495767746618</v>
      </c>
      <c r="N882" s="19" t="n">
        <v>1.03550727526948</v>
      </c>
      <c r="O882" s="19" t="n">
        <v>0.956920003088391</v>
      </c>
      <c r="P882" s="19" t="n">
        <v>0.758128958159819</v>
      </c>
      <c r="Q882" s="17" t="s">
        <v>30</v>
      </c>
      <c r="R882" s="5" t="str">
        <f aca="false">IF(OR(Q882="Steel plate",Q882="Concrete jacket"),"Steel plate or jacket",Q882)</f>
        <v>Seal cracks</v>
      </c>
      <c r="S882" s="5" t="str">
        <f aca="false">IF(O882&lt;='Tree rules'!$C$4,IF(N882&lt;='Tree rules'!$C$5,IF(P882&lt;='Tree rules'!$C$6,"Monitor","Polymer laminate"),IF(P882&lt;='Tree rules'!$C$7,"Seal cracks","Polymer laminate")),IF(O882&lt;='Tree rules'!$C$8,IF(M882&lt;='Tree rules'!$C$9,"Steel plate or jacket","Polymer laminate"),IF(L882&lt;='Tree rules'!$C$10,"Steel plate or jacket","Polymer laminate")))</f>
        <v>Seal cracks</v>
      </c>
      <c r="T882" s="5" t="str">
        <f aca="false">IF(S882=R882,"Yes","No")</f>
        <v>Yes</v>
      </c>
    </row>
    <row r="883" customFormat="false" ht="15" hidden="false" customHeight="false" outlineLevel="0" collapsed="false">
      <c r="A883" s="15" t="n">
        <v>2913</v>
      </c>
      <c r="B883" s="16" t="n">
        <v>3.95478340384015</v>
      </c>
      <c r="C883" s="15" t="n">
        <v>300</v>
      </c>
      <c r="D883" s="15" t="n">
        <v>325</v>
      </c>
      <c r="E883" s="15" t="n">
        <v>25</v>
      </c>
      <c r="F883" s="16" t="n">
        <v>0.72065207824282</v>
      </c>
      <c r="G883" s="17" t="s">
        <v>89</v>
      </c>
      <c r="H883" s="18" t="n">
        <v>0.3</v>
      </c>
      <c r="I883" s="18" t="n">
        <v>1</v>
      </c>
      <c r="J883" s="19" t="n">
        <v>0.852375345558604</v>
      </c>
      <c r="K883" s="19" t="n">
        <v>0.501970317056102</v>
      </c>
      <c r="L883" s="16" t="n">
        <v>14.1748509098213</v>
      </c>
      <c r="M883" s="19" t="n">
        <v>0.292019787867544</v>
      </c>
      <c r="N883" s="19" t="n">
        <v>0.753311405159367</v>
      </c>
      <c r="O883" s="19" t="n">
        <v>0.852375345558604</v>
      </c>
      <c r="P883" s="19" t="n">
        <v>1.04823856563077</v>
      </c>
      <c r="Q883" s="17" t="s">
        <v>31</v>
      </c>
      <c r="R883" s="5" t="str">
        <f aca="false">IF(OR(Q883="Steel plate",Q883="Concrete jacket"),"Steel plate or jacket",Q883)</f>
        <v>Polymer laminate</v>
      </c>
      <c r="S883" s="5" t="str">
        <f aca="false">IF(O883&lt;='Tree rules'!$C$4,IF(N883&lt;='Tree rules'!$C$5,IF(P883&lt;='Tree rules'!$C$6,"Monitor","Polymer laminate"),IF(P883&lt;='Tree rules'!$C$7,"Seal cracks","Polymer laminate")),IF(O883&lt;='Tree rules'!$C$8,IF(M883&lt;='Tree rules'!$C$9,"Steel plate or jacket","Polymer laminate"),IF(L883&lt;='Tree rules'!$C$10,"Steel plate or jacket","Polymer laminate")))</f>
        <v>Polymer laminate</v>
      </c>
      <c r="T883" s="5" t="str">
        <f aca="false">IF(S883=R883,"Yes","No")</f>
        <v>Yes</v>
      </c>
    </row>
    <row r="884" customFormat="false" ht="15" hidden="false" customHeight="false" outlineLevel="0" collapsed="false">
      <c r="A884" s="15" t="n">
        <v>2919</v>
      </c>
      <c r="B884" s="16" t="n">
        <v>3.27938699111229</v>
      </c>
      <c r="C884" s="15" t="n">
        <v>300</v>
      </c>
      <c r="D884" s="15" t="n">
        <v>300</v>
      </c>
      <c r="E884" s="15" t="n">
        <v>30</v>
      </c>
      <c r="F884" s="16" t="n">
        <v>0.791582400904515</v>
      </c>
      <c r="G884" s="17" t="s">
        <v>91</v>
      </c>
      <c r="H884" s="18" t="n">
        <v>0.2</v>
      </c>
      <c r="I884" s="18" t="n">
        <v>1</v>
      </c>
      <c r="J884" s="19" t="n">
        <v>0.894375415780524</v>
      </c>
      <c r="K884" s="19" t="n">
        <v>0.48655180954092</v>
      </c>
      <c r="L884" s="16" t="n">
        <v>12.9109724059539</v>
      </c>
      <c r="M884" s="19" t="n">
        <v>0.825906352485756</v>
      </c>
      <c r="N884" s="19" t="n">
        <v>1.06347093609729</v>
      </c>
      <c r="O884" s="19" t="n">
        <v>0.894375415780524</v>
      </c>
      <c r="P884" s="19" t="n">
        <v>0.371497050712623</v>
      </c>
      <c r="Q884" s="17" t="s">
        <v>30</v>
      </c>
      <c r="R884" s="5" t="str">
        <f aca="false">IF(OR(Q884="Steel plate",Q884="Concrete jacket"),"Steel plate or jacket",Q884)</f>
        <v>Seal cracks</v>
      </c>
      <c r="S884" s="5" t="str">
        <f aca="false">IF(O884&lt;='Tree rules'!$C$4,IF(N884&lt;='Tree rules'!$C$5,IF(P884&lt;='Tree rules'!$C$6,"Monitor","Polymer laminate"),IF(P884&lt;='Tree rules'!$C$7,"Seal cracks","Polymer laminate")),IF(O884&lt;='Tree rules'!$C$8,IF(M884&lt;='Tree rules'!$C$9,"Steel plate or jacket","Polymer laminate"),IF(L884&lt;='Tree rules'!$C$10,"Steel plate or jacket","Polymer laminate")))</f>
        <v>Seal cracks</v>
      </c>
      <c r="T884" s="5" t="str">
        <f aca="false">IF(S884=R884,"Yes","No")</f>
        <v>Yes</v>
      </c>
    </row>
    <row r="885" customFormat="false" ht="15" hidden="false" customHeight="false" outlineLevel="0" collapsed="false">
      <c r="A885" s="15" t="n">
        <v>2923</v>
      </c>
      <c r="B885" s="16" t="n">
        <v>4.04692007506376</v>
      </c>
      <c r="C885" s="15" t="n">
        <v>300</v>
      </c>
      <c r="D885" s="15" t="n">
        <v>400</v>
      </c>
      <c r="E885" s="15" t="n">
        <v>20</v>
      </c>
      <c r="F885" s="16" t="n">
        <v>0.529481907908392</v>
      </c>
      <c r="G885" s="17" t="s">
        <v>91</v>
      </c>
      <c r="H885" s="18" t="n">
        <v>0.2</v>
      </c>
      <c r="I885" s="18" t="n">
        <v>2</v>
      </c>
      <c r="J885" s="19" t="n">
        <v>0.918140170315817</v>
      </c>
      <c r="K885" s="19" t="n">
        <v>0.509710347379164</v>
      </c>
      <c r="L885" s="16" t="n">
        <v>11.367753019842</v>
      </c>
      <c r="M885" s="19" t="n">
        <v>0.415033010523538</v>
      </c>
      <c r="N885" s="19" t="n">
        <v>1.42296901311786</v>
      </c>
      <c r="O885" s="19" t="n">
        <v>1.36829479547719</v>
      </c>
      <c r="P885" s="19" t="n">
        <v>0.757324627962795</v>
      </c>
      <c r="Q885" s="17" t="s">
        <v>31</v>
      </c>
      <c r="R885" s="5" t="str">
        <f aca="false">IF(OR(Q885="Steel plate",Q885="Concrete jacket"),"Steel plate or jacket",Q885)</f>
        <v>Polymer laminate</v>
      </c>
      <c r="S885" s="5" t="str">
        <f aca="false">IF(O885&lt;='Tree rules'!$C$4,IF(N885&lt;='Tree rules'!$C$5,IF(P885&lt;='Tree rules'!$C$6,"Monitor","Polymer laminate"),IF(P885&lt;='Tree rules'!$C$7,"Seal cracks","Polymer laminate")),IF(O885&lt;='Tree rules'!$C$8,IF(M885&lt;='Tree rules'!$C$9,"Steel plate or jacket","Polymer laminate"),IF(L885&lt;='Tree rules'!$C$10,"Steel plate or jacket","Polymer laminate")))</f>
        <v>Steel plate or jacket</v>
      </c>
      <c r="T885" s="5" t="str">
        <f aca="false">IF(S885=R885,"Yes","No")</f>
        <v>No</v>
      </c>
    </row>
    <row r="886" customFormat="false" ht="15" hidden="false" customHeight="false" outlineLevel="0" collapsed="false">
      <c r="A886" s="15" t="n">
        <v>2926</v>
      </c>
      <c r="B886" s="16" t="n">
        <v>4.28655602558233</v>
      </c>
      <c r="C886" s="15" t="n">
        <v>230</v>
      </c>
      <c r="D886" s="15" t="n">
        <v>425</v>
      </c>
      <c r="E886" s="15" t="n">
        <v>20</v>
      </c>
      <c r="F886" s="16" t="n">
        <v>0.537407153857128</v>
      </c>
      <c r="G886" s="17" t="s">
        <v>90</v>
      </c>
      <c r="H886" s="18" t="n">
        <v>0.1</v>
      </c>
      <c r="I886" s="18" t="n">
        <v>1.5</v>
      </c>
      <c r="J886" s="19" t="n">
        <v>0.851368914894683</v>
      </c>
      <c r="K886" s="19" t="n">
        <v>0.570003361735115</v>
      </c>
      <c r="L886" s="16" t="n">
        <v>11.7119017092413</v>
      </c>
      <c r="M886" s="19" t="n">
        <v>0.406922368618578</v>
      </c>
      <c r="N886" s="19" t="n">
        <v>2.78154002781796</v>
      </c>
      <c r="O886" s="19" t="n">
        <v>1.03441180055865</v>
      </c>
      <c r="P886" s="19" t="n">
        <v>0.626870203562892</v>
      </c>
      <c r="Q886" s="17" t="s">
        <v>31</v>
      </c>
      <c r="R886" s="5" t="str">
        <f aca="false">IF(OR(Q886="Steel plate",Q886="Concrete jacket"),"Steel plate or jacket",Q886)</f>
        <v>Polymer laminate</v>
      </c>
      <c r="S886" s="5" t="str">
        <f aca="false">IF(O886&lt;='Tree rules'!$C$4,IF(N886&lt;='Tree rules'!$C$5,IF(P886&lt;='Tree rules'!$C$6,"Monitor","Polymer laminate"),IF(P886&lt;='Tree rules'!$C$7,"Seal cracks","Polymer laminate")),IF(O886&lt;='Tree rules'!$C$8,IF(M886&lt;='Tree rules'!$C$9,"Steel plate or jacket","Polymer laminate"),IF(L886&lt;='Tree rules'!$C$10,"Steel plate or jacket","Polymer laminate")))</f>
        <v>Polymer laminate</v>
      </c>
      <c r="T886" s="5" t="str">
        <f aca="false">IF(S886=R886,"Yes","No")</f>
        <v>Yes</v>
      </c>
    </row>
    <row r="887" customFormat="false" ht="15" hidden="false" customHeight="false" outlineLevel="0" collapsed="false">
      <c r="A887" s="15" t="n">
        <v>2927</v>
      </c>
      <c r="B887" s="16" t="n">
        <v>7.54922608043702</v>
      </c>
      <c r="C887" s="15" t="n">
        <v>300</v>
      </c>
      <c r="D887" s="15" t="n">
        <v>675</v>
      </c>
      <c r="E887" s="15" t="n">
        <v>30</v>
      </c>
      <c r="F887" s="16" t="n">
        <v>0.668068613203571</v>
      </c>
      <c r="G887" s="17" t="s">
        <v>89</v>
      </c>
      <c r="H887" s="18" t="n">
        <v>0.3</v>
      </c>
      <c r="I887" s="18" t="n">
        <v>1.5</v>
      </c>
      <c r="J887" s="19" t="n">
        <v>0.894327810819879</v>
      </c>
      <c r="K887" s="19" t="n">
        <v>0.474943368471801</v>
      </c>
      <c r="L887" s="16" t="n">
        <v>12.0402329831531</v>
      </c>
      <c r="M887" s="19" t="n">
        <v>0.761479127332185</v>
      </c>
      <c r="N887" s="19" t="n">
        <v>0.766982822378163</v>
      </c>
      <c r="O887" s="19" t="n">
        <v>1.12911418473542</v>
      </c>
      <c r="P887" s="19" t="n">
        <v>0.473234092694144</v>
      </c>
      <c r="Q887" s="17" t="s">
        <v>31</v>
      </c>
      <c r="R887" s="5" t="str">
        <f aca="false">IF(OR(Q887="Steel plate",Q887="Concrete jacket"),"Steel plate or jacket",Q887)</f>
        <v>Polymer laminate</v>
      </c>
      <c r="S887" s="5" t="str">
        <f aca="false">IF(O887&lt;='Tree rules'!$C$4,IF(N887&lt;='Tree rules'!$C$5,IF(P887&lt;='Tree rules'!$C$6,"Monitor","Polymer laminate"),IF(P887&lt;='Tree rules'!$C$7,"Seal cracks","Polymer laminate")),IF(O887&lt;='Tree rules'!$C$8,IF(M887&lt;='Tree rules'!$C$9,"Steel plate or jacket","Polymer laminate"),IF(L887&lt;='Tree rules'!$C$10,"Steel plate or jacket","Polymer laminate")))</f>
        <v>Polymer laminate</v>
      </c>
      <c r="T887" s="5" t="str">
        <f aca="false">IF(S887=R887,"Yes","No")</f>
        <v>Yes</v>
      </c>
    </row>
    <row r="888" customFormat="false" ht="15" hidden="false" customHeight="false" outlineLevel="0" collapsed="false">
      <c r="A888" s="15" t="n">
        <v>2928</v>
      </c>
      <c r="B888" s="16" t="n">
        <v>4.32400805062959</v>
      </c>
      <c r="C888" s="15" t="n">
        <v>300</v>
      </c>
      <c r="D888" s="15" t="n">
        <v>425</v>
      </c>
      <c r="E888" s="15" t="n">
        <v>20</v>
      </c>
      <c r="F888" s="16" t="n">
        <v>0.707341881547042</v>
      </c>
      <c r="G888" s="17" t="s">
        <v>91</v>
      </c>
      <c r="H888" s="18" t="n">
        <v>0.2</v>
      </c>
      <c r="I888" s="18" t="n">
        <v>1</v>
      </c>
      <c r="J888" s="19" t="n">
        <v>0.914581892204777</v>
      </c>
      <c r="K888" s="19" t="n">
        <v>0.641844399296989</v>
      </c>
      <c r="L888" s="16" t="n">
        <v>11.40899221802</v>
      </c>
      <c r="M888" s="19" t="n">
        <v>0.684070208273994</v>
      </c>
      <c r="N888" s="19" t="n">
        <v>0.939012623402457</v>
      </c>
      <c r="O888" s="19" t="n">
        <v>0.914581892204777</v>
      </c>
      <c r="P888" s="19" t="n">
        <v>0.536022507419607</v>
      </c>
      <c r="Q888" s="17" t="s">
        <v>29</v>
      </c>
      <c r="R888" s="5" t="str">
        <f aca="false">IF(OR(Q888="Steel plate",Q888="Concrete jacket"),"Steel plate or jacket",Q888)</f>
        <v>Monitor</v>
      </c>
      <c r="S888" s="5" t="str">
        <f aca="false">IF(O888&lt;='Tree rules'!$C$4,IF(N888&lt;='Tree rules'!$C$5,IF(P888&lt;='Tree rules'!$C$6,"Monitor","Polymer laminate"),IF(P888&lt;='Tree rules'!$C$7,"Seal cracks","Polymer laminate")),IF(O888&lt;='Tree rules'!$C$8,IF(M888&lt;='Tree rules'!$C$9,"Steel plate or jacket","Polymer laminate"),IF(L888&lt;='Tree rules'!$C$10,"Steel plate or jacket","Polymer laminate")))</f>
        <v>Monitor</v>
      </c>
      <c r="T888" s="5" t="str">
        <f aca="false">IF(S888=R888,"Yes","No")</f>
        <v>Yes</v>
      </c>
    </row>
    <row r="889" customFormat="false" ht="15" hidden="false" customHeight="false" outlineLevel="0" collapsed="false">
      <c r="A889" s="15" t="n">
        <v>2929</v>
      </c>
      <c r="B889" s="16" t="n">
        <v>3.56463347820817</v>
      </c>
      <c r="C889" s="15" t="n">
        <v>300</v>
      </c>
      <c r="D889" s="15" t="n">
        <v>325</v>
      </c>
      <c r="E889" s="15" t="n">
        <v>30</v>
      </c>
      <c r="F889" s="16" t="n">
        <v>0.756099314943392</v>
      </c>
      <c r="G889" s="17" t="s">
        <v>91</v>
      </c>
      <c r="H889" s="18" t="n">
        <v>0.2</v>
      </c>
      <c r="I889" s="18" t="n">
        <v>1.5</v>
      </c>
      <c r="J889" s="19" t="n">
        <v>0.956510669576174</v>
      </c>
      <c r="K889" s="19" t="n">
        <v>0.488106647935236</v>
      </c>
      <c r="L889" s="16" t="n">
        <v>12.868712917719</v>
      </c>
      <c r="M889" s="19" t="n">
        <v>0.551145028431057</v>
      </c>
      <c r="N889" s="19" t="n">
        <v>2.0345209502427</v>
      </c>
      <c r="O889" s="19" t="n">
        <v>1.2013263960437</v>
      </c>
      <c r="P889" s="19" t="n">
        <v>0.628678596821194</v>
      </c>
      <c r="Q889" s="17" t="s">
        <v>31</v>
      </c>
      <c r="R889" s="5" t="str">
        <f aca="false">IF(OR(Q889="Steel plate",Q889="Concrete jacket"),"Steel plate or jacket",Q889)</f>
        <v>Polymer laminate</v>
      </c>
      <c r="S889" s="5" t="str">
        <f aca="false">IF(O889&lt;='Tree rules'!$C$4,IF(N889&lt;='Tree rules'!$C$5,IF(P889&lt;='Tree rules'!$C$6,"Monitor","Polymer laminate"),IF(P889&lt;='Tree rules'!$C$7,"Seal cracks","Polymer laminate")),IF(O889&lt;='Tree rules'!$C$8,IF(M889&lt;='Tree rules'!$C$9,"Steel plate or jacket","Polymer laminate"),IF(L889&lt;='Tree rules'!$C$10,"Steel plate or jacket","Polymer laminate")))</f>
        <v>Polymer laminate</v>
      </c>
      <c r="T889" s="5" t="str">
        <f aca="false">IF(S889=R889,"Yes","No")</f>
        <v>Yes</v>
      </c>
    </row>
    <row r="890" customFormat="false" ht="15" hidden="false" customHeight="false" outlineLevel="0" collapsed="false">
      <c r="A890" s="15" t="n">
        <v>2940</v>
      </c>
      <c r="B890" s="16" t="n">
        <v>3.64536961547998</v>
      </c>
      <c r="C890" s="15" t="n">
        <v>300</v>
      </c>
      <c r="D890" s="15" t="n">
        <v>300</v>
      </c>
      <c r="E890" s="15" t="n">
        <v>30</v>
      </c>
      <c r="F890" s="16" t="n">
        <v>0.736310778185108</v>
      </c>
      <c r="G890" s="17" t="s">
        <v>89</v>
      </c>
      <c r="H890" s="18" t="n">
        <v>0.3</v>
      </c>
      <c r="I890" s="18" t="n">
        <v>1</v>
      </c>
      <c r="J890" s="19" t="n">
        <v>0.957160341735445</v>
      </c>
      <c r="K890" s="19" t="n">
        <v>0.518267602746333</v>
      </c>
      <c r="L890" s="16" t="n">
        <v>14.2397250604687</v>
      </c>
      <c r="M890" s="19" t="n">
        <v>0.549770898522149</v>
      </c>
      <c r="N890" s="19" t="n">
        <v>0.669853603782481</v>
      </c>
      <c r="O890" s="19" t="n">
        <v>0.957160341735445</v>
      </c>
      <c r="P890" s="19" t="n">
        <v>0.616662751494515</v>
      </c>
      <c r="Q890" s="17" t="s">
        <v>29</v>
      </c>
      <c r="R890" s="5" t="str">
        <f aca="false">IF(OR(Q890="Steel plate",Q890="Concrete jacket"),"Steel plate or jacket",Q890)</f>
        <v>Monitor</v>
      </c>
      <c r="S890" s="5" t="str">
        <f aca="false">IF(O890&lt;='Tree rules'!$C$4,IF(N890&lt;='Tree rules'!$C$5,IF(P890&lt;='Tree rules'!$C$6,"Monitor","Polymer laminate"),IF(P890&lt;='Tree rules'!$C$7,"Seal cracks","Polymer laminate")),IF(O890&lt;='Tree rules'!$C$8,IF(M890&lt;='Tree rules'!$C$9,"Steel plate or jacket","Polymer laminate"),IF(L890&lt;='Tree rules'!$C$10,"Steel plate or jacket","Polymer laminate")))</f>
        <v>Monitor</v>
      </c>
      <c r="T890" s="5" t="str">
        <f aca="false">IF(S890=R890,"Yes","No")</f>
        <v>Yes</v>
      </c>
    </row>
    <row r="891" customFormat="false" ht="15" hidden="false" customHeight="false" outlineLevel="0" collapsed="false">
      <c r="A891" s="15" t="n">
        <v>2941</v>
      </c>
      <c r="B891" s="16" t="n">
        <v>3.78058487979047</v>
      </c>
      <c r="C891" s="15" t="n">
        <v>230</v>
      </c>
      <c r="D891" s="15" t="n">
        <v>350</v>
      </c>
      <c r="E891" s="15" t="n">
        <v>25</v>
      </c>
      <c r="F891" s="16" t="n">
        <v>0.862679904875916</v>
      </c>
      <c r="G891" s="17" t="s">
        <v>89</v>
      </c>
      <c r="H891" s="18" t="n">
        <v>0.3</v>
      </c>
      <c r="I891" s="18" t="n">
        <v>1</v>
      </c>
      <c r="J891" s="19" t="n">
        <v>0.853328347851511</v>
      </c>
      <c r="K891" s="19" t="n">
        <v>0.558733069730303</v>
      </c>
      <c r="L891" s="16" t="n">
        <v>12.436134472995</v>
      </c>
      <c r="M891" s="19" t="n">
        <v>0.618285211189886</v>
      </c>
      <c r="N891" s="19" t="n">
        <v>0.616563192617769</v>
      </c>
      <c r="O891" s="19" t="n">
        <v>0.853328347851511</v>
      </c>
      <c r="P891" s="19" t="n">
        <v>0.570998564897673</v>
      </c>
      <c r="Q891" s="17" t="s">
        <v>29</v>
      </c>
      <c r="R891" s="5" t="str">
        <f aca="false">IF(OR(Q891="Steel plate",Q891="Concrete jacket"),"Steel plate or jacket",Q891)</f>
        <v>Monitor</v>
      </c>
      <c r="S891" s="5" t="str">
        <f aca="false">IF(O891&lt;='Tree rules'!$C$4,IF(N891&lt;='Tree rules'!$C$5,IF(P891&lt;='Tree rules'!$C$6,"Monitor","Polymer laminate"),IF(P891&lt;='Tree rules'!$C$7,"Seal cracks","Polymer laminate")),IF(O891&lt;='Tree rules'!$C$8,IF(M891&lt;='Tree rules'!$C$9,"Steel plate or jacket","Polymer laminate"),IF(L891&lt;='Tree rules'!$C$10,"Steel plate or jacket","Polymer laminate")))</f>
        <v>Monitor</v>
      </c>
      <c r="T891" s="5" t="str">
        <f aca="false">IF(S891=R891,"Yes","No")</f>
        <v>Yes</v>
      </c>
    </row>
    <row r="892" customFormat="false" ht="15" hidden="false" customHeight="false" outlineLevel="0" collapsed="false">
      <c r="A892" s="15" t="n">
        <v>2942</v>
      </c>
      <c r="B892" s="16" t="n">
        <v>3.69168665045774</v>
      </c>
      <c r="C892" s="15" t="n">
        <v>300</v>
      </c>
      <c r="D892" s="15" t="n">
        <v>325</v>
      </c>
      <c r="E892" s="15" t="n">
        <v>30</v>
      </c>
      <c r="F892" s="16" t="n">
        <v>0.536642161467296</v>
      </c>
      <c r="G892" s="17" t="s">
        <v>91</v>
      </c>
      <c r="H892" s="18" t="n">
        <v>0.2</v>
      </c>
      <c r="I892" s="18" t="n">
        <v>2</v>
      </c>
      <c r="J892" s="19" t="n">
        <v>0.958035318400917</v>
      </c>
      <c r="K892" s="19" t="n">
        <v>0.464030171420862</v>
      </c>
      <c r="L892" s="16" t="n">
        <v>13.137674912661</v>
      </c>
      <c r="M892" s="19" t="n">
        <v>0.707763409888945</v>
      </c>
      <c r="N892" s="19" t="n">
        <v>1.6074233271568</v>
      </c>
      <c r="O892" s="19" t="n">
        <v>1.47151334377702</v>
      </c>
      <c r="P892" s="19" t="n">
        <v>0.435902549703011</v>
      </c>
      <c r="Q892" s="17" t="s">
        <v>31</v>
      </c>
      <c r="R892" s="5" t="str">
        <f aca="false">IF(OR(Q892="Steel plate",Q892="Concrete jacket"),"Steel plate or jacket",Q892)</f>
        <v>Polymer laminate</v>
      </c>
      <c r="S892" s="5" t="str">
        <f aca="false">IF(O892&lt;='Tree rules'!$C$4,IF(N892&lt;='Tree rules'!$C$5,IF(P892&lt;='Tree rules'!$C$6,"Monitor","Polymer laminate"),IF(P892&lt;='Tree rules'!$C$7,"Seal cracks","Polymer laminate")),IF(O892&lt;='Tree rules'!$C$8,IF(M892&lt;='Tree rules'!$C$9,"Steel plate or jacket","Polymer laminate"),IF(L892&lt;='Tree rules'!$C$10,"Steel plate or jacket","Polymer laminate")))</f>
        <v>Polymer laminate</v>
      </c>
      <c r="T892" s="5" t="str">
        <f aca="false">IF(S892=R892,"Yes","No")</f>
        <v>Yes</v>
      </c>
    </row>
    <row r="893" customFormat="false" ht="15" hidden="false" customHeight="false" outlineLevel="0" collapsed="false">
      <c r="A893" s="15" t="n">
        <v>2943</v>
      </c>
      <c r="B893" s="16" t="n">
        <v>7.30841685194628</v>
      </c>
      <c r="C893" s="15" t="n">
        <v>230</v>
      </c>
      <c r="D893" s="15" t="n">
        <v>675</v>
      </c>
      <c r="E893" s="15" t="n">
        <v>30</v>
      </c>
      <c r="F893" s="16" t="n">
        <v>0.669563651660229</v>
      </c>
      <c r="G893" s="17" t="s">
        <v>90</v>
      </c>
      <c r="H893" s="18" t="n">
        <v>0.1</v>
      </c>
      <c r="I893" s="18" t="n">
        <v>1</v>
      </c>
      <c r="J893" s="19" t="n">
        <v>0.953792257891348</v>
      </c>
      <c r="K893" s="19" t="n">
        <v>0.521006718923939</v>
      </c>
      <c r="L893" s="16" t="n">
        <v>11.9418576012194</v>
      </c>
      <c r="M893" s="19" t="n">
        <v>0.72551941303184</v>
      </c>
      <c r="N893" s="19" t="n">
        <v>2.40994195885386</v>
      </c>
      <c r="O893" s="19" t="n">
        <v>0.953792257891349</v>
      </c>
      <c r="P893" s="19" t="n">
        <v>0.445807966113919</v>
      </c>
      <c r="Q893" s="17" t="s">
        <v>30</v>
      </c>
      <c r="R893" s="5" t="str">
        <f aca="false">IF(OR(Q893="Steel plate",Q893="Concrete jacket"),"Steel plate or jacket",Q893)</f>
        <v>Seal cracks</v>
      </c>
      <c r="S893" s="5" t="str">
        <f aca="false">IF(O893&lt;='Tree rules'!$C$4,IF(N893&lt;='Tree rules'!$C$5,IF(P893&lt;='Tree rules'!$C$6,"Monitor","Polymer laminate"),IF(P893&lt;='Tree rules'!$C$7,"Seal cracks","Polymer laminate")),IF(O893&lt;='Tree rules'!$C$8,IF(M893&lt;='Tree rules'!$C$9,"Steel plate or jacket","Polymer laminate"),IF(L893&lt;='Tree rules'!$C$10,"Steel plate or jacket","Polymer laminate")))</f>
        <v>Seal cracks</v>
      </c>
      <c r="T893" s="5" t="str">
        <f aca="false">IF(S893=R893,"Yes","No")</f>
        <v>Yes</v>
      </c>
    </row>
    <row r="894" customFormat="false" ht="15" hidden="false" customHeight="false" outlineLevel="0" collapsed="false">
      <c r="A894" s="15" t="n">
        <v>2947</v>
      </c>
      <c r="B894" s="16" t="n">
        <v>3.8638017276022</v>
      </c>
      <c r="C894" s="15" t="n">
        <v>230</v>
      </c>
      <c r="D894" s="15" t="n">
        <v>375</v>
      </c>
      <c r="E894" s="15" t="n">
        <v>25</v>
      </c>
      <c r="F894" s="16" t="n">
        <v>0.797126720614828</v>
      </c>
      <c r="G894" s="17" t="s">
        <v>89</v>
      </c>
      <c r="H894" s="18" t="n">
        <v>0.3</v>
      </c>
      <c r="I894" s="18" t="n">
        <v>1</v>
      </c>
      <c r="J894" s="19" t="n">
        <v>0.890850517862028</v>
      </c>
      <c r="K894" s="19" t="n">
        <v>0.642646525520011</v>
      </c>
      <c r="L894" s="16" t="n">
        <v>11.7440781993988</v>
      </c>
      <c r="M894" s="19" t="n">
        <v>0.914731433206759</v>
      </c>
      <c r="N894" s="19" t="n">
        <v>0.598126097997109</v>
      </c>
      <c r="O894" s="19" t="n">
        <v>0.890850517862028</v>
      </c>
      <c r="P894" s="19" t="n">
        <v>0.40483116383158</v>
      </c>
      <c r="Q894" s="17" t="s">
        <v>29</v>
      </c>
      <c r="R894" s="5" t="str">
        <f aca="false">IF(OR(Q894="Steel plate",Q894="Concrete jacket"),"Steel plate or jacket",Q894)</f>
        <v>Monitor</v>
      </c>
      <c r="S894" s="5" t="str">
        <f aca="false">IF(O894&lt;='Tree rules'!$C$4,IF(N894&lt;='Tree rules'!$C$5,IF(P894&lt;='Tree rules'!$C$6,"Monitor","Polymer laminate"),IF(P894&lt;='Tree rules'!$C$7,"Seal cracks","Polymer laminate")),IF(O894&lt;='Tree rules'!$C$8,IF(M894&lt;='Tree rules'!$C$9,"Steel plate or jacket","Polymer laminate"),IF(L894&lt;='Tree rules'!$C$10,"Steel plate or jacket","Polymer laminate")))</f>
        <v>Monitor</v>
      </c>
      <c r="T894" s="5" t="str">
        <f aca="false">IF(S894=R894,"Yes","No")</f>
        <v>Yes</v>
      </c>
    </row>
    <row r="895" customFormat="false" ht="15" hidden="false" customHeight="false" outlineLevel="0" collapsed="false">
      <c r="A895" s="15" t="n">
        <v>2953</v>
      </c>
      <c r="B895" s="16" t="n">
        <v>3.50777489593509</v>
      </c>
      <c r="C895" s="15" t="n">
        <v>300</v>
      </c>
      <c r="D895" s="15" t="n">
        <v>325</v>
      </c>
      <c r="E895" s="15" t="n">
        <v>25</v>
      </c>
      <c r="F895" s="16" t="n">
        <v>0.761598219052071</v>
      </c>
      <c r="G895" s="17" t="s">
        <v>90</v>
      </c>
      <c r="H895" s="18" t="n">
        <v>0.1</v>
      </c>
      <c r="I895" s="18" t="n">
        <v>2</v>
      </c>
      <c r="J895" s="19" t="n">
        <v>0.865194516561481</v>
      </c>
      <c r="K895" s="19" t="n">
        <v>0.542772236927177</v>
      </c>
      <c r="L895" s="16" t="n">
        <v>13.2870261209662</v>
      </c>
      <c r="M895" s="19" t="n">
        <v>0.496052626101906</v>
      </c>
      <c r="N895" s="19" t="n">
        <v>3.99849297246118</v>
      </c>
      <c r="O895" s="19" t="n">
        <v>1.26078546999176</v>
      </c>
      <c r="P895" s="19" t="n">
        <v>0.688848907810171</v>
      </c>
      <c r="Q895" s="17" t="s">
        <v>31</v>
      </c>
      <c r="R895" s="5" t="str">
        <f aca="false">IF(OR(Q895="Steel plate",Q895="Concrete jacket"),"Steel plate or jacket",Q895)</f>
        <v>Polymer laminate</v>
      </c>
      <c r="S895" s="5" t="str">
        <f aca="false">IF(O895&lt;='Tree rules'!$C$4,IF(N895&lt;='Tree rules'!$C$5,IF(P895&lt;='Tree rules'!$C$6,"Monitor","Polymer laminate"),IF(P895&lt;='Tree rules'!$C$7,"Seal cracks","Polymer laminate")),IF(O895&lt;='Tree rules'!$C$8,IF(M895&lt;='Tree rules'!$C$9,"Steel plate or jacket","Polymer laminate"),IF(L895&lt;='Tree rules'!$C$10,"Steel plate or jacket","Polymer laminate")))</f>
        <v>Polymer laminate</v>
      </c>
      <c r="T895" s="5" t="str">
        <f aca="false">IF(S895=R895,"Yes","No")</f>
        <v>Yes</v>
      </c>
    </row>
    <row r="896" customFormat="false" ht="15" hidden="false" customHeight="false" outlineLevel="0" collapsed="false">
      <c r="A896" s="15" t="n">
        <v>2962</v>
      </c>
      <c r="B896" s="16" t="n">
        <v>7.56317623341934</v>
      </c>
      <c r="C896" s="15" t="n">
        <v>300</v>
      </c>
      <c r="D896" s="15" t="n">
        <v>725</v>
      </c>
      <c r="E896" s="15" t="n">
        <v>20</v>
      </c>
      <c r="F896" s="16" t="n">
        <v>0.592229542944762</v>
      </c>
      <c r="G896" s="17" t="s">
        <v>91</v>
      </c>
      <c r="H896" s="18" t="n">
        <v>0.2</v>
      </c>
      <c r="I896" s="18" t="n">
        <v>2</v>
      </c>
      <c r="J896" s="19" t="n">
        <v>0.993913185891073</v>
      </c>
      <c r="K896" s="19" t="n">
        <v>0.487335125247144</v>
      </c>
      <c r="L896" s="16" t="n">
        <v>11.138698429189</v>
      </c>
      <c r="M896" s="19" t="n">
        <v>0.515446609378667</v>
      </c>
      <c r="N896" s="19" t="n">
        <v>1.39449184765632</v>
      </c>
      <c r="O896" s="19" t="n">
        <v>1.50345756485113</v>
      </c>
      <c r="P896" s="19" t="n">
        <v>0.815679536264683</v>
      </c>
      <c r="Q896" s="17" t="s">
        <v>92</v>
      </c>
      <c r="R896" s="5" t="str">
        <f aca="false">IF(OR(Q896="Steel plate",Q896="Concrete jacket"),"Steel plate or jacket",Q896)</f>
        <v>Steel plate or jacket</v>
      </c>
      <c r="S896" s="5" t="str">
        <f aca="false">IF(O896&lt;='Tree rules'!$C$4,IF(N896&lt;='Tree rules'!$C$5,IF(P896&lt;='Tree rules'!$C$6,"Monitor","Polymer laminate"),IF(P896&lt;='Tree rules'!$C$7,"Seal cracks","Polymer laminate")),IF(O896&lt;='Tree rules'!$C$8,IF(M896&lt;='Tree rules'!$C$9,"Steel plate or jacket","Polymer laminate"),IF(L896&lt;='Tree rules'!$C$10,"Steel plate or jacket","Polymer laminate")))</f>
        <v>Steel plate or jacket</v>
      </c>
      <c r="T896" s="5" t="str">
        <f aca="false">IF(S896=R896,"Yes","No")</f>
        <v>Yes</v>
      </c>
    </row>
    <row r="897" customFormat="false" ht="15" hidden="false" customHeight="false" outlineLevel="0" collapsed="false">
      <c r="A897" s="15" t="n">
        <v>2964</v>
      </c>
      <c r="B897" s="16" t="n">
        <v>3.36875501363163</v>
      </c>
      <c r="C897" s="15" t="n">
        <v>230</v>
      </c>
      <c r="D897" s="15" t="n">
        <v>325</v>
      </c>
      <c r="E897" s="15" t="n">
        <v>25</v>
      </c>
      <c r="F897" s="16" t="n">
        <v>0.939980971621069</v>
      </c>
      <c r="G897" s="17" t="s">
        <v>91</v>
      </c>
      <c r="H897" s="18" t="n">
        <v>0.2</v>
      </c>
      <c r="I897" s="18" t="n">
        <v>1</v>
      </c>
      <c r="J897" s="19" t="n">
        <v>0.850061001304474</v>
      </c>
      <c r="K897" s="19" t="n">
        <v>0.633438876458467</v>
      </c>
      <c r="L897" s="16" t="n">
        <v>12.0743907298625</v>
      </c>
      <c r="M897" s="19" t="n">
        <v>0.563602134249356</v>
      </c>
      <c r="N897" s="19" t="n">
        <v>0.939148105848382</v>
      </c>
      <c r="O897" s="19" t="n">
        <v>0.850061001304474</v>
      </c>
      <c r="P897" s="19" t="n">
        <v>0.658623841852168</v>
      </c>
      <c r="Q897" s="17" t="s">
        <v>29</v>
      </c>
      <c r="R897" s="5" t="str">
        <f aca="false">IF(OR(Q897="Steel plate",Q897="Concrete jacket"),"Steel plate or jacket",Q897)</f>
        <v>Monitor</v>
      </c>
      <c r="S897" s="5" t="str">
        <f aca="false">IF(O897&lt;='Tree rules'!$C$4,IF(N897&lt;='Tree rules'!$C$5,IF(P897&lt;='Tree rules'!$C$6,"Monitor","Polymer laminate"),IF(P897&lt;='Tree rules'!$C$7,"Seal cracks","Polymer laminate")),IF(O897&lt;='Tree rules'!$C$8,IF(M897&lt;='Tree rules'!$C$9,"Steel plate or jacket","Polymer laminate"),IF(L897&lt;='Tree rules'!$C$10,"Steel plate or jacket","Polymer laminate")))</f>
        <v>Monitor</v>
      </c>
      <c r="T897" s="5" t="str">
        <f aca="false">IF(S897=R897,"Yes","No")</f>
        <v>Yes</v>
      </c>
    </row>
    <row r="898" customFormat="false" ht="15" hidden="false" customHeight="false" outlineLevel="0" collapsed="false">
      <c r="A898" s="15" t="n">
        <v>2976</v>
      </c>
      <c r="B898" s="16" t="n">
        <v>4.84297275345576</v>
      </c>
      <c r="C898" s="15" t="n">
        <v>230</v>
      </c>
      <c r="D898" s="15" t="n">
        <v>425</v>
      </c>
      <c r="E898" s="15" t="n">
        <v>30</v>
      </c>
      <c r="F898" s="16" t="n">
        <v>0.691964884122107</v>
      </c>
      <c r="G898" s="17" t="s">
        <v>91</v>
      </c>
      <c r="H898" s="18" t="n">
        <v>0.2</v>
      </c>
      <c r="I898" s="18" t="n">
        <v>1</v>
      </c>
      <c r="J898" s="19" t="n">
        <v>0.951113374459909</v>
      </c>
      <c r="K898" s="19" t="n">
        <v>0.585478151871962</v>
      </c>
      <c r="L898" s="16" t="n">
        <v>12.778292225477</v>
      </c>
      <c r="M898" s="19" t="n">
        <v>0.938434649997704</v>
      </c>
      <c r="N898" s="19" t="n">
        <v>0.946558059548303</v>
      </c>
      <c r="O898" s="19" t="n">
        <v>0.951113374459909</v>
      </c>
      <c r="P898" s="19" t="n">
        <v>0.385133172819588</v>
      </c>
      <c r="Q898" s="17" t="s">
        <v>29</v>
      </c>
      <c r="R898" s="5" t="str">
        <f aca="false">IF(OR(Q898="Steel plate",Q898="Concrete jacket"),"Steel plate or jacket",Q898)</f>
        <v>Monitor</v>
      </c>
      <c r="S898" s="5" t="str">
        <f aca="false">IF(O898&lt;='Tree rules'!$C$4,IF(N898&lt;='Tree rules'!$C$5,IF(P898&lt;='Tree rules'!$C$6,"Monitor","Polymer laminate"),IF(P898&lt;='Tree rules'!$C$7,"Seal cracks","Polymer laminate")),IF(O898&lt;='Tree rules'!$C$8,IF(M898&lt;='Tree rules'!$C$9,"Steel plate or jacket","Polymer laminate"),IF(L898&lt;='Tree rules'!$C$10,"Steel plate or jacket","Polymer laminate")))</f>
        <v>Monitor</v>
      </c>
      <c r="T898" s="5" t="str">
        <f aca="false">IF(S898=R898,"Yes","No")</f>
        <v>Yes</v>
      </c>
    </row>
    <row r="899" customFormat="false" ht="15" hidden="false" customHeight="false" outlineLevel="0" collapsed="false">
      <c r="A899" s="15" t="n">
        <v>2977</v>
      </c>
      <c r="B899" s="16" t="n">
        <v>3.40544849807504</v>
      </c>
      <c r="C899" s="15" t="n">
        <v>230</v>
      </c>
      <c r="D899" s="15" t="n">
        <v>300</v>
      </c>
      <c r="E899" s="15" t="n">
        <v>30</v>
      </c>
      <c r="F899" s="16" t="n">
        <v>0.768324290280112</v>
      </c>
      <c r="G899" s="17" t="s">
        <v>89</v>
      </c>
      <c r="H899" s="18" t="n">
        <v>0.3</v>
      </c>
      <c r="I899" s="18" t="n">
        <v>1.5</v>
      </c>
      <c r="J899" s="19" t="n">
        <v>0.965444319870722</v>
      </c>
      <c r="K899" s="19" t="n">
        <v>0.548645992871287</v>
      </c>
      <c r="L899" s="16" t="n">
        <v>13.3025331956056</v>
      </c>
      <c r="M899" s="19" t="n">
        <v>0.950184048311628</v>
      </c>
      <c r="N899" s="19" t="n">
        <v>0.769910641295362</v>
      </c>
      <c r="O899" s="19" t="n">
        <v>1.18332290108738</v>
      </c>
      <c r="P899" s="19" t="n">
        <v>0.410422797823681</v>
      </c>
      <c r="Q899" s="17" t="s">
        <v>31</v>
      </c>
      <c r="R899" s="5" t="str">
        <f aca="false">IF(OR(Q899="Steel plate",Q899="Concrete jacket"),"Steel plate or jacket",Q899)</f>
        <v>Polymer laminate</v>
      </c>
      <c r="S899" s="5" t="str">
        <f aca="false">IF(O899&lt;='Tree rules'!$C$4,IF(N899&lt;='Tree rules'!$C$5,IF(P899&lt;='Tree rules'!$C$6,"Monitor","Polymer laminate"),IF(P899&lt;='Tree rules'!$C$7,"Seal cracks","Polymer laminate")),IF(O899&lt;='Tree rules'!$C$8,IF(M899&lt;='Tree rules'!$C$9,"Steel plate or jacket","Polymer laminate"),IF(L899&lt;='Tree rules'!$C$10,"Steel plate or jacket","Polymer laminate")))</f>
        <v>Polymer laminate</v>
      </c>
      <c r="T899" s="5" t="str">
        <f aca="false">IF(S899=R899,"Yes","No")</f>
        <v>Yes</v>
      </c>
    </row>
    <row r="900" customFormat="false" ht="15" hidden="false" customHeight="false" outlineLevel="0" collapsed="false">
      <c r="A900" s="15" t="n">
        <v>2982</v>
      </c>
      <c r="B900" s="16" t="n">
        <v>4.45492915522807</v>
      </c>
      <c r="C900" s="15" t="n">
        <v>300</v>
      </c>
      <c r="D900" s="15" t="n">
        <v>350</v>
      </c>
      <c r="E900" s="15" t="n">
        <v>30</v>
      </c>
      <c r="F900" s="16" t="n">
        <v>0.61599855952741</v>
      </c>
      <c r="G900" s="17" t="s">
        <v>91</v>
      </c>
      <c r="H900" s="18" t="n">
        <v>0.2</v>
      </c>
      <c r="I900" s="18" t="n">
        <v>1</v>
      </c>
      <c r="J900" s="19" t="n">
        <v>0.937815461973107</v>
      </c>
      <c r="K900" s="19" t="n">
        <v>0.618430986685109</v>
      </c>
      <c r="L900" s="16" t="n">
        <v>14.5585920105492</v>
      </c>
      <c r="M900" s="19" t="n">
        <v>0.913039568124784</v>
      </c>
      <c r="N900" s="19" t="n">
        <v>0.865355847623473</v>
      </c>
      <c r="O900" s="19" t="n">
        <v>0.937815461973107</v>
      </c>
      <c r="P900" s="19" t="n">
        <v>0.390596449194641</v>
      </c>
      <c r="Q900" s="17" t="s">
        <v>29</v>
      </c>
      <c r="R900" s="5" t="str">
        <f aca="false">IF(OR(Q900="Steel plate",Q900="Concrete jacket"),"Steel plate or jacket",Q900)</f>
        <v>Monitor</v>
      </c>
      <c r="S900" s="5" t="str">
        <f aca="false">IF(O900&lt;='Tree rules'!$C$4,IF(N900&lt;='Tree rules'!$C$5,IF(P900&lt;='Tree rules'!$C$6,"Monitor","Polymer laminate"),IF(P900&lt;='Tree rules'!$C$7,"Seal cracks","Polymer laminate")),IF(O900&lt;='Tree rules'!$C$8,IF(M900&lt;='Tree rules'!$C$9,"Steel plate or jacket","Polymer laminate"),IF(L900&lt;='Tree rules'!$C$10,"Steel plate or jacket","Polymer laminate")))</f>
        <v>Monitor</v>
      </c>
      <c r="T900" s="5" t="str">
        <f aca="false">IF(S900=R900,"Yes","No")</f>
        <v>Yes</v>
      </c>
    </row>
    <row r="901" customFormat="false" ht="15" hidden="false" customHeight="false" outlineLevel="0" collapsed="false">
      <c r="A901" s="15" t="n">
        <v>2988</v>
      </c>
      <c r="B901" s="16" t="n">
        <v>4.44725308936448</v>
      </c>
      <c r="C901" s="15" t="n">
        <v>230</v>
      </c>
      <c r="D901" s="15" t="n">
        <v>350</v>
      </c>
      <c r="E901" s="15" t="n">
        <v>25</v>
      </c>
      <c r="F901" s="16" t="n">
        <v>0.64278110559382</v>
      </c>
      <c r="G901" s="17" t="s">
        <v>91</v>
      </c>
      <c r="H901" s="18" t="n">
        <v>0.2</v>
      </c>
      <c r="I901" s="18" t="n">
        <v>1</v>
      </c>
      <c r="J901" s="19" t="n">
        <v>0.870292097259883</v>
      </c>
      <c r="K901" s="19" t="n">
        <v>0.509900178994272</v>
      </c>
      <c r="L901" s="16" t="n">
        <v>14.5335068279885</v>
      </c>
      <c r="M901" s="19" t="n">
        <v>0.634182731990138</v>
      </c>
      <c r="N901" s="19" t="n">
        <v>0.842700405543054</v>
      </c>
      <c r="O901" s="19" t="n">
        <v>0.870292097259883</v>
      </c>
      <c r="P901" s="19" t="n">
        <v>0.506679871753526</v>
      </c>
      <c r="Q901" s="17" t="s">
        <v>29</v>
      </c>
      <c r="R901" s="5" t="str">
        <f aca="false">IF(OR(Q901="Steel plate",Q901="Concrete jacket"),"Steel plate or jacket",Q901)</f>
        <v>Monitor</v>
      </c>
      <c r="S901" s="5" t="str">
        <f aca="false">IF(O901&lt;='Tree rules'!$C$4,IF(N901&lt;='Tree rules'!$C$5,IF(P901&lt;='Tree rules'!$C$6,"Monitor","Polymer laminate"),IF(P901&lt;='Tree rules'!$C$7,"Seal cracks","Polymer laminate")),IF(O901&lt;='Tree rules'!$C$8,IF(M901&lt;='Tree rules'!$C$9,"Steel plate or jacket","Polymer laminate"),IF(L901&lt;='Tree rules'!$C$10,"Steel plate or jacket","Polymer laminate")))</f>
        <v>Monitor</v>
      </c>
      <c r="T901" s="5" t="str">
        <f aca="false">IF(S901=R901,"Yes","No")</f>
        <v>Yes</v>
      </c>
    </row>
    <row r="902" customFormat="false" ht="15" hidden="false" customHeight="false" outlineLevel="0" collapsed="false">
      <c r="A902" s="15" t="n">
        <v>2990</v>
      </c>
      <c r="B902" s="16" t="n">
        <v>3.2653863010097</v>
      </c>
      <c r="C902" s="15" t="n">
        <v>300</v>
      </c>
      <c r="D902" s="15" t="n">
        <v>300</v>
      </c>
      <c r="E902" s="15" t="n">
        <v>30</v>
      </c>
      <c r="F902" s="16" t="n">
        <v>0.791582400904515</v>
      </c>
      <c r="G902" s="17" t="s">
        <v>91</v>
      </c>
      <c r="H902" s="18" t="n">
        <v>0.2</v>
      </c>
      <c r="I902" s="18" t="n">
        <v>1</v>
      </c>
      <c r="J902" s="19" t="n">
        <v>0.880400125731993</v>
      </c>
      <c r="K902" s="19" t="n">
        <v>0.596546260040892</v>
      </c>
      <c r="L902" s="16" t="n">
        <v>12.8558515787783</v>
      </c>
      <c r="M902" s="19" t="n">
        <v>0.749497523745522</v>
      </c>
      <c r="N902" s="19" t="n">
        <v>1.06373035709216</v>
      </c>
      <c r="O902" s="19" t="n">
        <v>0.880400125731993</v>
      </c>
      <c r="P902" s="19" t="n">
        <v>0.431673567522565</v>
      </c>
      <c r="Q902" s="17" t="s">
        <v>30</v>
      </c>
      <c r="R902" s="5" t="str">
        <f aca="false">IF(OR(Q902="Steel plate",Q902="Concrete jacket"),"Steel plate or jacket",Q902)</f>
        <v>Seal cracks</v>
      </c>
      <c r="S902" s="5" t="str">
        <f aca="false">IF(O902&lt;='Tree rules'!$C$4,IF(N902&lt;='Tree rules'!$C$5,IF(P902&lt;='Tree rules'!$C$6,"Monitor","Polymer laminate"),IF(P902&lt;='Tree rules'!$C$7,"Seal cracks","Polymer laminate")),IF(O902&lt;='Tree rules'!$C$8,IF(M902&lt;='Tree rules'!$C$9,"Steel plate or jacket","Polymer laminate"),IF(L902&lt;='Tree rules'!$C$10,"Steel plate or jacket","Polymer laminate")))</f>
        <v>Seal cracks</v>
      </c>
      <c r="T902" s="5" t="str">
        <f aca="false">IF(S902=R902,"Yes","No")</f>
        <v>Yes</v>
      </c>
    </row>
    <row r="903" customFormat="false" ht="15" hidden="false" customHeight="false" outlineLevel="0" collapsed="false">
      <c r="A903" s="15" t="n">
        <v>2991</v>
      </c>
      <c r="B903" s="16" t="n">
        <v>4.46564345239399</v>
      </c>
      <c r="C903" s="15" t="n">
        <v>230</v>
      </c>
      <c r="D903" s="15" t="n">
        <v>425</v>
      </c>
      <c r="E903" s="15" t="n">
        <v>30</v>
      </c>
      <c r="F903" s="16" t="n">
        <v>0.691964884122107</v>
      </c>
      <c r="G903" s="17" t="s">
        <v>89</v>
      </c>
      <c r="H903" s="18" t="n">
        <v>0.3</v>
      </c>
      <c r="I903" s="18" t="n">
        <v>1</v>
      </c>
      <c r="J903" s="19" t="n">
        <v>0.956036281666533</v>
      </c>
      <c r="K903" s="19" t="n">
        <v>0.624123724207163</v>
      </c>
      <c r="L903" s="16" t="n">
        <v>11.782700402095</v>
      </c>
      <c r="M903" s="19" t="n">
        <v>0.942639025958435</v>
      </c>
      <c r="N903" s="19" t="n">
        <v>0.634200885874317</v>
      </c>
      <c r="O903" s="19" t="n">
        <v>0.956036281666533</v>
      </c>
      <c r="P903" s="19" t="n">
        <v>0.365293686214361</v>
      </c>
      <c r="Q903" s="17" t="s">
        <v>29</v>
      </c>
      <c r="R903" s="5" t="str">
        <f aca="false">IF(OR(Q903="Steel plate",Q903="Concrete jacket"),"Steel plate or jacket",Q903)</f>
        <v>Monitor</v>
      </c>
      <c r="S903" s="5" t="str">
        <f aca="false">IF(O903&lt;='Tree rules'!$C$4,IF(N903&lt;='Tree rules'!$C$5,IF(P903&lt;='Tree rules'!$C$6,"Monitor","Polymer laminate"),IF(P903&lt;='Tree rules'!$C$7,"Seal cracks","Polymer laminate")),IF(O903&lt;='Tree rules'!$C$8,IF(M903&lt;='Tree rules'!$C$9,"Steel plate or jacket","Polymer laminate"),IF(L903&lt;='Tree rules'!$C$10,"Steel plate or jacket","Polymer laminate")))</f>
        <v>Monitor</v>
      </c>
      <c r="T903" s="5" t="str">
        <f aca="false">IF(S903=R903,"Yes","No")</f>
        <v>Yes</v>
      </c>
    </row>
  </sheetData>
  <autoFilter ref="A3:T9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2026-10-14T05:13:41Z</dcterms:created>
  <dc:creator>openpyxl</dc:creator>
  <dc:description/>
  <dc:language>en-US</dc:language>
  <cp:lastModifiedBy/>
  <dcterms:modified xsi:type="dcterms:W3CDTF">2026-10-14T05:13:41Z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